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ml.chartshap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7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ctrlProps/ctrlProp2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showInkAnnotation="0" updateLinks="never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projects\mygitlab\QA-Dashboard\"/>
    </mc:Choice>
  </mc:AlternateContent>
  <xr:revisionPtr revIDLastSave="0" documentId="13_ncr:1_{4A85C113-F8DF-4D76-A84E-633AF5F3F65F}" xr6:coauthVersionLast="45" xr6:coauthVersionMax="45" xr10:uidLastSave="{00000000-0000-0000-0000-000000000000}"/>
  <bookViews>
    <workbookView xWindow="-120" yWindow="-120" windowWidth="20730" windowHeight="11310" tabRatio="932" firstSheet="1" activeTab="9" xr2:uid="{00000000-000D-0000-FFFF-FFFF00000000}"/>
  </bookViews>
  <sheets>
    <sheet name="Statistics - Overview-Defects" sheetId="17" r:id="rId1"/>
    <sheet name="Statistics - Scenario Exec" sheetId="4" r:id="rId2"/>
    <sheet name="Heat Map" sheetId="15" r:id="rId3"/>
    <sheet name="Heat-Map-Data" sheetId="16" r:id="rId4"/>
    <sheet name="Defect Dump" sheetId="13" r:id="rId5"/>
    <sheet name="Defect-Category-Data" sheetId="18" r:id="rId6"/>
    <sheet name="Defect-Quality-Trend-Data" sheetId="14" r:id="rId7"/>
    <sheet name="Execution" sheetId="1" r:id="rId8"/>
    <sheet name="Calculations" sheetId="3" r:id="rId9"/>
    <sheet name="Setup" sheetId="12" r:id="rId10"/>
  </sheets>
  <functionGroups builtInGroupCount="19"/>
  <externalReferences>
    <externalReference r:id="rId11"/>
  </externalReferences>
  <definedNames>
    <definedName name="_xlnm._FilterDatabase" localSheetId="4" hidden="1">'Defect Dump'!$C$2:$S$1089</definedName>
    <definedName name="_xlnm._FilterDatabase" localSheetId="7" hidden="1">Execution!$A$1:$J$159</definedName>
    <definedName name="_xlnm._FilterDatabase" localSheetId="2" hidden="1">'Heat Map'!#REF!</definedName>
    <definedName name="aaaa" localSheetId="6" hidden="1">{#N/A,#N/A,TRUE,"Client Assumptions Print";#N/A,#N/A,TRUE,"Project Assumptions";#N/A,#N/A,TRUE,"Pricing Summary";#N/A,#N/A,TRUE,"Pricing"}</definedName>
    <definedName name="aaaa" localSheetId="2" hidden="1">{#N/A,#N/A,TRUE,"Client Assumptions Print";#N/A,#N/A,TRUE,"Project Assumptions";#N/A,#N/A,TRUE,"Pricing Summary";#N/A,#N/A,TRUE,"Pricing"}</definedName>
    <definedName name="aaaa" hidden="1">{#N/A,#N/A,TRUE,"Client Assumptions Print";#N/A,#N/A,TRUE,"Project Assumptions";#N/A,#N/A,TRUE,"Pricing Summary";#N/A,#N/A,TRUE,"Pricing"}</definedName>
    <definedName name="aaaaa" localSheetId="6" hidden="1">{#N/A,#N/A,TRUE,"Client Assumptions Print";#N/A,#N/A,TRUE,"Project Assumptions";#N/A,#N/A,TRUE,"Pricing Summary";#N/A,#N/A,TRUE,"Pricing"}</definedName>
    <definedName name="aaaaa" localSheetId="2" hidden="1">{#N/A,#N/A,TRUE,"Client Assumptions Print";#N/A,#N/A,TRUE,"Project Assumptions";#N/A,#N/A,TRUE,"Pricing Summary";#N/A,#N/A,TRUE,"Pricing"}</definedName>
    <definedName name="aaaaa" hidden="1">{#N/A,#N/A,TRUE,"Client Assumptions Print";#N/A,#N/A,TRUE,"Project Assumptions";#N/A,#N/A,TRUE,"Pricing Summary";#N/A,#N/A,TRUE,"Pricing"}</definedName>
    <definedName name="ACT.ExecDate">Execution!$H1048562:$H984</definedName>
    <definedName name="AllQAIssues">INDIRECT("'Calculations'!$V$22:$X$" &amp; gettesterrows())</definedName>
    <definedName name="AmberFactor" localSheetId="3">Setup!$C$9</definedName>
    <definedName name="bbbbb" localSheetId="6" hidden="1">{#N/A,#N/A,TRUE,"Client Assumptions Print";#N/A,#N/A,TRUE,"Project Assumptions";#N/A,#N/A,TRUE,"Pricing Summary";#N/A,#N/A,TRUE,"Pricing"}</definedName>
    <definedName name="bbbbb" localSheetId="2" hidden="1">{#N/A,#N/A,TRUE,"Client Assumptions Print";#N/A,#N/A,TRUE,"Project Assumptions";#N/A,#N/A,TRUE,"Pricing Summary";#N/A,#N/A,TRUE,"Pricing"}</definedName>
    <definedName name="bbbbb" hidden="1">{#N/A,#N/A,TRUE,"Client Assumptions Print";#N/A,#N/A,TRUE,"Project Assumptions";#N/A,#N/A,TRUE,"Pricing Summary";#N/A,#N/A,TRUE,"Pricing"}</definedName>
    <definedName name="Date">Calculations!$A1048562:$A984</definedName>
    <definedName name="DefectTrendData">INDIRECT("'Defect-Quality-Trend-Data'!$AA$6:$AF$" &amp; 'Defect-Quality-Trend-Data'!$AT$1)</definedName>
    <definedName name="Delete_Range" hidden="1">"""Q3:W17"""</definedName>
    <definedName name="dynDate">OFFSET(Calculations!$A$1,1,0,COUNTA(Calculations!$A:$A)-1)</definedName>
    <definedName name="dynDiff">OFFSET(Calculations!$H$1,1,0,COUNTA(Calculations!$H:$H)-1)</definedName>
    <definedName name="dynExe">OFFSET(Calculations!$G$1,1,0,COUNTA(Calculations!$G:$G)-1)</definedName>
    <definedName name="dynPlan">OFFSET(Calculations!$F$1,1,0,COUNTA(Calculations!$F:$F)-1)</definedName>
    <definedName name="dynTBlocked">OFFSET(Calculations!$R$23,0,0,COUNTA(Calculations!$R$23:$R$38)-1)</definedName>
    <definedName name="dynTcompleted" comment="=OFFSET(Calculations!$M$21;0;0;COUNTA(Calculations!$M21:$M35))">OFFSET(Calculations!$N$23,0,0,COUNTA(Calculations!$N$23:$N$38)-1)</definedName>
    <definedName name="dynTester" comment="=OFFSET(Setup!$F$1;1;0;COUNTA(Setup!$F:$F))">OFFSET(Setup!$F$1,1,0,COUNTA(Setup!$F:$F))</definedName>
    <definedName name="dynTfailed" comment="=OFFSET(Calculations!$O$21;0;0;COUNTA(Calculations!$O21:$O35))">OFFSET(Calculations!$P$23,0,0,COUNTA(Calculations!$P$23:$P$38)-1)</definedName>
    <definedName name="dynTinprog" comment="=OFFSET(Calculations!$N$21;0;0;COUNTA(Calculations!$N21:$N35))">OFFSET(Calculations!$O$23,0,0,COUNTA(Calculations!$O$23:$O$38)-1)</definedName>
    <definedName name="dynTnotexe" comment="=OFFSET(Calculations!$P$21;0;0;COUNTA(Calculations!$P21:$P35))">OFFSET(Calculations!$Q$23,0,0,COUNTA(Calculations!$Q$23:$Q$38)-1)</definedName>
    <definedName name="dynTplan" comment="=OFFSET(Calculations!$L$1;1;0;COUNTA(Calculations!$L21:$L35)) ">OFFSET(Calculations!$M$23,0,0,COUNTA(Calculations!$M$23:$M$38)-1)</definedName>
    <definedName name="GreenFactor" localSheetId="3">Setup!$C$10</definedName>
    <definedName name="HeatMapData">INDIRECT("'Heat-Map-Data'!$B$3:$F$" &amp; GetHeatMapUsedRow())</definedName>
    <definedName name="list_bill_rate_categories" hidden="1">OFFSET([1]Data!$J$2,,,COUNTA([1]Data!$J:$J)-1)</definedName>
    <definedName name="list_offices" hidden="1">OFFSET([1]Data!$K$2,,,COUNTA([1]Data!$K:$K)-1)</definedName>
    <definedName name="list_titles" hidden="1">OFFSET([1]Data!$M$2,,,COUNTA([1]Data!$M:$M)-1)</definedName>
    <definedName name="list_titles_non_delivery" localSheetId="6">list_titles</definedName>
    <definedName name="list_titles_non_delivery" localSheetId="2">list_titles</definedName>
    <definedName name="list_titles_non_delivery">list_titles</definedName>
    <definedName name="MLP" localSheetId="6" hidden="1">{#N/A,#N/A,TRUE,"Client Assumptions Print";#N/A,#N/A,TRUE,"Project Assumptions";#N/A,#N/A,TRUE,"Pricing Summary";#N/A,#N/A,TRUE,"Pricing"}</definedName>
    <definedName name="MLP" localSheetId="2" hidden="1">{#N/A,#N/A,TRUE,"Client Assumptions Print";#N/A,#N/A,TRUE,"Project Assumptions";#N/A,#N/A,TRUE,"Pricing Summary";#N/A,#N/A,TRUE,"Pricing"}</definedName>
    <definedName name="MLP" hidden="1">{#N/A,#N/A,TRUE,"Client Assumptions Print";#N/A,#N/A,TRUE,"Project Assumptions";#N/A,#N/A,TRUE,"Pricing Summary";#N/A,#N/A,TRUE,"Pricing"}</definedName>
    <definedName name="PLN.ExecDate" localSheetId="5">Execution!#REF!</definedName>
    <definedName name="PLN.ExecDate">Execution!#REF!</definedName>
    <definedName name="RedFactor" localSheetId="3">Setup!$C$8</definedName>
    <definedName name="staffing_column_after_weeks" hidden="1">'[1]Staffing Plan'!$AS:$AS</definedName>
    <definedName name="staffing_column_before_weeks" hidden="1">'[1]Staffing Plan'!$G:$G</definedName>
    <definedName name="staffing_row_after_team" hidden="1">'[1]Staffing Plan'!$72:$72</definedName>
    <definedName name="staffing_row_before_team" hidden="1">'[1]Staffing Plan'!$31:$31</definedName>
    <definedName name="Status">Execution!$I1048562:$I984</definedName>
    <definedName name="Test" localSheetId="6" hidden="1">{#N/A,#N/A,TRUE,"Client Assumptions Print";#N/A,#N/A,TRUE,"Project Assumptions";#N/A,#N/A,TRUE,"Pricing Summary";#N/A,#N/A,TRUE,"Pricing"}</definedName>
    <definedName name="Test" localSheetId="2" hidden="1">{#N/A,#N/A,TRUE,"Client Assumptions Print";#N/A,#N/A,TRUE,"Project Assumptions";#N/A,#N/A,TRUE,"Pricing Summary";#N/A,#N/A,TRUE,"Pricing"}</definedName>
    <definedName name="Test" hidden="1">{#N/A,#N/A,TRUE,"Client Assumptions Print";#N/A,#N/A,TRUE,"Project Assumptions";#N/A,#N/A,TRUE,"Pricing Summary";#N/A,#N/A,TRUE,"Pricing"}</definedName>
    <definedName name="TestCategoryRows">INDIRECT("'Defect-Category-Data'!$B$3:$F$" &amp; GetTestCatRows())</definedName>
    <definedName name="Tester">Execution!$E1048576:$E998</definedName>
    <definedName name="wrn.Pricing._.Summary." localSheetId="6" hidden="1">{#N/A,#N/A,TRUE,"Client Assumptions Print";#N/A,#N/A,TRUE,"Project Assumptions";#N/A,#N/A,TRUE,"Pricing Summary";#N/A,#N/A,TRUE,"Pricing"}</definedName>
    <definedName name="wrn.Pricing._.Summary." localSheetId="2" hidden="1">{#N/A,#N/A,TRUE,"Client Assumptions Print";#N/A,#N/A,TRUE,"Project Assumptions";#N/A,#N/A,TRUE,"Pricing Summary";#N/A,#N/A,TRUE,"Pricing"}</definedName>
    <definedName name="wrn.Pricing._.Summary." hidden="1">{#N/A,#N/A,TRUE,"Client Assumptions Print";#N/A,#N/A,TRUE,"Project Assumptions";#N/A,#N/A,TRUE,"Pricing Summary";#N/A,#N/A,TRUE,"Pricing"}</definedName>
    <definedName name="Z_04C16783_D7AC_446B_BFF1_C10280C34ACD_.wvu.FilterData" localSheetId="2" hidden="1">'Heat Map'!#REF!</definedName>
    <definedName name="Z_1029468F_1DE0_4B24_B7DD_3E085A01682B_.wvu.FilterData" localSheetId="2" hidden="1">'Heat Map'!#REF!</definedName>
    <definedName name="Z_191E0092_F446_4E14_8EE1_0760CB02115A_.wvu.FilterData" localSheetId="2" hidden="1">'Heat Map'!#REF!</definedName>
    <definedName name="Z_28D23C17_84B6_4CD5_9BD2_FE4591310E5A_.wvu.FilterData" localSheetId="2" hidden="1">'Heat Map'!#REF!</definedName>
    <definedName name="Z_455A2356_1F6F_4DC6_907B_C683354A5905_.wvu.FilterData" localSheetId="2" hidden="1">'Heat Map'!#REF!</definedName>
    <definedName name="Z_58629C16_7E70_4386_B824_7FCE4C27AFDD_.wvu.FilterData" localSheetId="2" hidden="1">'Heat Map'!#REF!</definedName>
    <definedName name="Z_5EDC7B50_F38B_477C_AE32_D8BF56E69536_.wvu.FilterData" localSheetId="2" hidden="1">'Heat Map'!#REF!</definedName>
    <definedName name="Z_64F907DE_32E7_4747_8F1B_8E60699EE9F8_.wvu.FilterData" localSheetId="2" hidden="1">'Heat Map'!#REF!</definedName>
    <definedName name="Z_CE5940AC_9B0B_4DE3_AA6A_3E8205F6EF8E_.wvu.FilterData" localSheetId="2" hidden="1">'Heat Map'!#REF!</definedName>
    <definedName name="Z_D2A2FE10_E5D0_4A4C_953C_A7AA87BC6F22_.wvu.FilterData" localSheetId="7" hidden="1">Execution!$A$1:$J$1</definedName>
    <definedName name="Z_E59122B2_B459_4281_B6FC_0838BEADB54F_.wvu.FilterData" localSheetId="2" hidden="1">'Heat Map'!#REF!</definedName>
    <definedName name="Z_ECC3C378_D573_45FC_9CB3_1C04B2F14315_.wvu.FilterData" localSheetId="2" hidden="1">'Heat Map'!#REF!</definedName>
    <definedName name="Z_FF799C57_0F15_4CED_9204_6F62F01B722B_.wvu.FilterData" localSheetId="2" hidden="1">'Heat Map'!#REF!</definedName>
  </definedNames>
  <calcPr calcId="191029" calcMode="manual"/>
  <customWorkbookViews>
    <customWorkbookView name="Fryxell Carl-Johan (SEIT) - Personal View" guid="{D2A2FE10-E5D0-4A4C-953C-A7AA87BC6F22}" mergeInterval="0" personalView="1" maximized="1" windowWidth="1680" windowHeight="864" activeSheetId="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23" i="3" l="1" a="1"/>
  <c r="W23" i="3" s="1"/>
  <c r="M24" i="3" l="1" a="1"/>
  <c r="M24" i="3" s="1"/>
  <c r="N24" i="3" a="1"/>
  <c r="N24" i="3" s="1"/>
  <c r="O24" i="3" a="1"/>
  <c r="O24" i="3" s="1"/>
  <c r="P24" i="3" a="1"/>
  <c r="P24" i="3" s="1"/>
  <c r="Q24" i="3" a="1"/>
  <c r="Q24" i="3" s="1"/>
  <c r="R24" i="3" a="1"/>
  <c r="R24" i="3" s="1"/>
  <c r="Q25" i="13"/>
  <c r="R25" i="13"/>
  <c r="S25" i="13"/>
  <c r="Q26" i="13"/>
  <c r="R26" i="13"/>
  <c r="S26" i="13"/>
  <c r="Q27" i="13"/>
  <c r="R27" i="13"/>
  <c r="S27" i="13"/>
  <c r="Q28" i="13"/>
  <c r="R28" i="13"/>
  <c r="S28" i="13"/>
  <c r="Q29" i="13"/>
  <c r="R29" i="13"/>
  <c r="S29" i="13"/>
  <c r="Q30" i="13"/>
  <c r="R30" i="13"/>
  <c r="S30" i="13"/>
  <c r="Q31" i="13"/>
  <c r="R31" i="13"/>
  <c r="S31" i="13"/>
  <c r="Q32" i="13"/>
  <c r="R32" i="13"/>
  <c r="S32" i="13"/>
  <c r="Q33" i="13"/>
  <c r="R33" i="13"/>
  <c r="S33" i="13"/>
  <c r="Q34" i="13"/>
  <c r="R34" i="13"/>
  <c r="S34" i="13"/>
  <c r="Q35" i="13"/>
  <c r="R35" i="13"/>
  <c r="S35" i="13"/>
  <c r="Q36" i="13"/>
  <c r="R36" i="13"/>
  <c r="S36" i="13"/>
  <c r="Q37" i="13"/>
  <c r="R37" i="13"/>
  <c r="S37" i="13"/>
  <c r="Q38" i="13"/>
  <c r="R38" i="13"/>
  <c r="S38" i="13"/>
  <c r="Q39" i="13"/>
  <c r="R39" i="13"/>
  <c r="S39" i="13"/>
  <c r="Q40" i="13"/>
  <c r="R40" i="13"/>
  <c r="S40" i="13"/>
  <c r="Q41" i="13"/>
  <c r="R41" i="13"/>
  <c r="S41" i="13"/>
  <c r="Q42" i="13"/>
  <c r="R42" i="13"/>
  <c r="S42" i="13"/>
  <c r="Q43" i="13"/>
  <c r="R43" i="13"/>
  <c r="S43" i="13"/>
  <c r="Q44" i="13"/>
  <c r="R44" i="13"/>
  <c r="S44" i="13"/>
  <c r="Q45" i="13"/>
  <c r="R45" i="13"/>
  <c r="S45" i="13"/>
  <c r="Q46" i="13"/>
  <c r="R46" i="13"/>
  <c r="S46" i="13"/>
  <c r="Q47" i="13"/>
  <c r="R47" i="13"/>
  <c r="S47" i="13"/>
  <c r="Q48" i="13"/>
  <c r="R48" i="13"/>
  <c r="S48" i="13"/>
  <c r="Q49" i="13"/>
  <c r="R49" i="13"/>
  <c r="S49" i="13"/>
  <c r="Q50" i="13"/>
  <c r="R50" i="13"/>
  <c r="S50" i="13"/>
  <c r="Q51" i="13"/>
  <c r="R51" i="13"/>
  <c r="S51" i="13"/>
  <c r="Q52" i="13"/>
  <c r="R52" i="13"/>
  <c r="S52" i="13"/>
  <c r="Q53" i="13"/>
  <c r="R53" i="13"/>
  <c r="S53" i="13"/>
  <c r="Q54" i="13"/>
  <c r="R54" i="13"/>
  <c r="S54" i="13"/>
  <c r="Q55" i="13"/>
  <c r="R55" i="13"/>
  <c r="S55" i="13"/>
  <c r="Q56" i="13"/>
  <c r="R56" i="13"/>
  <c r="S56" i="13"/>
  <c r="Q57" i="13"/>
  <c r="R57" i="13"/>
  <c r="S57" i="13"/>
  <c r="Q58" i="13"/>
  <c r="R58" i="13"/>
  <c r="S58" i="13"/>
  <c r="Q59" i="13"/>
  <c r="R59" i="13"/>
  <c r="S59" i="13"/>
  <c r="Q60" i="13"/>
  <c r="R60" i="13"/>
  <c r="S60" i="13"/>
  <c r="Q61" i="13"/>
  <c r="R61" i="13"/>
  <c r="S61" i="13"/>
  <c r="Q62" i="13"/>
  <c r="R62" i="13"/>
  <c r="S62" i="13"/>
  <c r="Q63" i="13"/>
  <c r="R63" i="13"/>
  <c r="S63" i="13"/>
  <c r="Q64" i="13"/>
  <c r="R64" i="13"/>
  <c r="S64" i="13"/>
  <c r="Q65" i="13"/>
  <c r="R65" i="13"/>
  <c r="S65" i="13"/>
  <c r="Q66" i="13"/>
  <c r="R66" i="13"/>
  <c r="S66" i="13"/>
  <c r="Q67" i="13"/>
  <c r="R67" i="13"/>
  <c r="S67" i="13"/>
  <c r="Q68" i="13"/>
  <c r="R68" i="13"/>
  <c r="S68" i="13"/>
  <c r="Q69" i="13"/>
  <c r="R69" i="13"/>
  <c r="S69" i="13"/>
  <c r="Q70" i="13"/>
  <c r="R70" i="13"/>
  <c r="S70" i="13"/>
  <c r="Q71" i="13"/>
  <c r="R71" i="13"/>
  <c r="S71" i="13"/>
  <c r="Q72" i="13"/>
  <c r="R72" i="13"/>
  <c r="S72" i="13"/>
  <c r="Q73" i="13"/>
  <c r="R73" i="13"/>
  <c r="S73" i="13"/>
  <c r="Q74" i="13"/>
  <c r="R74" i="13"/>
  <c r="S74" i="13"/>
  <c r="Q75" i="13"/>
  <c r="R75" i="13"/>
  <c r="S75" i="13"/>
  <c r="Q76" i="13"/>
  <c r="R76" i="13"/>
  <c r="S76" i="13"/>
  <c r="Q77" i="13"/>
  <c r="R77" i="13"/>
  <c r="S77" i="13"/>
  <c r="Q78" i="13"/>
  <c r="R78" i="13"/>
  <c r="S78" i="13"/>
  <c r="Q79" i="13"/>
  <c r="R79" i="13"/>
  <c r="S79" i="13"/>
  <c r="Q80" i="13"/>
  <c r="R80" i="13"/>
  <c r="S80" i="13"/>
  <c r="Q81" i="13"/>
  <c r="R81" i="13"/>
  <c r="S81" i="13"/>
  <c r="Q82" i="13"/>
  <c r="R82" i="13"/>
  <c r="S82" i="13"/>
  <c r="Q83" i="13"/>
  <c r="R83" i="13"/>
  <c r="S83" i="13"/>
  <c r="Q84" i="13"/>
  <c r="R84" i="13"/>
  <c r="S84" i="13"/>
  <c r="Q85" i="13"/>
  <c r="R85" i="13"/>
  <c r="S85" i="13"/>
  <c r="Q86" i="13"/>
  <c r="R86" i="13"/>
  <c r="S86" i="13"/>
  <c r="Q87" i="13"/>
  <c r="R87" i="13"/>
  <c r="S87" i="13"/>
  <c r="Q88" i="13"/>
  <c r="R88" i="13"/>
  <c r="S88" i="13"/>
  <c r="Q89" i="13"/>
  <c r="R89" i="13"/>
  <c r="S89" i="13"/>
  <c r="Q90" i="13"/>
  <c r="R90" i="13"/>
  <c r="S90" i="13"/>
  <c r="Q91" i="13"/>
  <c r="R91" i="13"/>
  <c r="S91" i="13"/>
  <c r="Q92" i="13"/>
  <c r="R92" i="13"/>
  <c r="S92" i="13"/>
  <c r="Q93" i="13"/>
  <c r="R93" i="13"/>
  <c r="S93" i="13"/>
  <c r="Q94" i="13"/>
  <c r="R94" i="13"/>
  <c r="S94" i="13"/>
  <c r="Q95" i="13"/>
  <c r="R95" i="13"/>
  <c r="S95" i="13"/>
  <c r="Q96" i="13"/>
  <c r="R96" i="13"/>
  <c r="S96" i="13"/>
  <c r="Q97" i="13"/>
  <c r="R97" i="13"/>
  <c r="S97" i="13"/>
  <c r="Q98" i="13"/>
  <c r="R98" i="13"/>
  <c r="S98" i="13"/>
  <c r="Q99" i="13"/>
  <c r="R99" i="13"/>
  <c r="S99" i="13"/>
  <c r="Q100" i="13"/>
  <c r="R100" i="13"/>
  <c r="S100" i="13"/>
  <c r="Q101" i="13"/>
  <c r="R101" i="13"/>
  <c r="S101" i="13"/>
  <c r="Q102" i="13"/>
  <c r="R102" i="13"/>
  <c r="S102" i="13"/>
  <c r="Q103" i="13"/>
  <c r="R103" i="13"/>
  <c r="S103" i="13"/>
  <c r="Q104" i="13"/>
  <c r="R104" i="13"/>
  <c r="S104" i="13"/>
  <c r="Q105" i="13"/>
  <c r="R105" i="13"/>
  <c r="S105" i="13"/>
  <c r="Q106" i="13"/>
  <c r="R106" i="13"/>
  <c r="S106" i="13"/>
  <c r="Q107" i="13"/>
  <c r="R107" i="13"/>
  <c r="S107" i="13"/>
  <c r="Q108" i="13"/>
  <c r="R108" i="13"/>
  <c r="S108" i="13"/>
  <c r="Q109" i="13"/>
  <c r="R109" i="13"/>
  <c r="S109" i="13"/>
  <c r="Q110" i="13"/>
  <c r="R110" i="13"/>
  <c r="S110" i="13"/>
  <c r="Q111" i="13"/>
  <c r="R111" i="13"/>
  <c r="S111" i="13"/>
  <c r="Q112" i="13"/>
  <c r="R112" i="13"/>
  <c r="S112" i="13"/>
  <c r="Q113" i="13"/>
  <c r="R113" i="13"/>
  <c r="S113" i="13"/>
  <c r="Q114" i="13"/>
  <c r="R114" i="13"/>
  <c r="S114" i="13"/>
  <c r="Q115" i="13"/>
  <c r="R115" i="13"/>
  <c r="S115" i="13"/>
  <c r="Q116" i="13"/>
  <c r="R116" i="13"/>
  <c r="S116" i="13"/>
  <c r="Q117" i="13"/>
  <c r="R117" i="13"/>
  <c r="S117" i="13"/>
  <c r="Q118" i="13"/>
  <c r="R118" i="13"/>
  <c r="S118" i="13"/>
  <c r="Q119" i="13"/>
  <c r="R119" i="13"/>
  <c r="S119" i="13"/>
  <c r="Q120" i="13"/>
  <c r="R120" i="13"/>
  <c r="S120" i="13"/>
  <c r="Q121" i="13"/>
  <c r="R121" i="13"/>
  <c r="S121" i="13"/>
  <c r="Q122" i="13"/>
  <c r="R122" i="13"/>
  <c r="S122" i="13"/>
  <c r="Q123" i="13"/>
  <c r="R123" i="13"/>
  <c r="S123" i="13"/>
  <c r="Q124" i="13"/>
  <c r="R124" i="13"/>
  <c r="S124" i="13"/>
  <c r="Q125" i="13"/>
  <c r="R125" i="13"/>
  <c r="S125" i="13"/>
  <c r="Q126" i="13"/>
  <c r="R126" i="13"/>
  <c r="S126" i="13"/>
  <c r="Q127" i="13"/>
  <c r="R127" i="13"/>
  <c r="S127" i="13"/>
  <c r="Q128" i="13"/>
  <c r="R128" i="13"/>
  <c r="S128" i="13"/>
  <c r="Q129" i="13"/>
  <c r="R129" i="13"/>
  <c r="S129" i="13"/>
  <c r="Q130" i="13"/>
  <c r="R130" i="13"/>
  <c r="S130" i="13"/>
  <c r="Q131" i="13"/>
  <c r="R131" i="13"/>
  <c r="S131" i="13"/>
  <c r="Q132" i="13"/>
  <c r="R132" i="13"/>
  <c r="S132" i="13"/>
  <c r="Q133" i="13"/>
  <c r="R133" i="13"/>
  <c r="S133" i="13"/>
  <c r="Q134" i="13"/>
  <c r="R134" i="13"/>
  <c r="S134" i="13"/>
  <c r="Q135" i="13"/>
  <c r="R135" i="13"/>
  <c r="S135" i="13"/>
  <c r="Q136" i="13"/>
  <c r="R136" i="13"/>
  <c r="S136" i="13"/>
  <c r="Q137" i="13"/>
  <c r="R137" i="13"/>
  <c r="S137" i="13"/>
  <c r="Q138" i="13"/>
  <c r="R138" i="13"/>
  <c r="S138" i="13"/>
  <c r="Q139" i="13"/>
  <c r="R139" i="13"/>
  <c r="S139" i="13"/>
  <c r="Q140" i="13"/>
  <c r="R140" i="13"/>
  <c r="S140" i="13"/>
  <c r="Q141" i="13"/>
  <c r="R141" i="13"/>
  <c r="S141" i="13"/>
  <c r="Q142" i="13"/>
  <c r="R142" i="13"/>
  <c r="S142" i="13"/>
  <c r="Q143" i="13"/>
  <c r="R143" i="13"/>
  <c r="S143" i="13"/>
  <c r="Q144" i="13"/>
  <c r="R144" i="13"/>
  <c r="S144" i="13"/>
  <c r="Q145" i="13"/>
  <c r="R145" i="13"/>
  <c r="S145" i="13"/>
  <c r="Q146" i="13"/>
  <c r="R146" i="13"/>
  <c r="S146" i="13"/>
  <c r="Q147" i="13"/>
  <c r="R147" i="13"/>
  <c r="S147" i="13"/>
  <c r="Q148" i="13"/>
  <c r="R148" i="13"/>
  <c r="S148" i="13"/>
  <c r="Q149" i="13"/>
  <c r="R149" i="13"/>
  <c r="S149" i="13"/>
  <c r="Q150" i="13"/>
  <c r="R150" i="13"/>
  <c r="S150" i="13"/>
  <c r="Q151" i="13"/>
  <c r="R151" i="13"/>
  <c r="S151" i="13"/>
  <c r="Q152" i="13"/>
  <c r="R152" i="13"/>
  <c r="S152" i="13"/>
  <c r="Q153" i="13"/>
  <c r="R153" i="13"/>
  <c r="S153" i="13"/>
  <c r="Q154" i="13"/>
  <c r="R154" i="13"/>
  <c r="S154" i="13"/>
  <c r="Q155" i="13"/>
  <c r="R155" i="13"/>
  <c r="S155" i="13"/>
  <c r="Q156" i="13"/>
  <c r="R156" i="13"/>
  <c r="S156" i="13"/>
  <c r="Q157" i="13"/>
  <c r="R157" i="13"/>
  <c r="S157" i="13"/>
  <c r="Q158" i="13"/>
  <c r="R158" i="13"/>
  <c r="S158" i="13"/>
  <c r="Q159" i="13"/>
  <c r="R159" i="13"/>
  <c r="S159" i="13"/>
  <c r="Q160" i="13"/>
  <c r="R160" i="13"/>
  <c r="S160" i="13"/>
  <c r="Q161" i="13"/>
  <c r="R161" i="13"/>
  <c r="S161" i="13"/>
  <c r="Q162" i="13"/>
  <c r="R162" i="13"/>
  <c r="S162" i="13"/>
  <c r="Q163" i="13"/>
  <c r="R163" i="13"/>
  <c r="S163" i="13"/>
  <c r="Q164" i="13"/>
  <c r="R164" i="13"/>
  <c r="S164" i="13"/>
  <c r="Q165" i="13"/>
  <c r="R165" i="13"/>
  <c r="S165" i="13"/>
  <c r="Q166" i="13"/>
  <c r="R166" i="13"/>
  <c r="S166" i="13"/>
  <c r="Q167" i="13"/>
  <c r="R167" i="13"/>
  <c r="S167" i="13"/>
  <c r="Q168" i="13"/>
  <c r="R168" i="13"/>
  <c r="S168" i="13"/>
  <c r="Q169" i="13"/>
  <c r="R169" i="13"/>
  <c r="S169" i="13"/>
  <c r="Q170" i="13"/>
  <c r="R170" i="13"/>
  <c r="S170" i="13"/>
  <c r="Q171" i="13"/>
  <c r="R171" i="13"/>
  <c r="S171" i="13"/>
  <c r="Q172" i="13"/>
  <c r="R172" i="13"/>
  <c r="S172" i="13"/>
  <c r="Q173" i="13"/>
  <c r="R173" i="13"/>
  <c r="S173" i="13"/>
  <c r="Q174" i="13"/>
  <c r="R174" i="13"/>
  <c r="S174" i="13"/>
  <c r="Q175" i="13"/>
  <c r="R175" i="13"/>
  <c r="S175" i="13"/>
  <c r="Q176" i="13"/>
  <c r="R176" i="13"/>
  <c r="S176" i="13"/>
  <c r="Q177" i="13"/>
  <c r="R177" i="13"/>
  <c r="S177" i="13"/>
  <c r="Q178" i="13"/>
  <c r="R178" i="13"/>
  <c r="S178" i="13"/>
  <c r="Q179" i="13"/>
  <c r="R179" i="13"/>
  <c r="S179" i="13"/>
  <c r="Q180" i="13"/>
  <c r="R180" i="13"/>
  <c r="S180" i="13"/>
  <c r="Q181" i="13"/>
  <c r="R181" i="13"/>
  <c r="S181" i="13"/>
  <c r="Q182" i="13"/>
  <c r="R182" i="13"/>
  <c r="S182" i="13"/>
  <c r="Q183" i="13"/>
  <c r="R183" i="13"/>
  <c r="S183" i="13"/>
  <c r="Q184" i="13"/>
  <c r="R184" i="13"/>
  <c r="S184" i="13"/>
  <c r="Q185" i="13"/>
  <c r="R185" i="13"/>
  <c r="S185" i="13"/>
  <c r="Q186" i="13"/>
  <c r="R186" i="13"/>
  <c r="S186" i="13"/>
  <c r="Q187" i="13"/>
  <c r="R187" i="13"/>
  <c r="S187" i="13"/>
  <c r="Q188" i="13"/>
  <c r="R188" i="13"/>
  <c r="S188" i="13"/>
  <c r="Q189" i="13"/>
  <c r="R189" i="13"/>
  <c r="S189" i="13"/>
  <c r="Q190" i="13"/>
  <c r="R190" i="13"/>
  <c r="S190" i="13"/>
  <c r="Q191" i="13"/>
  <c r="R191" i="13"/>
  <c r="S191" i="13"/>
  <c r="Q192" i="13"/>
  <c r="R192" i="13"/>
  <c r="S192" i="13"/>
  <c r="Q193" i="13"/>
  <c r="R193" i="13"/>
  <c r="S193" i="13"/>
  <c r="Q194" i="13"/>
  <c r="R194" i="13"/>
  <c r="S194" i="13"/>
  <c r="Q195" i="13"/>
  <c r="R195" i="13"/>
  <c r="S195" i="13"/>
  <c r="Q196" i="13"/>
  <c r="R196" i="13"/>
  <c r="S196" i="13"/>
  <c r="Q197" i="13"/>
  <c r="R197" i="13"/>
  <c r="S197" i="13"/>
  <c r="Q198" i="13"/>
  <c r="R198" i="13"/>
  <c r="S198" i="13"/>
  <c r="Q199" i="13"/>
  <c r="R199" i="13"/>
  <c r="S199" i="13"/>
  <c r="Q200" i="13"/>
  <c r="R200" i="13"/>
  <c r="S200" i="13"/>
  <c r="Q201" i="13"/>
  <c r="R201" i="13"/>
  <c r="S201" i="13"/>
  <c r="Q202" i="13"/>
  <c r="R202" i="13"/>
  <c r="S202" i="13"/>
  <c r="Q203" i="13"/>
  <c r="R203" i="13"/>
  <c r="S203" i="13"/>
  <c r="Q204" i="13"/>
  <c r="R204" i="13"/>
  <c r="S204" i="13"/>
  <c r="Q205" i="13"/>
  <c r="R205" i="13"/>
  <c r="S205" i="13"/>
  <c r="Q206" i="13"/>
  <c r="R206" i="13"/>
  <c r="S206" i="13"/>
  <c r="Q207" i="13"/>
  <c r="R207" i="13"/>
  <c r="S207" i="13"/>
  <c r="Q208" i="13"/>
  <c r="R208" i="13"/>
  <c r="S208" i="13"/>
  <c r="Q209" i="13"/>
  <c r="R209" i="13"/>
  <c r="S209" i="13"/>
  <c r="Q210" i="13"/>
  <c r="R210" i="13"/>
  <c r="S210" i="13"/>
  <c r="Q211" i="13"/>
  <c r="R211" i="13"/>
  <c r="S211" i="13"/>
  <c r="Q212" i="13"/>
  <c r="R212" i="13"/>
  <c r="S212" i="13"/>
  <c r="Q213" i="13"/>
  <c r="R213" i="13"/>
  <c r="S213" i="13"/>
  <c r="Q214" i="13"/>
  <c r="R214" i="13"/>
  <c r="S214" i="13"/>
  <c r="Q215" i="13"/>
  <c r="R215" i="13"/>
  <c r="S215" i="13"/>
  <c r="Q216" i="13"/>
  <c r="R216" i="13"/>
  <c r="S216" i="13"/>
  <c r="Q217" i="13"/>
  <c r="R217" i="13"/>
  <c r="S217" i="13"/>
  <c r="Q218" i="13"/>
  <c r="R218" i="13"/>
  <c r="S218" i="13"/>
  <c r="Q219" i="13"/>
  <c r="R219" i="13"/>
  <c r="S219" i="13"/>
  <c r="Q220" i="13"/>
  <c r="R220" i="13"/>
  <c r="S220" i="13"/>
  <c r="Q221" i="13"/>
  <c r="R221" i="13"/>
  <c r="S221" i="13"/>
  <c r="Q222" i="13"/>
  <c r="R222" i="13"/>
  <c r="S222" i="13"/>
  <c r="Q223" i="13"/>
  <c r="R223" i="13"/>
  <c r="S223" i="13"/>
  <c r="Q224" i="13"/>
  <c r="R224" i="13"/>
  <c r="S224" i="13"/>
  <c r="Q225" i="13"/>
  <c r="R225" i="13"/>
  <c r="S225" i="13"/>
  <c r="Q226" i="13"/>
  <c r="R226" i="13"/>
  <c r="S226" i="13"/>
  <c r="Q227" i="13"/>
  <c r="R227" i="13"/>
  <c r="S227" i="13"/>
  <c r="Q228" i="13"/>
  <c r="R228" i="13"/>
  <c r="S228" i="13"/>
  <c r="Q229" i="13"/>
  <c r="R229" i="13"/>
  <c r="S229" i="13"/>
  <c r="Q230" i="13"/>
  <c r="R230" i="13"/>
  <c r="S230" i="13"/>
  <c r="Q231" i="13"/>
  <c r="R231" i="13"/>
  <c r="S231" i="13"/>
  <c r="Q232" i="13"/>
  <c r="R232" i="13"/>
  <c r="S232" i="13"/>
  <c r="Q233" i="13"/>
  <c r="R233" i="13"/>
  <c r="S233" i="13"/>
  <c r="Q234" i="13"/>
  <c r="R234" i="13"/>
  <c r="S234" i="13"/>
  <c r="Q235" i="13"/>
  <c r="R235" i="13"/>
  <c r="S235" i="13"/>
  <c r="Q236" i="13"/>
  <c r="R236" i="13"/>
  <c r="S236" i="13"/>
  <c r="Q237" i="13"/>
  <c r="R237" i="13"/>
  <c r="S237" i="13"/>
  <c r="Q238" i="13"/>
  <c r="R238" i="13"/>
  <c r="S238" i="13"/>
  <c r="Q239" i="13"/>
  <c r="R239" i="13"/>
  <c r="S239" i="13"/>
  <c r="Q240" i="13"/>
  <c r="R240" i="13"/>
  <c r="S240" i="13"/>
  <c r="Q241" i="13"/>
  <c r="R241" i="13"/>
  <c r="S241" i="13"/>
  <c r="Q242" i="13"/>
  <c r="R242" i="13"/>
  <c r="S242" i="13"/>
  <c r="Q243" i="13"/>
  <c r="R243" i="13"/>
  <c r="S243" i="13"/>
  <c r="Q244" i="13"/>
  <c r="R244" i="13"/>
  <c r="S244" i="13"/>
  <c r="Q245" i="13"/>
  <c r="R245" i="13"/>
  <c r="S245" i="13"/>
  <c r="Q246" i="13"/>
  <c r="R246" i="13"/>
  <c r="S246" i="13"/>
  <c r="Q247" i="13"/>
  <c r="R247" i="13"/>
  <c r="S247" i="13"/>
  <c r="Q248" i="13"/>
  <c r="R248" i="13"/>
  <c r="S248" i="13"/>
  <c r="Q249" i="13"/>
  <c r="R249" i="13"/>
  <c r="S249" i="13"/>
  <c r="Q250" i="13"/>
  <c r="R250" i="13"/>
  <c r="S250" i="13"/>
  <c r="Q251" i="13"/>
  <c r="R251" i="13"/>
  <c r="S251" i="13"/>
  <c r="Q252" i="13"/>
  <c r="R252" i="13"/>
  <c r="S252" i="13"/>
  <c r="Q253" i="13"/>
  <c r="R253" i="13"/>
  <c r="S253" i="13"/>
  <c r="Q254" i="13"/>
  <c r="R254" i="13"/>
  <c r="S254" i="13"/>
  <c r="Q255" i="13"/>
  <c r="R255" i="13"/>
  <c r="S255" i="13"/>
  <c r="Q256" i="13"/>
  <c r="R256" i="13"/>
  <c r="S256" i="13"/>
  <c r="Q257" i="13"/>
  <c r="R257" i="13"/>
  <c r="S257" i="13"/>
  <c r="Q258" i="13"/>
  <c r="R258" i="13"/>
  <c r="S258" i="13"/>
  <c r="Q259" i="13"/>
  <c r="R259" i="13"/>
  <c r="S259" i="13"/>
  <c r="Q260" i="13"/>
  <c r="R260" i="13"/>
  <c r="S260" i="13"/>
  <c r="Q261" i="13"/>
  <c r="R261" i="13"/>
  <c r="S261" i="13"/>
  <c r="Q262" i="13"/>
  <c r="R262" i="13"/>
  <c r="S262" i="13"/>
  <c r="Q263" i="13"/>
  <c r="R263" i="13"/>
  <c r="S263" i="13"/>
  <c r="Q264" i="13"/>
  <c r="R264" i="13"/>
  <c r="S264" i="13"/>
  <c r="Q265" i="13"/>
  <c r="R265" i="13"/>
  <c r="S265" i="13"/>
  <c r="Q266" i="13"/>
  <c r="R266" i="13"/>
  <c r="S266" i="13"/>
  <c r="Q267" i="13"/>
  <c r="R267" i="13"/>
  <c r="S267" i="13"/>
  <c r="Q268" i="13"/>
  <c r="R268" i="13"/>
  <c r="S268" i="13"/>
  <c r="Q269" i="13"/>
  <c r="R269" i="13"/>
  <c r="S269" i="13"/>
  <c r="Q270" i="13"/>
  <c r="R270" i="13"/>
  <c r="S270" i="13"/>
  <c r="Q271" i="13"/>
  <c r="R271" i="13"/>
  <c r="S271" i="13"/>
  <c r="Q272" i="13"/>
  <c r="R272" i="13"/>
  <c r="S272" i="13"/>
  <c r="Q273" i="13"/>
  <c r="R273" i="13"/>
  <c r="S273" i="13"/>
  <c r="Q274" i="13"/>
  <c r="R274" i="13"/>
  <c r="S274" i="13"/>
  <c r="Q275" i="13"/>
  <c r="R275" i="13"/>
  <c r="S275" i="13"/>
  <c r="Q276" i="13"/>
  <c r="R276" i="13"/>
  <c r="S276" i="13"/>
  <c r="Q277" i="13"/>
  <c r="R277" i="13"/>
  <c r="S277" i="13"/>
  <c r="Q278" i="13"/>
  <c r="R278" i="13"/>
  <c r="S278" i="13"/>
  <c r="Q279" i="13"/>
  <c r="R279" i="13"/>
  <c r="S279" i="13"/>
  <c r="Q280" i="13"/>
  <c r="R280" i="13"/>
  <c r="S280" i="13"/>
  <c r="Q281" i="13"/>
  <c r="R281" i="13"/>
  <c r="S281" i="13"/>
  <c r="Q282" i="13"/>
  <c r="R282" i="13"/>
  <c r="S282" i="13"/>
  <c r="Q283" i="13"/>
  <c r="R283" i="13"/>
  <c r="S283" i="13"/>
  <c r="Q284" i="13"/>
  <c r="R284" i="13"/>
  <c r="S284" i="13"/>
  <c r="Q285" i="13"/>
  <c r="R285" i="13"/>
  <c r="S285" i="13"/>
  <c r="Q286" i="13"/>
  <c r="R286" i="13"/>
  <c r="S286" i="13"/>
  <c r="Q287" i="13"/>
  <c r="R287" i="13"/>
  <c r="S287" i="13"/>
  <c r="Q288" i="13"/>
  <c r="R288" i="13"/>
  <c r="S288" i="13"/>
  <c r="Q289" i="13"/>
  <c r="R289" i="13"/>
  <c r="S289" i="13"/>
  <c r="Q290" i="13"/>
  <c r="R290" i="13"/>
  <c r="S290" i="13"/>
  <c r="Q291" i="13"/>
  <c r="R291" i="13"/>
  <c r="S291" i="13"/>
  <c r="Q292" i="13"/>
  <c r="R292" i="13"/>
  <c r="S292" i="13"/>
  <c r="Q293" i="13"/>
  <c r="R293" i="13"/>
  <c r="S293" i="13"/>
  <c r="Q294" i="13"/>
  <c r="R294" i="13"/>
  <c r="S294" i="13"/>
  <c r="Q295" i="13"/>
  <c r="R295" i="13"/>
  <c r="S295" i="13"/>
  <c r="Q296" i="13"/>
  <c r="R296" i="13"/>
  <c r="S296" i="13"/>
  <c r="Q297" i="13"/>
  <c r="R297" i="13"/>
  <c r="S297" i="13"/>
  <c r="Q298" i="13"/>
  <c r="R298" i="13"/>
  <c r="S298" i="13"/>
  <c r="Q299" i="13"/>
  <c r="R299" i="13"/>
  <c r="S299" i="13"/>
  <c r="Q300" i="13"/>
  <c r="R300" i="13"/>
  <c r="S300" i="13"/>
  <c r="Q301" i="13"/>
  <c r="R301" i="13"/>
  <c r="S301" i="13"/>
  <c r="Q302" i="13"/>
  <c r="R302" i="13"/>
  <c r="S302" i="13"/>
  <c r="Q303" i="13"/>
  <c r="R303" i="13"/>
  <c r="S303" i="13"/>
  <c r="Q304" i="13"/>
  <c r="R304" i="13"/>
  <c r="S304" i="13"/>
  <c r="Q305" i="13"/>
  <c r="R305" i="13"/>
  <c r="S305" i="13"/>
  <c r="Q306" i="13"/>
  <c r="R306" i="13"/>
  <c r="S306" i="13"/>
  <c r="Q307" i="13"/>
  <c r="R307" i="13"/>
  <c r="S307" i="13"/>
  <c r="Q308" i="13"/>
  <c r="R308" i="13"/>
  <c r="S308" i="13"/>
  <c r="Q309" i="13"/>
  <c r="R309" i="13"/>
  <c r="S309" i="13"/>
  <c r="Q310" i="13"/>
  <c r="R310" i="13"/>
  <c r="S310" i="13"/>
  <c r="Q311" i="13"/>
  <c r="R311" i="13"/>
  <c r="S311" i="13"/>
  <c r="Q312" i="13"/>
  <c r="R312" i="13"/>
  <c r="S312" i="13"/>
  <c r="Q313" i="13"/>
  <c r="R313" i="13"/>
  <c r="S313" i="13"/>
  <c r="Q314" i="13"/>
  <c r="R314" i="13"/>
  <c r="S314" i="13"/>
  <c r="Q315" i="13"/>
  <c r="R315" i="13"/>
  <c r="S315" i="13"/>
  <c r="Q316" i="13"/>
  <c r="R316" i="13"/>
  <c r="S316" i="13"/>
  <c r="Q317" i="13"/>
  <c r="R317" i="13"/>
  <c r="S317" i="13"/>
  <c r="Q318" i="13"/>
  <c r="R318" i="13"/>
  <c r="S318" i="13"/>
  <c r="Q319" i="13"/>
  <c r="R319" i="13"/>
  <c r="S319" i="13"/>
  <c r="Q320" i="13"/>
  <c r="R320" i="13"/>
  <c r="S320" i="13"/>
  <c r="Q321" i="13"/>
  <c r="R321" i="13"/>
  <c r="S321" i="13"/>
  <c r="Q322" i="13"/>
  <c r="R322" i="13"/>
  <c r="S322" i="13"/>
  <c r="Q323" i="13"/>
  <c r="R323" i="13"/>
  <c r="S323" i="13"/>
  <c r="Q324" i="13"/>
  <c r="R324" i="13"/>
  <c r="S324" i="13"/>
  <c r="Q325" i="13"/>
  <c r="R325" i="13"/>
  <c r="S325" i="13"/>
  <c r="Q326" i="13"/>
  <c r="R326" i="13"/>
  <c r="S326" i="13"/>
  <c r="Q327" i="13"/>
  <c r="R327" i="13"/>
  <c r="S327" i="13"/>
  <c r="Q328" i="13"/>
  <c r="R328" i="13"/>
  <c r="S328" i="13"/>
  <c r="Q329" i="13"/>
  <c r="R329" i="13"/>
  <c r="S329" i="13"/>
  <c r="Q330" i="13"/>
  <c r="R330" i="13"/>
  <c r="S330" i="13"/>
  <c r="Q331" i="13"/>
  <c r="R331" i="13"/>
  <c r="S331" i="13"/>
  <c r="Q332" i="13"/>
  <c r="R332" i="13"/>
  <c r="S332" i="13"/>
  <c r="Q333" i="13"/>
  <c r="R333" i="13"/>
  <c r="S333" i="13"/>
  <c r="Q334" i="13"/>
  <c r="R334" i="13"/>
  <c r="S334" i="13"/>
  <c r="Q335" i="13"/>
  <c r="R335" i="13"/>
  <c r="S335" i="13"/>
  <c r="Q336" i="13"/>
  <c r="R336" i="13"/>
  <c r="S336" i="13"/>
  <c r="Q337" i="13"/>
  <c r="R337" i="13"/>
  <c r="S337" i="13"/>
  <c r="Q338" i="13"/>
  <c r="R338" i="13"/>
  <c r="S338" i="13"/>
  <c r="Q339" i="13"/>
  <c r="R339" i="13"/>
  <c r="S339" i="13"/>
  <c r="Q340" i="13"/>
  <c r="R340" i="13"/>
  <c r="S340" i="13"/>
  <c r="Q341" i="13"/>
  <c r="R341" i="13"/>
  <c r="S341" i="13"/>
  <c r="Q342" i="13"/>
  <c r="R342" i="13"/>
  <c r="S342" i="13"/>
  <c r="Q343" i="13"/>
  <c r="R343" i="13"/>
  <c r="S343" i="13"/>
  <c r="Q344" i="13"/>
  <c r="R344" i="13"/>
  <c r="S344" i="13"/>
  <c r="Q345" i="13"/>
  <c r="R345" i="13"/>
  <c r="S345" i="13"/>
  <c r="Q346" i="13"/>
  <c r="R346" i="13"/>
  <c r="S346" i="13"/>
  <c r="Q347" i="13"/>
  <c r="R347" i="13"/>
  <c r="S347" i="13"/>
  <c r="Q348" i="13"/>
  <c r="R348" i="13"/>
  <c r="S348" i="13"/>
  <c r="Q349" i="13"/>
  <c r="R349" i="13"/>
  <c r="S349" i="13"/>
  <c r="Q350" i="13"/>
  <c r="R350" i="13"/>
  <c r="S350" i="13"/>
  <c r="Q351" i="13"/>
  <c r="R351" i="13"/>
  <c r="S351" i="13"/>
  <c r="Q352" i="13"/>
  <c r="R352" i="13"/>
  <c r="S352" i="13"/>
  <c r="Q353" i="13"/>
  <c r="R353" i="13"/>
  <c r="S353" i="13"/>
  <c r="Q354" i="13"/>
  <c r="R354" i="13"/>
  <c r="S354" i="13"/>
  <c r="Q355" i="13"/>
  <c r="R355" i="13"/>
  <c r="S355" i="13"/>
  <c r="Q356" i="13"/>
  <c r="R356" i="13"/>
  <c r="S356" i="13"/>
  <c r="Q357" i="13"/>
  <c r="R357" i="13"/>
  <c r="S357" i="13"/>
  <c r="Q358" i="13"/>
  <c r="R358" i="13"/>
  <c r="S358" i="13"/>
  <c r="Q359" i="13"/>
  <c r="R359" i="13"/>
  <c r="S359" i="13"/>
  <c r="Q360" i="13"/>
  <c r="R360" i="13"/>
  <c r="S360" i="13"/>
  <c r="Q361" i="13"/>
  <c r="R361" i="13"/>
  <c r="S361" i="13"/>
  <c r="Q362" i="13"/>
  <c r="R362" i="13"/>
  <c r="S362" i="13"/>
  <c r="Q363" i="13"/>
  <c r="R363" i="13"/>
  <c r="S363" i="13"/>
  <c r="Q364" i="13"/>
  <c r="R364" i="13"/>
  <c r="S364" i="13"/>
  <c r="Q365" i="13"/>
  <c r="R365" i="13"/>
  <c r="S365" i="13"/>
  <c r="Q366" i="13"/>
  <c r="R366" i="13"/>
  <c r="S366" i="13"/>
  <c r="Q367" i="13"/>
  <c r="R367" i="13"/>
  <c r="S367" i="13"/>
  <c r="Q368" i="13"/>
  <c r="R368" i="13"/>
  <c r="S368" i="13"/>
  <c r="Q369" i="13"/>
  <c r="R369" i="13"/>
  <c r="S369" i="13"/>
  <c r="Q370" i="13"/>
  <c r="R370" i="13"/>
  <c r="S370" i="13"/>
  <c r="Q371" i="13"/>
  <c r="R371" i="13"/>
  <c r="S371" i="13"/>
  <c r="Q372" i="13"/>
  <c r="R372" i="13"/>
  <c r="S372" i="13"/>
  <c r="Q373" i="13"/>
  <c r="R373" i="13"/>
  <c r="S373" i="13"/>
  <c r="Q374" i="13"/>
  <c r="R374" i="13"/>
  <c r="S374" i="13"/>
  <c r="Q375" i="13"/>
  <c r="R375" i="13"/>
  <c r="S375" i="13"/>
  <c r="Q376" i="13"/>
  <c r="R376" i="13"/>
  <c r="S376" i="13"/>
  <c r="Q377" i="13"/>
  <c r="R377" i="13"/>
  <c r="S377" i="13"/>
  <c r="Q378" i="13"/>
  <c r="R378" i="13"/>
  <c r="S378" i="13"/>
  <c r="Q379" i="13"/>
  <c r="R379" i="13"/>
  <c r="S379" i="13"/>
  <c r="Q380" i="13"/>
  <c r="R380" i="13"/>
  <c r="S380" i="13"/>
  <c r="Q381" i="13"/>
  <c r="R381" i="13"/>
  <c r="S381" i="13"/>
  <c r="Q382" i="13"/>
  <c r="R382" i="13"/>
  <c r="S382" i="13"/>
  <c r="Q383" i="13"/>
  <c r="R383" i="13"/>
  <c r="S383" i="13"/>
  <c r="Q384" i="13"/>
  <c r="R384" i="13"/>
  <c r="S384" i="13"/>
  <c r="Q385" i="13"/>
  <c r="R385" i="13"/>
  <c r="S385" i="13"/>
  <c r="Q386" i="13"/>
  <c r="R386" i="13"/>
  <c r="S386" i="13"/>
  <c r="Q387" i="13"/>
  <c r="R387" i="13"/>
  <c r="S387" i="13"/>
  <c r="Q388" i="13"/>
  <c r="R388" i="13"/>
  <c r="S388" i="13"/>
  <c r="Q389" i="13"/>
  <c r="R389" i="13"/>
  <c r="S389" i="13"/>
  <c r="Q390" i="13"/>
  <c r="R390" i="13"/>
  <c r="S390" i="13"/>
  <c r="Q391" i="13"/>
  <c r="R391" i="13"/>
  <c r="S391" i="13"/>
  <c r="Q392" i="13"/>
  <c r="R392" i="13"/>
  <c r="S392" i="13"/>
  <c r="Q393" i="13"/>
  <c r="R393" i="13"/>
  <c r="S393" i="13"/>
  <c r="Q394" i="13"/>
  <c r="R394" i="13"/>
  <c r="S394" i="13"/>
  <c r="Q395" i="13"/>
  <c r="R395" i="13"/>
  <c r="S395" i="13"/>
  <c r="Q396" i="13"/>
  <c r="R396" i="13"/>
  <c r="S396" i="13"/>
  <c r="Q397" i="13"/>
  <c r="R397" i="13"/>
  <c r="S397" i="13"/>
  <c r="Q398" i="13"/>
  <c r="R398" i="13"/>
  <c r="S398" i="13"/>
  <c r="Q399" i="13"/>
  <c r="R399" i="13"/>
  <c r="S399" i="13"/>
  <c r="Q400" i="13"/>
  <c r="R400" i="13"/>
  <c r="S400" i="13"/>
  <c r="Q401" i="13"/>
  <c r="R401" i="13"/>
  <c r="S401" i="13"/>
  <c r="Q402" i="13"/>
  <c r="R402" i="13"/>
  <c r="S402" i="13"/>
  <c r="Q403" i="13"/>
  <c r="R403" i="13"/>
  <c r="S403" i="13"/>
  <c r="Q404" i="13"/>
  <c r="R404" i="13"/>
  <c r="S404" i="13"/>
  <c r="Q405" i="13"/>
  <c r="R405" i="13"/>
  <c r="S405" i="13"/>
  <c r="Q406" i="13"/>
  <c r="R406" i="13"/>
  <c r="S406" i="13"/>
  <c r="Q407" i="13"/>
  <c r="R407" i="13"/>
  <c r="S407" i="13"/>
  <c r="Q408" i="13"/>
  <c r="R408" i="13"/>
  <c r="S408" i="13"/>
  <c r="Q409" i="13"/>
  <c r="R409" i="13"/>
  <c r="S409" i="13"/>
  <c r="Q410" i="13"/>
  <c r="R410" i="13"/>
  <c r="S410" i="13"/>
  <c r="Q411" i="13"/>
  <c r="R411" i="13"/>
  <c r="S411" i="13"/>
  <c r="Q412" i="13"/>
  <c r="R412" i="13"/>
  <c r="S412" i="13"/>
  <c r="Q413" i="13"/>
  <c r="R413" i="13"/>
  <c r="S413" i="13"/>
  <c r="Q414" i="13"/>
  <c r="R414" i="13"/>
  <c r="S414" i="13"/>
  <c r="Q415" i="13"/>
  <c r="R415" i="13"/>
  <c r="S415" i="13"/>
  <c r="Q416" i="13"/>
  <c r="R416" i="13"/>
  <c r="S416" i="13"/>
  <c r="Q417" i="13"/>
  <c r="R417" i="13"/>
  <c r="S417" i="13"/>
  <c r="Q418" i="13"/>
  <c r="R418" i="13"/>
  <c r="S418" i="13"/>
  <c r="Q419" i="13"/>
  <c r="R419" i="13"/>
  <c r="S419" i="13"/>
  <c r="Q420" i="13"/>
  <c r="R420" i="13"/>
  <c r="S420" i="13"/>
  <c r="Q421" i="13"/>
  <c r="R421" i="13"/>
  <c r="S421" i="13"/>
  <c r="Q422" i="13"/>
  <c r="R422" i="13"/>
  <c r="S422" i="13"/>
  <c r="Q423" i="13"/>
  <c r="R423" i="13"/>
  <c r="S423" i="13"/>
  <c r="Q424" i="13"/>
  <c r="R424" i="13"/>
  <c r="S424" i="13"/>
  <c r="Q425" i="13"/>
  <c r="R425" i="13"/>
  <c r="S425" i="13"/>
  <c r="Q426" i="13"/>
  <c r="R426" i="13"/>
  <c r="S426" i="13"/>
  <c r="Q427" i="13"/>
  <c r="R427" i="13"/>
  <c r="S427" i="13"/>
  <c r="Q428" i="13"/>
  <c r="R428" i="13"/>
  <c r="S428" i="13"/>
  <c r="Q429" i="13"/>
  <c r="R429" i="13"/>
  <c r="S429" i="13"/>
  <c r="Q430" i="13"/>
  <c r="R430" i="13"/>
  <c r="S430" i="13"/>
  <c r="Q431" i="13"/>
  <c r="R431" i="13"/>
  <c r="S431" i="13"/>
  <c r="Q432" i="13"/>
  <c r="R432" i="13"/>
  <c r="S432" i="13"/>
  <c r="Q433" i="13"/>
  <c r="R433" i="13"/>
  <c r="S433" i="13"/>
  <c r="Q434" i="13"/>
  <c r="R434" i="13"/>
  <c r="S434" i="13"/>
  <c r="Q435" i="13"/>
  <c r="R435" i="13"/>
  <c r="S435" i="13"/>
  <c r="Q436" i="13"/>
  <c r="R436" i="13"/>
  <c r="S436" i="13"/>
  <c r="Q437" i="13"/>
  <c r="R437" i="13"/>
  <c r="S437" i="13"/>
  <c r="Q438" i="13"/>
  <c r="R438" i="13"/>
  <c r="S438" i="13"/>
  <c r="Q439" i="13"/>
  <c r="R439" i="13"/>
  <c r="S439" i="13"/>
  <c r="Q440" i="13"/>
  <c r="R440" i="13"/>
  <c r="S440" i="13"/>
  <c r="Q441" i="13"/>
  <c r="R441" i="13"/>
  <c r="S441" i="13"/>
  <c r="Q442" i="13"/>
  <c r="R442" i="13"/>
  <c r="S442" i="13"/>
  <c r="Q443" i="13"/>
  <c r="R443" i="13"/>
  <c r="S443" i="13"/>
  <c r="Q444" i="13"/>
  <c r="R444" i="13"/>
  <c r="S444" i="13"/>
  <c r="Q445" i="13"/>
  <c r="R445" i="13"/>
  <c r="S445" i="13"/>
  <c r="Q446" i="13"/>
  <c r="R446" i="13"/>
  <c r="S446" i="13"/>
  <c r="Q447" i="13"/>
  <c r="R447" i="13"/>
  <c r="S447" i="13"/>
  <c r="Q448" i="13"/>
  <c r="R448" i="13"/>
  <c r="S448" i="13"/>
  <c r="Q449" i="13"/>
  <c r="R449" i="13"/>
  <c r="S449" i="13"/>
  <c r="Q450" i="13"/>
  <c r="R450" i="13"/>
  <c r="S450" i="13"/>
  <c r="Q451" i="13"/>
  <c r="R451" i="13"/>
  <c r="S451" i="13"/>
  <c r="Q452" i="13"/>
  <c r="R452" i="13"/>
  <c r="S452" i="13"/>
  <c r="Q453" i="13"/>
  <c r="R453" i="13"/>
  <c r="S453" i="13"/>
  <c r="Q454" i="13"/>
  <c r="R454" i="13"/>
  <c r="S454" i="13"/>
  <c r="Q455" i="13"/>
  <c r="R455" i="13"/>
  <c r="S455" i="13"/>
  <c r="Q456" i="13"/>
  <c r="R456" i="13"/>
  <c r="S456" i="13"/>
  <c r="Q457" i="13"/>
  <c r="R457" i="13"/>
  <c r="S457" i="13"/>
  <c r="Q458" i="13"/>
  <c r="R458" i="13"/>
  <c r="S458" i="13"/>
  <c r="Q459" i="13"/>
  <c r="R459" i="13"/>
  <c r="S459" i="13"/>
  <c r="Q460" i="13"/>
  <c r="R460" i="13"/>
  <c r="S460" i="13"/>
  <c r="Q461" i="13"/>
  <c r="R461" i="13"/>
  <c r="S461" i="13"/>
  <c r="Q462" i="13"/>
  <c r="R462" i="13"/>
  <c r="S462" i="13"/>
  <c r="Q463" i="13"/>
  <c r="R463" i="13"/>
  <c r="S463" i="13"/>
  <c r="Q464" i="13"/>
  <c r="R464" i="13"/>
  <c r="S464" i="13"/>
  <c r="Q465" i="13"/>
  <c r="R465" i="13"/>
  <c r="S465" i="13"/>
  <c r="Q466" i="13"/>
  <c r="R466" i="13"/>
  <c r="S466" i="13"/>
  <c r="Q467" i="13"/>
  <c r="R467" i="13"/>
  <c r="S467" i="13"/>
  <c r="Q468" i="13"/>
  <c r="R468" i="13"/>
  <c r="S468" i="13"/>
  <c r="Q469" i="13"/>
  <c r="R469" i="13"/>
  <c r="S469" i="13"/>
  <c r="Q470" i="13"/>
  <c r="R470" i="13"/>
  <c r="S470" i="13"/>
  <c r="Q471" i="13"/>
  <c r="R471" i="13"/>
  <c r="S471" i="13"/>
  <c r="Q472" i="13"/>
  <c r="R472" i="13"/>
  <c r="S472" i="13"/>
  <c r="Q473" i="13"/>
  <c r="R473" i="13"/>
  <c r="S473" i="13"/>
  <c r="Q474" i="13"/>
  <c r="R474" i="13"/>
  <c r="S474" i="13"/>
  <c r="Q475" i="13"/>
  <c r="R475" i="13"/>
  <c r="S475" i="13"/>
  <c r="Q476" i="13"/>
  <c r="R476" i="13"/>
  <c r="S476" i="13"/>
  <c r="Q477" i="13"/>
  <c r="R477" i="13"/>
  <c r="S477" i="13"/>
  <c r="Q478" i="13"/>
  <c r="R478" i="13"/>
  <c r="S478" i="13"/>
  <c r="Q479" i="13"/>
  <c r="R479" i="13"/>
  <c r="S479" i="13"/>
  <c r="Q480" i="13"/>
  <c r="R480" i="13"/>
  <c r="S480" i="13"/>
  <c r="Q481" i="13"/>
  <c r="R481" i="13"/>
  <c r="S481" i="13"/>
  <c r="Q482" i="13"/>
  <c r="R482" i="13"/>
  <c r="S482" i="13"/>
  <c r="Q483" i="13"/>
  <c r="R483" i="13"/>
  <c r="S483" i="13"/>
  <c r="Q484" i="13"/>
  <c r="R484" i="13"/>
  <c r="S484" i="13"/>
  <c r="Q485" i="13"/>
  <c r="R485" i="13"/>
  <c r="S485" i="13"/>
  <c r="Q486" i="13"/>
  <c r="R486" i="13"/>
  <c r="S486" i="13"/>
  <c r="Q487" i="13"/>
  <c r="R487" i="13"/>
  <c r="S487" i="13"/>
  <c r="Q488" i="13"/>
  <c r="R488" i="13"/>
  <c r="S488" i="13"/>
  <c r="Q489" i="13"/>
  <c r="R489" i="13"/>
  <c r="S489" i="13"/>
  <c r="Q490" i="13"/>
  <c r="R490" i="13"/>
  <c r="S490" i="13"/>
  <c r="Q491" i="13"/>
  <c r="R491" i="13"/>
  <c r="S491" i="13"/>
  <c r="Q492" i="13"/>
  <c r="R492" i="13"/>
  <c r="S492" i="13"/>
  <c r="Q493" i="13"/>
  <c r="R493" i="13"/>
  <c r="S493" i="13"/>
  <c r="Q494" i="13"/>
  <c r="R494" i="13"/>
  <c r="S494" i="13"/>
  <c r="Q495" i="13"/>
  <c r="R495" i="13"/>
  <c r="S495" i="13"/>
  <c r="Q496" i="13"/>
  <c r="R496" i="13"/>
  <c r="S496" i="13"/>
  <c r="Q497" i="13"/>
  <c r="R497" i="13"/>
  <c r="S497" i="13"/>
  <c r="Q498" i="13"/>
  <c r="R498" i="13"/>
  <c r="S498" i="13"/>
  <c r="Q499" i="13"/>
  <c r="R499" i="13"/>
  <c r="S499" i="13"/>
  <c r="Q500" i="13"/>
  <c r="R500" i="13"/>
  <c r="S500" i="13"/>
  <c r="Q501" i="13"/>
  <c r="R501" i="13"/>
  <c r="S501" i="13"/>
  <c r="Q502" i="13"/>
  <c r="R502" i="13"/>
  <c r="S502" i="13"/>
  <c r="Q503" i="13"/>
  <c r="R503" i="13"/>
  <c r="S503" i="13"/>
  <c r="Q504" i="13"/>
  <c r="R504" i="13"/>
  <c r="S504" i="13"/>
  <c r="Q505" i="13"/>
  <c r="R505" i="13"/>
  <c r="S505" i="13"/>
  <c r="Q506" i="13"/>
  <c r="R506" i="13"/>
  <c r="S506" i="13"/>
  <c r="Q507" i="13"/>
  <c r="R507" i="13"/>
  <c r="S507" i="13"/>
  <c r="Q508" i="13"/>
  <c r="R508" i="13"/>
  <c r="S508" i="13"/>
  <c r="Q509" i="13"/>
  <c r="R509" i="13"/>
  <c r="S509" i="13"/>
  <c r="Q510" i="13"/>
  <c r="R510" i="13"/>
  <c r="S510" i="13"/>
  <c r="Q511" i="13"/>
  <c r="R511" i="13"/>
  <c r="S511" i="13"/>
  <c r="Q512" i="13"/>
  <c r="R512" i="13"/>
  <c r="S512" i="13"/>
  <c r="Q513" i="13"/>
  <c r="R513" i="13"/>
  <c r="S513" i="13"/>
  <c r="Q514" i="13"/>
  <c r="R514" i="13"/>
  <c r="S514" i="13"/>
  <c r="Q515" i="13"/>
  <c r="R515" i="13"/>
  <c r="S515" i="13"/>
  <c r="Q516" i="13"/>
  <c r="R516" i="13"/>
  <c r="S516" i="13"/>
  <c r="Q517" i="13"/>
  <c r="R517" i="13"/>
  <c r="S517" i="13"/>
  <c r="Q518" i="13"/>
  <c r="R518" i="13"/>
  <c r="S518" i="13"/>
  <c r="Q519" i="13"/>
  <c r="R519" i="13"/>
  <c r="S519" i="13"/>
  <c r="Q520" i="13"/>
  <c r="R520" i="13"/>
  <c r="S520" i="13"/>
  <c r="Q521" i="13"/>
  <c r="R521" i="13"/>
  <c r="S521" i="13"/>
  <c r="Q522" i="13"/>
  <c r="R522" i="13"/>
  <c r="S522" i="13"/>
  <c r="Q523" i="13"/>
  <c r="R523" i="13"/>
  <c r="S523" i="13"/>
  <c r="Q524" i="13"/>
  <c r="R524" i="13"/>
  <c r="S524" i="13"/>
  <c r="Q525" i="13"/>
  <c r="R525" i="13"/>
  <c r="S525" i="13"/>
  <c r="Q526" i="13"/>
  <c r="R526" i="13"/>
  <c r="S526" i="13"/>
  <c r="Q527" i="13"/>
  <c r="R527" i="13"/>
  <c r="S527" i="13"/>
  <c r="Q528" i="13"/>
  <c r="R528" i="13"/>
  <c r="S528" i="13"/>
  <c r="Q529" i="13"/>
  <c r="R529" i="13"/>
  <c r="S529" i="13"/>
  <c r="Q530" i="13"/>
  <c r="R530" i="13"/>
  <c r="S530" i="13"/>
  <c r="Q531" i="13"/>
  <c r="R531" i="13"/>
  <c r="S531" i="13"/>
  <c r="Q532" i="13"/>
  <c r="R532" i="13"/>
  <c r="S532" i="13"/>
  <c r="Q533" i="13"/>
  <c r="R533" i="13"/>
  <c r="S533" i="13"/>
  <c r="Q534" i="13"/>
  <c r="R534" i="13"/>
  <c r="S534" i="13"/>
  <c r="Q535" i="13"/>
  <c r="R535" i="13"/>
  <c r="S535" i="13"/>
  <c r="Q536" i="13"/>
  <c r="R536" i="13"/>
  <c r="S536" i="13"/>
  <c r="Q537" i="13"/>
  <c r="R537" i="13"/>
  <c r="S537" i="13"/>
  <c r="Q538" i="13"/>
  <c r="R538" i="13"/>
  <c r="S538" i="13"/>
  <c r="Q539" i="13"/>
  <c r="R539" i="13"/>
  <c r="S539" i="13"/>
  <c r="Q540" i="13"/>
  <c r="R540" i="13"/>
  <c r="S540" i="13"/>
  <c r="Q541" i="13"/>
  <c r="R541" i="13"/>
  <c r="S541" i="13"/>
  <c r="Q542" i="13"/>
  <c r="R542" i="13"/>
  <c r="S542" i="13"/>
  <c r="Q543" i="13"/>
  <c r="R543" i="13"/>
  <c r="S543" i="13"/>
  <c r="Q544" i="13"/>
  <c r="R544" i="13"/>
  <c r="S544" i="13"/>
  <c r="Q545" i="13"/>
  <c r="R545" i="13"/>
  <c r="S545" i="13"/>
  <c r="Q546" i="13"/>
  <c r="R546" i="13"/>
  <c r="S546" i="13"/>
  <c r="Q547" i="13"/>
  <c r="R547" i="13"/>
  <c r="S547" i="13"/>
  <c r="Q548" i="13"/>
  <c r="R548" i="13"/>
  <c r="S548" i="13"/>
  <c r="Q549" i="13"/>
  <c r="R549" i="13"/>
  <c r="S549" i="13"/>
  <c r="Q550" i="13"/>
  <c r="R550" i="13"/>
  <c r="S550" i="13"/>
  <c r="Q551" i="13"/>
  <c r="R551" i="13"/>
  <c r="S551" i="13"/>
  <c r="Q552" i="13"/>
  <c r="R552" i="13"/>
  <c r="S552" i="13"/>
  <c r="Q553" i="13"/>
  <c r="R553" i="13"/>
  <c r="S553" i="13"/>
  <c r="Q554" i="13"/>
  <c r="R554" i="13"/>
  <c r="S554" i="13"/>
  <c r="Q555" i="13"/>
  <c r="R555" i="13"/>
  <c r="S555" i="13"/>
  <c r="Q556" i="13"/>
  <c r="R556" i="13"/>
  <c r="S556" i="13"/>
  <c r="Q557" i="13"/>
  <c r="R557" i="13"/>
  <c r="S557" i="13"/>
  <c r="Q558" i="13"/>
  <c r="R558" i="13"/>
  <c r="S558" i="13"/>
  <c r="Q559" i="13"/>
  <c r="R559" i="13"/>
  <c r="S559" i="13"/>
  <c r="Q560" i="13"/>
  <c r="R560" i="13"/>
  <c r="S560" i="13"/>
  <c r="Q561" i="13"/>
  <c r="R561" i="13"/>
  <c r="S561" i="13"/>
  <c r="Q562" i="13"/>
  <c r="R562" i="13"/>
  <c r="S562" i="13"/>
  <c r="Q563" i="13"/>
  <c r="R563" i="13"/>
  <c r="S563" i="13"/>
  <c r="Q564" i="13"/>
  <c r="R564" i="13"/>
  <c r="S564" i="13"/>
  <c r="Q565" i="13"/>
  <c r="R565" i="13"/>
  <c r="S565" i="13"/>
  <c r="Q566" i="13"/>
  <c r="R566" i="13"/>
  <c r="S566" i="13"/>
  <c r="Q567" i="13"/>
  <c r="R567" i="13"/>
  <c r="S567" i="13"/>
  <c r="Q568" i="13"/>
  <c r="R568" i="13"/>
  <c r="S568" i="13"/>
  <c r="Q569" i="13"/>
  <c r="R569" i="13"/>
  <c r="S569" i="13"/>
  <c r="Q570" i="13"/>
  <c r="R570" i="13"/>
  <c r="S570" i="13"/>
  <c r="Q571" i="13"/>
  <c r="R571" i="13"/>
  <c r="S571" i="13"/>
  <c r="Q572" i="13"/>
  <c r="R572" i="13"/>
  <c r="S572" i="13"/>
  <c r="Q573" i="13"/>
  <c r="R573" i="13"/>
  <c r="S573" i="13"/>
  <c r="Q574" i="13"/>
  <c r="R574" i="13"/>
  <c r="S574" i="13"/>
  <c r="Q575" i="13"/>
  <c r="R575" i="13"/>
  <c r="S575" i="13"/>
  <c r="Q576" i="13"/>
  <c r="R576" i="13"/>
  <c r="S576" i="13"/>
  <c r="Q577" i="13"/>
  <c r="R577" i="13"/>
  <c r="S577" i="13"/>
  <c r="Q578" i="13"/>
  <c r="R578" i="13"/>
  <c r="S578" i="13"/>
  <c r="Q579" i="13"/>
  <c r="R579" i="13"/>
  <c r="S579" i="13"/>
  <c r="Q580" i="13"/>
  <c r="R580" i="13"/>
  <c r="S580" i="13"/>
  <c r="Q581" i="13"/>
  <c r="R581" i="13"/>
  <c r="S581" i="13"/>
  <c r="Q582" i="13"/>
  <c r="R582" i="13"/>
  <c r="S582" i="13"/>
  <c r="Q583" i="13"/>
  <c r="R583" i="13"/>
  <c r="S583" i="13"/>
  <c r="Q584" i="13"/>
  <c r="R584" i="13"/>
  <c r="S584" i="13"/>
  <c r="Q585" i="13"/>
  <c r="R585" i="13"/>
  <c r="S585" i="13"/>
  <c r="Q586" i="13"/>
  <c r="R586" i="13"/>
  <c r="S586" i="13"/>
  <c r="Q587" i="13"/>
  <c r="R587" i="13"/>
  <c r="S587" i="13"/>
  <c r="Q588" i="13"/>
  <c r="R588" i="13"/>
  <c r="S588" i="13"/>
  <c r="Q589" i="13"/>
  <c r="R589" i="13"/>
  <c r="S589" i="13"/>
  <c r="Q590" i="13"/>
  <c r="R590" i="13"/>
  <c r="S590" i="13"/>
  <c r="Q591" i="13"/>
  <c r="R591" i="13"/>
  <c r="S591" i="13"/>
  <c r="Q592" i="13"/>
  <c r="R592" i="13"/>
  <c r="S592" i="13"/>
  <c r="Q593" i="13"/>
  <c r="R593" i="13"/>
  <c r="S593" i="13"/>
  <c r="Q594" i="13"/>
  <c r="R594" i="13"/>
  <c r="S594" i="13"/>
  <c r="Q595" i="13"/>
  <c r="R595" i="13"/>
  <c r="S595" i="13"/>
  <c r="Q596" i="13"/>
  <c r="R596" i="13"/>
  <c r="S596" i="13"/>
  <c r="Q597" i="13"/>
  <c r="R597" i="13"/>
  <c r="S597" i="13"/>
  <c r="Q598" i="13"/>
  <c r="R598" i="13"/>
  <c r="S598" i="13"/>
  <c r="Q599" i="13"/>
  <c r="R599" i="13"/>
  <c r="S599" i="13"/>
  <c r="Q600" i="13"/>
  <c r="R600" i="13"/>
  <c r="S600" i="13"/>
  <c r="Q601" i="13"/>
  <c r="R601" i="13"/>
  <c r="S601" i="13"/>
  <c r="Q602" i="13"/>
  <c r="R602" i="13"/>
  <c r="S602" i="13"/>
  <c r="Q603" i="13"/>
  <c r="R603" i="13"/>
  <c r="S603" i="13"/>
  <c r="Q604" i="13"/>
  <c r="R604" i="13"/>
  <c r="S604" i="13"/>
  <c r="Q605" i="13"/>
  <c r="R605" i="13"/>
  <c r="S605" i="13"/>
  <c r="Q606" i="13"/>
  <c r="R606" i="13"/>
  <c r="S606" i="13"/>
  <c r="Q607" i="13"/>
  <c r="R607" i="13"/>
  <c r="S607" i="13"/>
  <c r="Q608" i="13"/>
  <c r="R608" i="13"/>
  <c r="S608" i="13"/>
  <c r="Q609" i="13"/>
  <c r="R609" i="13"/>
  <c r="S609" i="13"/>
  <c r="Q610" i="13"/>
  <c r="R610" i="13"/>
  <c r="S610" i="13"/>
  <c r="Q611" i="13"/>
  <c r="R611" i="13"/>
  <c r="S611" i="13"/>
  <c r="Q612" i="13"/>
  <c r="R612" i="13"/>
  <c r="S612" i="13"/>
  <c r="Q613" i="13"/>
  <c r="R613" i="13"/>
  <c r="S613" i="13"/>
  <c r="Q614" i="13"/>
  <c r="R614" i="13"/>
  <c r="S614" i="13"/>
  <c r="Q615" i="13"/>
  <c r="R615" i="13"/>
  <c r="S615" i="13"/>
  <c r="Q616" i="13"/>
  <c r="R616" i="13"/>
  <c r="S616" i="13"/>
  <c r="Q617" i="13"/>
  <c r="R617" i="13"/>
  <c r="S617" i="13"/>
  <c r="Q618" i="13"/>
  <c r="R618" i="13"/>
  <c r="S618" i="13"/>
  <c r="Q619" i="13"/>
  <c r="R619" i="13"/>
  <c r="S619" i="13"/>
  <c r="Q620" i="13"/>
  <c r="R620" i="13"/>
  <c r="S620" i="13"/>
  <c r="Q621" i="13"/>
  <c r="R621" i="13"/>
  <c r="S621" i="13"/>
  <c r="Q622" i="13"/>
  <c r="R622" i="13"/>
  <c r="S622" i="13"/>
  <c r="Q623" i="13"/>
  <c r="R623" i="13"/>
  <c r="S623" i="13"/>
  <c r="Q624" i="13"/>
  <c r="R624" i="13"/>
  <c r="S624" i="13"/>
  <c r="Q625" i="13"/>
  <c r="R625" i="13"/>
  <c r="S625" i="13"/>
  <c r="Q626" i="13"/>
  <c r="R626" i="13"/>
  <c r="S626" i="13"/>
  <c r="Q627" i="13"/>
  <c r="R627" i="13"/>
  <c r="S627" i="13"/>
  <c r="Q628" i="13"/>
  <c r="R628" i="13"/>
  <c r="S628" i="13"/>
  <c r="Q629" i="13"/>
  <c r="R629" i="13"/>
  <c r="S629" i="13"/>
  <c r="Q630" i="13"/>
  <c r="R630" i="13"/>
  <c r="S630" i="13"/>
  <c r="Q631" i="13"/>
  <c r="R631" i="13"/>
  <c r="S631" i="13"/>
  <c r="Q632" i="13"/>
  <c r="R632" i="13"/>
  <c r="S632" i="13"/>
  <c r="Q633" i="13"/>
  <c r="R633" i="13"/>
  <c r="S633" i="13"/>
  <c r="Q634" i="13"/>
  <c r="R634" i="13"/>
  <c r="S634" i="13"/>
  <c r="Q635" i="13"/>
  <c r="R635" i="13"/>
  <c r="S635" i="13"/>
  <c r="Q636" i="13"/>
  <c r="R636" i="13"/>
  <c r="S636" i="13"/>
  <c r="Q637" i="13"/>
  <c r="R637" i="13"/>
  <c r="S637" i="13"/>
  <c r="Q638" i="13"/>
  <c r="R638" i="13"/>
  <c r="S638" i="13"/>
  <c r="Q639" i="13"/>
  <c r="R639" i="13"/>
  <c r="S639" i="13"/>
  <c r="Q640" i="13"/>
  <c r="R640" i="13"/>
  <c r="S640" i="13"/>
  <c r="Q641" i="13"/>
  <c r="R641" i="13"/>
  <c r="S641" i="13"/>
  <c r="Q642" i="13"/>
  <c r="R642" i="13"/>
  <c r="S642" i="13"/>
  <c r="Q643" i="13"/>
  <c r="R643" i="13"/>
  <c r="S643" i="13"/>
  <c r="Q644" i="13"/>
  <c r="R644" i="13"/>
  <c r="S644" i="13"/>
  <c r="Q645" i="13"/>
  <c r="R645" i="13"/>
  <c r="S645" i="13"/>
  <c r="Q646" i="13"/>
  <c r="R646" i="13"/>
  <c r="S646" i="13"/>
  <c r="Q647" i="13"/>
  <c r="R647" i="13"/>
  <c r="S647" i="13"/>
  <c r="Q648" i="13"/>
  <c r="R648" i="13"/>
  <c r="S648" i="13"/>
  <c r="Q649" i="13"/>
  <c r="R649" i="13"/>
  <c r="S649" i="13"/>
  <c r="Q650" i="13"/>
  <c r="R650" i="13"/>
  <c r="S650" i="13"/>
  <c r="Q651" i="13"/>
  <c r="R651" i="13"/>
  <c r="S651" i="13"/>
  <c r="Q652" i="13"/>
  <c r="R652" i="13"/>
  <c r="S652" i="13"/>
  <c r="Q653" i="13"/>
  <c r="R653" i="13"/>
  <c r="S653" i="13"/>
  <c r="Q654" i="13"/>
  <c r="R654" i="13"/>
  <c r="S654" i="13"/>
  <c r="Q655" i="13"/>
  <c r="R655" i="13"/>
  <c r="S655" i="13"/>
  <c r="Q656" i="13"/>
  <c r="R656" i="13"/>
  <c r="S656" i="13"/>
  <c r="Q657" i="13"/>
  <c r="R657" i="13"/>
  <c r="S657" i="13"/>
  <c r="Q658" i="13"/>
  <c r="R658" i="13"/>
  <c r="S658" i="13"/>
  <c r="Q659" i="13"/>
  <c r="R659" i="13"/>
  <c r="S659" i="13"/>
  <c r="Q660" i="13"/>
  <c r="R660" i="13"/>
  <c r="S660" i="13"/>
  <c r="Q661" i="13"/>
  <c r="R661" i="13"/>
  <c r="S661" i="13"/>
  <c r="Q662" i="13"/>
  <c r="R662" i="13"/>
  <c r="S662" i="13"/>
  <c r="Q663" i="13"/>
  <c r="R663" i="13"/>
  <c r="S663" i="13"/>
  <c r="Q664" i="13"/>
  <c r="R664" i="13"/>
  <c r="S664" i="13"/>
  <c r="Q665" i="13"/>
  <c r="R665" i="13"/>
  <c r="S665" i="13"/>
  <c r="Q666" i="13"/>
  <c r="R666" i="13"/>
  <c r="S666" i="13"/>
  <c r="Q667" i="13"/>
  <c r="R667" i="13"/>
  <c r="S667" i="13"/>
  <c r="Q668" i="13"/>
  <c r="R668" i="13"/>
  <c r="S668" i="13"/>
  <c r="Q669" i="13"/>
  <c r="R669" i="13"/>
  <c r="S669" i="13"/>
  <c r="Q670" i="13"/>
  <c r="R670" i="13"/>
  <c r="S670" i="13"/>
  <c r="Q671" i="13"/>
  <c r="R671" i="13"/>
  <c r="S671" i="13"/>
  <c r="Q672" i="13"/>
  <c r="R672" i="13"/>
  <c r="S672" i="13"/>
  <c r="Q673" i="13"/>
  <c r="R673" i="13"/>
  <c r="S673" i="13"/>
  <c r="Q674" i="13"/>
  <c r="R674" i="13"/>
  <c r="S674" i="13"/>
  <c r="Q675" i="13"/>
  <c r="R675" i="13"/>
  <c r="S675" i="13"/>
  <c r="Q676" i="13"/>
  <c r="R676" i="13"/>
  <c r="S676" i="13"/>
  <c r="Q677" i="13"/>
  <c r="R677" i="13"/>
  <c r="S677" i="13"/>
  <c r="Q678" i="13"/>
  <c r="R678" i="13"/>
  <c r="S678" i="13"/>
  <c r="Q679" i="13"/>
  <c r="R679" i="13"/>
  <c r="S679" i="13"/>
  <c r="Q680" i="13"/>
  <c r="R680" i="13"/>
  <c r="S680" i="13"/>
  <c r="Q681" i="13"/>
  <c r="R681" i="13"/>
  <c r="S681" i="13"/>
  <c r="Q682" i="13"/>
  <c r="R682" i="13"/>
  <c r="S682" i="13"/>
  <c r="Q683" i="13"/>
  <c r="R683" i="13"/>
  <c r="S683" i="13"/>
  <c r="Q684" i="13"/>
  <c r="R684" i="13"/>
  <c r="S684" i="13"/>
  <c r="Q685" i="13"/>
  <c r="R685" i="13"/>
  <c r="S685" i="13"/>
  <c r="Q686" i="13"/>
  <c r="R686" i="13"/>
  <c r="S686" i="13"/>
  <c r="Q687" i="13"/>
  <c r="R687" i="13"/>
  <c r="S687" i="13"/>
  <c r="Q688" i="13"/>
  <c r="R688" i="13"/>
  <c r="S688" i="13"/>
  <c r="Q689" i="13"/>
  <c r="R689" i="13"/>
  <c r="S689" i="13"/>
  <c r="Q690" i="13"/>
  <c r="R690" i="13"/>
  <c r="S690" i="13"/>
  <c r="Q691" i="13"/>
  <c r="R691" i="13"/>
  <c r="S691" i="13"/>
  <c r="Q692" i="13"/>
  <c r="R692" i="13"/>
  <c r="S692" i="13"/>
  <c r="Q693" i="13"/>
  <c r="R693" i="13"/>
  <c r="S693" i="13"/>
  <c r="Q694" i="13"/>
  <c r="R694" i="13"/>
  <c r="S694" i="13"/>
  <c r="Q695" i="13"/>
  <c r="R695" i="13"/>
  <c r="S695" i="13"/>
  <c r="Q696" i="13"/>
  <c r="R696" i="13"/>
  <c r="S696" i="13"/>
  <c r="Q697" i="13"/>
  <c r="R697" i="13"/>
  <c r="S697" i="13"/>
  <c r="Q698" i="13"/>
  <c r="R698" i="13"/>
  <c r="S698" i="13"/>
  <c r="Q699" i="13"/>
  <c r="R699" i="13"/>
  <c r="S699" i="13"/>
  <c r="Q700" i="13"/>
  <c r="R700" i="13"/>
  <c r="S700" i="13"/>
  <c r="Q701" i="13"/>
  <c r="R701" i="13"/>
  <c r="S701" i="13"/>
  <c r="Q702" i="13"/>
  <c r="R702" i="13"/>
  <c r="S702" i="13"/>
  <c r="Q703" i="13"/>
  <c r="R703" i="13"/>
  <c r="S703" i="13"/>
  <c r="Q704" i="13"/>
  <c r="R704" i="13"/>
  <c r="S704" i="13"/>
  <c r="Q705" i="13"/>
  <c r="R705" i="13"/>
  <c r="S705" i="13"/>
  <c r="Q706" i="13"/>
  <c r="R706" i="13"/>
  <c r="S706" i="13"/>
  <c r="Q707" i="13"/>
  <c r="R707" i="13"/>
  <c r="S707" i="13"/>
  <c r="Q708" i="13"/>
  <c r="R708" i="13"/>
  <c r="S708" i="13"/>
  <c r="Q709" i="13"/>
  <c r="R709" i="13"/>
  <c r="S709" i="13"/>
  <c r="Q710" i="13"/>
  <c r="R710" i="13"/>
  <c r="S710" i="13"/>
  <c r="Q711" i="13"/>
  <c r="R711" i="13"/>
  <c r="S711" i="13"/>
  <c r="Q712" i="13"/>
  <c r="R712" i="13"/>
  <c r="S712" i="13"/>
  <c r="Q713" i="13"/>
  <c r="R713" i="13"/>
  <c r="S713" i="13"/>
  <c r="Q714" i="13"/>
  <c r="R714" i="13"/>
  <c r="S714" i="13"/>
  <c r="Q715" i="13"/>
  <c r="R715" i="13"/>
  <c r="S715" i="13"/>
  <c r="Q716" i="13"/>
  <c r="R716" i="13"/>
  <c r="S716" i="13"/>
  <c r="Q717" i="13"/>
  <c r="R717" i="13"/>
  <c r="S717" i="13"/>
  <c r="Q718" i="13"/>
  <c r="R718" i="13"/>
  <c r="S718" i="13"/>
  <c r="Q719" i="13"/>
  <c r="R719" i="13"/>
  <c r="S719" i="13"/>
  <c r="Q720" i="13"/>
  <c r="R720" i="13"/>
  <c r="S720" i="13"/>
  <c r="Q721" i="13"/>
  <c r="R721" i="13"/>
  <c r="S721" i="13"/>
  <c r="Q722" i="13"/>
  <c r="R722" i="13"/>
  <c r="S722" i="13"/>
  <c r="Q723" i="13"/>
  <c r="R723" i="13"/>
  <c r="S723" i="13"/>
  <c r="Q724" i="13"/>
  <c r="R724" i="13"/>
  <c r="S724" i="13"/>
  <c r="Q725" i="13"/>
  <c r="R725" i="13"/>
  <c r="S725" i="13"/>
  <c r="Q726" i="13"/>
  <c r="R726" i="13"/>
  <c r="S726" i="13"/>
  <c r="Q727" i="13"/>
  <c r="R727" i="13"/>
  <c r="S727" i="13"/>
  <c r="Q728" i="13"/>
  <c r="R728" i="13"/>
  <c r="S728" i="13"/>
  <c r="Q729" i="13"/>
  <c r="R729" i="13"/>
  <c r="S729" i="13"/>
  <c r="Q730" i="13"/>
  <c r="R730" i="13"/>
  <c r="S730" i="13"/>
  <c r="Q731" i="13"/>
  <c r="R731" i="13"/>
  <c r="S731" i="13"/>
  <c r="Q732" i="13"/>
  <c r="R732" i="13"/>
  <c r="S732" i="13"/>
  <c r="Q733" i="13"/>
  <c r="R733" i="13"/>
  <c r="S733" i="13"/>
  <c r="Q734" i="13"/>
  <c r="R734" i="13"/>
  <c r="S734" i="13"/>
  <c r="Q735" i="13"/>
  <c r="R735" i="13"/>
  <c r="S735" i="13"/>
  <c r="Q736" i="13"/>
  <c r="R736" i="13"/>
  <c r="S736" i="13"/>
  <c r="Q737" i="13"/>
  <c r="R737" i="13"/>
  <c r="S737" i="13"/>
  <c r="Q738" i="13"/>
  <c r="R738" i="13"/>
  <c r="S738" i="13"/>
  <c r="Q739" i="13"/>
  <c r="R739" i="13"/>
  <c r="S739" i="13"/>
  <c r="Q740" i="13"/>
  <c r="R740" i="13"/>
  <c r="S740" i="13"/>
  <c r="Q741" i="13"/>
  <c r="R741" i="13"/>
  <c r="S741" i="13"/>
  <c r="Q742" i="13"/>
  <c r="R742" i="13"/>
  <c r="S742" i="13"/>
  <c r="Q743" i="13"/>
  <c r="R743" i="13"/>
  <c r="S743" i="13"/>
  <c r="Q744" i="13"/>
  <c r="R744" i="13"/>
  <c r="S744" i="13"/>
  <c r="Q745" i="13"/>
  <c r="R745" i="13"/>
  <c r="S745" i="13"/>
  <c r="Q746" i="13"/>
  <c r="R746" i="13"/>
  <c r="S746" i="13"/>
  <c r="Q747" i="13"/>
  <c r="R747" i="13"/>
  <c r="S747" i="13"/>
  <c r="Q748" i="13"/>
  <c r="R748" i="13"/>
  <c r="S748" i="13"/>
  <c r="Q749" i="13"/>
  <c r="R749" i="13"/>
  <c r="S749" i="13"/>
  <c r="Q750" i="13"/>
  <c r="R750" i="13"/>
  <c r="S750" i="13"/>
  <c r="Q751" i="13"/>
  <c r="R751" i="13"/>
  <c r="S751" i="13"/>
  <c r="Q752" i="13"/>
  <c r="R752" i="13"/>
  <c r="S752" i="13"/>
  <c r="Q753" i="13"/>
  <c r="R753" i="13"/>
  <c r="S753" i="13"/>
  <c r="Q754" i="13"/>
  <c r="R754" i="13"/>
  <c r="S754" i="13"/>
  <c r="Q755" i="13"/>
  <c r="R755" i="13"/>
  <c r="S755" i="13"/>
  <c r="Q756" i="13"/>
  <c r="R756" i="13"/>
  <c r="S756" i="13"/>
  <c r="Q757" i="13"/>
  <c r="R757" i="13"/>
  <c r="S757" i="13"/>
  <c r="Q758" i="13"/>
  <c r="R758" i="13"/>
  <c r="S758" i="13"/>
  <c r="Q759" i="13"/>
  <c r="R759" i="13"/>
  <c r="S759" i="13"/>
  <c r="Q760" i="13"/>
  <c r="R760" i="13"/>
  <c r="S760" i="13"/>
  <c r="Q761" i="13"/>
  <c r="R761" i="13"/>
  <c r="S761" i="13"/>
  <c r="Q762" i="13"/>
  <c r="R762" i="13"/>
  <c r="S762" i="13"/>
  <c r="Q763" i="13"/>
  <c r="R763" i="13"/>
  <c r="S763" i="13"/>
  <c r="Q764" i="13"/>
  <c r="R764" i="13"/>
  <c r="S764" i="13"/>
  <c r="Q765" i="13"/>
  <c r="R765" i="13"/>
  <c r="S765" i="13"/>
  <c r="Q766" i="13"/>
  <c r="R766" i="13"/>
  <c r="S766" i="13"/>
  <c r="Q767" i="13"/>
  <c r="R767" i="13"/>
  <c r="S767" i="13"/>
  <c r="Q768" i="13"/>
  <c r="R768" i="13"/>
  <c r="S768" i="13"/>
  <c r="Q769" i="13"/>
  <c r="R769" i="13"/>
  <c r="S769" i="13"/>
  <c r="Q770" i="13"/>
  <c r="R770" i="13"/>
  <c r="S770" i="13"/>
  <c r="Q771" i="13"/>
  <c r="R771" i="13"/>
  <c r="S771" i="13"/>
  <c r="Q772" i="13"/>
  <c r="R772" i="13"/>
  <c r="S772" i="13"/>
  <c r="Q773" i="13"/>
  <c r="R773" i="13"/>
  <c r="S773" i="13"/>
  <c r="Q774" i="13"/>
  <c r="R774" i="13"/>
  <c r="S774" i="13"/>
  <c r="Q775" i="13"/>
  <c r="R775" i="13"/>
  <c r="S775" i="13"/>
  <c r="Q776" i="13"/>
  <c r="R776" i="13"/>
  <c r="S776" i="13"/>
  <c r="Q777" i="13"/>
  <c r="R777" i="13"/>
  <c r="S777" i="13"/>
  <c r="Q778" i="13"/>
  <c r="R778" i="13"/>
  <c r="S778" i="13"/>
  <c r="Q779" i="13"/>
  <c r="R779" i="13"/>
  <c r="S779" i="13"/>
  <c r="Q780" i="13"/>
  <c r="R780" i="13"/>
  <c r="S780" i="13"/>
  <c r="Q781" i="13"/>
  <c r="R781" i="13"/>
  <c r="S781" i="13"/>
  <c r="Q782" i="13"/>
  <c r="R782" i="13"/>
  <c r="S782" i="13"/>
  <c r="Q783" i="13"/>
  <c r="R783" i="13"/>
  <c r="S783" i="13"/>
  <c r="Q784" i="13"/>
  <c r="R784" i="13"/>
  <c r="S784" i="13"/>
  <c r="Q785" i="13"/>
  <c r="R785" i="13"/>
  <c r="S785" i="13"/>
  <c r="Q786" i="13"/>
  <c r="R786" i="13"/>
  <c r="S786" i="13"/>
  <c r="Q787" i="13"/>
  <c r="R787" i="13"/>
  <c r="S787" i="13"/>
  <c r="Q788" i="13"/>
  <c r="R788" i="13"/>
  <c r="S788" i="13"/>
  <c r="Q789" i="13"/>
  <c r="R789" i="13"/>
  <c r="S789" i="13"/>
  <c r="Q790" i="13"/>
  <c r="R790" i="13"/>
  <c r="S790" i="13"/>
  <c r="Q791" i="13"/>
  <c r="R791" i="13"/>
  <c r="S791" i="13"/>
  <c r="Q792" i="13"/>
  <c r="R792" i="13"/>
  <c r="S792" i="13"/>
  <c r="Q793" i="13"/>
  <c r="R793" i="13"/>
  <c r="S793" i="13"/>
  <c r="Q794" i="13"/>
  <c r="R794" i="13"/>
  <c r="S794" i="13"/>
  <c r="Q795" i="13"/>
  <c r="R795" i="13"/>
  <c r="S795" i="13"/>
  <c r="Q796" i="13"/>
  <c r="R796" i="13"/>
  <c r="S796" i="13"/>
  <c r="Q797" i="13"/>
  <c r="R797" i="13"/>
  <c r="S797" i="13"/>
  <c r="Q798" i="13"/>
  <c r="R798" i="13"/>
  <c r="S798" i="13"/>
  <c r="Q799" i="13"/>
  <c r="R799" i="13"/>
  <c r="S799" i="13"/>
  <c r="Q800" i="13"/>
  <c r="R800" i="13"/>
  <c r="S800" i="13"/>
  <c r="Q801" i="13"/>
  <c r="R801" i="13"/>
  <c r="S801" i="13"/>
  <c r="Q802" i="13"/>
  <c r="R802" i="13"/>
  <c r="S802" i="13"/>
  <c r="Q803" i="13"/>
  <c r="R803" i="13"/>
  <c r="S803" i="13"/>
  <c r="Q804" i="13"/>
  <c r="R804" i="13"/>
  <c r="S804" i="13"/>
  <c r="Q805" i="13"/>
  <c r="R805" i="13"/>
  <c r="S805" i="13"/>
  <c r="Q806" i="13"/>
  <c r="R806" i="13"/>
  <c r="S806" i="13"/>
  <c r="Q807" i="13"/>
  <c r="R807" i="13"/>
  <c r="S807" i="13"/>
  <c r="Q808" i="13"/>
  <c r="R808" i="13"/>
  <c r="S808" i="13"/>
  <c r="Q809" i="13"/>
  <c r="R809" i="13"/>
  <c r="S809" i="13"/>
  <c r="Q810" i="13"/>
  <c r="R810" i="13"/>
  <c r="S810" i="13"/>
  <c r="Q811" i="13"/>
  <c r="R811" i="13"/>
  <c r="S811" i="13"/>
  <c r="Q812" i="13"/>
  <c r="R812" i="13"/>
  <c r="S812" i="13"/>
  <c r="Q813" i="13"/>
  <c r="R813" i="13"/>
  <c r="S813" i="13"/>
  <c r="Q814" i="13"/>
  <c r="R814" i="13"/>
  <c r="S814" i="13"/>
  <c r="Q815" i="13"/>
  <c r="R815" i="13"/>
  <c r="S815" i="13"/>
  <c r="Q816" i="13"/>
  <c r="R816" i="13"/>
  <c r="S816" i="13"/>
  <c r="Q817" i="13"/>
  <c r="R817" i="13"/>
  <c r="S817" i="13"/>
  <c r="Q818" i="13"/>
  <c r="R818" i="13"/>
  <c r="S818" i="13"/>
  <c r="Q819" i="13"/>
  <c r="R819" i="13"/>
  <c r="S819" i="13"/>
  <c r="Q820" i="13"/>
  <c r="R820" i="13"/>
  <c r="S820" i="13"/>
  <c r="Q821" i="13"/>
  <c r="R821" i="13"/>
  <c r="S821" i="13"/>
  <c r="Q822" i="13"/>
  <c r="R822" i="13"/>
  <c r="S822" i="13"/>
  <c r="Q823" i="13"/>
  <c r="R823" i="13"/>
  <c r="S823" i="13"/>
  <c r="Q824" i="13"/>
  <c r="R824" i="13"/>
  <c r="S824" i="13"/>
  <c r="Q825" i="13"/>
  <c r="R825" i="13"/>
  <c r="S825" i="13"/>
  <c r="Q826" i="13"/>
  <c r="R826" i="13"/>
  <c r="S826" i="13"/>
  <c r="Q827" i="13"/>
  <c r="R827" i="13"/>
  <c r="S827" i="13"/>
  <c r="Q828" i="13"/>
  <c r="R828" i="13"/>
  <c r="S828" i="13"/>
  <c r="Q829" i="13"/>
  <c r="R829" i="13"/>
  <c r="S829" i="13"/>
  <c r="Q830" i="13"/>
  <c r="R830" i="13"/>
  <c r="S830" i="13"/>
  <c r="Q831" i="13"/>
  <c r="R831" i="13"/>
  <c r="S831" i="13"/>
  <c r="Q832" i="13"/>
  <c r="R832" i="13"/>
  <c r="S832" i="13"/>
  <c r="Q833" i="13"/>
  <c r="R833" i="13"/>
  <c r="S833" i="13"/>
  <c r="Q834" i="13"/>
  <c r="R834" i="13"/>
  <c r="S834" i="13"/>
  <c r="Q835" i="13"/>
  <c r="R835" i="13"/>
  <c r="S835" i="13"/>
  <c r="Q836" i="13"/>
  <c r="R836" i="13"/>
  <c r="S836" i="13"/>
  <c r="Q837" i="13"/>
  <c r="R837" i="13"/>
  <c r="S837" i="13"/>
  <c r="Q838" i="13"/>
  <c r="R838" i="13"/>
  <c r="S838" i="13"/>
  <c r="Q839" i="13"/>
  <c r="R839" i="13"/>
  <c r="S839" i="13"/>
  <c r="Q840" i="13"/>
  <c r="R840" i="13"/>
  <c r="S840" i="13"/>
  <c r="Q841" i="13"/>
  <c r="R841" i="13"/>
  <c r="S841" i="13"/>
  <c r="Q842" i="13"/>
  <c r="R842" i="13"/>
  <c r="S842" i="13"/>
  <c r="Q843" i="13"/>
  <c r="R843" i="13"/>
  <c r="S843" i="13"/>
  <c r="Q844" i="13"/>
  <c r="R844" i="13"/>
  <c r="S844" i="13"/>
  <c r="Q845" i="13"/>
  <c r="R845" i="13"/>
  <c r="S845" i="13"/>
  <c r="Q846" i="13"/>
  <c r="R846" i="13"/>
  <c r="S846" i="13"/>
  <c r="Q847" i="13"/>
  <c r="R847" i="13"/>
  <c r="S847" i="13"/>
  <c r="Q848" i="13"/>
  <c r="R848" i="13"/>
  <c r="S848" i="13"/>
  <c r="Q849" i="13"/>
  <c r="R849" i="13"/>
  <c r="S849" i="13"/>
  <c r="Q850" i="13"/>
  <c r="R850" i="13"/>
  <c r="S850" i="13"/>
  <c r="Q851" i="13"/>
  <c r="R851" i="13"/>
  <c r="S851" i="13"/>
  <c r="Q852" i="13"/>
  <c r="R852" i="13"/>
  <c r="S852" i="13"/>
  <c r="Q853" i="13"/>
  <c r="R853" i="13"/>
  <c r="S853" i="13"/>
  <c r="Q854" i="13"/>
  <c r="R854" i="13"/>
  <c r="S854" i="13"/>
  <c r="Q855" i="13"/>
  <c r="R855" i="13"/>
  <c r="S855" i="13"/>
  <c r="Q856" i="13"/>
  <c r="R856" i="13"/>
  <c r="S856" i="13"/>
  <c r="Q857" i="13"/>
  <c r="R857" i="13"/>
  <c r="S857" i="13"/>
  <c r="Q858" i="13"/>
  <c r="R858" i="13"/>
  <c r="S858" i="13"/>
  <c r="Q859" i="13"/>
  <c r="R859" i="13"/>
  <c r="S859" i="13"/>
  <c r="Q860" i="13"/>
  <c r="R860" i="13"/>
  <c r="S860" i="13"/>
  <c r="Q861" i="13"/>
  <c r="R861" i="13"/>
  <c r="S861" i="13"/>
  <c r="Q862" i="13"/>
  <c r="R862" i="13"/>
  <c r="S862" i="13"/>
  <c r="Q863" i="13"/>
  <c r="R863" i="13"/>
  <c r="S863" i="13"/>
  <c r="Q864" i="13"/>
  <c r="R864" i="13"/>
  <c r="S864" i="13"/>
  <c r="Q865" i="13"/>
  <c r="R865" i="13"/>
  <c r="S865" i="13"/>
  <c r="Q866" i="13"/>
  <c r="R866" i="13"/>
  <c r="S866" i="13"/>
  <c r="Q867" i="13"/>
  <c r="R867" i="13"/>
  <c r="S867" i="13"/>
  <c r="Q868" i="13"/>
  <c r="R868" i="13"/>
  <c r="S868" i="13"/>
  <c r="Q869" i="13"/>
  <c r="R869" i="13"/>
  <c r="S869" i="13"/>
  <c r="Q870" i="13"/>
  <c r="R870" i="13"/>
  <c r="S870" i="13"/>
  <c r="Q871" i="13"/>
  <c r="R871" i="13"/>
  <c r="S871" i="13"/>
  <c r="Q872" i="13"/>
  <c r="R872" i="13"/>
  <c r="S872" i="13"/>
  <c r="Q873" i="13"/>
  <c r="R873" i="13"/>
  <c r="S873" i="13"/>
  <c r="Q874" i="13"/>
  <c r="R874" i="13"/>
  <c r="S874" i="13"/>
  <c r="Q875" i="13"/>
  <c r="R875" i="13"/>
  <c r="S875" i="13"/>
  <c r="Q876" i="13"/>
  <c r="R876" i="13"/>
  <c r="S876" i="13"/>
  <c r="Q877" i="13"/>
  <c r="R877" i="13"/>
  <c r="S877" i="13"/>
  <c r="Q878" i="13"/>
  <c r="R878" i="13"/>
  <c r="S878" i="13"/>
  <c r="Q879" i="13"/>
  <c r="R879" i="13"/>
  <c r="S879" i="13"/>
  <c r="Q880" i="13"/>
  <c r="R880" i="13"/>
  <c r="S880" i="13"/>
  <c r="Q881" i="13"/>
  <c r="R881" i="13"/>
  <c r="S881" i="13"/>
  <c r="Q882" i="13"/>
  <c r="R882" i="13"/>
  <c r="S882" i="13"/>
  <c r="Q883" i="13"/>
  <c r="R883" i="13"/>
  <c r="S883" i="13"/>
  <c r="Q884" i="13"/>
  <c r="R884" i="13"/>
  <c r="S884" i="13"/>
  <c r="Q885" i="13"/>
  <c r="R885" i="13"/>
  <c r="S885" i="13"/>
  <c r="Q886" i="13"/>
  <c r="R886" i="13"/>
  <c r="S886" i="13"/>
  <c r="Q887" i="13"/>
  <c r="R887" i="13"/>
  <c r="S887" i="13"/>
  <c r="Q888" i="13"/>
  <c r="R888" i="13"/>
  <c r="S888" i="13"/>
  <c r="Q889" i="13"/>
  <c r="R889" i="13"/>
  <c r="S889" i="13"/>
  <c r="Q890" i="13"/>
  <c r="R890" i="13"/>
  <c r="S890" i="13"/>
  <c r="Q891" i="13"/>
  <c r="R891" i="13"/>
  <c r="S891" i="13"/>
  <c r="Q892" i="13"/>
  <c r="R892" i="13"/>
  <c r="S892" i="13"/>
  <c r="Q893" i="13"/>
  <c r="R893" i="13"/>
  <c r="S893" i="13"/>
  <c r="Q894" i="13"/>
  <c r="R894" i="13"/>
  <c r="S894" i="13"/>
  <c r="Q895" i="13"/>
  <c r="R895" i="13"/>
  <c r="S895" i="13"/>
  <c r="Q896" i="13"/>
  <c r="R896" i="13"/>
  <c r="S896" i="13"/>
  <c r="Q897" i="13"/>
  <c r="R897" i="13"/>
  <c r="S897" i="13"/>
  <c r="Q898" i="13"/>
  <c r="R898" i="13"/>
  <c r="S898" i="13"/>
  <c r="Q899" i="13"/>
  <c r="R899" i="13"/>
  <c r="S899" i="13"/>
  <c r="Q900" i="13"/>
  <c r="R900" i="13"/>
  <c r="S900" i="13"/>
  <c r="Q901" i="13"/>
  <c r="R901" i="13"/>
  <c r="S901" i="13"/>
  <c r="Q902" i="13"/>
  <c r="R902" i="13"/>
  <c r="S902" i="13"/>
  <c r="Q903" i="13"/>
  <c r="R903" i="13"/>
  <c r="S903" i="13"/>
  <c r="Q904" i="13"/>
  <c r="R904" i="13"/>
  <c r="S904" i="13"/>
  <c r="Q905" i="13"/>
  <c r="R905" i="13"/>
  <c r="S905" i="13"/>
  <c r="Q906" i="13"/>
  <c r="R906" i="13"/>
  <c r="S906" i="13"/>
  <c r="Q907" i="13"/>
  <c r="R907" i="13"/>
  <c r="S907" i="13"/>
  <c r="Q908" i="13"/>
  <c r="R908" i="13"/>
  <c r="S908" i="13"/>
  <c r="Q909" i="13"/>
  <c r="R909" i="13"/>
  <c r="S909" i="13"/>
  <c r="Q910" i="13"/>
  <c r="R910" i="13"/>
  <c r="S910" i="13"/>
  <c r="Q911" i="13"/>
  <c r="R911" i="13"/>
  <c r="S911" i="13"/>
  <c r="Q912" i="13"/>
  <c r="R912" i="13"/>
  <c r="S912" i="13"/>
  <c r="Q913" i="13"/>
  <c r="R913" i="13"/>
  <c r="S913" i="13"/>
  <c r="Q914" i="13"/>
  <c r="R914" i="13"/>
  <c r="S914" i="13"/>
  <c r="Q915" i="13"/>
  <c r="R915" i="13"/>
  <c r="S915" i="13"/>
  <c r="Q916" i="13"/>
  <c r="R916" i="13"/>
  <c r="S916" i="13"/>
  <c r="Q917" i="13"/>
  <c r="R917" i="13"/>
  <c r="S917" i="13"/>
  <c r="Q918" i="13"/>
  <c r="R918" i="13"/>
  <c r="S918" i="13"/>
  <c r="Q919" i="13"/>
  <c r="R919" i="13"/>
  <c r="S919" i="13"/>
  <c r="Q920" i="13"/>
  <c r="R920" i="13"/>
  <c r="S920" i="13"/>
  <c r="Q921" i="13"/>
  <c r="R921" i="13"/>
  <c r="S921" i="13"/>
  <c r="Q922" i="13"/>
  <c r="R922" i="13"/>
  <c r="S922" i="13"/>
  <c r="Q923" i="13"/>
  <c r="R923" i="13"/>
  <c r="S923" i="13"/>
  <c r="Q924" i="13"/>
  <c r="R924" i="13"/>
  <c r="S924" i="13"/>
  <c r="Q925" i="13"/>
  <c r="R925" i="13"/>
  <c r="S925" i="13"/>
  <c r="Q926" i="13"/>
  <c r="R926" i="13"/>
  <c r="S926" i="13"/>
  <c r="Q927" i="13"/>
  <c r="R927" i="13"/>
  <c r="S927" i="13"/>
  <c r="Q928" i="13"/>
  <c r="R928" i="13"/>
  <c r="S928" i="13"/>
  <c r="Q929" i="13"/>
  <c r="R929" i="13"/>
  <c r="S929" i="13"/>
  <c r="Q930" i="13"/>
  <c r="R930" i="13"/>
  <c r="S930" i="13"/>
  <c r="Q931" i="13"/>
  <c r="R931" i="13"/>
  <c r="S931" i="13"/>
  <c r="Q932" i="13"/>
  <c r="R932" i="13"/>
  <c r="S932" i="13"/>
  <c r="Q933" i="13"/>
  <c r="R933" i="13"/>
  <c r="S933" i="13"/>
  <c r="Q934" i="13"/>
  <c r="R934" i="13"/>
  <c r="S934" i="13"/>
  <c r="Q935" i="13"/>
  <c r="R935" i="13"/>
  <c r="S935" i="13"/>
  <c r="Q936" i="13"/>
  <c r="R936" i="13"/>
  <c r="S936" i="13"/>
  <c r="Q937" i="13"/>
  <c r="R937" i="13"/>
  <c r="S937" i="13"/>
  <c r="Q938" i="13"/>
  <c r="R938" i="13"/>
  <c r="S938" i="13"/>
  <c r="Q939" i="13"/>
  <c r="R939" i="13"/>
  <c r="S939" i="13"/>
  <c r="Q940" i="13"/>
  <c r="R940" i="13"/>
  <c r="S940" i="13"/>
  <c r="Q941" i="13"/>
  <c r="R941" i="13"/>
  <c r="S941" i="13"/>
  <c r="Q942" i="13"/>
  <c r="R942" i="13"/>
  <c r="S942" i="13"/>
  <c r="Q943" i="13"/>
  <c r="R943" i="13"/>
  <c r="S943" i="13"/>
  <c r="Q944" i="13"/>
  <c r="R944" i="13"/>
  <c r="S944" i="13"/>
  <c r="Q945" i="13"/>
  <c r="R945" i="13"/>
  <c r="S945" i="13"/>
  <c r="Q946" i="13"/>
  <c r="R946" i="13"/>
  <c r="S946" i="13"/>
  <c r="Q947" i="13"/>
  <c r="R947" i="13"/>
  <c r="S947" i="13"/>
  <c r="Q948" i="13"/>
  <c r="R948" i="13"/>
  <c r="S948" i="13"/>
  <c r="Q949" i="13"/>
  <c r="R949" i="13"/>
  <c r="S949" i="13"/>
  <c r="Q950" i="13"/>
  <c r="R950" i="13"/>
  <c r="S950" i="13"/>
  <c r="Q951" i="13"/>
  <c r="R951" i="13"/>
  <c r="S951" i="13"/>
  <c r="Q952" i="13"/>
  <c r="R952" i="13"/>
  <c r="S952" i="13"/>
  <c r="Q953" i="13"/>
  <c r="R953" i="13"/>
  <c r="S953" i="13"/>
  <c r="Q954" i="13"/>
  <c r="R954" i="13"/>
  <c r="S954" i="13"/>
  <c r="Q955" i="13"/>
  <c r="R955" i="13"/>
  <c r="S955" i="13"/>
  <c r="Q956" i="13"/>
  <c r="R956" i="13"/>
  <c r="S956" i="13"/>
  <c r="Q957" i="13"/>
  <c r="R957" i="13"/>
  <c r="S957" i="13"/>
  <c r="Q958" i="13"/>
  <c r="R958" i="13"/>
  <c r="S958" i="13"/>
  <c r="Q959" i="13"/>
  <c r="R959" i="13"/>
  <c r="S959" i="13"/>
  <c r="Q960" i="13"/>
  <c r="R960" i="13"/>
  <c r="S960" i="13"/>
  <c r="Q961" i="13"/>
  <c r="R961" i="13"/>
  <c r="S961" i="13"/>
  <c r="Q962" i="13"/>
  <c r="R962" i="13"/>
  <c r="S962" i="13"/>
  <c r="Q963" i="13"/>
  <c r="R963" i="13"/>
  <c r="S963" i="13"/>
  <c r="Q964" i="13"/>
  <c r="R964" i="13"/>
  <c r="S964" i="13"/>
  <c r="Q965" i="13"/>
  <c r="R965" i="13"/>
  <c r="S965" i="13"/>
  <c r="Q966" i="13"/>
  <c r="R966" i="13"/>
  <c r="S966" i="13"/>
  <c r="Q967" i="13"/>
  <c r="R967" i="13"/>
  <c r="S967" i="13"/>
  <c r="Q968" i="13"/>
  <c r="R968" i="13"/>
  <c r="S968" i="13"/>
  <c r="Q969" i="13"/>
  <c r="R969" i="13"/>
  <c r="S969" i="13"/>
  <c r="Q970" i="13"/>
  <c r="R970" i="13"/>
  <c r="S970" i="13"/>
  <c r="Q971" i="13"/>
  <c r="R971" i="13"/>
  <c r="S971" i="13"/>
  <c r="Q972" i="13"/>
  <c r="R972" i="13"/>
  <c r="S972" i="13"/>
  <c r="Q973" i="13"/>
  <c r="R973" i="13"/>
  <c r="S973" i="13"/>
  <c r="Q974" i="13"/>
  <c r="R974" i="13"/>
  <c r="S974" i="13"/>
  <c r="Q975" i="13"/>
  <c r="R975" i="13"/>
  <c r="S975" i="13"/>
  <c r="Q976" i="13"/>
  <c r="R976" i="13"/>
  <c r="S976" i="13"/>
  <c r="Q977" i="13"/>
  <c r="R977" i="13"/>
  <c r="S977" i="13"/>
  <c r="Q978" i="13"/>
  <c r="R978" i="13"/>
  <c r="S978" i="13"/>
  <c r="Q979" i="13"/>
  <c r="R979" i="13"/>
  <c r="S979" i="13"/>
  <c r="Q980" i="13"/>
  <c r="R980" i="13"/>
  <c r="S980" i="13"/>
  <c r="Q981" i="13"/>
  <c r="R981" i="13"/>
  <c r="S981" i="13"/>
  <c r="Q982" i="13"/>
  <c r="R982" i="13"/>
  <c r="S982" i="13"/>
  <c r="Q983" i="13"/>
  <c r="R983" i="13"/>
  <c r="S983" i="13"/>
  <c r="Q984" i="13"/>
  <c r="R984" i="13"/>
  <c r="S984" i="13"/>
  <c r="Q985" i="13"/>
  <c r="R985" i="13"/>
  <c r="S985" i="13"/>
  <c r="Q986" i="13"/>
  <c r="R986" i="13"/>
  <c r="S986" i="13"/>
  <c r="Q987" i="13"/>
  <c r="R987" i="13"/>
  <c r="S987" i="13"/>
  <c r="Q988" i="13"/>
  <c r="R988" i="13"/>
  <c r="S988" i="13"/>
  <c r="Q989" i="13"/>
  <c r="R989" i="13"/>
  <c r="S989" i="13"/>
  <c r="Q990" i="13"/>
  <c r="R990" i="13"/>
  <c r="S990" i="13"/>
  <c r="Q991" i="13"/>
  <c r="R991" i="13"/>
  <c r="S991" i="13"/>
  <c r="Q992" i="13"/>
  <c r="R992" i="13"/>
  <c r="S992" i="13"/>
  <c r="Q993" i="13"/>
  <c r="R993" i="13"/>
  <c r="S993" i="13"/>
  <c r="Q994" i="13"/>
  <c r="R994" i="13"/>
  <c r="S994" i="13"/>
  <c r="Q995" i="13"/>
  <c r="R995" i="13"/>
  <c r="S995" i="13"/>
  <c r="Q996" i="13"/>
  <c r="R996" i="13"/>
  <c r="S996" i="13"/>
  <c r="Q997" i="13"/>
  <c r="R997" i="13"/>
  <c r="S997" i="13"/>
  <c r="Q998" i="13"/>
  <c r="R998" i="13"/>
  <c r="S998" i="13"/>
  <c r="Q999" i="13"/>
  <c r="R999" i="13"/>
  <c r="S999" i="13"/>
  <c r="Q1000" i="13"/>
  <c r="R1000" i="13"/>
  <c r="S1000" i="13"/>
  <c r="Q1001" i="13"/>
  <c r="R1001" i="13"/>
  <c r="S1001" i="13"/>
  <c r="Q1002" i="13"/>
  <c r="R1002" i="13"/>
  <c r="S1002" i="13"/>
  <c r="Q1003" i="13"/>
  <c r="R1003" i="13"/>
  <c r="S1003" i="13"/>
  <c r="Q1004" i="13"/>
  <c r="R1004" i="13"/>
  <c r="S1004" i="13"/>
  <c r="Q1005" i="13"/>
  <c r="R1005" i="13"/>
  <c r="S1005" i="13"/>
  <c r="Q1006" i="13"/>
  <c r="R1006" i="13"/>
  <c r="S1006" i="13"/>
  <c r="Q1007" i="13"/>
  <c r="R1007" i="13"/>
  <c r="S1007" i="13"/>
  <c r="Q1008" i="13"/>
  <c r="R1008" i="13"/>
  <c r="S1008" i="13"/>
  <c r="Q1009" i="13"/>
  <c r="R1009" i="13"/>
  <c r="S1009" i="13"/>
  <c r="Q1010" i="13"/>
  <c r="R1010" i="13"/>
  <c r="S1010" i="13"/>
  <c r="Q1011" i="13"/>
  <c r="R1011" i="13"/>
  <c r="S1011" i="13"/>
  <c r="Q1012" i="13"/>
  <c r="R1012" i="13"/>
  <c r="S1012" i="13"/>
  <c r="Q1013" i="13"/>
  <c r="R1013" i="13"/>
  <c r="S1013" i="13"/>
  <c r="Q1014" i="13"/>
  <c r="R1014" i="13"/>
  <c r="S1014" i="13"/>
  <c r="Q1015" i="13"/>
  <c r="R1015" i="13"/>
  <c r="S1015" i="13"/>
  <c r="Q1016" i="13"/>
  <c r="R1016" i="13"/>
  <c r="S1016" i="13"/>
  <c r="Q1017" i="13"/>
  <c r="R1017" i="13"/>
  <c r="S1017" i="13"/>
  <c r="Q1018" i="13"/>
  <c r="R1018" i="13"/>
  <c r="S1018" i="13"/>
  <c r="Q1019" i="13"/>
  <c r="R1019" i="13"/>
  <c r="S1019" i="13"/>
  <c r="Q1020" i="13"/>
  <c r="R1020" i="13"/>
  <c r="S1020" i="13"/>
  <c r="Q1021" i="13"/>
  <c r="R1021" i="13"/>
  <c r="S1021" i="13"/>
  <c r="Q1022" i="13"/>
  <c r="R1022" i="13"/>
  <c r="S1022" i="13"/>
  <c r="Q1023" i="13"/>
  <c r="R1023" i="13"/>
  <c r="S1023" i="13"/>
  <c r="Q1024" i="13"/>
  <c r="R1024" i="13"/>
  <c r="S1024" i="13"/>
  <c r="Q1025" i="13"/>
  <c r="R1025" i="13"/>
  <c r="S1025" i="13"/>
  <c r="Q1026" i="13"/>
  <c r="R1026" i="13"/>
  <c r="S1026" i="13"/>
  <c r="Q1027" i="13"/>
  <c r="R1027" i="13"/>
  <c r="S1027" i="13"/>
  <c r="Q1028" i="13"/>
  <c r="R1028" i="13"/>
  <c r="S1028" i="13"/>
  <c r="Q1029" i="13"/>
  <c r="R1029" i="13"/>
  <c r="S1029" i="13"/>
  <c r="Q1030" i="13"/>
  <c r="R1030" i="13"/>
  <c r="S1030" i="13"/>
  <c r="Q1031" i="13"/>
  <c r="R1031" i="13"/>
  <c r="S1031" i="13"/>
  <c r="Q1032" i="13"/>
  <c r="R1032" i="13"/>
  <c r="S1032" i="13"/>
  <c r="Q1033" i="13"/>
  <c r="R1033" i="13"/>
  <c r="S1033" i="13"/>
  <c r="Q1034" i="13"/>
  <c r="R1034" i="13"/>
  <c r="S1034" i="13"/>
  <c r="Q1035" i="13"/>
  <c r="R1035" i="13"/>
  <c r="S1035" i="13"/>
  <c r="Q1036" i="13"/>
  <c r="R1036" i="13"/>
  <c r="S1036" i="13"/>
  <c r="Q1037" i="13"/>
  <c r="R1037" i="13"/>
  <c r="S1037" i="13"/>
  <c r="Q1038" i="13"/>
  <c r="R1038" i="13"/>
  <c r="S1038" i="13"/>
  <c r="Q1039" i="13"/>
  <c r="R1039" i="13"/>
  <c r="S1039" i="13"/>
  <c r="Q1040" i="13"/>
  <c r="R1040" i="13"/>
  <c r="S1040" i="13"/>
  <c r="Q1041" i="13"/>
  <c r="R1041" i="13"/>
  <c r="S1041" i="13"/>
  <c r="Q1042" i="13"/>
  <c r="R1042" i="13"/>
  <c r="S1042" i="13"/>
  <c r="Q1043" i="13"/>
  <c r="R1043" i="13"/>
  <c r="S1043" i="13"/>
  <c r="Q1044" i="13"/>
  <c r="R1044" i="13"/>
  <c r="S1044" i="13"/>
  <c r="Q1045" i="13"/>
  <c r="R1045" i="13"/>
  <c r="S1045" i="13"/>
  <c r="Q1046" i="13"/>
  <c r="R1046" i="13"/>
  <c r="S1046" i="13"/>
  <c r="Q1047" i="13"/>
  <c r="R1047" i="13"/>
  <c r="S1047" i="13"/>
  <c r="Q1048" i="13"/>
  <c r="R1048" i="13"/>
  <c r="S1048" i="13"/>
  <c r="Q1049" i="13"/>
  <c r="R1049" i="13"/>
  <c r="S1049" i="13"/>
  <c r="Q1050" i="13"/>
  <c r="R1050" i="13"/>
  <c r="S1050" i="13"/>
  <c r="Q1051" i="13"/>
  <c r="R1051" i="13"/>
  <c r="S1051" i="13"/>
  <c r="Q1052" i="13"/>
  <c r="R1052" i="13"/>
  <c r="S1052" i="13"/>
  <c r="Q1053" i="13"/>
  <c r="R1053" i="13"/>
  <c r="S1053" i="13"/>
  <c r="Q1054" i="13"/>
  <c r="R1054" i="13"/>
  <c r="S1054" i="13"/>
  <c r="Q1055" i="13"/>
  <c r="R1055" i="13"/>
  <c r="S1055" i="13"/>
  <c r="Q1056" i="13"/>
  <c r="R1056" i="13"/>
  <c r="S1056" i="13"/>
  <c r="Q1057" i="13"/>
  <c r="R1057" i="13"/>
  <c r="S1057" i="13"/>
  <c r="Q1058" i="13"/>
  <c r="R1058" i="13"/>
  <c r="S1058" i="13"/>
  <c r="Q1059" i="13"/>
  <c r="R1059" i="13"/>
  <c r="S1059" i="13"/>
  <c r="Q1060" i="13"/>
  <c r="R1060" i="13"/>
  <c r="S1060" i="13"/>
  <c r="Q1061" i="13"/>
  <c r="R1061" i="13"/>
  <c r="S1061" i="13"/>
  <c r="Q1062" i="13"/>
  <c r="R1062" i="13"/>
  <c r="S1062" i="13"/>
  <c r="Q1063" i="13"/>
  <c r="R1063" i="13"/>
  <c r="S1063" i="13"/>
  <c r="Q1064" i="13"/>
  <c r="R1064" i="13"/>
  <c r="S1064" i="13"/>
  <c r="Q1065" i="13"/>
  <c r="R1065" i="13"/>
  <c r="S1065" i="13"/>
  <c r="Q1066" i="13"/>
  <c r="R1066" i="13"/>
  <c r="S1066" i="13"/>
  <c r="Q1067" i="13"/>
  <c r="R1067" i="13"/>
  <c r="S1067" i="13"/>
  <c r="Q1068" i="13"/>
  <c r="R1068" i="13"/>
  <c r="S1068" i="13"/>
  <c r="Q1069" i="13"/>
  <c r="R1069" i="13"/>
  <c r="S1069" i="13"/>
  <c r="Q1070" i="13"/>
  <c r="R1070" i="13"/>
  <c r="S1070" i="13"/>
  <c r="Q1071" i="13"/>
  <c r="R1071" i="13"/>
  <c r="S1071" i="13"/>
  <c r="Q1072" i="13"/>
  <c r="R1072" i="13"/>
  <c r="S1072" i="13"/>
  <c r="Q1073" i="13"/>
  <c r="R1073" i="13"/>
  <c r="S1073" i="13"/>
  <c r="Q1074" i="13"/>
  <c r="R1074" i="13"/>
  <c r="S1074" i="13"/>
  <c r="Q1075" i="13"/>
  <c r="R1075" i="13"/>
  <c r="S1075" i="13"/>
  <c r="Q1076" i="13"/>
  <c r="R1076" i="13"/>
  <c r="S1076" i="13"/>
  <c r="Q1077" i="13"/>
  <c r="R1077" i="13"/>
  <c r="S1077" i="13"/>
  <c r="Q1078" i="13"/>
  <c r="R1078" i="13"/>
  <c r="S1078" i="13"/>
  <c r="Q1079" i="13"/>
  <c r="R1079" i="13"/>
  <c r="S1079" i="13"/>
  <c r="Q1080" i="13"/>
  <c r="R1080" i="13"/>
  <c r="S1080" i="13"/>
  <c r="Q1081" i="13"/>
  <c r="R1081" i="13"/>
  <c r="S1081" i="13"/>
  <c r="Q1082" i="13"/>
  <c r="R1082" i="13"/>
  <c r="S1082" i="13"/>
  <c r="Q1083" i="13"/>
  <c r="R1083" i="13"/>
  <c r="S1083" i="13"/>
  <c r="Q1084" i="13"/>
  <c r="R1084" i="13"/>
  <c r="S1084" i="13"/>
  <c r="Q1085" i="13"/>
  <c r="R1085" i="13"/>
  <c r="S1085" i="13"/>
  <c r="Q1086" i="13"/>
  <c r="R1086" i="13"/>
  <c r="S1086" i="13"/>
  <c r="Q1087" i="13"/>
  <c r="R1087" i="13"/>
  <c r="S1087" i="13"/>
  <c r="Q1088" i="13"/>
  <c r="R1088" i="13"/>
  <c r="S1088" i="13"/>
  <c r="Q1089" i="13"/>
  <c r="R1089" i="13"/>
  <c r="S1089" i="13"/>
  <c r="Q4" i="13"/>
  <c r="R4" i="13"/>
  <c r="S4" i="13"/>
  <c r="Q5" i="13"/>
  <c r="R5" i="13"/>
  <c r="S5" i="13"/>
  <c r="Q6" i="13"/>
  <c r="R6" i="13"/>
  <c r="S6" i="13"/>
  <c r="Q7" i="13"/>
  <c r="R7" i="13"/>
  <c r="S7" i="13"/>
  <c r="Q8" i="13"/>
  <c r="R8" i="13"/>
  <c r="S8" i="13"/>
  <c r="Q9" i="13"/>
  <c r="R9" i="13"/>
  <c r="S9" i="13"/>
  <c r="Q10" i="13"/>
  <c r="R10" i="13"/>
  <c r="S10" i="13"/>
  <c r="Q11" i="13"/>
  <c r="R11" i="13"/>
  <c r="S11" i="13"/>
  <c r="Q12" i="13"/>
  <c r="R12" i="13"/>
  <c r="S12" i="13"/>
  <c r="Q13" i="13"/>
  <c r="R13" i="13"/>
  <c r="S13" i="13"/>
  <c r="Q14" i="13"/>
  <c r="R14" i="13"/>
  <c r="S14" i="13"/>
  <c r="Q15" i="13"/>
  <c r="R15" i="13"/>
  <c r="S15" i="13"/>
  <c r="Q16" i="13"/>
  <c r="R16" i="13"/>
  <c r="S16" i="13"/>
  <c r="Q17" i="13"/>
  <c r="R17" i="13"/>
  <c r="S17" i="13"/>
  <c r="Q18" i="13"/>
  <c r="R18" i="13"/>
  <c r="S18" i="13"/>
  <c r="Q19" i="13"/>
  <c r="R19" i="13"/>
  <c r="S19" i="13"/>
  <c r="Q20" i="13"/>
  <c r="R20" i="13"/>
  <c r="S20" i="13"/>
  <c r="Q21" i="13"/>
  <c r="R21" i="13"/>
  <c r="S21" i="13"/>
  <c r="Q22" i="13"/>
  <c r="R22" i="13"/>
  <c r="S22" i="13"/>
  <c r="Q23" i="13"/>
  <c r="R23" i="13"/>
  <c r="S23" i="13"/>
  <c r="Q24" i="13"/>
  <c r="R24" i="13"/>
  <c r="S24" i="13"/>
  <c r="S24" i="3" l="1"/>
  <c r="X37" i="3" a="1"/>
  <c r="X37" i="3" s="1"/>
  <c r="W37" i="3"/>
  <c r="X36" i="3" a="1"/>
  <c r="X36" i="3" s="1"/>
  <c r="W36" i="3"/>
  <c r="X35" i="3" a="1"/>
  <c r="X35" i="3" s="1"/>
  <c r="W35" i="3"/>
  <c r="X34" i="3" a="1"/>
  <c r="X34" i="3" s="1"/>
  <c r="W34" i="3"/>
  <c r="X33" i="3" a="1"/>
  <c r="X33" i="3" s="1"/>
  <c r="W33" i="3"/>
  <c r="X32" i="3" a="1"/>
  <c r="X32" i="3" s="1"/>
  <c r="W32" i="3"/>
  <c r="X31" i="3" a="1"/>
  <c r="X31" i="3" s="1"/>
  <c r="W31" i="3"/>
  <c r="X30" i="3" a="1"/>
  <c r="X30" i="3" s="1"/>
  <c r="W30" i="3"/>
  <c r="X29" i="3" a="1"/>
  <c r="X29" i="3" s="1"/>
  <c r="W29" i="3"/>
  <c r="X28" i="3" a="1"/>
  <c r="X28" i="3" s="1"/>
  <c r="W28" i="3"/>
  <c r="X27" i="3" a="1"/>
  <c r="X27" i="3" s="1"/>
  <c r="W27" i="3"/>
  <c r="X26" i="3" a="1"/>
  <c r="X26" i="3" s="1"/>
  <c r="W26" i="3"/>
  <c r="X25" i="3" a="1"/>
  <c r="X25" i="3" s="1"/>
  <c r="W25" i="3"/>
  <c r="X24" i="3" a="1"/>
  <c r="X24" i="3" s="1"/>
  <c r="W24" i="3"/>
  <c r="X23" i="3" a="1"/>
  <c r="X23" i="3" s="1"/>
  <c r="W56" i="3" l="1"/>
  <c r="W57" i="3" s="1"/>
  <c r="W58" i="3" s="1"/>
  <c r="W59" i="3" s="1"/>
  <c r="W60" i="3" s="1"/>
  <c r="W61" i="3" s="1"/>
  <c r="W62" i="3" s="1"/>
  <c r="Y50" i="3" l="1" a="1"/>
  <c r="Y50" i="3" s="1"/>
  <c r="Y49" i="3" a="1"/>
  <c r="Y49" i="3" s="1"/>
  <c r="Y48" i="3" a="1"/>
  <c r="Y48" i="3" s="1"/>
  <c r="Y47" i="3" a="1"/>
  <c r="Y47" i="3" s="1"/>
  <c r="Y46" i="3" a="1"/>
  <c r="Y46" i="3" s="1"/>
  <c r="X50" i="3" a="1"/>
  <c r="X50" i="3" s="1"/>
  <c r="X49" i="3" a="1"/>
  <c r="X49" i="3" s="1"/>
  <c r="X48" i="3" a="1"/>
  <c r="X48" i="3" s="1"/>
  <c r="X47" i="3" a="1"/>
  <c r="X47" i="3" s="1"/>
  <c r="X46" i="3" a="1"/>
  <c r="X46" i="3" s="1"/>
  <c r="X18" i="3" a="1"/>
  <c r="X18" i="3" s="1"/>
  <c r="X17" i="3" a="1"/>
  <c r="X17" i="3" s="1"/>
  <c r="X16" i="3" a="1"/>
  <c r="X16" i="3" s="1"/>
  <c r="X15" i="3" a="1"/>
  <c r="X15" i="3" s="1"/>
  <c r="X14" i="3" a="1"/>
  <c r="X14" i="3" s="1"/>
  <c r="X13" i="3" a="1"/>
  <c r="X13" i="3" s="1"/>
  <c r="B4" i="16" l="1" a="1"/>
  <c r="B4" i="16" s="1"/>
  <c r="B5" i="16" s="1" a="1"/>
  <c r="B5" i="16" s="1"/>
  <c r="D5" i="16" l="1"/>
  <c r="E5" i="16"/>
  <c r="B6" i="16" a="1"/>
  <c r="B6" i="16" s="1"/>
  <c r="D6" i="16" s="1"/>
  <c r="F5" i="16"/>
  <c r="C5" i="16"/>
  <c r="H5" i="16" s="1"/>
  <c r="C6" i="16" l="1"/>
  <c r="E6" i="16"/>
  <c r="F6" i="16"/>
  <c r="B7" i="16" a="1"/>
  <c r="B7" i="16" s="1"/>
  <c r="C7" i="16" s="1"/>
  <c r="G5" i="16"/>
  <c r="H6" i="16" l="1"/>
  <c r="E7" i="16"/>
  <c r="D7" i="16"/>
  <c r="F7" i="16"/>
  <c r="B8" i="16" a="1"/>
  <c r="B8" i="16" s="1"/>
  <c r="B9" i="16" s="1" a="1"/>
  <c r="B9" i="16" s="1"/>
  <c r="G6" i="16"/>
  <c r="B4" i="18" a="1"/>
  <c r="B4" i="18" s="1"/>
  <c r="C4" i="18" s="1" a="1"/>
  <c r="C4" i="18" s="1"/>
  <c r="H7" i="16" l="1"/>
  <c r="G7" i="16"/>
  <c r="C9" i="16"/>
  <c r="E9" i="16"/>
  <c r="D9" i="16"/>
  <c r="F9" i="16"/>
  <c r="E8" i="16"/>
  <c r="B5" i="18" a="1"/>
  <c r="B5" i="18" s="1"/>
  <c r="B6" i="18" s="1" a="1"/>
  <c r="B6" i="18" s="1"/>
  <c r="E4" i="18" a="1"/>
  <c r="E4" i="18" s="1"/>
  <c r="F8" i="16"/>
  <c r="F4" i="18" a="1"/>
  <c r="F4" i="18" s="1"/>
  <c r="D4" i="18" a="1"/>
  <c r="D4" i="18" s="1"/>
  <c r="D8" i="16"/>
  <c r="B10" i="16" a="1"/>
  <c r="B10" i="16" s="1"/>
  <c r="E10" i="16" s="1"/>
  <c r="C8" i="16"/>
  <c r="I132" i="1"/>
  <c r="H132" i="1"/>
  <c r="G132" i="1"/>
  <c r="I130" i="1"/>
  <c r="H130" i="1"/>
  <c r="G130" i="1"/>
  <c r="I125" i="1"/>
  <c r="H125" i="1"/>
  <c r="G125" i="1"/>
  <c r="I121" i="1"/>
  <c r="H121" i="1"/>
  <c r="G121" i="1"/>
  <c r="I118" i="1"/>
  <c r="H118" i="1"/>
  <c r="G118" i="1"/>
  <c r="I116" i="1"/>
  <c r="H116" i="1"/>
  <c r="G116" i="1"/>
  <c r="I113" i="1"/>
  <c r="H113" i="1"/>
  <c r="G113" i="1"/>
  <c r="I109" i="1"/>
  <c r="H109" i="1"/>
  <c r="G109" i="1"/>
  <c r="I108" i="1"/>
  <c r="H108" i="1"/>
  <c r="G108" i="1"/>
  <c r="I105" i="1"/>
  <c r="H105" i="1"/>
  <c r="G105" i="1"/>
  <c r="I101" i="1"/>
  <c r="H101" i="1"/>
  <c r="G101" i="1"/>
  <c r="I98" i="1"/>
  <c r="H98" i="1"/>
  <c r="G98" i="1"/>
  <c r="I95" i="1"/>
  <c r="H95" i="1"/>
  <c r="G95" i="1"/>
  <c r="I94" i="1"/>
  <c r="H94" i="1"/>
  <c r="G94" i="1"/>
  <c r="I93" i="1"/>
  <c r="H93" i="1"/>
  <c r="G93" i="1"/>
  <c r="I92" i="1"/>
  <c r="H92" i="1"/>
  <c r="G92" i="1"/>
  <c r="I89" i="1"/>
  <c r="H89" i="1"/>
  <c r="G89" i="1"/>
  <c r="I82" i="1"/>
  <c r="H82" i="1"/>
  <c r="G82" i="1"/>
  <c r="I81" i="1"/>
  <c r="H81" i="1"/>
  <c r="G81" i="1"/>
  <c r="I71" i="1"/>
  <c r="H71" i="1"/>
  <c r="G71" i="1"/>
  <c r="I70" i="1"/>
  <c r="H70" i="1"/>
  <c r="G70" i="1"/>
  <c r="I59" i="1"/>
  <c r="H59" i="1"/>
  <c r="G59" i="1"/>
  <c r="I50" i="1"/>
  <c r="H50" i="1"/>
  <c r="G50" i="1"/>
  <c r="I48" i="1"/>
  <c r="H48" i="1"/>
  <c r="G48" i="1"/>
  <c r="I47" i="1"/>
  <c r="H47" i="1"/>
  <c r="G47" i="1"/>
  <c r="I42" i="1"/>
  <c r="H42" i="1"/>
  <c r="G42" i="1"/>
  <c r="I40" i="1"/>
  <c r="H40" i="1"/>
  <c r="G40" i="1"/>
  <c r="I35" i="1"/>
  <c r="H35" i="1"/>
  <c r="G35" i="1"/>
  <c r="I30" i="1"/>
  <c r="H30" i="1"/>
  <c r="G30" i="1"/>
  <c r="I14" i="1"/>
  <c r="H14" i="1"/>
  <c r="G14" i="1"/>
  <c r="I13" i="1"/>
  <c r="H13" i="1"/>
  <c r="G13" i="1"/>
  <c r="I5" i="1"/>
  <c r="H5" i="1"/>
  <c r="G5" i="1"/>
  <c r="G3" i="1"/>
  <c r="H3" i="1"/>
  <c r="I3" i="1"/>
  <c r="G4" i="1"/>
  <c r="H4" i="1"/>
  <c r="I4" i="1"/>
  <c r="G6" i="1"/>
  <c r="H6" i="1"/>
  <c r="I6" i="1"/>
  <c r="G7" i="1"/>
  <c r="H7" i="1"/>
  <c r="I7" i="1"/>
  <c r="G8" i="1"/>
  <c r="H8" i="1"/>
  <c r="I8" i="1"/>
  <c r="G9" i="1"/>
  <c r="H9" i="1"/>
  <c r="I9" i="1"/>
  <c r="G10" i="1"/>
  <c r="H10" i="1"/>
  <c r="I10" i="1"/>
  <c r="G11" i="1"/>
  <c r="H11" i="1"/>
  <c r="I11" i="1"/>
  <c r="G12" i="1"/>
  <c r="H12" i="1"/>
  <c r="I12" i="1"/>
  <c r="G15" i="1"/>
  <c r="H15" i="1"/>
  <c r="I15" i="1"/>
  <c r="G16" i="1"/>
  <c r="H16" i="1"/>
  <c r="I16" i="1"/>
  <c r="G17" i="1"/>
  <c r="H17" i="1"/>
  <c r="I17" i="1"/>
  <c r="G18" i="1"/>
  <c r="H18" i="1"/>
  <c r="I18" i="1"/>
  <c r="G19" i="1"/>
  <c r="H19" i="1"/>
  <c r="I19" i="1"/>
  <c r="G20" i="1"/>
  <c r="H20" i="1"/>
  <c r="I20" i="1"/>
  <c r="G21" i="1"/>
  <c r="H21" i="1"/>
  <c r="I21" i="1"/>
  <c r="G22" i="1"/>
  <c r="H22" i="1"/>
  <c r="I22" i="1"/>
  <c r="G23" i="1"/>
  <c r="H23" i="1"/>
  <c r="I23" i="1"/>
  <c r="G24" i="1"/>
  <c r="H24" i="1"/>
  <c r="I24" i="1"/>
  <c r="G25" i="1"/>
  <c r="H25" i="1"/>
  <c r="I25" i="1"/>
  <c r="G26" i="1"/>
  <c r="H26" i="1"/>
  <c r="I26" i="1"/>
  <c r="G27" i="1"/>
  <c r="H27" i="1"/>
  <c r="I27" i="1"/>
  <c r="G28" i="1"/>
  <c r="H28" i="1"/>
  <c r="I28" i="1"/>
  <c r="G29" i="1"/>
  <c r="H29" i="1"/>
  <c r="I29" i="1"/>
  <c r="G31" i="1"/>
  <c r="H31" i="1"/>
  <c r="I31" i="1"/>
  <c r="G32" i="1"/>
  <c r="H32" i="1"/>
  <c r="I32" i="1"/>
  <c r="G33" i="1"/>
  <c r="H33" i="1"/>
  <c r="I33" i="1"/>
  <c r="G34" i="1"/>
  <c r="H34" i="1"/>
  <c r="I34" i="1"/>
  <c r="G36" i="1"/>
  <c r="H36" i="1"/>
  <c r="I36" i="1"/>
  <c r="G37" i="1"/>
  <c r="H37" i="1"/>
  <c r="I37" i="1"/>
  <c r="G38" i="1"/>
  <c r="H38" i="1"/>
  <c r="I38" i="1"/>
  <c r="G39" i="1"/>
  <c r="H39" i="1"/>
  <c r="I39" i="1"/>
  <c r="G41" i="1"/>
  <c r="H41" i="1"/>
  <c r="I41" i="1"/>
  <c r="G43" i="1"/>
  <c r="H43" i="1"/>
  <c r="I43" i="1"/>
  <c r="G44" i="1"/>
  <c r="H44" i="1"/>
  <c r="I44" i="1"/>
  <c r="G45" i="1"/>
  <c r="H45" i="1"/>
  <c r="I45" i="1"/>
  <c r="G46" i="1"/>
  <c r="H46" i="1"/>
  <c r="I46" i="1"/>
  <c r="G49" i="1"/>
  <c r="H49" i="1"/>
  <c r="I49" i="1"/>
  <c r="G51" i="1"/>
  <c r="H51" i="1"/>
  <c r="I51" i="1"/>
  <c r="G52" i="1"/>
  <c r="H52" i="1"/>
  <c r="I52" i="1"/>
  <c r="G53" i="1"/>
  <c r="H53" i="1"/>
  <c r="I53" i="1"/>
  <c r="G54" i="1"/>
  <c r="H54" i="1"/>
  <c r="I54" i="1"/>
  <c r="G55" i="1"/>
  <c r="H55" i="1"/>
  <c r="I55" i="1"/>
  <c r="G56" i="1"/>
  <c r="H56" i="1"/>
  <c r="I56" i="1"/>
  <c r="G57" i="1"/>
  <c r="H57" i="1"/>
  <c r="I57" i="1"/>
  <c r="G58" i="1"/>
  <c r="H58" i="1"/>
  <c r="I58" i="1"/>
  <c r="G60" i="1"/>
  <c r="H60" i="1"/>
  <c r="I60" i="1"/>
  <c r="G61" i="1"/>
  <c r="H61" i="1"/>
  <c r="I61" i="1"/>
  <c r="G62" i="1"/>
  <c r="H62" i="1"/>
  <c r="I62" i="1"/>
  <c r="G63" i="1"/>
  <c r="H63" i="1"/>
  <c r="I63" i="1"/>
  <c r="G64" i="1"/>
  <c r="H64" i="1"/>
  <c r="I64" i="1"/>
  <c r="G65" i="1"/>
  <c r="H65" i="1"/>
  <c r="I65" i="1"/>
  <c r="G66" i="1"/>
  <c r="H66" i="1"/>
  <c r="I66" i="1"/>
  <c r="G67" i="1"/>
  <c r="H67" i="1"/>
  <c r="I67" i="1"/>
  <c r="G68" i="1"/>
  <c r="H68" i="1"/>
  <c r="I68" i="1"/>
  <c r="G69" i="1"/>
  <c r="H69" i="1"/>
  <c r="I69" i="1"/>
  <c r="G72" i="1"/>
  <c r="H72" i="1"/>
  <c r="I72" i="1"/>
  <c r="G73" i="1"/>
  <c r="H73" i="1"/>
  <c r="I73" i="1"/>
  <c r="G74" i="1"/>
  <c r="H74" i="1"/>
  <c r="I74" i="1"/>
  <c r="G75" i="1"/>
  <c r="H75" i="1"/>
  <c r="I75" i="1"/>
  <c r="G76" i="1"/>
  <c r="H76" i="1"/>
  <c r="I76" i="1"/>
  <c r="G77" i="1"/>
  <c r="H77" i="1"/>
  <c r="I77" i="1"/>
  <c r="G78" i="1"/>
  <c r="H78" i="1"/>
  <c r="I78" i="1"/>
  <c r="G79" i="1"/>
  <c r="H79" i="1"/>
  <c r="I79" i="1"/>
  <c r="G80" i="1"/>
  <c r="H80" i="1"/>
  <c r="I80" i="1"/>
  <c r="G83" i="1"/>
  <c r="H83" i="1"/>
  <c r="I83" i="1"/>
  <c r="G84" i="1"/>
  <c r="H84" i="1"/>
  <c r="I84" i="1"/>
  <c r="G85" i="1"/>
  <c r="H85" i="1"/>
  <c r="I85" i="1"/>
  <c r="G86" i="1"/>
  <c r="H86" i="1"/>
  <c r="I86" i="1"/>
  <c r="G87" i="1"/>
  <c r="H87" i="1"/>
  <c r="I87" i="1"/>
  <c r="G88" i="1"/>
  <c r="H88" i="1"/>
  <c r="I88" i="1"/>
  <c r="G90" i="1"/>
  <c r="H90" i="1"/>
  <c r="I90" i="1"/>
  <c r="G91" i="1"/>
  <c r="H91" i="1"/>
  <c r="I91" i="1"/>
  <c r="G96" i="1"/>
  <c r="H96" i="1"/>
  <c r="I96" i="1"/>
  <c r="G97" i="1"/>
  <c r="H97" i="1"/>
  <c r="I97" i="1"/>
  <c r="G99" i="1"/>
  <c r="H99" i="1"/>
  <c r="I99" i="1"/>
  <c r="G100" i="1"/>
  <c r="H100" i="1"/>
  <c r="I100" i="1"/>
  <c r="G102" i="1"/>
  <c r="H102" i="1"/>
  <c r="I102" i="1"/>
  <c r="G103" i="1"/>
  <c r="H103" i="1"/>
  <c r="I103" i="1"/>
  <c r="G104" i="1"/>
  <c r="H104" i="1"/>
  <c r="I104" i="1"/>
  <c r="G106" i="1"/>
  <c r="H106" i="1"/>
  <c r="I106" i="1"/>
  <c r="G107" i="1"/>
  <c r="H107" i="1"/>
  <c r="I107" i="1"/>
  <c r="G110" i="1"/>
  <c r="H110" i="1"/>
  <c r="I110" i="1"/>
  <c r="G111" i="1"/>
  <c r="H111" i="1"/>
  <c r="I111" i="1"/>
  <c r="G112" i="1"/>
  <c r="H112" i="1"/>
  <c r="I112" i="1"/>
  <c r="G114" i="1"/>
  <c r="H114" i="1"/>
  <c r="I114" i="1"/>
  <c r="G115" i="1"/>
  <c r="H115" i="1"/>
  <c r="I115" i="1"/>
  <c r="G117" i="1"/>
  <c r="H117" i="1"/>
  <c r="I117" i="1"/>
  <c r="G119" i="1"/>
  <c r="H119" i="1"/>
  <c r="I119" i="1"/>
  <c r="G120" i="1"/>
  <c r="H120" i="1"/>
  <c r="I120" i="1"/>
  <c r="G122" i="1"/>
  <c r="H122" i="1"/>
  <c r="I122" i="1"/>
  <c r="G123" i="1"/>
  <c r="H123" i="1"/>
  <c r="I123" i="1"/>
  <c r="G124" i="1"/>
  <c r="H124" i="1"/>
  <c r="I124" i="1"/>
  <c r="G126" i="1"/>
  <c r="H126" i="1"/>
  <c r="I126" i="1"/>
  <c r="G127" i="1"/>
  <c r="H127" i="1"/>
  <c r="I127" i="1"/>
  <c r="G128" i="1"/>
  <c r="H128" i="1"/>
  <c r="I128" i="1"/>
  <c r="G129" i="1"/>
  <c r="H129" i="1"/>
  <c r="I129" i="1"/>
  <c r="G131" i="1"/>
  <c r="H131" i="1"/>
  <c r="I131" i="1"/>
  <c r="G133" i="1"/>
  <c r="H133" i="1"/>
  <c r="I133" i="1"/>
  <c r="G134" i="1"/>
  <c r="H134" i="1"/>
  <c r="I134" i="1"/>
  <c r="G135" i="1"/>
  <c r="H135" i="1"/>
  <c r="I135" i="1"/>
  <c r="G136" i="1"/>
  <c r="H136" i="1"/>
  <c r="I136" i="1"/>
  <c r="G137" i="1"/>
  <c r="H137" i="1"/>
  <c r="I137" i="1"/>
  <c r="G138" i="1"/>
  <c r="H138" i="1"/>
  <c r="I138" i="1"/>
  <c r="G139" i="1"/>
  <c r="H139" i="1"/>
  <c r="I139" i="1"/>
  <c r="G140" i="1"/>
  <c r="H140" i="1"/>
  <c r="I140" i="1"/>
  <c r="G141" i="1"/>
  <c r="H141" i="1"/>
  <c r="I141" i="1"/>
  <c r="G142" i="1"/>
  <c r="H142" i="1"/>
  <c r="I142" i="1"/>
  <c r="G143" i="1"/>
  <c r="H143" i="1"/>
  <c r="I143" i="1"/>
  <c r="G144" i="1"/>
  <c r="H144" i="1"/>
  <c r="I144" i="1"/>
  <c r="G145" i="1"/>
  <c r="H145" i="1"/>
  <c r="I145" i="1"/>
  <c r="G146" i="1"/>
  <c r="H146" i="1"/>
  <c r="I146" i="1"/>
  <c r="G147" i="1"/>
  <c r="H147" i="1"/>
  <c r="I147" i="1"/>
  <c r="G148" i="1"/>
  <c r="H148" i="1"/>
  <c r="I148" i="1"/>
  <c r="G149" i="1"/>
  <c r="H149" i="1"/>
  <c r="I149" i="1"/>
  <c r="G150" i="1"/>
  <c r="H150" i="1"/>
  <c r="I150" i="1"/>
  <c r="G151" i="1"/>
  <c r="H151" i="1"/>
  <c r="I151" i="1"/>
  <c r="G152" i="1"/>
  <c r="H152" i="1"/>
  <c r="I152" i="1"/>
  <c r="G153" i="1"/>
  <c r="H153" i="1"/>
  <c r="I153" i="1"/>
  <c r="G154" i="1"/>
  <c r="H154" i="1"/>
  <c r="I154" i="1"/>
  <c r="G155" i="1"/>
  <c r="H155" i="1"/>
  <c r="I155" i="1"/>
  <c r="G156" i="1"/>
  <c r="H156" i="1"/>
  <c r="I156" i="1"/>
  <c r="G157" i="1"/>
  <c r="H157" i="1"/>
  <c r="I157" i="1"/>
  <c r="G158" i="1"/>
  <c r="H158" i="1"/>
  <c r="I158" i="1"/>
  <c r="G159" i="1"/>
  <c r="H159" i="1"/>
  <c r="I159" i="1"/>
  <c r="I2" i="1"/>
  <c r="H2" i="1"/>
  <c r="G2" i="1"/>
  <c r="V12" i="3"/>
  <c r="H8" i="16" l="1"/>
  <c r="H9" i="16"/>
  <c r="G9" i="16"/>
  <c r="G8" i="16"/>
  <c r="D10" i="16"/>
  <c r="D6" i="18" a="1"/>
  <c r="D6" i="18" s="1"/>
  <c r="F6" i="18" a="1"/>
  <c r="F6" i="18" s="1"/>
  <c r="E6" i="18" a="1"/>
  <c r="E6" i="18" s="1"/>
  <c r="C6" i="18" a="1"/>
  <c r="C6" i="18" s="1"/>
  <c r="B11" i="16" a="1"/>
  <c r="B11" i="16" s="1"/>
  <c r="F11" i="16" s="1"/>
  <c r="C10" i="16"/>
  <c r="F10" i="16"/>
  <c r="C5" i="18" a="1"/>
  <c r="C5" i="18" s="1"/>
  <c r="D5" i="18" a="1"/>
  <c r="D5" i="18" s="1"/>
  <c r="E5" i="18" a="1"/>
  <c r="E5" i="18" s="1"/>
  <c r="F5" i="18" a="1"/>
  <c r="F5" i="18" s="1"/>
  <c r="B7" i="18" a="1"/>
  <c r="B7" i="18" s="1"/>
  <c r="Y13" i="3"/>
  <c r="H10" i="16" l="1"/>
  <c r="G10" i="16"/>
  <c r="D11" i="16"/>
  <c r="E7" i="18" a="1"/>
  <c r="E7" i="18" s="1"/>
  <c r="C7" i="18" a="1"/>
  <c r="C7" i="18" s="1"/>
  <c r="D7" i="18" a="1"/>
  <c r="D7" i="18" s="1"/>
  <c r="F7" i="18" a="1"/>
  <c r="F7" i="18" s="1"/>
  <c r="H5" i="18"/>
  <c r="G5" i="18"/>
  <c r="E11" i="16"/>
  <c r="H6" i="18"/>
  <c r="G6" i="18"/>
  <c r="B12" i="16" a="1"/>
  <c r="B12" i="16" s="1"/>
  <c r="E12" i="16" s="1"/>
  <c r="C11" i="16"/>
  <c r="B8" i="18" a="1"/>
  <c r="B8" i="18" s="1"/>
  <c r="H11" i="16" l="1"/>
  <c r="G11" i="16"/>
  <c r="B13" i="16" a="1"/>
  <c r="B13" i="16" s="1"/>
  <c r="D13" i="16" s="1"/>
  <c r="D12" i="16"/>
  <c r="C12" i="16"/>
  <c r="F12" i="16"/>
  <c r="B9" i="18" a="1"/>
  <c r="B9" i="18" s="1"/>
  <c r="G7" i="18"/>
  <c r="H7" i="18"/>
  <c r="D8" i="18" a="1"/>
  <c r="D8" i="18" s="1"/>
  <c r="E8" i="18" a="1"/>
  <c r="E8" i="18" s="1"/>
  <c r="F8" i="18" a="1"/>
  <c r="F8" i="18" s="1"/>
  <c r="C8" i="18" a="1"/>
  <c r="C8" i="18" s="1"/>
  <c r="H4" i="18"/>
  <c r="G4" i="18"/>
  <c r="H12" i="16" l="1"/>
  <c r="G12" i="16"/>
  <c r="E13" i="16"/>
  <c r="F13" i="16"/>
  <c r="B14" i="16" a="1"/>
  <c r="B14" i="16" s="1"/>
  <c r="B15" i="16" s="1" a="1"/>
  <c r="B15" i="16" s="1"/>
  <c r="E15" i="16" s="1"/>
  <c r="C13" i="16"/>
  <c r="B10" i="18" a="1"/>
  <c r="B10" i="18" s="1"/>
  <c r="E9" i="18" a="1"/>
  <c r="E9" i="18" s="1"/>
  <c r="C9" i="18" a="1"/>
  <c r="C9" i="18" s="1"/>
  <c r="F9" i="18" a="1"/>
  <c r="F9" i="18" s="1"/>
  <c r="D9" i="18" a="1"/>
  <c r="D9" i="18" s="1"/>
  <c r="G8" i="18"/>
  <c r="H8" i="18"/>
  <c r="H13" i="16" l="1"/>
  <c r="G13" i="16"/>
  <c r="B16" i="16" a="1"/>
  <c r="B16" i="16" s="1"/>
  <c r="E14" i="16"/>
  <c r="D15" i="16"/>
  <c r="D14" i="16"/>
  <c r="F15" i="16"/>
  <c r="G15" i="16" s="1"/>
  <c r="F14" i="16"/>
  <c r="C15" i="16"/>
  <c r="C14" i="16"/>
  <c r="D10" i="18" a="1"/>
  <c r="D10" i="18" s="1"/>
  <c r="E10" i="18" a="1"/>
  <c r="E10" i="18" s="1"/>
  <c r="C10" i="18" a="1"/>
  <c r="C10" i="18" s="1"/>
  <c r="F10" i="18" a="1"/>
  <c r="F10" i="18" s="1"/>
  <c r="B11" i="18" a="1"/>
  <c r="B11" i="18" s="1"/>
  <c r="H9" i="18"/>
  <c r="G9" i="18"/>
  <c r="R3" i="13"/>
  <c r="S3" i="13"/>
  <c r="B7" i="14"/>
  <c r="AA7" i="14"/>
  <c r="O7" i="14"/>
  <c r="A2" i="3"/>
  <c r="B2" i="3" s="1"/>
  <c r="F2" i="3" s="1"/>
  <c r="W4" i="4"/>
  <c r="W3" i="4"/>
  <c r="W2" i="4"/>
  <c r="Q3" i="13"/>
  <c r="P15" i="3"/>
  <c r="M2" i="3"/>
  <c r="M15" i="3" s="1"/>
  <c r="P8" i="3" a="1"/>
  <c r="P8" i="3" s="1"/>
  <c r="T8" i="3" a="1"/>
  <c r="T8" i="3" s="1"/>
  <c r="S8" i="3" a="1"/>
  <c r="S8" i="3" s="1"/>
  <c r="R8" i="3" a="1"/>
  <c r="R8" i="3" s="1"/>
  <c r="Q8" i="3" a="1"/>
  <c r="Q8" i="3" s="1"/>
  <c r="AB3" i="3" a="1"/>
  <c r="AB3" i="3" s="1"/>
  <c r="AB4" i="3" a="1"/>
  <c r="AB4" i="3" s="1"/>
  <c r="AB5" i="3" a="1"/>
  <c r="AB5" i="3" s="1"/>
  <c r="AB6" i="3" a="1"/>
  <c r="AB6" i="3" s="1"/>
  <c r="AB7" i="3" a="1"/>
  <c r="AB7" i="3" s="1"/>
  <c r="AA3" i="3" a="1"/>
  <c r="AA3" i="3" s="1"/>
  <c r="AA4" i="3" a="1"/>
  <c r="AA4" i="3" s="1"/>
  <c r="AA5" i="3" a="1"/>
  <c r="AA5" i="3" s="1"/>
  <c r="AA6" i="3" a="1"/>
  <c r="AA6" i="3" s="1"/>
  <c r="AA7" i="3" a="1"/>
  <c r="AA7" i="3" s="1"/>
  <c r="Z3" i="3" a="1"/>
  <c r="Z3" i="3" s="1"/>
  <c r="Z4" i="3" a="1"/>
  <c r="Z4" i="3" s="1"/>
  <c r="Z5" i="3" a="1"/>
  <c r="Z5" i="3" s="1"/>
  <c r="Z6" i="3" a="1"/>
  <c r="Z6" i="3" s="1"/>
  <c r="Z7" i="3" a="1"/>
  <c r="Z7" i="3" s="1"/>
  <c r="Y3" i="3" a="1"/>
  <c r="Y3" i="3" s="1"/>
  <c r="Y4" i="3" a="1"/>
  <c r="Y4" i="3" s="1"/>
  <c r="Y5" i="3" a="1"/>
  <c r="Y5" i="3" s="1"/>
  <c r="Y6" i="3" a="1"/>
  <c r="Y6" i="3" s="1"/>
  <c r="Y7" i="3" a="1"/>
  <c r="Y7" i="3" s="1"/>
  <c r="AB2" i="3" a="1"/>
  <c r="AB2" i="3" s="1"/>
  <c r="AA2" i="3" a="1"/>
  <c r="AA2" i="3" s="1"/>
  <c r="Z2" i="3" a="1"/>
  <c r="Z2" i="3" s="1"/>
  <c r="Y2" i="3" a="1"/>
  <c r="Y2" i="3" s="1"/>
  <c r="X3" i="3" a="1"/>
  <c r="X3" i="3" s="1"/>
  <c r="X4" i="3" a="1"/>
  <c r="X4" i="3" s="1"/>
  <c r="X5" i="3" a="1"/>
  <c r="X5" i="3" s="1"/>
  <c r="X6" i="3" a="1"/>
  <c r="X6" i="3" s="1"/>
  <c r="X7" i="3" a="1"/>
  <c r="X7" i="3" s="1"/>
  <c r="X2" i="3" a="1"/>
  <c r="X2" i="3" s="1"/>
  <c r="M5" i="3"/>
  <c r="T4" i="3" a="1"/>
  <c r="T4" i="3" s="1"/>
  <c r="T3" i="3" a="1"/>
  <c r="T3" i="3" s="1"/>
  <c r="T2" i="3" a="1"/>
  <c r="T2" i="3" s="1"/>
  <c r="S4" i="3" a="1"/>
  <c r="S4" i="3" s="1"/>
  <c r="S3" i="3" a="1"/>
  <c r="S3" i="3" s="1"/>
  <c r="S2" i="3" a="1"/>
  <c r="S2" i="3" s="1"/>
  <c r="R4" i="3" a="1"/>
  <c r="R4" i="3" s="1"/>
  <c r="R3" i="3" a="1"/>
  <c r="R3" i="3" s="1"/>
  <c r="R2" i="3" a="1"/>
  <c r="R2" i="3" s="1"/>
  <c r="R23" i="3" a="1"/>
  <c r="R23" i="3" s="1"/>
  <c r="R38" i="3" s="1"/>
  <c r="M7" i="3" a="1"/>
  <c r="M7" i="3" s="1"/>
  <c r="J155" i="3"/>
  <c r="K155" i="3"/>
  <c r="J156" i="3"/>
  <c r="K156" i="3"/>
  <c r="J157" i="3"/>
  <c r="K157" i="3"/>
  <c r="J158" i="3"/>
  <c r="K158" i="3"/>
  <c r="J159" i="3"/>
  <c r="K159" i="3"/>
  <c r="J160" i="3"/>
  <c r="K160" i="3"/>
  <c r="J161" i="3"/>
  <c r="K161" i="3"/>
  <c r="J162" i="3"/>
  <c r="K162" i="3"/>
  <c r="J163" i="3"/>
  <c r="K163" i="3"/>
  <c r="J164" i="3"/>
  <c r="K164" i="3"/>
  <c r="J165" i="3"/>
  <c r="K165" i="3"/>
  <c r="J166" i="3"/>
  <c r="K166" i="3"/>
  <c r="J167" i="3"/>
  <c r="K167" i="3"/>
  <c r="J168" i="3"/>
  <c r="K168" i="3"/>
  <c r="J169" i="3"/>
  <c r="K169" i="3"/>
  <c r="J170" i="3"/>
  <c r="K170" i="3"/>
  <c r="J171" i="3"/>
  <c r="K171" i="3"/>
  <c r="J172" i="3"/>
  <c r="K172" i="3"/>
  <c r="J173" i="3"/>
  <c r="K173" i="3"/>
  <c r="J174" i="3"/>
  <c r="K174" i="3"/>
  <c r="J175" i="3"/>
  <c r="K175" i="3"/>
  <c r="J176" i="3"/>
  <c r="K176" i="3"/>
  <c r="J177" i="3"/>
  <c r="K177" i="3"/>
  <c r="J178" i="3"/>
  <c r="K178" i="3"/>
  <c r="J179" i="3"/>
  <c r="K179" i="3"/>
  <c r="J180" i="3"/>
  <c r="K180" i="3"/>
  <c r="J181" i="3"/>
  <c r="K181" i="3"/>
  <c r="J182" i="3"/>
  <c r="K182" i="3"/>
  <c r="J183" i="3"/>
  <c r="K183" i="3"/>
  <c r="J184" i="3"/>
  <c r="K184" i="3"/>
  <c r="J185" i="3"/>
  <c r="K185" i="3"/>
  <c r="J186" i="3"/>
  <c r="K186" i="3"/>
  <c r="J187" i="3"/>
  <c r="K187" i="3"/>
  <c r="J188" i="3"/>
  <c r="K188" i="3"/>
  <c r="J189" i="3"/>
  <c r="K189" i="3"/>
  <c r="J190" i="3"/>
  <c r="K190" i="3"/>
  <c r="J191" i="3"/>
  <c r="K191" i="3"/>
  <c r="J192" i="3"/>
  <c r="K192" i="3"/>
  <c r="J193" i="3"/>
  <c r="K193" i="3"/>
  <c r="J194" i="3"/>
  <c r="K194" i="3"/>
  <c r="J195" i="3"/>
  <c r="K195" i="3"/>
  <c r="J196" i="3"/>
  <c r="K196" i="3"/>
  <c r="J197" i="3"/>
  <c r="K197" i="3"/>
  <c r="J198" i="3"/>
  <c r="K198" i="3"/>
  <c r="J199" i="3"/>
  <c r="K199" i="3"/>
  <c r="J200" i="3"/>
  <c r="K200" i="3"/>
  <c r="J201" i="3"/>
  <c r="K201" i="3"/>
  <c r="J202" i="3"/>
  <c r="K202" i="3"/>
  <c r="J203" i="3"/>
  <c r="K203" i="3"/>
  <c r="J204" i="3"/>
  <c r="K204" i="3"/>
  <c r="J205" i="3"/>
  <c r="K205" i="3"/>
  <c r="J206" i="3"/>
  <c r="K206" i="3"/>
  <c r="J207" i="3"/>
  <c r="K207" i="3"/>
  <c r="J208" i="3"/>
  <c r="K208" i="3"/>
  <c r="J209" i="3"/>
  <c r="K209" i="3"/>
  <c r="J210" i="3"/>
  <c r="K210" i="3"/>
  <c r="J211" i="3"/>
  <c r="K211" i="3"/>
  <c r="J212" i="3"/>
  <c r="K212" i="3"/>
  <c r="J213" i="3"/>
  <c r="K213" i="3"/>
  <c r="J214" i="3"/>
  <c r="K214" i="3"/>
  <c r="J215" i="3"/>
  <c r="K215" i="3"/>
  <c r="J216" i="3"/>
  <c r="K216" i="3"/>
  <c r="J217" i="3"/>
  <c r="K217" i="3"/>
  <c r="J218" i="3"/>
  <c r="K218" i="3"/>
  <c r="J219" i="3"/>
  <c r="K219" i="3"/>
  <c r="J220" i="3"/>
  <c r="K220" i="3"/>
  <c r="J221" i="3"/>
  <c r="K221" i="3"/>
  <c r="J222" i="3"/>
  <c r="K222" i="3"/>
  <c r="J223" i="3"/>
  <c r="K223" i="3"/>
  <c r="J224" i="3"/>
  <c r="K224" i="3"/>
  <c r="J225" i="3"/>
  <c r="K225" i="3"/>
  <c r="J226" i="3"/>
  <c r="K226" i="3"/>
  <c r="J227" i="3"/>
  <c r="K227" i="3"/>
  <c r="J228" i="3"/>
  <c r="K228" i="3"/>
  <c r="J229" i="3"/>
  <c r="K229" i="3"/>
  <c r="J230" i="3"/>
  <c r="K230" i="3"/>
  <c r="J231" i="3"/>
  <c r="K231" i="3"/>
  <c r="J232" i="3"/>
  <c r="K232" i="3"/>
  <c r="J233" i="3"/>
  <c r="K233" i="3"/>
  <c r="J234" i="3"/>
  <c r="K234" i="3"/>
  <c r="M11" i="3"/>
  <c r="M10" i="3"/>
  <c r="M9" i="3" a="1"/>
  <c r="M9" i="3" s="1"/>
  <c r="Q23" i="3" a="1"/>
  <c r="Q23" i="3" s="1"/>
  <c r="Q38" i="3" s="1"/>
  <c r="P23" i="3" a="1"/>
  <c r="P23" i="3" s="1"/>
  <c r="P38" i="3" s="1"/>
  <c r="O23" i="3" a="1"/>
  <c r="O23" i="3" s="1"/>
  <c r="O38" i="3" s="1"/>
  <c r="N23" i="3" a="1"/>
  <c r="N23" i="3" s="1"/>
  <c r="M23" i="3" a="1"/>
  <c r="M23" i="3" s="1"/>
  <c r="M38" i="3" s="1"/>
  <c r="M17" i="3" s="1"/>
  <c r="P16" i="3"/>
  <c r="P17" i="3"/>
  <c r="P18" i="3"/>
  <c r="S18" i="3"/>
  <c r="S17" i="3"/>
  <c r="S16" i="3"/>
  <c r="S15" i="3"/>
  <c r="P3" i="3" a="1"/>
  <c r="P3" i="3" s="1"/>
  <c r="P2" i="3" a="1"/>
  <c r="P2" i="3" s="1"/>
  <c r="Q4" i="3" a="1"/>
  <c r="Q4" i="3" s="1"/>
  <c r="P4" i="3" a="1"/>
  <c r="P4" i="3" s="1"/>
  <c r="Q3" i="3" a="1"/>
  <c r="Q3" i="3" s="1"/>
  <c r="Q2" i="3" a="1"/>
  <c r="Q2" i="3" s="1"/>
  <c r="M8" i="3"/>
  <c r="K154" i="3"/>
  <c r="J154" i="3"/>
  <c r="K153" i="3"/>
  <c r="J153" i="3"/>
  <c r="K152" i="3"/>
  <c r="J152" i="3"/>
  <c r="K151" i="3"/>
  <c r="J151" i="3"/>
  <c r="K150" i="3"/>
  <c r="J150" i="3"/>
  <c r="K149" i="3"/>
  <c r="J149" i="3"/>
  <c r="K148" i="3"/>
  <c r="J148" i="3"/>
  <c r="K147" i="3"/>
  <c r="J147" i="3"/>
  <c r="K146" i="3"/>
  <c r="J146" i="3"/>
  <c r="K145" i="3"/>
  <c r="J145" i="3"/>
  <c r="K144" i="3"/>
  <c r="J144" i="3"/>
  <c r="K143" i="3"/>
  <c r="J143" i="3"/>
  <c r="K142" i="3"/>
  <c r="J142" i="3"/>
  <c r="K141" i="3"/>
  <c r="J141" i="3"/>
  <c r="K140" i="3"/>
  <c r="J140" i="3"/>
  <c r="K139" i="3"/>
  <c r="J139" i="3"/>
  <c r="K138" i="3"/>
  <c r="J138" i="3"/>
  <c r="K137" i="3"/>
  <c r="J137" i="3"/>
  <c r="K136" i="3"/>
  <c r="J136" i="3"/>
  <c r="K135" i="3"/>
  <c r="J135" i="3"/>
  <c r="K134" i="3"/>
  <c r="J134" i="3"/>
  <c r="K133" i="3"/>
  <c r="J133" i="3"/>
  <c r="K132" i="3"/>
  <c r="J132" i="3"/>
  <c r="K131" i="3"/>
  <c r="J131" i="3"/>
  <c r="K130" i="3"/>
  <c r="J130" i="3"/>
  <c r="K129" i="3"/>
  <c r="J129" i="3"/>
  <c r="K128" i="3"/>
  <c r="J128" i="3"/>
  <c r="K127" i="3"/>
  <c r="J127" i="3"/>
  <c r="K126" i="3"/>
  <c r="J126" i="3"/>
  <c r="K125" i="3"/>
  <c r="J125" i="3"/>
  <c r="K124" i="3"/>
  <c r="J124" i="3"/>
  <c r="K123" i="3"/>
  <c r="J123" i="3"/>
  <c r="K122" i="3"/>
  <c r="J122" i="3"/>
  <c r="K121" i="3"/>
  <c r="J121" i="3"/>
  <c r="K120" i="3"/>
  <c r="J120" i="3"/>
  <c r="K119" i="3"/>
  <c r="J119" i="3"/>
  <c r="K118" i="3"/>
  <c r="J118" i="3"/>
  <c r="K117" i="3"/>
  <c r="J117" i="3"/>
  <c r="K116" i="3"/>
  <c r="J116" i="3"/>
  <c r="K115" i="3"/>
  <c r="J115" i="3"/>
  <c r="K114" i="3"/>
  <c r="J114" i="3"/>
  <c r="K113" i="3"/>
  <c r="J113" i="3"/>
  <c r="K112" i="3"/>
  <c r="J112" i="3"/>
  <c r="K111" i="3"/>
  <c r="J111" i="3"/>
  <c r="K110" i="3"/>
  <c r="J110" i="3"/>
  <c r="K109" i="3"/>
  <c r="J109" i="3"/>
  <c r="K108" i="3"/>
  <c r="J108" i="3"/>
  <c r="K107" i="3"/>
  <c r="J107" i="3"/>
  <c r="K106" i="3"/>
  <c r="J106" i="3"/>
  <c r="J105" i="3"/>
  <c r="K105" i="3"/>
  <c r="K104" i="3"/>
  <c r="J104" i="3"/>
  <c r="J103" i="3"/>
  <c r="K103" i="3"/>
  <c r="K102" i="3"/>
  <c r="J102" i="3"/>
  <c r="K101" i="3"/>
  <c r="J101" i="3"/>
  <c r="K100" i="3"/>
  <c r="J100" i="3"/>
  <c r="K99" i="3"/>
  <c r="J99" i="3"/>
  <c r="J98" i="3"/>
  <c r="K98" i="3"/>
  <c r="J97" i="3"/>
  <c r="K97" i="3"/>
  <c r="J96" i="3"/>
  <c r="K96" i="3"/>
  <c r="K95" i="3"/>
  <c r="J95" i="3"/>
  <c r="J94" i="3"/>
  <c r="K94" i="3"/>
  <c r="J93" i="3"/>
  <c r="K93" i="3"/>
  <c r="J92" i="3"/>
  <c r="K92" i="3"/>
  <c r="K91" i="3"/>
  <c r="J91" i="3"/>
  <c r="J90" i="3"/>
  <c r="K90" i="3"/>
  <c r="J89" i="3"/>
  <c r="K89" i="3"/>
  <c r="J88" i="3"/>
  <c r="K88" i="3"/>
  <c r="K87" i="3"/>
  <c r="J87" i="3"/>
  <c r="J86" i="3"/>
  <c r="K86" i="3"/>
  <c r="J85" i="3"/>
  <c r="K85" i="3"/>
  <c r="J84" i="3"/>
  <c r="K84" i="3"/>
  <c r="K83" i="3"/>
  <c r="J83" i="3"/>
  <c r="B8" i="14"/>
  <c r="AA8" i="14"/>
  <c r="O8" i="14"/>
  <c r="A3" i="3"/>
  <c r="E16" i="16" l="1"/>
  <c r="F16" i="16"/>
  <c r="H14" i="16"/>
  <c r="H15" i="16"/>
  <c r="H7" i="14"/>
  <c r="X62" i="3" a="1"/>
  <c r="X62" i="3" s="1"/>
  <c r="X56" i="3" a="1"/>
  <c r="X56" i="3" s="1"/>
  <c r="X58" i="3" a="1"/>
  <c r="X58" i="3" s="1"/>
  <c r="X60" i="3" a="1"/>
  <c r="X60" i="3" s="1"/>
  <c r="X59" i="3" a="1"/>
  <c r="X59" i="3" s="1"/>
  <c r="X57" i="3" a="1"/>
  <c r="X57" i="3" s="1"/>
  <c r="X61" i="3" a="1"/>
  <c r="X61" i="3" s="1"/>
  <c r="AA49" i="3" a="1"/>
  <c r="AA49" i="3" s="1"/>
  <c r="AA48" i="3" a="1"/>
  <c r="AA48" i="3" s="1"/>
  <c r="X42" i="3" a="1"/>
  <c r="X42" i="3" s="1"/>
  <c r="AA47" i="3" a="1"/>
  <c r="AA47" i="3" s="1"/>
  <c r="AA46" i="3" a="1"/>
  <c r="AA46" i="3" s="1"/>
  <c r="X44" i="3" a="1"/>
  <c r="X44" i="3" s="1"/>
  <c r="X45" i="3" a="1"/>
  <c r="X45" i="3" s="1"/>
  <c r="X43" i="3" a="1"/>
  <c r="X43" i="3" s="1"/>
  <c r="AC19" i="3" a="1"/>
  <c r="AC19" i="3" s="1"/>
  <c r="AC18" i="3" a="1"/>
  <c r="AC18" i="3" s="1"/>
  <c r="AC17" i="3" a="1"/>
  <c r="AC17" i="3" s="1"/>
  <c r="AC14" i="3" a="1"/>
  <c r="AC14" i="3" s="1"/>
  <c r="AC13" i="3" a="1"/>
  <c r="AC13" i="3" s="1"/>
  <c r="AC16" i="3" a="1"/>
  <c r="AC16" i="3" s="1"/>
  <c r="AC15" i="3" a="1"/>
  <c r="AC15" i="3" s="1"/>
  <c r="G14" i="16"/>
  <c r="B17" i="16" a="1"/>
  <c r="B17" i="16" s="1"/>
  <c r="D17" i="16" s="1"/>
  <c r="C16" i="16"/>
  <c r="H16" i="16" s="1"/>
  <c r="K2" i="3"/>
  <c r="Q7" i="14"/>
  <c r="P7" i="14"/>
  <c r="S7" i="14"/>
  <c r="AO7" i="14" s="1"/>
  <c r="Y7" i="14" s="1"/>
  <c r="R7" i="14"/>
  <c r="AN7" i="14" s="1"/>
  <c r="X7" i="14" s="1"/>
  <c r="G10" i="18"/>
  <c r="H10" i="18"/>
  <c r="C11" i="18" a="1"/>
  <c r="C11" i="18" s="1"/>
  <c r="F11" i="18" a="1"/>
  <c r="F11" i="18" s="1"/>
  <c r="D11" i="18" a="1"/>
  <c r="D11" i="18" s="1"/>
  <c r="E11" i="18" a="1"/>
  <c r="E11" i="18" s="1"/>
  <c r="B12" i="18" a="1"/>
  <c r="B12" i="18" s="1"/>
  <c r="J2" i="3"/>
  <c r="F7" i="14"/>
  <c r="E7" i="14"/>
  <c r="AI7" i="14" s="1"/>
  <c r="L7" i="14" s="1"/>
  <c r="D7" i="14"/>
  <c r="AH7" i="14" s="1"/>
  <c r="K7" i="14" s="1"/>
  <c r="C7" i="14"/>
  <c r="AG7" i="14" s="1"/>
  <c r="J7" i="14" s="1"/>
  <c r="S8" i="14"/>
  <c r="R8" i="14"/>
  <c r="Q8" i="14"/>
  <c r="P8" i="14"/>
  <c r="F8" i="14"/>
  <c r="D8" i="14"/>
  <c r="C8" i="14"/>
  <c r="E8" i="14"/>
  <c r="C2" i="3" a="1"/>
  <c r="C2" i="3" s="1"/>
  <c r="D2" i="3" a="1"/>
  <c r="D2" i="3" s="1"/>
  <c r="R5" i="3"/>
  <c r="S5" i="3"/>
  <c r="T5" i="3"/>
  <c r="U3" i="3"/>
  <c r="U4" i="3"/>
  <c r="AC4" i="3"/>
  <c r="AA8" i="3"/>
  <c r="X8" i="3"/>
  <c r="AC2" i="3"/>
  <c r="AC7" i="3"/>
  <c r="AC3" i="3"/>
  <c r="AB8" i="3"/>
  <c r="AC6" i="3"/>
  <c r="Y8" i="3"/>
  <c r="Q5" i="3"/>
  <c r="U2" i="3"/>
  <c r="P5" i="3"/>
  <c r="AC5" i="3"/>
  <c r="Z8" i="3"/>
  <c r="U8" i="3"/>
  <c r="M16" i="3" s="1"/>
  <c r="X51" i="3"/>
  <c r="X19" i="3"/>
  <c r="X41" i="3"/>
  <c r="D4" i="16"/>
  <c r="C4" i="16"/>
  <c r="E4" i="16"/>
  <c r="F4" i="16"/>
  <c r="Y51" i="3"/>
  <c r="N38" i="3"/>
  <c r="S23" i="3"/>
  <c r="S38" i="3" s="1"/>
  <c r="M18" i="3" s="1"/>
  <c r="C3" i="3" a="1"/>
  <c r="C3" i="3" s="1"/>
  <c r="B3" i="3" a="1"/>
  <c r="B3" i="3" s="1"/>
  <c r="F3" i="3" s="1"/>
  <c r="D3" i="3" a="1"/>
  <c r="D3" i="3" s="1"/>
  <c r="K3" i="3"/>
  <c r="J3" i="3"/>
  <c r="H8" i="14"/>
  <c r="B9" i="14"/>
  <c r="AA9" i="14"/>
  <c r="O9" i="14"/>
  <c r="A4" i="3"/>
  <c r="A5" i="3" s="1"/>
  <c r="A6" i="3" s="1"/>
  <c r="B6" i="3" l="1" a="1"/>
  <c r="B6" i="3" s="1"/>
  <c r="F6" i="3" s="1"/>
  <c r="C6" i="3" a="1"/>
  <c r="C6" i="3" s="1"/>
  <c r="D6" i="3" a="1"/>
  <c r="D6" i="3" s="1"/>
  <c r="D5" i="3" a="1"/>
  <c r="D5" i="3" s="1"/>
  <c r="C5" i="3" a="1"/>
  <c r="C5" i="3" s="1"/>
  <c r="B5" i="3" a="1"/>
  <c r="B5" i="3" s="1"/>
  <c r="F5" i="3" s="1"/>
  <c r="C9" i="14"/>
  <c r="AG9" i="14" s="1"/>
  <c r="P9" i="14"/>
  <c r="AL9" i="14" s="1"/>
  <c r="F9" i="14"/>
  <c r="AJ9" i="14" s="1"/>
  <c r="M9" i="14" s="1"/>
  <c r="H9" i="14"/>
  <c r="S9" i="14"/>
  <c r="AO9" i="14" s="1"/>
  <c r="Y9" i="14" s="1"/>
  <c r="D9" i="14"/>
  <c r="AH9" i="14" s="1"/>
  <c r="K9" i="14" s="1"/>
  <c r="E9" i="14"/>
  <c r="AI9" i="14" s="1"/>
  <c r="L9" i="14" s="1"/>
  <c r="R9" i="14"/>
  <c r="AN9" i="14" s="1"/>
  <c r="X9" i="14" s="1"/>
  <c r="Q9" i="14"/>
  <c r="AM9" i="14" s="1"/>
  <c r="W9" i="14" s="1"/>
  <c r="C4" i="3" a="1"/>
  <c r="C4" i="3" s="1"/>
  <c r="B4" i="3" a="1"/>
  <c r="B4" i="3" s="1"/>
  <c r="F4" i="3" s="1"/>
  <c r="D4" i="3" a="1"/>
  <c r="D4" i="3" s="1"/>
  <c r="H4" i="16"/>
  <c r="G16" i="16"/>
  <c r="F17" i="16"/>
  <c r="B18" i="16" a="1"/>
  <c r="B18" i="16" s="1"/>
  <c r="E18" i="16" s="1"/>
  <c r="C17" i="16"/>
  <c r="E17" i="16"/>
  <c r="D12" i="18" a="1"/>
  <c r="D12" i="18" s="1"/>
  <c r="C12" i="18" a="1"/>
  <c r="C12" i="18" s="1"/>
  <c r="F12" i="18" a="1"/>
  <c r="F12" i="18" s="1"/>
  <c r="E12" i="18" a="1"/>
  <c r="E12" i="18" s="1"/>
  <c r="B13" i="18" a="1"/>
  <c r="B13" i="18" s="1"/>
  <c r="G11" i="18"/>
  <c r="H11" i="18"/>
  <c r="E2" i="3" a="1"/>
  <c r="E2" i="3" s="1"/>
  <c r="H2" i="3" s="1"/>
  <c r="G2" i="3"/>
  <c r="I2" i="3" s="1"/>
  <c r="G7" i="14"/>
  <c r="AB7" i="14" s="1"/>
  <c r="AC7" i="14" s="1"/>
  <c r="U5" i="3"/>
  <c r="AC8" i="3"/>
  <c r="M19" i="3" s="1"/>
  <c r="M20" i="3" s="1"/>
  <c r="G4" i="16"/>
  <c r="AJ7" i="14"/>
  <c r="M7" i="14" s="1"/>
  <c r="T7" i="14"/>
  <c r="AL7" i="14"/>
  <c r="V7" i="14" s="1"/>
  <c r="AM7" i="14"/>
  <c r="W7" i="14" s="1"/>
  <c r="E3" i="3" a="1"/>
  <c r="E3" i="3" s="1"/>
  <c r="AH8" i="14"/>
  <c r="K8" i="14" s="1"/>
  <c r="AM8" i="14"/>
  <c r="W8" i="14" s="1"/>
  <c r="AN8" i="14"/>
  <c r="X8" i="14" s="1"/>
  <c r="AJ8" i="14"/>
  <c r="M8" i="14" s="1"/>
  <c r="T8" i="14"/>
  <c r="AL8" i="14"/>
  <c r="G8" i="14"/>
  <c r="AG8" i="14"/>
  <c r="J8" i="14" s="1"/>
  <c r="AI8" i="14"/>
  <c r="L8" i="14" s="1"/>
  <c r="AO8" i="14"/>
  <c r="Y8" i="14" s="1"/>
  <c r="G3" i="3"/>
  <c r="B10" i="14"/>
  <c r="O10" i="14"/>
  <c r="AA10" i="14"/>
  <c r="A7" i="3"/>
  <c r="A8" i="3"/>
  <c r="H17" i="16" l="1"/>
  <c r="R10" i="14"/>
  <c r="AN10" i="14" s="1"/>
  <c r="X10" i="14" s="1"/>
  <c r="D10" i="14"/>
  <c r="AH10" i="14" s="1"/>
  <c r="K10" i="14" s="1"/>
  <c r="C10" i="14"/>
  <c r="Q10" i="14"/>
  <c r="AM10" i="14" s="1"/>
  <c r="W10" i="14" s="1"/>
  <c r="S10" i="14"/>
  <c r="AO10" i="14" s="1"/>
  <c r="Y10" i="14" s="1"/>
  <c r="P10" i="14"/>
  <c r="AL10" i="14" s="1"/>
  <c r="V10" i="14" s="1"/>
  <c r="F10" i="14"/>
  <c r="AJ10" i="14" s="1"/>
  <c r="M10" i="14" s="1"/>
  <c r="E10" i="14"/>
  <c r="AI10" i="14" s="1"/>
  <c r="L10" i="14" s="1"/>
  <c r="D8" i="3" a="1"/>
  <c r="D8" i="3" s="1"/>
  <c r="C8" i="3" a="1"/>
  <c r="C8" i="3" s="1"/>
  <c r="B8" i="3" a="1"/>
  <c r="B8" i="3" s="1"/>
  <c r="F8" i="3" s="1"/>
  <c r="C7" i="3" a="1"/>
  <c r="C7" i="3" s="1"/>
  <c r="B7" i="3" a="1"/>
  <c r="B7" i="3" s="1"/>
  <c r="F7" i="3" s="1"/>
  <c r="D7" i="3" a="1"/>
  <c r="D7" i="3" s="1"/>
  <c r="E6" i="3" a="1"/>
  <c r="E6" i="3" s="1"/>
  <c r="H6" i="3" s="1"/>
  <c r="G5" i="3"/>
  <c r="AG10" i="14"/>
  <c r="J10" i="14" s="1"/>
  <c r="G6" i="3"/>
  <c r="T9" i="14"/>
  <c r="AD9" i="14" s="1"/>
  <c r="U9" i="14" s="1"/>
  <c r="G9" i="14"/>
  <c r="AB9" i="14" s="1"/>
  <c r="I9" i="14" s="1"/>
  <c r="G4" i="3"/>
  <c r="H10" i="14"/>
  <c r="E5" i="3" a="1"/>
  <c r="E5" i="3" s="1"/>
  <c r="H5" i="3" s="1"/>
  <c r="E4" i="3" a="1"/>
  <c r="E4" i="3" s="1"/>
  <c r="H4" i="3" s="1"/>
  <c r="AK9" i="14"/>
  <c r="N9" i="14" s="1"/>
  <c r="AP9" i="14"/>
  <c r="J9" i="14"/>
  <c r="V9" i="14"/>
  <c r="G17" i="16"/>
  <c r="D18" i="16"/>
  <c r="B19" i="16" a="1"/>
  <c r="B19" i="16" s="1"/>
  <c r="F19" i="16" s="1"/>
  <c r="C18" i="16"/>
  <c r="F18" i="16"/>
  <c r="B14" i="18" a="1"/>
  <c r="B14" i="18" s="1"/>
  <c r="H12" i="18"/>
  <c r="G12" i="18"/>
  <c r="F13" i="18" a="1"/>
  <c r="F13" i="18" s="1"/>
  <c r="D13" i="18" a="1"/>
  <c r="D13" i="18" s="1"/>
  <c r="E13" i="18" a="1"/>
  <c r="E13" i="18" s="1"/>
  <c r="C13" i="18" a="1"/>
  <c r="C13" i="18" s="1"/>
  <c r="I3" i="3"/>
  <c r="H3" i="3"/>
  <c r="AK7" i="14"/>
  <c r="N7" i="14" s="1"/>
  <c r="I7" i="14"/>
  <c r="AP7" i="14"/>
  <c r="Z7" i="14" s="1"/>
  <c r="AD7" i="14"/>
  <c r="AE7" i="14" s="1"/>
  <c r="AF7" i="14" s="1"/>
  <c r="AP8" i="14"/>
  <c r="Z8" i="14" s="1"/>
  <c r="V8" i="14"/>
  <c r="AK8" i="14"/>
  <c r="N8" i="14" s="1"/>
  <c r="AD8" i="14"/>
  <c r="AB8" i="14"/>
  <c r="AC8" i="14" s="1"/>
  <c r="B11" i="14"/>
  <c r="AA11" i="14"/>
  <c r="O11" i="14"/>
  <c r="A9" i="3"/>
  <c r="A10" i="3"/>
  <c r="B12" i="14"/>
  <c r="E8" i="3" l="1" a="1"/>
  <c r="E8" i="3" s="1"/>
  <c r="H8" i="3" s="1"/>
  <c r="E7" i="3" a="1"/>
  <c r="E7" i="3" s="1"/>
  <c r="H7" i="3" s="1"/>
  <c r="H18" i="16"/>
  <c r="Q12" i="14"/>
  <c r="AM12" i="14" s="1"/>
  <c r="W12" i="14" s="1"/>
  <c r="F12" i="14"/>
  <c r="AJ12" i="14" s="1"/>
  <c r="M12" i="14" s="1"/>
  <c r="S12" i="14"/>
  <c r="AO12" i="14" s="1"/>
  <c r="Y12" i="14" s="1"/>
  <c r="D12" i="14"/>
  <c r="AH12" i="14" s="1"/>
  <c r="K12" i="14" s="1"/>
  <c r="E12" i="14"/>
  <c r="AI12" i="14" s="1"/>
  <c r="L12" i="14" s="1"/>
  <c r="R12" i="14"/>
  <c r="AN12" i="14" s="1"/>
  <c r="X12" i="14" s="1"/>
  <c r="C12" i="14"/>
  <c r="P12" i="14"/>
  <c r="P11" i="14"/>
  <c r="F11" i="14"/>
  <c r="AJ11" i="14" s="1"/>
  <c r="M11" i="14" s="1"/>
  <c r="D11" i="14"/>
  <c r="AH11" i="14" s="1"/>
  <c r="K11" i="14" s="1"/>
  <c r="C11" i="14"/>
  <c r="Q11" i="14"/>
  <c r="AM11" i="14" s="1"/>
  <c r="W11" i="14" s="1"/>
  <c r="R11" i="14"/>
  <c r="AN11" i="14" s="1"/>
  <c r="X11" i="14" s="1"/>
  <c r="S11" i="14"/>
  <c r="AO11" i="14" s="1"/>
  <c r="Y11" i="14" s="1"/>
  <c r="E11" i="14"/>
  <c r="AI11" i="14" s="1"/>
  <c r="L11" i="14" s="1"/>
  <c r="T10" i="14"/>
  <c r="AD10" i="14" s="1"/>
  <c r="U10" i="14" s="1"/>
  <c r="G10" i="14"/>
  <c r="AB10" i="14" s="1"/>
  <c r="I10" i="14" s="1"/>
  <c r="B10" i="3" a="1"/>
  <c r="B10" i="3" s="1"/>
  <c r="F10" i="3" s="1"/>
  <c r="C10" i="3" a="1"/>
  <c r="C10" i="3" s="1"/>
  <c r="G10" i="3" s="1"/>
  <c r="D10" i="3" a="1"/>
  <c r="D10" i="3" s="1"/>
  <c r="D9" i="3" a="1"/>
  <c r="D9" i="3" s="1"/>
  <c r="B9" i="3" a="1"/>
  <c r="B9" i="3" s="1"/>
  <c r="F9" i="3" s="1"/>
  <c r="C9" i="3" a="1"/>
  <c r="C9" i="3" s="1"/>
  <c r="G7" i="3"/>
  <c r="G8" i="3"/>
  <c r="AP10" i="14"/>
  <c r="Z10" i="14" s="1"/>
  <c r="Z9" i="14"/>
  <c r="AK10" i="14"/>
  <c r="I4" i="3"/>
  <c r="I5" i="3" s="1"/>
  <c r="I6" i="3" s="1"/>
  <c r="I7" i="3" s="1"/>
  <c r="I8" i="3" s="1"/>
  <c r="H11" i="14"/>
  <c r="AC9" i="14"/>
  <c r="G18" i="16"/>
  <c r="D19" i="16"/>
  <c r="E19" i="16"/>
  <c r="B20" i="16" a="1"/>
  <c r="B20" i="16" s="1"/>
  <c r="F20" i="16" s="1"/>
  <c r="C19" i="16"/>
  <c r="H13" i="18"/>
  <c r="G13" i="18"/>
  <c r="F14" i="18" a="1"/>
  <c r="F14" i="18" s="1"/>
  <c r="E14" i="18" a="1"/>
  <c r="E14" i="18" s="1"/>
  <c r="C14" i="18" a="1"/>
  <c r="C14" i="18" s="1"/>
  <c r="D14" i="18" a="1"/>
  <c r="D14" i="18" s="1"/>
  <c r="B15" i="18" a="1"/>
  <c r="B15" i="18" s="1"/>
  <c r="AE8" i="14"/>
  <c r="AE9" i="14" s="1"/>
  <c r="AE10" i="14" s="1"/>
  <c r="U7" i="14"/>
  <c r="I8" i="14"/>
  <c r="U8" i="14"/>
  <c r="B13" i="14"/>
  <c r="O12" i="14"/>
  <c r="AA12" i="14"/>
  <c r="A11" i="3"/>
  <c r="A12" i="3"/>
  <c r="N10" i="14" l="1"/>
  <c r="G9" i="3"/>
  <c r="S13" i="14"/>
  <c r="AO13" i="14" s="1"/>
  <c r="Y13" i="14" s="1"/>
  <c r="Q13" i="14"/>
  <c r="AM13" i="14" s="1"/>
  <c r="W13" i="14" s="1"/>
  <c r="C13" i="14"/>
  <c r="F13" i="14"/>
  <c r="AJ13" i="14" s="1"/>
  <c r="M13" i="14" s="1"/>
  <c r="P13" i="14"/>
  <c r="E13" i="14"/>
  <c r="AI13" i="14" s="1"/>
  <c r="L13" i="14" s="1"/>
  <c r="D13" i="14"/>
  <c r="AH13" i="14" s="1"/>
  <c r="K13" i="14" s="1"/>
  <c r="R13" i="14"/>
  <c r="AN13" i="14" s="1"/>
  <c r="X13" i="14" s="1"/>
  <c r="AG12" i="14"/>
  <c r="G12" i="14"/>
  <c r="AB12" i="14" s="1"/>
  <c r="I12" i="14" s="1"/>
  <c r="AL11" i="14"/>
  <c r="T11" i="14"/>
  <c r="AC10" i="14"/>
  <c r="AF10" i="14" s="1"/>
  <c r="AG11" i="14"/>
  <c r="G11" i="14"/>
  <c r="AL12" i="14"/>
  <c r="T12" i="14"/>
  <c r="D12" i="3" a="1"/>
  <c r="D12" i="3" s="1"/>
  <c r="C12" i="3" a="1"/>
  <c r="C12" i="3" s="1"/>
  <c r="B12" i="3" a="1"/>
  <c r="B12" i="3" s="1"/>
  <c r="F12" i="3" s="1"/>
  <c r="D11" i="3" a="1"/>
  <c r="D11" i="3" s="1"/>
  <c r="B11" i="3" a="1"/>
  <c r="B11" i="3" s="1"/>
  <c r="F11" i="3" s="1"/>
  <c r="C11" i="3" a="1"/>
  <c r="C11" i="3" s="1"/>
  <c r="G11" i="3" s="1"/>
  <c r="I9" i="3"/>
  <c r="I10" i="3" s="1"/>
  <c r="E9" i="3" a="1"/>
  <c r="E9" i="3" s="1"/>
  <c r="H9" i="3" s="1"/>
  <c r="E10" i="3" a="1"/>
  <c r="E10" i="3" s="1"/>
  <c r="H10" i="3" s="1"/>
  <c r="H12" i="14"/>
  <c r="H19" i="16"/>
  <c r="AF9" i="14"/>
  <c r="G19" i="16"/>
  <c r="B21" i="16" a="1"/>
  <c r="B21" i="16" s="1"/>
  <c r="C21" i="16" s="1"/>
  <c r="C20" i="16"/>
  <c r="D20" i="16"/>
  <c r="E20" i="16"/>
  <c r="G14" i="18"/>
  <c r="H14" i="18"/>
  <c r="C15" i="18" a="1"/>
  <c r="C15" i="18" s="1"/>
  <c r="E15" i="18" a="1"/>
  <c r="E15" i="18" s="1"/>
  <c r="F15" i="18" a="1"/>
  <c r="F15" i="18" s="1"/>
  <c r="D15" i="18" a="1"/>
  <c r="D15" i="18" s="1"/>
  <c r="B16" i="18" a="1"/>
  <c r="B16" i="18" s="1"/>
  <c r="AF8" i="14"/>
  <c r="B14" i="14"/>
  <c r="O13" i="14"/>
  <c r="AA13" i="14"/>
  <c r="A13" i="3"/>
  <c r="A14" i="3"/>
  <c r="G12" i="3" l="1"/>
  <c r="S14" i="14"/>
  <c r="AO14" i="14" s="1"/>
  <c r="Y14" i="14" s="1"/>
  <c r="C14" i="14"/>
  <c r="R14" i="14"/>
  <c r="AN14" i="14" s="1"/>
  <c r="X14" i="14" s="1"/>
  <c r="E14" i="14"/>
  <c r="AI14" i="14" s="1"/>
  <c r="L14" i="14" s="1"/>
  <c r="F14" i="14"/>
  <c r="AJ14" i="14" s="1"/>
  <c r="M14" i="14" s="1"/>
  <c r="D14" i="14"/>
  <c r="AH14" i="14" s="1"/>
  <c r="K14" i="14" s="1"/>
  <c r="P14" i="14"/>
  <c r="Q14" i="14"/>
  <c r="AM14" i="14" s="1"/>
  <c r="W14" i="14" s="1"/>
  <c r="V12" i="14"/>
  <c r="AP12" i="14"/>
  <c r="Z12" i="14" s="1"/>
  <c r="J12" i="14"/>
  <c r="AK12" i="14"/>
  <c r="N12" i="14" s="1"/>
  <c r="G13" i="14"/>
  <c r="AG13" i="14"/>
  <c r="AK13" i="14" s="1"/>
  <c r="J11" i="14"/>
  <c r="AK11" i="14"/>
  <c r="N11" i="14" s="1"/>
  <c r="AD12" i="14"/>
  <c r="U12" i="14" s="1"/>
  <c r="AL13" i="14"/>
  <c r="AP13" i="14" s="1"/>
  <c r="T13" i="14"/>
  <c r="AD11" i="14"/>
  <c r="AB11" i="14"/>
  <c r="V11" i="14"/>
  <c r="AP11" i="14"/>
  <c r="Z11" i="14" s="1"/>
  <c r="B14" i="3" a="1"/>
  <c r="B14" i="3" s="1"/>
  <c r="F14" i="3" s="1"/>
  <c r="C14" i="3" a="1"/>
  <c r="C14" i="3" s="1"/>
  <c r="G14" i="3" s="1"/>
  <c r="D14" i="3" a="1"/>
  <c r="D14" i="3" s="1"/>
  <c r="D13" i="3" a="1"/>
  <c r="D13" i="3" s="1"/>
  <c r="C13" i="3" a="1"/>
  <c r="C13" i="3" s="1"/>
  <c r="G13" i="3" s="1"/>
  <c r="B13" i="3" a="1"/>
  <c r="B13" i="3" s="1"/>
  <c r="F13" i="3" s="1"/>
  <c r="I11" i="3"/>
  <c r="I12" i="3" s="1"/>
  <c r="E11" i="3" a="1"/>
  <c r="E11" i="3" s="1"/>
  <c r="H11" i="3" s="1"/>
  <c r="E12" i="3" a="1"/>
  <c r="E12" i="3" s="1"/>
  <c r="H12" i="3" s="1"/>
  <c r="H13" i="14"/>
  <c r="H20" i="16"/>
  <c r="G20" i="16"/>
  <c r="D21" i="16"/>
  <c r="F21" i="16"/>
  <c r="E21" i="16"/>
  <c r="B22" i="16" a="1"/>
  <c r="B22" i="16" s="1"/>
  <c r="F22" i="16" s="1"/>
  <c r="D16" i="18" a="1"/>
  <c r="D16" i="18" s="1"/>
  <c r="F16" i="18" a="1"/>
  <c r="F16" i="18" s="1"/>
  <c r="C16" i="18" a="1"/>
  <c r="C16" i="18" s="1"/>
  <c r="E16" i="18" a="1"/>
  <c r="E16" i="18" s="1"/>
  <c r="B17" i="18" a="1"/>
  <c r="B17" i="18" s="1"/>
  <c r="G15" i="18"/>
  <c r="H15" i="18"/>
  <c r="B15" i="14"/>
  <c r="AA14" i="14"/>
  <c r="O14" i="14"/>
  <c r="A15" i="3"/>
  <c r="A16" i="3"/>
  <c r="B16" i="14"/>
  <c r="V13" i="14" l="1"/>
  <c r="J13" i="14"/>
  <c r="H21" i="16"/>
  <c r="D16" i="14"/>
  <c r="AH16" i="14" s="1"/>
  <c r="K16" i="14" s="1"/>
  <c r="R16" i="14"/>
  <c r="AN16" i="14" s="1"/>
  <c r="X16" i="14" s="1"/>
  <c r="S16" i="14"/>
  <c r="AO16" i="14" s="1"/>
  <c r="Y16" i="14" s="1"/>
  <c r="Q16" i="14"/>
  <c r="AM16" i="14" s="1"/>
  <c r="W16" i="14" s="1"/>
  <c r="E16" i="14"/>
  <c r="AI16" i="14" s="1"/>
  <c r="L16" i="14" s="1"/>
  <c r="F16" i="14"/>
  <c r="AJ16" i="14" s="1"/>
  <c r="M16" i="14" s="1"/>
  <c r="P16" i="14"/>
  <c r="C16" i="14"/>
  <c r="R15" i="14"/>
  <c r="AN15" i="14" s="1"/>
  <c r="X15" i="14" s="1"/>
  <c r="F15" i="14"/>
  <c r="AJ15" i="14" s="1"/>
  <c r="M15" i="14" s="1"/>
  <c r="D15" i="14"/>
  <c r="AH15" i="14" s="1"/>
  <c r="K15" i="14" s="1"/>
  <c r="C15" i="14"/>
  <c r="Q15" i="14"/>
  <c r="AM15" i="14" s="1"/>
  <c r="W15" i="14" s="1"/>
  <c r="P15" i="14"/>
  <c r="S15" i="14"/>
  <c r="AO15" i="14" s="1"/>
  <c r="Y15" i="14" s="1"/>
  <c r="E15" i="14"/>
  <c r="AI15" i="14" s="1"/>
  <c r="L15" i="14" s="1"/>
  <c r="AL14" i="14"/>
  <c r="AP14" i="14" s="1"/>
  <c r="T14" i="14"/>
  <c r="V14" i="14"/>
  <c r="AG14" i="14"/>
  <c r="AK14" i="14" s="1"/>
  <c r="G14" i="14"/>
  <c r="J14" i="14"/>
  <c r="U11" i="14"/>
  <c r="AE11" i="14"/>
  <c r="AE12" i="14" s="1"/>
  <c r="I11" i="14"/>
  <c r="AC11" i="14"/>
  <c r="AD13" i="14"/>
  <c r="U13" i="14" s="1"/>
  <c r="Z13" i="14"/>
  <c r="AB13" i="14"/>
  <c r="I13" i="14" s="1"/>
  <c r="N13" i="14"/>
  <c r="J16" i="3"/>
  <c r="K16" i="3"/>
  <c r="C16" i="3" a="1"/>
  <c r="C16" i="3" s="1"/>
  <c r="B16" i="3" a="1"/>
  <c r="B16" i="3" s="1"/>
  <c r="F16" i="3" s="1"/>
  <c r="D16" i="3" a="1"/>
  <c r="D16" i="3" s="1"/>
  <c r="J15" i="3"/>
  <c r="K15" i="3"/>
  <c r="C15" i="3" a="1"/>
  <c r="C15" i="3" s="1"/>
  <c r="B15" i="3" a="1"/>
  <c r="B15" i="3" s="1"/>
  <c r="F15" i="3" s="1"/>
  <c r="D15" i="3" a="1"/>
  <c r="D15" i="3" s="1"/>
  <c r="I13" i="3"/>
  <c r="I14" i="3" s="1"/>
  <c r="E13" i="3" a="1"/>
  <c r="E13" i="3" s="1"/>
  <c r="H13" i="3" s="1"/>
  <c r="E14" i="3" a="1"/>
  <c r="E14" i="3" s="1"/>
  <c r="H14" i="3" s="1"/>
  <c r="H14" i="14"/>
  <c r="G21" i="16"/>
  <c r="B23" i="16" a="1"/>
  <c r="B23" i="16" s="1"/>
  <c r="F23" i="16" s="1"/>
  <c r="C22" i="16"/>
  <c r="D22" i="16"/>
  <c r="E22" i="16"/>
  <c r="G16" i="18"/>
  <c r="H16" i="18"/>
  <c r="D17" i="18" a="1"/>
  <c r="D17" i="18" s="1"/>
  <c r="E17" i="18" a="1"/>
  <c r="E17" i="18" s="1"/>
  <c r="F17" i="18" a="1"/>
  <c r="F17" i="18" s="1"/>
  <c r="C17" i="18" a="1"/>
  <c r="C17" i="18" s="1"/>
  <c r="B18" i="18" a="1"/>
  <c r="B18" i="18" s="1"/>
  <c r="B17" i="14"/>
  <c r="O15" i="14"/>
  <c r="AA15" i="14"/>
  <c r="A17" i="3"/>
  <c r="A18" i="3"/>
  <c r="E15" i="3" l="1" a="1"/>
  <c r="E15" i="3" s="1"/>
  <c r="H15" i="3" s="1"/>
  <c r="G16" i="3"/>
  <c r="D17" i="14"/>
  <c r="AH17" i="14" s="1"/>
  <c r="K17" i="14" s="1"/>
  <c r="R17" i="14"/>
  <c r="AN17" i="14" s="1"/>
  <c r="X17" i="14" s="1"/>
  <c r="E17" i="14"/>
  <c r="AI17" i="14" s="1"/>
  <c r="L17" i="14" s="1"/>
  <c r="P17" i="14"/>
  <c r="C17" i="14"/>
  <c r="F17" i="14"/>
  <c r="AJ17" i="14" s="1"/>
  <c r="M17" i="14" s="1"/>
  <c r="Q17" i="14"/>
  <c r="AM17" i="14" s="1"/>
  <c r="W17" i="14" s="1"/>
  <c r="S17" i="14"/>
  <c r="AO17" i="14" s="1"/>
  <c r="Y17" i="14" s="1"/>
  <c r="AL16" i="14"/>
  <c r="AP16" i="14" s="1"/>
  <c r="T16" i="14"/>
  <c r="AD16" i="14" s="1"/>
  <c r="U16" i="14" s="1"/>
  <c r="AL15" i="14"/>
  <c r="T15" i="14"/>
  <c r="AB14" i="14"/>
  <c r="I14" i="14" s="1"/>
  <c r="N14" i="14"/>
  <c r="AF11" i="14"/>
  <c r="AC12" i="14"/>
  <c r="AD14" i="14"/>
  <c r="U14" i="14" s="1"/>
  <c r="Z14" i="14"/>
  <c r="AE13" i="14"/>
  <c r="AG15" i="14"/>
  <c r="G15" i="14"/>
  <c r="AG16" i="14"/>
  <c r="AK16" i="14" s="1"/>
  <c r="G16" i="14"/>
  <c r="AB16" i="14" s="1"/>
  <c r="I16" i="14" s="1"/>
  <c r="C18" i="3" a="1"/>
  <c r="C18" i="3" s="1"/>
  <c r="D18" i="3" a="1"/>
  <c r="D18" i="3" s="1"/>
  <c r="J18" i="3"/>
  <c r="B18" i="3" a="1"/>
  <c r="B18" i="3" s="1"/>
  <c r="F18" i="3" s="1"/>
  <c r="K18" i="3"/>
  <c r="K17" i="3"/>
  <c r="D17" i="3" a="1"/>
  <c r="D17" i="3" s="1"/>
  <c r="J17" i="3"/>
  <c r="C17" i="3" a="1"/>
  <c r="C17" i="3" s="1"/>
  <c r="B17" i="3" a="1"/>
  <c r="B17" i="3" s="1"/>
  <c r="F17" i="3" s="1"/>
  <c r="G15" i="3"/>
  <c r="I15" i="3" s="1"/>
  <c r="I16" i="3" s="1"/>
  <c r="E16" i="3" a="1"/>
  <c r="E16" i="3" s="1"/>
  <c r="H16" i="3" s="1"/>
  <c r="H15" i="14"/>
  <c r="H22" i="16"/>
  <c r="G22" i="16"/>
  <c r="E23" i="16"/>
  <c r="B24" i="16" a="1"/>
  <c r="B24" i="16" s="1"/>
  <c r="D24" i="16" s="1"/>
  <c r="C23" i="16"/>
  <c r="D23" i="16"/>
  <c r="C18" i="18" a="1"/>
  <c r="C18" i="18" s="1"/>
  <c r="F18" i="18" a="1"/>
  <c r="F18" i="18" s="1"/>
  <c r="D18" i="18" a="1"/>
  <c r="D18" i="18" s="1"/>
  <c r="E18" i="18" a="1"/>
  <c r="E18" i="18" s="1"/>
  <c r="B19" i="18" a="1"/>
  <c r="B19" i="18" s="1"/>
  <c r="G17" i="18"/>
  <c r="H17" i="18"/>
  <c r="B18" i="14"/>
  <c r="O16" i="14"/>
  <c r="AA16" i="14"/>
  <c r="A19" i="3"/>
  <c r="A20" i="3"/>
  <c r="N16" i="14" l="1"/>
  <c r="V16" i="14"/>
  <c r="G18" i="3"/>
  <c r="F18" i="14"/>
  <c r="AJ18" i="14" s="1"/>
  <c r="M18" i="14" s="1"/>
  <c r="Q18" i="14"/>
  <c r="AM18" i="14" s="1"/>
  <c r="W18" i="14" s="1"/>
  <c r="E18" i="14"/>
  <c r="AI18" i="14" s="1"/>
  <c r="L18" i="14" s="1"/>
  <c r="D18" i="14"/>
  <c r="AH18" i="14" s="1"/>
  <c r="K18" i="14" s="1"/>
  <c r="C18" i="14"/>
  <c r="S18" i="14"/>
  <c r="AO18" i="14" s="1"/>
  <c r="Y18" i="14" s="1"/>
  <c r="R18" i="14"/>
  <c r="AN18" i="14" s="1"/>
  <c r="X18" i="14" s="1"/>
  <c r="P18" i="14"/>
  <c r="AB15" i="14"/>
  <c r="I15" i="14" s="1"/>
  <c r="J16" i="14"/>
  <c r="J15" i="14"/>
  <c r="AK15" i="14"/>
  <c r="N15" i="14" s="1"/>
  <c r="AC13" i="14"/>
  <c r="AF12" i="14"/>
  <c r="AD15" i="14"/>
  <c r="U15" i="14" s="1"/>
  <c r="Z16" i="14"/>
  <c r="AG17" i="14"/>
  <c r="G17" i="14"/>
  <c r="AE14" i="14"/>
  <c r="AE15" i="14" s="1"/>
  <c r="AE16" i="14" s="1"/>
  <c r="V15" i="14"/>
  <c r="AP15" i="14"/>
  <c r="Z15" i="14" s="1"/>
  <c r="AL17" i="14"/>
  <c r="T17" i="14"/>
  <c r="K20" i="3"/>
  <c r="C20" i="3" a="1"/>
  <c r="C20" i="3" s="1"/>
  <c r="G20" i="3" s="1"/>
  <c r="B20" i="3" a="1"/>
  <c r="B20" i="3" s="1"/>
  <c r="F20" i="3" s="1"/>
  <c r="D20" i="3" a="1"/>
  <c r="D20" i="3" s="1"/>
  <c r="J20" i="3"/>
  <c r="D19" i="3" a="1"/>
  <c r="D19" i="3" s="1"/>
  <c r="B19" i="3" a="1"/>
  <c r="B19" i="3" s="1"/>
  <c r="F19" i="3" s="1"/>
  <c r="J19" i="3"/>
  <c r="C19" i="3" a="1"/>
  <c r="C19" i="3" s="1"/>
  <c r="K19" i="3"/>
  <c r="E17" i="3" a="1"/>
  <c r="E17" i="3" s="1"/>
  <c r="H17" i="3" s="1"/>
  <c r="G17" i="3"/>
  <c r="I17" i="3" s="1"/>
  <c r="I18" i="3" s="1"/>
  <c r="E18" i="3" a="1"/>
  <c r="E18" i="3" s="1"/>
  <c r="H18" i="3" s="1"/>
  <c r="H16" i="14"/>
  <c r="H23" i="16"/>
  <c r="B25" i="16" a="1"/>
  <c r="B25" i="16" s="1"/>
  <c r="D25" i="16" s="1"/>
  <c r="C24" i="16"/>
  <c r="F24" i="16"/>
  <c r="G23" i="16"/>
  <c r="E24" i="16"/>
  <c r="D19" i="18" a="1"/>
  <c r="D19" i="18" s="1"/>
  <c r="E19" i="18" a="1"/>
  <c r="E19" i="18" s="1"/>
  <c r="C19" i="18" a="1"/>
  <c r="C19" i="18" s="1"/>
  <c r="F19" i="18" a="1"/>
  <c r="F19" i="18" s="1"/>
  <c r="B20" i="18" a="1"/>
  <c r="B20" i="18" s="1"/>
  <c r="H18" i="18"/>
  <c r="G18" i="18"/>
  <c r="K13" i="3"/>
  <c r="J13" i="3"/>
  <c r="J12" i="3"/>
  <c r="K14" i="3"/>
  <c r="J14" i="3"/>
  <c r="B19" i="14"/>
  <c r="O17" i="14"/>
  <c r="AA17" i="14"/>
  <c r="A21" i="3"/>
  <c r="A22" i="3"/>
  <c r="B20" i="14"/>
  <c r="E19" i="3" l="1" a="1"/>
  <c r="E19" i="3" s="1"/>
  <c r="H19" i="3" s="1"/>
  <c r="D20" i="14"/>
  <c r="AH20" i="14" s="1"/>
  <c r="K20" i="14" s="1"/>
  <c r="C20" i="14"/>
  <c r="R20" i="14"/>
  <c r="AN20" i="14" s="1"/>
  <c r="X20" i="14" s="1"/>
  <c r="P20" i="14"/>
  <c r="S20" i="14"/>
  <c r="AO20" i="14" s="1"/>
  <c r="Y20" i="14" s="1"/>
  <c r="E20" i="14"/>
  <c r="AI20" i="14" s="1"/>
  <c r="L20" i="14" s="1"/>
  <c r="Q20" i="14"/>
  <c r="F20" i="14"/>
  <c r="AJ20" i="14" s="1"/>
  <c r="M20" i="14" s="1"/>
  <c r="E19" i="14"/>
  <c r="AI19" i="14" s="1"/>
  <c r="L19" i="14" s="1"/>
  <c r="D19" i="14"/>
  <c r="AH19" i="14" s="1"/>
  <c r="K19" i="14" s="1"/>
  <c r="C19" i="14"/>
  <c r="S19" i="14"/>
  <c r="AO19" i="14" s="1"/>
  <c r="Y19" i="14" s="1"/>
  <c r="P19" i="14"/>
  <c r="Q19" i="14"/>
  <c r="AM19" i="14" s="1"/>
  <c r="W19" i="14" s="1"/>
  <c r="R19" i="14"/>
  <c r="AN19" i="14" s="1"/>
  <c r="X19" i="14" s="1"/>
  <c r="F19" i="14"/>
  <c r="AJ19" i="14" s="1"/>
  <c r="M19" i="14" s="1"/>
  <c r="J17" i="14"/>
  <c r="AK17" i="14"/>
  <c r="N17" i="14" s="1"/>
  <c r="AC14" i="14"/>
  <c r="AF13" i="14"/>
  <c r="AD17" i="14"/>
  <c r="U17" i="14" s="1"/>
  <c r="AG18" i="14"/>
  <c r="AK18" i="14" s="1"/>
  <c r="G18" i="14"/>
  <c r="V17" i="14"/>
  <c r="AP17" i="14"/>
  <c r="Z17" i="14" s="1"/>
  <c r="AB17" i="14"/>
  <c r="I17" i="14" s="1"/>
  <c r="AL18" i="14"/>
  <c r="T18" i="14"/>
  <c r="K22" i="3"/>
  <c r="J22" i="3"/>
  <c r="C22" i="3" a="1"/>
  <c r="C22" i="3" s="1"/>
  <c r="D22" i="3" a="1"/>
  <c r="D22" i="3" s="1"/>
  <c r="B22" i="3" a="1"/>
  <c r="B22" i="3" s="1"/>
  <c r="F22" i="3" s="1"/>
  <c r="J21" i="3"/>
  <c r="K21" i="3"/>
  <c r="D21" i="3" a="1"/>
  <c r="D21" i="3" s="1"/>
  <c r="B21" i="3" a="1"/>
  <c r="B21" i="3" s="1"/>
  <c r="F21" i="3" s="1"/>
  <c r="C21" i="3" a="1"/>
  <c r="C21" i="3" s="1"/>
  <c r="G19" i="3"/>
  <c r="I19" i="3" s="1"/>
  <c r="I20" i="3" s="1"/>
  <c r="E20" i="3" a="1"/>
  <c r="E20" i="3" s="1"/>
  <c r="H20" i="3" s="1"/>
  <c r="H17" i="14"/>
  <c r="H24" i="16"/>
  <c r="B26" i="16" a="1"/>
  <c r="B26" i="16" s="1"/>
  <c r="C26" i="16" s="1"/>
  <c r="C25" i="16"/>
  <c r="F25" i="16"/>
  <c r="G24" i="16"/>
  <c r="E25" i="16"/>
  <c r="D20" i="18" a="1"/>
  <c r="D20" i="18" s="1"/>
  <c r="F20" i="18" a="1"/>
  <c r="F20" i="18" s="1"/>
  <c r="E20" i="18" a="1"/>
  <c r="E20" i="18" s="1"/>
  <c r="C20" i="18" a="1"/>
  <c r="C20" i="18" s="1"/>
  <c r="B21" i="18" a="1"/>
  <c r="B21" i="18" s="1"/>
  <c r="G19" i="18"/>
  <c r="H19" i="18"/>
  <c r="K12" i="3"/>
  <c r="B21" i="14"/>
  <c r="AA18" i="14"/>
  <c r="O18" i="14"/>
  <c r="A23" i="3"/>
  <c r="A24" i="3"/>
  <c r="G22" i="3" l="1"/>
  <c r="G21" i="3"/>
  <c r="AE17" i="14"/>
  <c r="R21" i="14"/>
  <c r="AN21" i="14" s="1"/>
  <c r="X21" i="14" s="1"/>
  <c r="E21" i="14"/>
  <c r="AI21" i="14" s="1"/>
  <c r="L21" i="14" s="1"/>
  <c r="F21" i="14"/>
  <c r="AJ21" i="14" s="1"/>
  <c r="M21" i="14" s="1"/>
  <c r="P21" i="14"/>
  <c r="D21" i="14"/>
  <c r="AH21" i="14" s="1"/>
  <c r="K21" i="14" s="1"/>
  <c r="C21" i="14"/>
  <c r="Q21" i="14"/>
  <c r="AM21" i="14" s="1"/>
  <c r="W21" i="14" s="1"/>
  <c r="S21" i="14"/>
  <c r="AO21" i="14" s="1"/>
  <c r="Y21" i="14" s="1"/>
  <c r="J18" i="14"/>
  <c r="AG19" i="14"/>
  <c r="AK19" i="14" s="1"/>
  <c r="G19" i="14"/>
  <c r="T20" i="14"/>
  <c r="AD20" i="14" s="1"/>
  <c r="U20" i="14" s="1"/>
  <c r="AM20" i="14"/>
  <c r="W20" i="14" s="1"/>
  <c r="AD18" i="14"/>
  <c r="U18" i="14" s="1"/>
  <c r="V18" i="14"/>
  <c r="AP18" i="14"/>
  <c r="Z18" i="14" s="1"/>
  <c r="AC15" i="14"/>
  <c r="AF14" i="14"/>
  <c r="AB18" i="14"/>
  <c r="I18" i="14" s="1"/>
  <c r="N18" i="14"/>
  <c r="AG20" i="14"/>
  <c r="AK20" i="14" s="1"/>
  <c r="G20" i="14"/>
  <c r="AB20" i="14" s="1"/>
  <c r="I20" i="14" s="1"/>
  <c r="AL19" i="14"/>
  <c r="T19" i="14"/>
  <c r="AL20" i="14"/>
  <c r="V20" i="14" s="1"/>
  <c r="J24" i="3"/>
  <c r="D24" i="3" a="1"/>
  <c r="D24" i="3" s="1"/>
  <c r="C24" i="3" a="1"/>
  <c r="C24" i="3" s="1"/>
  <c r="K24" i="3"/>
  <c r="B24" i="3" a="1"/>
  <c r="B24" i="3" s="1"/>
  <c r="F24" i="3" s="1"/>
  <c r="B23" i="3" a="1"/>
  <c r="B23" i="3" s="1"/>
  <c r="F23" i="3" s="1"/>
  <c r="K23" i="3"/>
  <c r="J23" i="3"/>
  <c r="D23" i="3" a="1"/>
  <c r="D23" i="3" s="1"/>
  <c r="C23" i="3" a="1"/>
  <c r="C23" i="3" s="1"/>
  <c r="E22" i="3" a="1"/>
  <c r="E22" i="3" s="1"/>
  <c r="H22" i="3" s="1"/>
  <c r="I21" i="3"/>
  <c r="I22" i="3" s="1"/>
  <c r="E21" i="3" a="1"/>
  <c r="E21" i="3" s="1"/>
  <c r="H21" i="3" s="1"/>
  <c r="H18" i="14"/>
  <c r="H25" i="16"/>
  <c r="G25" i="16"/>
  <c r="E26" i="16"/>
  <c r="F26" i="16"/>
  <c r="D26" i="16"/>
  <c r="B27" i="16" a="1"/>
  <c r="B27" i="16" s="1"/>
  <c r="E27" i="16" s="1"/>
  <c r="H20" i="18"/>
  <c r="G20" i="18"/>
  <c r="D21" i="18" a="1"/>
  <c r="D21" i="18" s="1"/>
  <c r="C21" i="18" a="1"/>
  <c r="C21" i="18" s="1"/>
  <c r="E21" i="18" a="1"/>
  <c r="E21" i="18" s="1"/>
  <c r="F21" i="18" a="1"/>
  <c r="F21" i="18" s="1"/>
  <c r="B22" i="18" a="1"/>
  <c r="B22" i="18" s="1"/>
  <c r="B22" i="14"/>
  <c r="O19" i="14"/>
  <c r="AA19" i="14"/>
  <c r="A25" i="3"/>
  <c r="A26" i="3"/>
  <c r="J20" i="14" l="1"/>
  <c r="G24" i="3"/>
  <c r="AE18" i="14"/>
  <c r="G23" i="3"/>
  <c r="H26" i="16"/>
  <c r="C22" i="14"/>
  <c r="P22" i="14"/>
  <c r="F22" i="14"/>
  <c r="AJ22" i="14" s="1"/>
  <c r="M22" i="14" s="1"/>
  <c r="S22" i="14"/>
  <c r="AO22" i="14" s="1"/>
  <c r="Y22" i="14" s="1"/>
  <c r="Q22" i="14"/>
  <c r="AM22" i="14" s="1"/>
  <c r="W22" i="14" s="1"/>
  <c r="E22" i="14"/>
  <c r="AI22" i="14" s="1"/>
  <c r="L22" i="14" s="1"/>
  <c r="D22" i="14"/>
  <c r="AH22" i="14" s="1"/>
  <c r="K22" i="14" s="1"/>
  <c r="R22" i="14"/>
  <c r="AN22" i="14" s="1"/>
  <c r="X22" i="14" s="1"/>
  <c r="V19" i="14"/>
  <c r="AP19" i="14"/>
  <c r="AE19" i="14"/>
  <c r="AE20" i="14" s="1"/>
  <c r="AB19" i="14"/>
  <c r="I19" i="14" s="1"/>
  <c r="N19" i="14"/>
  <c r="AG21" i="14"/>
  <c r="G21" i="14"/>
  <c r="AB21" i="14" s="1"/>
  <c r="I21" i="14" s="1"/>
  <c r="AP20" i="14"/>
  <c r="Z20" i="14" s="1"/>
  <c r="AD19" i="14"/>
  <c r="U19" i="14" s="1"/>
  <c r="Z19" i="14"/>
  <c r="N20" i="14"/>
  <c r="AC16" i="14"/>
  <c r="AF15" i="14"/>
  <c r="J19" i="14"/>
  <c r="AL21" i="14"/>
  <c r="T21" i="14"/>
  <c r="J26" i="3"/>
  <c r="B26" i="3" a="1"/>
  <c r="B26" i="3" s="1"/>
  <c r="F26" i="3" s="1"/>
  <c r="D26" i="3" a="1"/>
  <c r="D26" i="3" s="1"/>
  <c r="K26" i="3"/>
  <c r="C26" i="3" a="1"/>
  <c r="C26" i="3" s="1"/>
  <c r="K25" i="3"/>
  <c r="C25" i="3" a="1"/>
  <c r="C25" i="3" s="1"/>
  <c r="G25" i="3" s="1"/>
  <c r="D25" i="3" a="1"/>
  <c r="D25" i="3" s="1"/>
  <c r="J25" i="3"/>
  <c r="B25" i="3" a="1"/>
  <c r="B25" i="3" s="1"/>
  <c r="F25" i="3" s="1"/>
  <c r="E24" i="3" a="1"/>
  <c r="E24" i="3" s="1"/>
  <c r="H24" i="3" s="1"/>
  <c r="I23" i="3"/>
  <c r="I24" i="3" s="1"/>
  <c r="E23" i="3" a="1"/>
  <c r="E23" i="3" s="1"/>
  <c r="H23" i="3" s="1"/>
  <c r="H19" i="14"/>
  <c r="G26" i="16"/>
  <c r="B28" i="16" a="1"/>
  <c r="B28" i="16" s="1"/>
  <c r="F28" i="16" s="1"/>
  <c r="C27" i="16"/>
  <c r="F27" i="16"/>
  <c r="D27" i="16"/>
  <c r="H21" i="18"/>
  <c r="G21" i="18"/>
  <c r="D22" i="18" a="1"/>
  <c r="D22" i="18" s="1"/>
  <c r="E22" i="18" a="1"/>
  <c r="E22" i="18" s="1"/>
  <c r="C22" i="18" a="1"/>
  <c r="C22" i="18" s="1"/>
  <c r="F22" i="18" a="1"/>
  <c r="F22" i="18" s="1"/>
  <c r="B23" i="18" a="1"/>
  <c r="B23" i="18" s="1"/>
  <c r="B23" i="14"/>
  <c r="AA20" i="14"/>
  <c r="O20" i="14"/>
  <c r="A27" i="3"/>
  <c r="A28" i="3"/>
  <c r="B24" i="14"/>
  <c r="E26" i="3" l="1" a="1"/>
  <c r="E26" i="3" s="1"/>
  <c r="H26" i="3" s="1"/>
  <c r="H27" i="16"/>
  <c r="R24" i="14"/>
  <c r="AN24" i="14" s="1"/>
  <c r="X24" i="14" s="1"/>
  <c r="F24" i="14"/>
  <c r="AJ24" i="14" s="1"/>
  <c r="M24" i="14" s="1"/>
  <c r="P24" i="14"/>
  <c r="D24" i="14"/>
  <c r="AH24" i="14" s="1"/>
  <c r="K24" i="14" s="1"/>
  <c r="Q24" i="14"/>
  <c r="AM24" i="14" s="1"/>
  <c r="W24" i="14" s="1"/>
  <c r="C24" i="14"/>
  <c r="S24" i="14"/>
  <c r="AO24" i="14" s="1"/>
  <c r="Y24" i="14" s="1"/>
  <c r="E24" i="14"/>
  <c r="AI24" i="14" s="1"/>
  <c r="L24" i="14" s="1"/>
  <c r="E23" i="14"/>
  <c r="AI23" i="14" s="1"/>
  <c r="L23" i="14" s="1"/>
  <c r="P23" i="14"/>
  <c r="S23" i="14"/>
  <c r="AO23" i="14" s="1"/>
  <c r="Y23" i="14" s="1"/>
  <c r="Q23" i="14"/>
  <c r="AM23" i="14" s="1"/>
  <c r="W23" i="14" s="1"/>
  <c r="D23" i="14"/>
  <c r="AH23" i="14" s="1"/>
  <c r="K23" i="14" s="1"/>
  <c r="F23" i="14"/>
  <c r="AJ23" i="14" s="1"/>
  <c r="M23" i="14" s="1"/>
  <c r="R23" i="14"/>
  <c r="AN23" i="14" s="1"/>
  <c r="X23" i="14" s="1"/>
  <c r="C23" i="14"/>
  <c r="V21" i="14"/>
  <c r="AP21" i="14"/>
  <c r="Z21" i="14" s="1"/>
  <c r="J21" i="14"/>
  <c r="AK21" i="14"/>
  <c r="N21" i="14" s="1"/>
  <c r="AL22" i="14"/>
  <c r="AP22" i="14" s="1"/>
  <c r="T22" i="14"/>
  <c r="AD22" i="14" s="1"/>
  <c r="U22" i="14" s="1"/>
  <c r="AD21" i="14"/>
  <c r="U21" i="14" s="1"/>
  <c r="AF16" i="14"/>
  <c r="AC17" i="14"/>
  <c r="AG22" i="14"/>
  <c r="G22" i="14"/>
  <c r="AB22" i="14" s="1"/>
  <c r="I22" i="14" s="1"/>
  <c r="J28" i="3"/>
  <c r="B28" i="3" a="1"/>
  <c r="B28" i="3" s="1"/>
  <c r="F28" i="3" s="1"/>
  <c r="D28" i="3" a="1"/>
  <c r="D28" i="3" s="1"/>
  <c r="C28" i="3" a="1"/>
  <c r="C28" i="3" s="1"/>
  <c r="K28" i="3"/>
  <c r="K27" i="3"/>
  <c r="C27" i="3" a="1"/>
  <c r="C27" i="3" s="1"/>
  <c r="D27" i="3" a="1"/>
  <c r="D27" i="3" s="1"/>
  <c r="J27" i="3"/>
  <c r="B27" i="3" a="1"/>
  <c r="B27" i="3" s="1"/>
  <c r="F27" i="3" s="1"/>
  <c r="G26" i="3"/>
  <c r="I25" i="3"/>
  <c r="E25" i="3" a="1"/>
  <c r="E25" i="3" s="1"/>
  <c r="H25" i="3" s="1"/>
  <c r="H20" i="14"/>
  <c r="B29" i="16" a="1"/>
  <c r="B29" i="16" s="1"/>
  <c r="D29" i="16" s="1"/>
  <c r="C28" i="16"/>
  <c r="G27" i="16"/>
  <c r="E28" i="16"/>
  <c r="D28" i="16"/>
  <c r="H22" i="18"/>
  <c r="G22" i="18"/>
  <c r="D23" i="18" a="1"/>
  <c r="D23" i="18" s="1"/>
  <c r="E23" i="18" a="1"/>
  <c r="E23" i="18" s="1"/>
  <c r="F23" i="18" a="1"/>
  <c r="F23" i="18" s="1"/>
  <c r="C23" i="18" a="1"/>
  <c r="C23" i="18" s="1"/>
  <c r="B24" i="18" a="1"/>
  <c r="B24" i="18" s="1"/>
  <c r="B25" i="14"/>
  <c r="AA21" i="14"/>
  <c r="O21" i="14"/>
  <c r="A29" i="3"/>
  <c r="A30" i="3"/>
  <c r="G27" i="3" l="1"/>
  <c r="Z22" i="14"/>
  <c r="I26" i="3"/>
  <c r="G28" i="3"/>
  <c r="R25" i="14"/>
  <c r="AN25" i="14" s="1"/>
  <c r="X25" i="14" s="1"/>
  <c r="E25" i="14"/>
  <c r="AI25" i="14" s="1"/>
  <c r="L25" i="14" s="1"/>
  <c r="C25" i="14"/>
  <c r="AG25" i="14" s="1"/>
  <c r="S25" i="14"/>
  <c r="AO25" i="14" s="1"/>
  <c r="Y25" i="14" s="1"/>
  <c r="P25" i="14"/>
  <c r="F25" i="14"/>
  <c r="AJ25" i="14" s="1"/>
  <c r="M25" i="14" s="1"/>
  <c r="Q25" i="14"/>
  <c r="AM25" i="14" s="1"/>
  <c r="W25" i="14" s="1"/>
  <c r="D25" i="14"/>
  <c r="AL24" i="14"/>
  <c r="AP24" i="14" s="1"/>
  <c r="T24" i="14"/>
  <c r="AD24" i="14" s="1"/>
  <c r="U24" i="14" s="1"/>
  <c r="V24" i="14"/>
  <c r="AL23" i="14"/>
  <c r="T23" i="14"/>
  <c r="AD23" i="14" s="1"/>
  <c r="U23" i="14" s="1"/>
  <c r="AG24" i="14"/>
  <c r="AK24" i="14" s="1"/>
  <c r="G24" i="14"/>
  <c r="AB24" i="14" s="1"/>
  <c r="I24" i="14" s="1"/>
  <c r="AF17" i="14"/>
  <c r="AC18" i="14"/>
  <c r="V22" i="14"/>
  <c r="J22" i="14"/>
  <c r="AK22" i="14"/>
  <c r="N22" i="14" s="1"/>
  <c r="AE21" i="14"/>
  <c r="AE22" i="14" s="1"/>
  <c r="AE23" i="14" s="1"/>
  <c r="AG23" i="14"/>
  <c r="G23" i="14"/>
  <c r="AB23" i="14" s="1"/>
  <c r="I23" i="14" s="1"/>
  <c r="B30" i="3" a="1"/>
  <c r="B30" i="3" s="1"/>
  <c r="F30" i="3" s="1"/>
  <c r="D30" i="3" a="1"/>
  <c r="D30" i="3" s="1"/>
  <c r="K30" i="3"/>
  <c r="J30" i="3"/>
  <c r="C30" i="3" a="1"/>
  <c r="C30" i="3" s="1"/>
  <c r="G30" i="3" s="1"/>
  <c r="K29" i="3"/>
  <c r="J29" i="3"/>
  <c r="C29" i="3" a="1"/>
  <c r="C29" i="3" s="1"/>
  <c r="D29" i="3" a="1"/>
  <c r="D29" i="3" s="1"/>
  <c r="B29" i="3" a="1"/>
  <c r="B29" i="3" s="1"/>
  <c r="F29" i="3" s="1"/>
  <c r="E27" i="3" a="1"/>
  <c r="E27" i="3" s="1"/>
  <c r="H27" i="3" s="1"/>
  <c r="I27" i="3"/>
  <c r="I28" i="3" s="1"/>
  <c r="E28" i="3" a="1"/>
  <c r="E28" i="3" s="1"/>
  <c r="H28" i="3" s="1"/>
  <c r="H21" i="14"/>
  <c r="H28" i="16"/>
  <c r="G28" i="16"/>
  <c r="E29" i="16"/>
  <c r="F29" i="16"/>
  <c r="B30" i="16" a="1"/>
  <c r="B30" i="16" s="1"/>
  <c r="E30" i="16" s="1"/>
  <c r="C29" i="16"/>
  <c r="C24" i="18" a="1"/>
  <c r="C24" i="18" s="1"/>
  <c r="D24" i="18" a="1"/>
  <c r="D24" i="18" s="1"/>
  <c r="E24" i="18" a="1"/>
  <c r="E24" i="18" s="1"/>
  <c r="F24" i="18" a="1"/>
  <c r="F24" i="18" s="1"/>
  <c r="B25" i="18" a="1"/>
  <c r="B25" i="18" s="1"/>
  <c r="H23" i="18"/>
  <c r="G23" i="18"/>
  <c r="B26" i="14"/>
  <c r="AA22" i="14"/>
  <c r="O22" i="14"/>
  <c r="A31" i="3"/>
  <c r="A32" i="3"/>
  <c r="G29" i="3" l="1"/>
  <c r="AE24" i="14"/>
  <c r="E26" i="14"/>
  <c r="F26" i="14"/>
  <c r="AJ26" i="14" s="1"/>
  <c r="M26" i="14" s="1"/>
  <c r="C26" i="14"/>
  <c r="AG26" i="14" s="1"/>
  <c r="R26" i="14"/>
  <c r="AN26" i="14" s="1"/>
  <c r="X26" i="14" s="1"/>
  <c r="S26" i="14"/>
  <c r="AO26" i="14" s="1"/>
  <c r="Y26" i="14" s="1"/>
  <c r="P26" i="14"/>
  <c r="Q26" i="14"/>
  <c r="AM26" i="14" s="1"/>
  <c r="W26" i="14" s="1"/>
  <c r="D26" i="14"/>
  <c r="AH26" i="14" s="1"/>
  <c r="K26" i="14" s="1"/>
  <c r="J25" i="14"/>
  <c r="AK25" i="14"/>
  <c r="J23" i="14"/>
  <c r="AK23" i="14"/>
  <c r="N23" i="14" s="1"/>
  <c r="AF18" i="14"/>
  <c r="AC19" i="14"/>
  <c r="N24" i="14"/>
  <c r="Z24" i="14"/>
  <c r="J24" i="14"/>
  <c r="V23" i="14"/>
  <c r="AP23" i="14"/>
  <c r="Z23" i="14" s="1"/>
  <c r="T25" i="14"/>
  <c r="AD25" i="14" s="1"/>
  <c r="U25" i="14" s="1"/>
  <c r="AL25" i="14"/>
  <c r="G25" i="14"/>
  <c r="AB25" i="14" s="1"/>
  <c r="I25" i="14" s="1"/>
  <c r="AH25" i="14"/>
  <c r="K25" i="14" s="1"/>
  <c r="J32" i="3"/>
  <c r="K32" i="3"/>
  <c r="B32" i="3" a="1"/>
  <c r="B32" i="3" s="1"/>
  <c r="F32" i="3" s="1"/>
  <c r="C32" i="3" a="1"/>
  <c r="C32" i="3" s="1"/>
  <c r="G32" i="3" s="1"/>
  <c r="D32" i="3" a="1"/>
  <c r="D32" i="3" s="1"/>
  <c r="J31" i="3"/>
  <c r="C31" i="3" a="1"/>
  <c r="C31" i="3" s="1"/>
  <c r="G31" i="3" s="1"/>
  <c r="D31" i="3" a="1"/>
  <c r="D31" i="3" s="1"/>
  <c r="B31" i="3" a="1"/>
  <c r="B31" i="3" s="1"/>
  <c r="F31" i="3" s="1"/>
  <c r="K31" i="3"/>
  <c r="E30" i="3" a="1"/>
  <c r="E30" i="3" s="1"/>
  <c r="H30" i="3" s="1"/>
  <c r="I29" i="3"/>
  <c r="I30" i="3" s="1"/>
  <c r="E29" i="3" a="1"/>
  <c r="E29" i="3" s="1"/>
  <c r="H29" i="3" s="1"/>
  <c r="H22" i="14"/>
  <c r="H29" i="16"/>
  <c r="G29" i="16"/>
  <c r="B31" i="16" a="1"/>
  <c r="B31" i="16" s="1"/>
  <c r="E31" i="16" s="1"/>
  <c r="C30" i="16"/>
  <c r="F30" i="16"/>
  <c r="D30" i="16"/>
  <c r="E25" i="18" a="1"/>
  <c r="E25" i="18" s="1"/>
  <c r="C25" i="18" a="1"/>
  <c r="C25" i="18" s="1"/>
  <c r="F25" i="18" a="1"/>
  <c r="F25" i="18" s="1"/>
  <c r="D25" i="18" a="1"/>
  <c r="D25" i="18" s="1"/>
  <c r="B26" i="18" a="1"/>
  <c r="B26" i="18" s="1"/>
  <c r="G24" i="18"/>
  <c r="H24" i="18"/>
  <c r="B27" i="14"/>
  <c r="AA23" i="14"/>
  <c r="O23" i="14"/>
  <c r="A33" i="3"/>
  <c r="A34" i="3"/>
  <c r="B28" i="14"/>
  <c r="N25" i="14" l="1"/>
  <c r="R28" i="14"/>
  <c r="AN28" i="14" s="1"/>
  <c r="X28" i="14" s="1"/>
  <c r="E28" i="14"/>
  <c r="AI28" i="14" s="1"/>
  <c r="L28" i="14" s="1"/>
  <c r="F28" i="14"/>
  <c r="AJ28" i="14" s="1"/>
  <c r="M28" i="14" s="1"/>
  <c r="S28" i="14"/>
  <c r="AO28" i="14" s="1"/>
  <c r="Y28" i="14" s="1"/>
  <c r="D28" i="14"/>
  <c r="AH28" i="14" s="1"/>
  <c r="K28" i="14" s="1"/>
  <c r="Q28" i="14"/>
  <c r="AM28" i="14" s="1"/>
  <c r="W28" i="14" s="1"/>
  <c r="P28" i="14"/>
  <c r="C28" i="14"/>
  <c r="C27" i="14"/>
  <c r="F27" i="14"/>
  <c r="AJ27" i="14" s="1"/>
  <c r="M27" i="14" s="1"/>
  <c r="P27" i="14"/>
  <c r="E27" i="14"/>
  <c r="Q27" i="14"/>
  <c r="AM27" i="14" s="1"/>
  <c r="W27" i="14" s="1"/>
  <c r="S27" i="14"/>
  <c r="AO27" i="14" s="1"/>
  <c r="Y27" i="14" s="1"/>
  <c r="R27" i="14"/>
  <c r="AN27" i="14" s="1"/>
  <c r="X27" i="14" s="1"/>
  <c r="D27" i="14"/>
  <c r="AH27" i="14" s="1"/>
  <c r="K27" i="14" s="1"/>
  <c r="V25" i="14"/>
  <c r="AP25" i="14"/>
  <c r="Z25" i="14" s="1"/>
  <c r="AF19" i="14"/>
  <c r="AC20" i="14"/>
  <c r="J26" i="14"/>
  <c r="G26" i="14"/>
  <c r="AB26" i="14" s="1"/>
  <c r="I26" i="14" s="1"/>
  <c r="AI26" i="14"/>
  <c r="L26" i="14" s="1"/>
  <c r="T26" i="14"/>
  <c r="AD26" i="14" s="1"/>
  <c r="U26" i="14" s="1"/>
  <c r="AL26" i="14"/>
  <c r="AP26" i="14" s="1"/>
  <c r="V26" i="14"/>
  <c r="AE25" i="14"/>
  <c r="B34" i="3" a="1"/>
  <c r="B34" i="3" s="1"/>
  <c r="F34" i="3" s="1"/>
  <c r="D34" i="3" a="1"/>
  <c r="D34" i="3" s="1"/>
  <c r="J34" i="3"/>
  <c r="K34" i="3"/>
  <c r="C34" i="3" a="1"/>
  <c r="C34" i="3" s="1"/>
  <c r="K33" i="3"/>
  <c r="C33" i="3" a="1"/>
  <c r="C33" i="3" s="1"/>
  <c r="D33" i="3" a="1"/>
  <c r="D33" i="3" s="1"/>
  <c r="J33" i="3"/>
  <c r="B33" i="3" a="1"/>
  <c r="B33" i="3" s="1"/>
  <c r="F33" i="3" s="1"/>
  <c r="I31" i="3"/>
  <c r="I32" i="3" s="1"/>
  <c r="E31" i="3" a="1"/>
  <c r="E31" i="3" s="1"/>
  <c r="H31" i="3" s="1"/>
  <c r="E32" i="3" a="1"/>
  <c r="E32" i="3" s="1"/>
  <c r="H32" i="3" s="1"/>
  <c r="H23" i="14"/>
  <c r="H30" i="16"/>
  <c r="G30" i="16"/>
  <c r="F31" i="16"/>
  <c r="B32" i="16" a="1"/>
  <c r="B32" i="16" s="1"/>
  <c r="C32" i="16" s="1"/>
  <c r="C31" i="16"/>
  <c r="D31" i="16"/>
  <c r="D26" i="18" a="1"/>
  <c r="D26" i="18" s="1"/>
  <c r="F26" i="18" a="1"/>
  <c r="F26" i="18" s="1"/>
  <c r="C26" i="18" a="1"/>
  <c r="C26" i="18" s="1"/>
  <c r="E26" i="18" a="1"/>
  <c r="E26" i="18" s="1"/>
  <c r="B27" i="18" a="1"/>
  <c r="B27" i="18" s="1"/>
  <c r="H25" i="18"/>
  <c r="G25" i="18"/>
  <c r="B29" i="14"/>
  <c r="AA24" i="14"/>
  <c r="O24" i="14"/>
  <c r="A35" i="3"/>
  <c r="A36" i="3"/>
  <c r="G33" i="3" l="1"/>
  <c r="G34" i="3"/>
  <c r="AE26" i="14"/>
  <c r="Z26" i="14"/>
  <c r="H31" i="16"/>
  <c r="F29" i="14"/>
  <c r="AJ29" i="14" s="1"/>
  <c r="M29" i="14" s="1"/>
  <c r="Q29" i="14"/>
  <c r="AM29" i="14" s="1"/>
  <c r="W29" i="14" s="1"/>
  <c r="S29" i="14"/>
  <c r="AO29" i="14" s="1"/>
  <c r="Y29" i="14" s="1"/>
  <c r="C29" i="14"/>
  <c r="AG29" i="14" s="1"/>
  <c r="P29" i="14"/>
  <c r="R29" i="14"/>
  <c r="E29" i="14"/>
  <c r="AI29" i="14" s="1"/>
  <c r="L29" i="14" s="1"/>
  <c r="D29" i="14"/>
  <c r="AL27" i="14"/>
  <c r="AP27" i="14" s="1"/>
  <c r="T27" i="14"/>
  <c r="AD27" i="14" s="1"/>
  <c r="U27" i="14" s="1"/>
  <c r="AL28" i="14"/>
  <c r="T28" i="14"/>
  <c r="AD28" i="14" s="1"/>
  <c r="U28" i="14" s="1"/>
  <c r="AC21" i="14"/>
  <c r="AF20" i="14"/>
  <c r="AK26" i="14"/>
  <c r="N26" i="14" s="1"/>
  <c r="AG27" i="14"/>
  <c r="J27" i="14" s="1"/>
  <c r="G27" i="14"/>
  <c r="AB27" i="14" s="1"/>
  <c r="I27" i="14" s="1"/>
  <c r="AI27" i="14"/>
  <c r="L27" i="14" s="1"/>
  <c r="AG28" i="14"/>
  <c r="AK28" i="14" s="1"/>
  <c r="G28" i="14"/>
  <c r="AB28" i="14" s="1"/>
  <c r="I28" i="14" s="1"/>
  <c r="B36" i="3" a="1"/>
  <c r="B36" i="3" s="1"/>
  <c r="F36" i="3" s="1"/>
  <c r="J36" i="3"/>
  <c r="D36" i="3" a="1"/>
  <c r="D36" i="3" s="1"/>
  <c r="C36" i="3" a="1"/>
  <c r="C36" i="3" s="1"/>
  <c r="K36" i="3"/>
  <c r="C35" i="3" a="1"/>
  <c r="C35" i="3" s="1"/>
  <c r="B35" i="3" a="1"/>
  <c r="B35" i="3" s="1"/>
  <c r="F35" i="3" s="1"/>
  <c r="K35" i="3"/>
  <c r="J35" i="3"/>
  <c r="D35" i="3" a="1"/>
  <c r="D35" i="3" s="1"/>
  <c r="E33" i="3" a="1"/>
  <c r="E33" i="3" s="1"/>
  <c r="H33" i="3" s="1"/>
  <c r="I33" i="3"/>
  <c r="I34" i="3" s="1"/>
  <c r="E34" i="3" a="1"/>
  <c r="E34" i="3" s="1"/>
  <c r="H34" i="3" s="1"/>
  <c r="H24" i="14"/>
  <c r="G31" i="16"/>
  <c r="F32" i="16"/>
  <c r="E32" i="16"/>
  <c r="D32" i="16"/>
  <c r="H32" i="16" s="1"/>
  <c r="B33" i="16" a="1"/>
  <c r="B33" i="16" s="1"/>
  <c r="D33" i="16" s="1"/>
  <c r="G26" i="18"/>
  <c r="H26" i="18"/>
  <c r="F27" i="18" a="1"/>
  <c r="F27" i="18" s="1"/>
  <c r="D27" i="18" a="1"/>
  <c r="D27" i="18" s="1"/>
  <c r="C27" i="18" a="1"/>
  <c r="C27" i="18" s="1"/>
  <c r="E27" i="18" a="1"/>
  <c r="E27" i="18" s="1"/>
  <c r="B28" i="18" a="1"/>
  <c r="B28" i="18" s="1"/>
  <c r="B30" i="14"/>
  <c r="AA25" i="14"/>
  <c r="O25" i="14"/>
  <c r="A37" i="3"/>
  <c r="A38" i="3"/>
  <c r="J28" i="14" l="1"/>
  <c r="V27" i="14"/>
  <c r="AE27" i="14"/>
  <c r="AE28" i="14" s="1"/>
  <c r="G36" i="3"/>
  <c r="G35" i="3"/>
  <c r="R30" i="14"/>
  <c r="C30" i="14"/>
  <c r="Q30" i="14"/>
  <c r="AM30" i="14" s="1"/>
  <c r="W30" i="14" s="1"/>
  <c r="D30" i="14"/>
  <c r="AH30" i="14" s="1"/>
  <c r="K30" i="14" s="1"/>
  <c r="S30" i="14"/>
  <c r="AO30" i="14" s="1"/>
  <c r="Y30" i="14" s="1"/>
  <c r="E30" i="14"/>
  <c r="AI30" i="14" s="1"/>
  <c r="L30" i="14" s="1"/>
  <c r="F30" i="14"/>
  <c r="AJ30" i="14" s="1"/>
  <c r="M30" i="14" s="1"/>
  <c r="P30" i="14"/>
  <c r="AL30" i="14" s="1"/>
  <c r="AL29" i="14"/>
  <c r="V29" i="14" s="1"/>
  <c r="AC22" i="14"/>
  <c r="AF21" i="14"/>
  <c r="N28" i="14"/>
  <c r="AK27" i="14"/>
  <c r="N27" i="14" s="1"/>
  <c r="Z27" i="14"/>
  <c r="T29" i="14"/>
  <c r="AD29" i="14" s="1"/>
  <c r="U29" i="14" s="1"/>
  <c r="AN29" i="14"/>
  <c r="X29" i="14" s="1"/>
  <c r="V28" i="14"/>
  <c r="AP28" i="14"/>
  <c r="Z28" i="14" s="1"/>
  <c r="G29" i="14"/>
  <c r="AB29" i="14" s="1"/>
  <c r="I29" i="14" s="1"/>
  <c r="AH29" i="14"/>
  <c r="K29" i="14" s="1"/>
  <c r="J29" i="14"/>
  <c r="J38" i="3"/>
  <c r="K38" i="3"/>
  <c r="D38" i="3" a="1"/>
  <c r="D38" i="3" s="1"/>
  <c r="C38" i="3" a="1"/>
  <c r="C38" i="3" s="1"/>
  <c r="G38" i="3" s="1"/>
  <c r="B38" i="3" a="1"/>
  <c r="B38" i="3" s="1"/>
  <c r="F38" i="3" s="1"/>
  <c r="B37" i="3" a="1"/>
  <c r="B37" i="3" s="1"/>
  <c r="F37" i="3" s="1"/>
  <c r="C37" i="3" a="1"/>
  <c r="C37" i="3" s="1"/>
  <c r="K37" i="3"/>
  <c r="D37" i="3" a="1"/>
  <c r="D37" i="3" s="1"/>
  <c r="J37" i="3"/>
  <c r="E35" i="3" a="1"/>
  <c r="E35" i="3" s="1"/>
  <c r="H35" i="3" s="1"/>
  <c r="I35" i="3"/>
  <c r="I36" i="3" s="1"/>
  <c r="E36" i="3" a="1"/>
  <c r="E36" i="3" s="1"/>
  <c r="H36" i="3" s="1"/>
  <c r="H25" i="14"/>
  <c r="G32" i="16"/>
  <c r="E33" i="16"/>
  <c r="B34" i="16" a="1"/>
  <c r="B34" i="16" s="1"/>
  <c r="E34" i="16" s="1"/>
  <c r="C33" i="16"/>
  <c r="F33" i="16"/>
  <c r="E28" i="18" a="1"/>
  <c r="E28" i="18" s="1"/>
  <c r="F28" i="18" a="1"/>
  <c r="F28" i="18" s="1"/>
  <c r="D28" i="18" a="1"/>
  <c r="D28" i="18" s="1"/>
  <c r="C28" i="18" a="1"/>
  <c r="C28" i="18" s="1"/>
  <c r="B29" i="18" a="1"/>
  <c r="B29" i="18" s="1"/>
  <c r="H27" i="18"/>
  <c r="G27" i="18"/>
  <c r="B31" i="14"/>
  <c r="O26" i="14"/>
  <c r="AA26" i="14"/>
  <c r="A39" i="3"/>
  <c r="A40" i="3"/>
  <c r="B32" i="14"/>
  <c r="G37" i="3" l="1"/>
  <c r="AE29" i="14"/>
  <c r="C32" i="14"/>
  <c r="E32" i="14"/>
  <c r="AI32" i="14" s="1"/>
  <c r="L32" i="14" s="1"/>
  <c r="Q32" i="14"/>
  <c r="AM32" i="14" s="1"/>
  <c r="W32" i="14" s="1"/>
  <c r="S32" i="14"/>
  <c r="AO32" i="14" s="1"/>
  <c r="Y32" i="14" s="1"/>
  <c r="F32" i="14"/>
  <c r="AJ32" i="14" s="1"/>
  <c r="M32" i="14" s="1"/>
  <c r="P32" i="14"/>
  <c r="D32" i="14"/>
  <c r="AH32" i="14" s="1"/>
  <c r="K32" i="14" s="1"/>
  <c r="R32" i="14"/>
  <c r="AN32" i="14" s="1"/>
  <c r="X32" i="14" s="1"/>
  <c r="E31" i="14"/>
  <c r="AI31" i="14" s="1"/>
  <c r="L31" i="14" s="1"/>
  <c r="F31" i="14"/>
  <c r="AJ31" i="14" s="1"/>
  <c r="M31" i="14" s="1"/>
  <c r="D31" i="14"/>
  <c r="S31" i="14"/>
  <c r="AO31" i="14" s="1"/>
  <c r="Y31" i="14" s="1"/>
  <c r="R31" i="14"/>
  <c r="AN31" i="14" s="1"/>
  <c r="X31" i="14" s="1"/>
  <c r="P31" i="14"/>
  <c r="Q31" i="14"/>
  <c r="AM31" i="14" s="1"/>
  <c r="W31" i="14" s="1"/>
  <c r="C31" i="14"/>
  <c r="AG31" i="14" s="1"/>
  <c r="AG30" i="14"/>
  <c r="G30" i="14"/>
  <c r="AB30" i="14" s="1"/>
  <c r="I30" i="14" s="1"/>
  <c r="T30" i="14"/>
  <c r="AD30" i="14" s="1"/>
  <c r="U30" i="14" s="1"/>
  <c r="AN30" i="14"/>
  <c r="X30" i="14" s="1"/>
  <c r="AC23" i="14"/>
  <c r="AF22" i="14"/>
  <c r="AP29" i="14"/>
  <c r="Z29" i="14" s="1"/>
  <c r="AK29" i="14"/>
  <c r="N29" i="14" s="1"/>
  <c r="V30" i="14"/>
  <c r="C40" i="3" a="1"/>
  <c r="C40" i="3" s="1"/>
  <c r="K40" i="3"/>
  <c r="B40" i="3" a="1"/>
  <c r="B40" i="3" s="1"/>
  <c r="F40" i="3" s="1"/>
  <c r="D40" i="3" a="1"/>
  <c r="D40" i="3" s="1"/>
  <c r="J40" i="3"/>
  <c r="J39" i="3"/>
  <c r="C39" i="3" a="1"/>
  <c r="C39" i="3" s="1"/>
  <c r="D39" i="3" a="1"/>
  <c r="D39" i="3" s="1"/>
  <c r="B39" i="3" a="1"/>
  <c r="B39" i="3" s="1"/>
  <c r="F39" i="3" s="1"/>
  <c r="K39" i="3"/>
  <c r="E37" i="3" a="1"/>
  <c r="E37" i="3" s="1"/>
  <c r="H37" i="3" s="1"/>
  <c r="E38" i="3" a="1"/>
  <c r="E38" i="3" s="1"/>
  <c r="H38" i="3" s="1"/>
  <c r="I37" i="3"/>
  <c r="I38" i="3" s="1"/>
  <c r="H26" i="14"/>
  <c r="H33" i="16"/>
  <c r="G33" i="16"/>
  <c r="B35" i="16" a="1"/>
  <c r="B35" i="16" s="1"/>
  <c r="E35" i="16" s="1"/>
  <c r="C34" i="16"/>
  <c r="F34" i="16"/>
  <c r="D34" i="16"/>
  <c r="F29" i="18" a="1"/>
  <c r="F29" i="18" s="1"/>
  <c r="C29" i="18" a="1"/>
  <c r="C29" i="18" s="1"/>
  <c r="E29" i="18" a="1"/>
  <c r="E29" i="18" s="1"/>
  <c r="D29" i="18" a="1"/>
  <c r="D29" i="18" s="1"/>
  <c r="B30" i="18" a="1"/>
  <c r="B30" i="18" s="1"/>
  <c r="G28" i="18"/>
  <c r="H28" i="18"/>
  <c r="B33" i="14"/>
  <c r="AA27" i="14"/>
  <c r="O27" i="14"/>
  <c r="A41" i="3"/>
  <c r="A42" i="3"/>
  <c r="AE30" i="14" l="1"/>
  <c r="G39" i="3"/>
  <c r="G40" i="3"/>
  <c r="D33" i="14"/>
  <c r="AH33" i="14" s="1"/>
  <c r="K33" i="14" s="1"/>
  <c r="E33" i="14"/>
  <c r="AI33" i="14" s="1"/>
  <c r="L33" i="14" s="1"/>
  <c r="Q33" i="14"/>
  <c r="AM33" i="14" s="1"/>
  <c r="W33" i="14" s="1"/>
  <c r="F33" i="14"/>
  <c r="AJ33" i="14" s="1"/>
  <c r="M33" i="14" s="1"/>
  <c r="C33" i="14"/>
  <c r="S33" i="14"/>
  <c r="AO33" i="14" s="1"/>
  <c r="Y33" i="14" s="1"/>
  <c r="R33" i="14"/>
  <c r="AN33" i="14" s="1"/>
  <c r="X33" i="14" s="1"/>
  <c r="P33" i="14"/>
  <c r="AF23" i="14"/>
  <c r="AC24" i="14"/>
  <c r="J30" i="14"/>
  <c r="AK30" i="14"/>
  <c r="N30" i="14" s="1"/>
  <c r="J31" i="14"/>
  <c r="AP30" i="14"/>
  <c r="Z30" i="14" s="1"/>
  <c r="G31" i="14"/>
  <c r="AB31" i="14" s="1"/>
  <c r="I31" i="14" s="1"/>
  <c r="AH31" i="14"/>
  <c r="K31" i="14" s="1"/>
  <c r="AL31" i="14"/>
  <c r="T31" i="14"/>
  <c r="AD31" i="14" s="1"/>
  <c r="U31" i="14" s="1"/>
  <c r="T32" i="14"/>
  <c r="AD32" i="14" s="1"/>
  <c r="U32" i="14" s="1"/>
  <c r="AL32" i="14"/>
  <c r="AP32" i="14" s="1"/>
  <c r="Z32" i="14" s="1"/>
  <c r="AG32" i="14"/>
  <c r="AK32" i="14" s="1"/>
  <c r="G32" i="14"/>
  <c r="AB32" i="14" s="1"/>
  <c r="I32" i="14" s="1"/>
  <c r="C42" i="3" a="1"/>
  <c r="C42" i="3" s="1"/>
  <c r="K42" i="3"/>
  <c r="J42" i="3"/>
  <c r="D42" i="3" a="1"/>
  <c r="D42" i="3" s="1"/>
  <c r="B42" i="3" a="1"/>
  <c r="B42" i="3" s="1"/>
  <c r="F42" i="3" s="1"/>
  <c r="B41" i="3" a="1"/>
  <c r="B41" i="3" s="1"/>
  <c r="F41" i="3" s="1"/>
  <c r="D41" i="3" a="1"/>
  <c r="D41" i="3" s="1"/>
  <c r="K41" i="3"/>
  <c r="C41" i="3" a="1"/>
  <c r="C41" i="3" s="1"/>
  <c r="G41" i="3" s="1"/>
  <c r="J41" i="3"/>
  <c r="E39" i="3" a="1"/>
  <c r="E39" i="3" s="1"/>
  <c r="H39" i="3" s="1"/>
  <c r="I39" i="3"/>
  <c r="I40" i="3" s="1"/>
  <c r="E40" i="3" a="1"/>
  <c r="E40" i="3" s="1"/>
  <c r="H40" i="3" s="1"/>
  <c r="H27" i="14"/>
  <c r="H34" i="16"/>
  <c r="G34" i="16"/>
  <c r="F35" i="16"/>
  <c r="B36" i="16" a="1"/>
  <c r="B36" i="16" s="1"/>
  <c r="F36" i="16" s="1"/>
  <c r="C35" i="16"/>
  <c r="D35" i="16"/>
  <c r="G29" i="18"/>
  <c r="H29" i="18"/>
  <c r="E30" i="18" a="1"/>
  <c r="E30" i="18" s="1"/>
  <c r="D30" i="18" a="1"/>
  <c r="D30" i="18" s="1"/>
  <c r="C30" i="18" a="1"/>
  <c r="C30" i="18" s="1"/>
  <c r="F30" i="18" a="1"/>
  <c r="F30" i="18" s="1"/>
  <c r="B31" i="18" a="1"/>
  <c r="B31" i="18" s="1"/>
  <c r="B34" i="14"/>
  <c r="AA28" i="14"/>
  <c r="O28" i="14"/>
  <c r="A43" i="3"/>
  <c r="A44" i="3"/>
  <c r="G42" i="3" l="1"/>
  <c r="J32" i="14"/>
  <c r="S34" i="14"/>
  <c r="C34" i="14"/>
  <c r="E34" i="14"/>
  <c r="AI34" i="14" s="1"/>
  <c r="L34" i="14" s="1"/>
  <c r="Q34" i="14"/>
  <c r="AM34" i="14" s="1"/>
  <c r="W34" i="14" s="1"/>
  <c r="D34" i="14"/>
  <c r="AH34" i="14" s="1"/>
  <c r="K34" i="14" s="1"/>
  <c r="F34" i="14"/>
  <c r="AJ34" i="14" s="1"/>
  <c r="M34" i="14" s="1"/>
  <c r="R34" i="14"/>
  <c r="AN34" i="14" s="1"/>
  <c r="X34" i="14" s="1"/>
  <c r="P34" i="14"/>
  <c r="T33" i="14"/>
  <c r="AD33" i="14" s="1"/>
  <c r="U33" i="14" s="1"/>
  <c r="AL33" i="14"/>
  <c r="V32" i="14"/>
  <c r="V31" i="14"/>
  <c r="AP31" i="14"/>
  <c r="Z31" i="14" s="1"/>
  <c r="AG33" i="14"/>
  <c r="G33" i="14"/>
  <c r="AB33" i="14" s="1"/>
  <c r="I33" i="14" s="1"/>
  <c r="AK31" i="14"/>
  <c r="N31" i="14" s="1"/>
  <c r="AF24" i="14"/>
  <c r="AC25" i="14"/>
  <c r="N32" i="14"/>
  <c r="AE31" i="14"/>
  <c r="AE32" i="14" s="1"/>
  <c r="J44" i="3"/>
  <c r="K44" i="3"/>
  <c r="C44" i="3" a="1"/>
  <c r="C44" i="3" s="1"/>
  <c r="B44" i="3" a="1"/>
  <c r="B44" i="3" s="1"/>
  <c r="F44" i="3" s="1"/>
  <c r="D44" i="3" a="1"/>
  <c r="D44" i="3" s="1"/>
  <c r="K43" i="3"/>
  <c r="J43" i="3"/>
  <c r="D43" i="3" a="1"/>
  <c r="D43" i="3" s="1"/>
  <c r="C43" i="3" a="1"/>
  <c r="C43" i="3" s="1"/>
  <c r="G43" i="3" s="1"/>
  <c r="B43" i="3" a="1"/>
  <c r="B43" i="3" s="1"/>
  <c r="F43" i="3" s="1"/>
  <c r="E42" i="3" a="1"/>
  <c r="E42" i="3" s="1"/>
  <c r="H42" i="3" s="1"/>
  <c r="I41" i="3"/>
  <c r="I42" i="3" s="1"/>
  <c r="E41" i="3" a="1"/>
  <c r="E41" i="3" s="1"/>
  <c r="H41" i="3" s="1"/>
  <c r="H28" i="14"/>
  <c r="H35" i="16"/>
  <c r="B37" i="16" a="1"/>
  <c r="B37" i="16" s="1"/>
  <c r="D37" i="16" s="1"/>
  <c r="C36" i="16"/>
  <c r="D36" i="16"/>
  <c r="G35" i="16"/>
  <c r="E36" i="16"/>
  <c r="F31" i="18" a="1"/>
  <c r="F31" i="18" s="1"/>
  <c r="E31" i="18" a="1"/>
  <c r="E31" i="18" s="1"/>
  <c r="D31" i="18" a="1"/>
  <c r="D31" i="18" s="1"/>
  <c r="C31" i="18" a="1"/>
  <c r="C31" i="18" s="1"/>
  <c r="B32" i="18" a="1"/>
  <c r="B32" i="18" s="1"/>
  <c r="G30" i="18"/>
  <c r="H30" i="18"/>
  <c r="B35" i="14"/>
  <c r="O29" i="14"/>
  <c r="AA29" i="14"/>
  <c r="A45" i="3"/>
  <c r="A46" i="3"/>
  <c r="B36" i="14"/>
  <c r="G44" i="3" l="1"/>
  <c r="F36" i="14"/>
  <c r="AJ36" i="14" s="1"/>
  <c r="M36" i="14" s="1"/>
  <c r="D36" i="14"/>
  <c r="AH36" i="14" s="1"/>
  <c r="K36" i="14" s="1"/>
  <c r="E36" i="14"/>
  <c r="AI36" i="14" s="1"/>
  <c r="L36" i="14" s="1"/>
  <c r="P36" i="14"/>
  <c r="R36" i="14"/>
  <c r="AN36" i="14" s="1"/>
  <c r="X36" i="14" s="1"/>
  <c r="C36" i="14"/>
  <c r="S36" i="14"/>
  <c r="AO36" i="14" s="1"/>
  <c r="Y36" i="14" s="1"/>
  <c r="Q36" i="14"/>
  <c r="AM36" i="14" s="1"/>
  <c r="W36" i="14" s="1"/>
  <c r="E35" i="14"/>
  <c r="AI35" i="14" s="1"/>
  <c r="L35" i="14" s="1"/>
  <c r="Q35" i="14"/>
  <c r="AM35" i="14" s="1"/>
  <c r="W35" i="14" s="1"/>
  <c r="C35" i="14"/>
  <c r="D35" i="14"/>
  <c r="AH35" i="14" s="1"/>
  <c r="K35" i="14" s="1"/>
  <c r="F35" i="14"/>
  <c r="AJ35" i="14" s="1"/>
  <c r="M35" i="14" s="1"/>
  <c r="R35" i="14"/>
  <c r="AN35" i="14" s="1"/>
  <c r="X35" i="14" s="1"/>
  <c r="P35" i="14"/>
  <c r="S35" i="14"/>
  <c r="AO35" i="14" s="1"/>
  <c r="Y35" i="14" s="1"/>
  <c r="G34" i="14"/>
  <c r="AB34" i="14" s="1"/>
  <c r="I34" i="14" s="1"/>
  <c r="AG34" i="14"/>
  <c r="AK34" i="14" s="1"/>
  <c r="J34" i="14"/>
  <c r="AC26" i="14"/>
  <c r="AF25" i="14"/>
  <c r="J33" i="14"/>
  <c r="AK33" i="14"/>
  <c r="N33" i="14" s="1"/>
  <c r="V33" i="14"/>
  <c r="AP33" i="14"/>
  <c r="Z33" i="14" s="1"/>
  <c r="T34" i="14"/>
  <c r="AD34" i="14" s="1"/>
  <c r="U34" i="14" s="1"/>
  <c r="AO34" i="14"/>
  <c r="Y34" i="14" s="1"/>
  <c r="AE33" i="14"/>
  <c r="AL34" i="14"/>
  <c r="V34" i="14" s="1"/>
  <c r="B46" i="3" a="1"/>
  <c r="B46" i="3" s="1"/>
  <c r="F46" i="3" s="1"/>
  <c r="C46" i="3" a="1"/>
  <c r="C46" i="3" s="1"/>
  <c r="K46" i="3"/>
  <c r="D46" i="3" a="1"/>
  <c r="D46" i="3" s="1"/>
  <c r="J46" i="3"/>
  <c r="B45" i="3" a="1"/>
  <c r="B45" i="3" s="1"/>
  <c r="F45" i="3" s="1"/>
  <c r="K45" i="3"/>
  <c r="J45" i="3"/>
  <c r="D45" i="3" a="1"/>
  <c r="D45" i="3" s="1"/>
  <c r="C45" i="3" a="1"/>
  <c r="C45" i="3" s="1"/>
  <c r="G45" i="3" s="1"/>
  <c r="E44" i="3" a="1"/>
  <c r="E44" i="3" s="1"/>
  <c r="H44" i="3" s="1"/>
  <c r="I43" i="3"/>
  <c r="I44" i="3" s="1"/>
  <c r="E43" i="3" a="1"/>
  <c r="E43" i="3" s="1"/>
  <c r="H43" i="3" s="1"/>
  <c r="H29" i="14"/>
  <c r="H36" i="16"/>
  <c r="B38" i="16" a="1"/>
  <c r="B38" i="16" s="1"/>
  <c r="D38" i="16" s="1"/>
  <c r="C37" i="16"/>
  <c r="F37" i="16"/>
  <c r="G36" i="16"/>
  <c r="E37" i="16"/>
  <c r="B33" i="18" a="1"/>
  <c r="B33" i="18" s="1"/>
  <c r="D32" i="18" a="1"/>
  <c r="D32" i="18" s="1"/>
  <c r="E32" i="18" a="1"/>
  <c r="E32" i="18" s="1"/>
  <c r="F32" i="18" a="1"/>
  <c r="F32" i="18" s="1"/>
  <c r="C32" i="18" a="1"/>
  <c r="C32" i="18" s="1"/>
  <c r="H31" i="18"/>
  <c r="G31" i="18"/>
  <c r="B37" i="14"/>
  <c r="AA30" i="14"/>
  <c r="O30" i="14"/>
  <c r="A47" i="3"/>
  <c r="A48" i="3"/>
  <c r="G46" i="3" l="1"/>
  <c r="D37" i="14"/>
  <c r="AH37" i="14" s="1"/>
  <c r="K37" i="14" s="1"/>
  <c r="R37" i="14"/>
  <c r="AN37" i="14" s="1"/>
  <c r="X37" i="14" s="1"/>
  <c r="Q37" i="14"/>
  <c r="AM37" i="14" s="1"/>
  <c r="W37" i="14" s="1"/>
  <c r="C37" i="14"/>
  <c r="P37" i="14"/>
  <c r="E37" i="14"/>
  <c r="AI37" i="14" s="1"/>
  <c r="L37" i="14" s="1"/>
  <c r="S37" i="14"/>
  <c r="AO37" i="14" s="1"/>
  <c r="Y37" i="14" s="1"/>
  <c r="F37" i="14"/>
  <c r="AJ37" i="14" s="1"/>
  <c r="M37" i="14" s="1"/>
  <c r="AG35" i="14"/>
  <c r="AK35" i="14" s="1"/>
  <c r="G35" i="14"/>
  <c r="AB35" i="14" s="1"/>
  <c r="I35" i="14" s="1"/>
  <c r="AL35" i="14"/>
  <c r="AP35" i="14" s="1"/>
  <c r="T35" i="14"/>
  <c r="AD35" i="14" s="1"/>
  <c r="U35" i="14" s="1"/>
  <c r="N34" i="14"/>
  <c r="G36" i="14"/>
  <c r="AB36" i="14" s="1"/>
  <c r="I36" i="14" s="1"/>
  <c r="AG36" i="14"/>
  <c r="AP34" i="14"/>
  <c r="Z34" i="14" s="1"/>
  <c r="AE34" i="14"/>
  <c r="AF26" i="14"/>
  <c r="AC27" i="14"/>
  <c r="AL36" i="14"/>
  <c r="T36" i="14"/>
  <c r="AD36" i="14" s="1"/>
  <c r="U36" i="14" s="1"/>
  <c r="D48" i="3" a="1"/>
  <c r="D48" i="3" s="1"/>
  <c r="K48" i="3"/>
  <c r="J48" i="3"/>
  <c r="C48" i="3" a="1"/>
  <c r="C48" i="3" s="1"/>
  <c r="B48" i="3" a="1"/>
  <c r="B48" i="3" s="1"/>
  <c r="F48" i="3" s="1"/>
  <c r="B47" i="3" a="1"/>
  <c r="B47" i="3" s="1"/>
  <c r="F47" i="3" s="1"/>
  <c r="K47" i="3"/>
  <c r="D47" i="3" a="1"/>
  <c r="D47" i="3" s="1"/>
  <c r="J47" i="3"/>
  <c r="C47" i="3" a="1"/>
  <c r="C47" i="3" s="1"/>
  <c r="G47" i="3" s="1"/>
  <c r="E46" i="3" a="1"/>
  <c r="E46" i="3" s="1"/>
  <c r="H46" i="3" s="1"/>
  <c r="I45" i="3"/>
  <c r="I46" i="3" s="1"/>
  <c r="E45" i="3" a="1"/>
  <c r="E45" i="3" s="1"/>
  <c r="H45" i="3" s="1"/>
  <c r="H30" i="14"/>
  <c r="H37" i="16"/>
  <c r="G37" i="16"/>
  <c r="E38" i="16"/>
  <c r="F38" i="16"/>
  <c r="B39" i="16" a="1"/>
  <c r="B39" i="16" s="1"/>
  <c r="E39" i="16" s="1"/>
  <c r="C38" i="16"/>
  <c r="H32" i="18"/>
  <c r="G32" i="18"/>
  <c r="F33" i="18" a="1"/>
  <c r="F33" i="18" s="1"/>
  <c r="C33" i="18" a="1"/>
  <c r="C33" i="18" s="1"/>
  <c r="E33" i="18" a="1"/>
  <c r="E33" i="18" s="1"/>
  <c r="D33" i="18" a="1"/>
  <c r="D33" i="18" s="1"/>
  <c r="B34" i="18" a="1"/>
  <c r="B34" i="18" s="1"/>
  <c r="B38" i="14"/>
  <c r="O31" i="14"/>
  <c r="AA31" i="14"/>
  <c r="A49" i="3"/>
  <c r="Z35" i="14" l="1"/>
  <c r="AE35" i="14"/>
  <c r="J35" i="14"/>
  <c r="H38" i="16"/>
  <c r="G48" i="3"/>
  <c r="AE36" i="14"/>
  <c r="S38" i="14"/>
  <c r="AO38" i="14" s="1"/>
  <c r="Y38" i="14" s="1"/>
  <c r="P38" i="14"/>
  <c r="E38" i="14"/>
  <c r="AI38" i="14" s="1"/>
  <c r="L38" i="14" s="1"/>
  <c r="Q38" i="14"/>
  <c r="AM38" i="14" s="1"/>
  <c r="W38" i="14" s="1"/>
  <c r="C38" i="14"/>
  <c r="D38" i="14"/>
  <c r="AH38" i="14" s="1"/>
  <c r="K38" i="14" s="1"/>
  <c r="F38" i="14"/>
  <c r="AJ38" i="14" s="1"/>
  <c r="M38" i="14" s="1"/>
  <c r="R38" i="14"/>
  <c r="AN38" i="14" s="1"/>
  <c r="X38" i="14" s="1"/>
  <c r="V36" i="14"/>
  <c r="AP36" i="14"/>
  <c r="Z36" i="14" s="1"/>
  <c r="V35" i="14"/>
  <c r="AC28" i="14"/>
  <c r="AF27" i="14"/>
  <c r="J36" i="14"/>
  <c r="AK36" i="14"/>
  <c r="N36" i="14" s="1"/>
  <c r="N35" i="14"/>
  <c r="AL37" i="14"/>
  <c r="AP37" i="14" s="1"/>
  <c r="T37" i="14"/>
  <c r="AD37" i="14" s="1"/>
  <c r="U37" i="14" s="1"/>
  <c r="AG37" i="14"/>
  <c r="AK37" i="14" s="1"/>
  <c r="G37" i="14"/>
  <c r="AB37" i="14" s="1"/>
  <c r="I37" i="14" s="1"/>
  <c r="B49" i="3" a="1"/>
  <c r="B49" i="3" s="1"/>
  <c r="F49" i="3" s="1"/>
  <c r="K49" i="3"/>
  <c r="J49" i="3"/>
  <c r="D49" i="3" a="1"/>
  <c r="D49" i="3" s="1"/>
  <c r="C49" i="3" a="1"/>
  <c r="C49" i="3" s="1"/>
  <c r="E47" i="3" a="1"/>
  <c r="E47" i="3" s="1"/>
  <c r="H47" i="3" s="1"/>
  <c r="I47" i="3"/>
  <c r="I48" i="3" s="1"/>
  <c r="E48" i="3" a="1"/>
  <c r="E48" i="3" s="1"/>
  <c r="H48" i="3" s="1"/>
  <c r="H31" i="14"/>
  <c r="G38" i="16"/>
  <c r="B40" i="16" a="1"/>
  <c r="B40" i="16" s="1"/>
  <c r="F40" i="16" s="1"/>
  <c r="C39" i="16"/>
  <c r="F39" i="16"/>
  <c r="D39" i="16"/>
  <c r="H33" i="18"/>
  <c r="G33" i="18"/>
  <c r="B35" i="18" a="1"/>
  <c r="B35" i="18" s="1"/>
  <c r="C34" i="18" a="1"/>
  <c r="C34" i="18" s="1"/>
  <c r="F34" i="18" a="1"/>
  <c r="F34" i="18" s="1"/>
  <c r="D34" i="18" a="1"/>
  <c r="D34" i="18" s="1"/>
  <c r="E34" i="18" a="1"/>
  <c r="E34" i="18" s="1"/>
  <c r="B39" i="14"/>
  <c r="AA32" i="14"/>
  <c r="O32" i="14"/>
  <c r="A50" i="3"/>
  <c r="B40" i="14"/>
  <c r="J37" i="14" l="1"/>
  <c r="G49" i="3"/>
  <c r="C40" i="14"/>
  <c r="E40" i="14"/>
  <c r="AI40" i="14" s="1"/>
  <c r="L40" i="14" s="1"/>
  <c r="P40" i="14"/>
  <c r="R40" i="14"/>
  <c r="AN40" i="14" s="1"/>
  <c r="X40" i="14" s="1"/>
  <c r="S40" i="14"/>
  <c r="AO40" i="14" s="1"/>
  <c r="Y40" i="14" s="1"/>
  <c r="D40" i="14"/>
  <c r="AH40" i="14" s="1"/>
  <c r="K40" i="14" s="1"/>
  <c r="Q40" i="14"/>
  <c r="AM40" i="14" s="1"/>
  <c r="W40" i="14" s="1"/>
  <c r="F40" i="14"/>
  <c r="AJ40" i="14" s="1"/>
  <c r="M40" i="14" s="1"/>
  <c r="E39" i="14"/>
  <c r="AI39" i="14" s="1"/>
  <c r="L39" i="14" s="1"/>
  <c r="S39" i="14"/>
  <c r="AO39" i="14" s="1"/>
  <c r="Y39" i="14" s="1"/>
  <c r="C39" i="14"/>
  <c r="D39" i="14"/>
  <c r="AH39" i="14" s="1"/>
  <c r="K39" i="14" s="1"/>
  <c r="Q39" i="14"/>
  <c r="AM39" i="14" s="1"/>
  <c r="W39" i="14" s="1"/>
  <c r="F39" i="14"/>
  <c r="AJ39" i="14" s="1"/>
  <c r="M39" i="14" s="1"/>
  <c r="P39" i="14"/>
  <c r="R39" i="14"/>
  <c r="AN39" i="14" s="1"/>
  <c r="X39" i="14" s="1"/>
  <c r="Z37" i="14"/>
  <c r="T38" i="14"/>
  <c r="AD38" i="14" s="1"/>
  <c r="U38" i="14" s="1"/>
  <c r="AL38" i="14"/>
  <c r="AG38" i="14"/>
  <c r="G38" i="14"/>
  <c r="AB38" i="14" s="1"/>
  <c r="I38" i="14" s="1"/>
  <c r="N37" i="14"/>
  <c r="AC29" i="14"/>
  <c r="AF28" i="14"/>
  <c r="AE37" i="14"/>
  <c r="V37" i="14"/>
  <c r="J50" i="3"/>
  <c r="B50" i="3" a="1"/>
  <c r="B50" i="3" s="1"/>
  <c r="F50" i="3" s="1"/>
  <c r="C50" i="3" a="1"/>
  <c r="C50" i="3" s="1"/>
  <c r="D50" i="3" a="1"/>
  <c r="D50" i="3" s="1"/>
  <c r="K50" i="3"/>
  <c r="I49" i="3"/>
  <c r="E49" i="3" a="1"/>
  <c r="E49" i="3" s="1"/>
  <c r="H49" i="3" s="1"/>
  <c r="H32" i="14"/>
  <c r="H39" i="16"/>
  <c r="B41" i="16" a="1"/>
  <c r="B41" i="16" s="1"/>
  <c r="E41" i="16" s="1"/>
  <c r="C40" i="16"/>
  <c r="G39" i="16"/>
  <c r="E40" i="16"/>
  <c r="D40" i="16"/>
  <c r="F35" i="18" a="1"/>
  <c r="F35" i="18" s="1"/>
  <c r="E35" i="18" a="1"/>
  <c r="E35" i="18" s="1"/>
  <c r="D35" i="18" a="1"/>
  <c r="D35" i="18" s="1"/>
  <c r="C35" i="18" a="1"/>
  <c r="C35" i="18" s="1"/>
  <c r="B36" i="18" a="1"/>
  <c r="B36" i="18" s="1"/>
  <c r="H34" i="18"/>
  <c r="G34" i="18"/>
  <c r="B41" i="14"/>
  <c r="O33" i="14"/>
  <c r="AA33" i="14"/>
  <c r="A51" i="3"/>
  <c r="G50" i="3" l="1"/>
  <c r="H40" i="16"/>
  <c r="S41" i="14"/>
  <c r="AO41" i="14" s="1"/>
  <c r="Y41" i="14" s="1"/>
  <c r="P41" i="14"/>
  <c r="R41" i="14"/>
  <c r="AN41" i="14" s="1"/>
  <c r="X41" i="14" s="1"/>
  <c r="E41" i="14"/>
  <c r="AI41" i="14" s="1"/>
  <c r="L41" i="14" s="1"/>
  <c r="Q41" i="14"/>
  <c r="AM41" i="14" s="1"/>
  <c r="W41" i="14" s="1"/>
  <c r="D41" i="14"/>
  <c r="AH41" i="14" s="1"/>
  <c r="K41" i="14" s="1"/>
  <c r="C41" i="14"/>
  <c r="F41" i="14"/>
  <c r="AJ41" i="14" s="1"/>
  <c r="M41" i="14" s="1"/>
  <c r="AF29" i="14"/>
  <c r="AC30" i="14"/>
  <c r="V38" i="14"/>
  <c r="AP38" i="14"/>
  <c r="Z38" i="14" s="1"/>
  <c r="AL39" i="14"/>
  <c r="AP39" i="14" s="1"/>
  <c r="T39" i="14"/>
  <c r="AD39" i="14" s="1"/>
  <c r="U39" i="14" s="1"/>
  <c r="AG39" i="14"/>
  <c r="AK39" i="14" s="1"/>
  <c r="G39" i="14"/>
  <c r="AB39" i="14" s="1"/>
  <c r="I39" i="14" s="1"/>
  <c r="AL40" i="14"/>
  <c r="AP40" i="14" s="1"/>
  <c r="T40" i="14"/>
  <c r="AD40" i="14" s="1"/>
  <c r="U40" i="14" s="1"/>
  <c r="G40" i="14"/>
  <c r="AB40" i="14" s="1"/>
  <c r="I40" i="14" s="1"/>
  <c r="AG40" i="14"/>
  <c r="AK40" i="14" s="1"/>
  <c r="AE38" i="14"/>
  <c r="J38" i="14"/>
  <c r="AK38" i="14"/>
  <c r="N38" i="14" s="1"/>
  <c r="B51" i="3" a="1"/>
  <c r="B51" i="3" s="1"/>
  <c r="F51" i="3" s="1"/>
  <c r="C51" i="3" a="1"/>
  <c r="C51" i="3" s="1"/>
  <c r="D51" i="3" a="1"/>
  <c r="D51" i="3" s="1"/>
  <c r="K51" i="3"/>
  <c r="J51" i="3"/>
  <c r="I50" i="3"/>
  <c r="E50" i="3" a="1"/>
  <c r="E50" i="3" s="1"/>
  <c r="H50" i="3" s="1"/>
  <c r="H33" i="14"/>
  <c r="G40" i="16"/>
  <c r="B42" i="16" a="1"/>
  <c r="B42" i="16" s="1"/>
  <c r="D42" i="16" s="1"/>
  <c r="C41" i="16"/>
  <c r="D41" i="16"/>
  <c r="F41" i="16"/>
  <c r="H35" i="18"/>
  <c r="G35" i="18"/>
  <c r="F36" i="18" a="1"/>
  <c r="F36" i="18" s="1"/>
  <c r="E36" i="18" a="1"/>
  <c r="E36" i="18" s="1"/>
  <c r="C36" i="18" a="1"/>
  <c r="C36" i="18" s="1"/>
  <c r="D36" i="18" a="1"/>
  <c r="D36" i="18" s="1"/>
  <c r="B37" i="18" a="1"/>
  <c r="B37" i="18" s="1"/>
  <c r="B42" i="14"/>
  <c r="O34" i="14"/>
  <c r="AA34" i="14"/>
  <c r="A52" i="3"/>
  <c r="G51" i="3" l="1"/>
  <c r="AE39" i="14"/>
  <c r="Z39" i="14"/>
  <c r="N39" i="14"/>
  <c r="V39" i="14"/>
  <c r="J40" i="14"/>
  <c r="N40" i="14"/>
  <c r="H41" i="16"/>
  <c r="P42" i="14"/>
  <c r="S42" i="14"/>
  <c r="AO42" i="14" s="1"/>
  <c r="Y42" i="14" s="1"/>
  <c r="C42" i="14"/>
  <c r="F42" i="14"/>
  <c r="AJ42" i="14" s="1"/>
  <c r="M42" i="14" s="1"/>
  <c r="E42" i="14"/>
  <c r="AI42" i="14" s="1"/>
  <c r="L42" i="14" s="1"/>
  <c r="R42" i="14"/>
  <c r="AN42" i="14" s="1"/>
  <c r="X42" i="14" s="1"/>
  <c r="Q42" i="14"/>
  <c r="AM42" i="14" s="1"/>
  <c r="W42" i="14" s="1"/>
  <c r="D42" i="14"/>
  <c r="AH42" i="14" s="1"/>
  <c r="K42" i="14" s="1"/>
  <c r="Z40" i="14"/>
  <c r="J39" i="14"/>
  <c r="AC31" i="14"/>
  <c r="AF30" i="14"/>
  <c r="T41" i="14"/>
  <c r="AD41" i="14" s="1"/>
  <c r="U41" i="14" s="1"/>
  <c r="AL41" i="14"/>
  <c r="AP41" i="14" s="1"/>
  <c r="Z41" i="14" s="1"/>
  <c r="G41" i="14"/>
  <c r="AB41" i="14" s="1"/>
  <c r="I41" i="14" s="1"/>
  <c r="AG41" i="14"/>
  <c r="AE40" i="14"/>
  <c r="AE41" i="14" s="1"/>
  <c r="V40" i="14"/>
  <c r="B52" i="3" a="1"/>
  <c r="B52" i="3" s="1"/>
  <c r="F52" i="3" s="1"/>
  <c r="K52" i="3"/>
  <c r="D52" i="3" a="1"/>
  <c r="D52" i="3" s="1"/>
  <c r="J52" i="3"/>
  <c r="C52" i="3" a="1"/>
  <c r="C52" i="3" s="1"/>
  <c r="G52" i="3" s="1"/>
  <c r="I51" i="3"/>
  <c r="E51" i="3" a="1"/>
  <c r="E51" i="3" s="1"/>
  <c r="H51" i="3" s="1"/>
  <c r="H34" i="14"/>
  <c r="B43" i="16" a="1"/>
  <c r="B43" i="16" s="1"/>
  <c r="E43" i="16" s="1"/>
  <c r="C42" i="16"/>
  <c r="F42" i="16"/>
  <c r="G41" i="16"/>
  <c r="E42" i="16"/>
  <c r="F37" i="18" a="1"/>
  <c r="F37" i="18" s="1"/>
  <c r="D37" i="18" a="1"/>
  <c r="D37" i="18" s="1"/>
  <c r="C37" i="18" a="1"/>
  <c r="C37" i="18" s="1"/>
  <c r="E37" i="18" a="1"/>
  <c r="E37" i="18" s="1"/>
  <c r="B38" i="18" a="1"/>
  <c r="B38" i="18" s="1"/>
  <c r="H36" i="18"/>
  <c r="G36" i="18"/>
  <c r="B43" i="14"/>
  <c r="AA35" i="14"/>
  <c r="O35" i="14"/>
  <c r="A53" i="3"/>
  <c r="B44" i="14"/>
  <c r="V41" i="14" l="1"/>
  <c r="C44" i="14"/>
  <c r="S44" i="14"/>
  <c r="AO44" i="14" s="1"/>
  <c r="Y44" i="14" s="1"/>
  <c r="R44" i="14"/>
  <c r="AN44" i="14" s="1"/>
  <c r="X44" i="14" s="1"/>
  <c r="E44" i="14"/>
  <c r="AI44" i="14" s="1"/>
  <c r="L44" i="14" s="1"/>
  <c r="F44" i="14"/>
  <c r="AJ44" i="14" s="1"/>
  <c r="M44" i="14" s="1"/>
  <c r="Q44" i="14"/>
  <c r="AM44" i="14" s="1"/>
  <c r="W44" i="14" s="1"/>
  <c r="P44" i="14"/>
  <c r="D44" i="14"/>
  <c r="AH44" i="14" s="1"/>
  <c r="K44" i="14" s="1"/>
  <c r="E43" i="14"/>
  <c r="AI43" i="14" s="1"/>
  <c r="L43" i="14" s="1"/>
  <c r="P43" i="14"/>
  <c r="D43" i="14"/>
  <c r="AH43" i="14" s="1"/>
  <c r="K43" i="14" s="1"/>
  <c r="Q43" i="14"/>
  <c r="AM43" i="14" s="1"/>
  <c r="W43" i="14" s="1"/>
  <c r="R43" i="14"/>
  <c r="AN43" i="14" s="1"/>
  <c r="X43" i="14" s="1"/>
  <c r="C43" i="14"/>
  <c r="F43" i="14"/>
  <c r="AJ43" i="14" s="1"/>
  <c r="M43" i="14" s="1"/>
  <c r="S43" i="14"/>
  <c r="AO43" i="14" s="1"/>
  <c r="Y43" i="14" s="1"/>
  <c r="G42" i="14"/>
  <c r="AB42" i="14" s="1"/>
  <c r="I42" i="14" s="1"/>
  <c r="AG42" i="14"/>
  <c r="AC32" i="14"/>
  <c r="AF31" i="14"/>
  <c r="AE42" i="14"/>
  <c r="J41" i="14"/>
  <c r="AK41" i="14"/>
  <c r="N41" i="14" s="1"/>
  <c r="T42" i="14"/>
  <c r="AD42" i="14" s="1"/>
  <c r="U42" i="14" s="1"/>
  <c r="AL42" i="14"/>
  <c r="AP42" i="14" s="1"/>
  <c r="Z42" i="14" s="1"/>
  <c r="C53" i="3" a="1"/>
  <c r="C53" i="3" s="1"/>
  <c r="G53" i="3" s="1"/>
  <c r="D53" i="3" a="1"/>
  <c r="D53" i="3" s="1"/>
  <c r="J53" i="3"/>
  <c r="K53" i="3"/>
  <c r="B53" i="3" a="1"/>
  <c r="B53" i="3" s="1"/>
  <c r="F53" i="3" s="1"/>
  <c r="I52" i="3"/>
  <c r="E52" i="3" a="1"/>
  <c r="E52" i="3" s="1"/>
  <c r="H52" i="3" s="1"/>
  <c r="H35" i="14"/>
  <c r="H42" i="16"/>
  <c r="G42" i="16"/>
  <c r="F43" i="16"/>
  <c r="B44" i="16" a="1"/>
  <c r="B44" i="16" s="1"/>
  <c r="F44" i="16" s="1"/>
  <c r="C43" i="16"/>
  <c r="D43" i="16"/>
  <c r="G37" i="18"/>
  <c r="H37" i="18"/>
  <c r="B39" i="18" a="1"/>
  <c r="B39" i="18" s="1"/>
  <c r="E38" i="18" a="1"/>
  <c r="E38" i="18" s="1"/>
  <c r="F38" i="18" a="1"/>
  <c r="F38" i="18" s="1"/>
  <c r="C38" i="18" a="1"/>
  <c r="C38" i="18" s="1"/>
  <c r="D38" i="18" a="1"/>
  <c r="D38" i="18" s="1"/>
  <c r="B45" i="14"/>
  <c r="AA36" i="14"/>
  <c r="O36" i="14"/>
  <c r="A54" i="3"/>
  <c r="V42" i="14" l="1"/>
  <c r="H43" i="16"/>
  <c r="F45" i="14"/>
  <c r="AJ45" i="14" s="1"/>
  <c r="M45" i="14" s="1"/>
  <c r="C45" i="14"/>
  <c r="Q45" i="14"/>
  <c r="AM45" i="14" s="1"/>
  <c r="W45" i="14" s="1"/>
  <c r="S45" i="14"/>
  <c r="AO45" i="14" s="1"/>
  <c r="Y45" i="14" s="1"/>
  <c r="P45" i="14"/>
  <c r="E45" i="14"/>
  <c r="AI45" i="14" s="1"/>
  <c r="L45" i="14" s="1"/>
  <c r="R45" i="14"/>
  <c r="AN45" i="14" s="1"/>
  <c r="X45" i="14" s="1"/>
  <c r="D45" i="14"/>
  <c r="AH45" i="14" s="1"/>
  <c r="K45" i="14" s="1"/>
  <c r="AL44" i="14"/>
  <c r="AP44" i="14" s="1"/>
  <c r="T44" i="14"/>
  <c r="AD44" i="14" s="1"/>
  <c r="U44" i="14" s="1"/>
  <c r="G43" i="14"/>
  <c r="AB43" i="14" s="1"/>
  <c r="I43" i="14" s="1"/>
  <c r="AG43" i="14"/>
  <c r="AK43" i="14" s="1"/>
  <c r="N43" i="14" s="1"/>
  <c r="AL43" i="14"/>
  <c r="AP43" i="14" s="1"/>
  <c r="T43" i="14"/>
  <c r="AD43" i="14" s="1"/>
  <c r="U43" i="14" s="1"/>
  <c r="AG44" i="14"/>
  <c r="AK44" i="14" s="1"/>
  <c r="G44" i="14"/>
  <c r="AB44" i="14" s="1"/>
  <c r="I44" i="14" s="1"/>
  <c r="AF32" i="14"/>
  <c r="AC33" i="14"/>
  <c r="J42" i="14"/>
  <c r="AK42" i="14"/>
  <c r="N42" i="14" s="1"/>
  <c r="K54" i="3"/>
  <c r="J54" i="3"/>
  <c r="B54" i="3" a="1"/>
  <c r="B54" i="3" s="1"/>
  <c r="F54" i="3" s="1"/>
  <c r="D54" i="3" a="1"/>
  <c r="D54" i="3" s="1"/>
  <c r="C54" i="3" a="1"/>
  <c r="C54" i="3" s="1"/>
  <c r="G54" i="3" s="1"/>
  <c r="E53" i="3" a="1"/>
  <c r="E53" i="3" s="1"/>
  <c r="H53" i="3" s="1"/>
  <c r="I53" i="3"/>
  <c r="H36" i="14"/>
  <c r="B45" i="16" a="1"/>
  <c r="B45" i="16" s="1"/>
  <c r="C45" i="16" s="1"/>
  <c r="C44" i="16"/>
  <c r="D44" i="16"/>
  <c r="G43" i="16"/>
  <c r="E44" i="16"/>
  <c r="G38" i="18"/>
  <c r="H38" i="18"/>
  <c r="D39" i="18" a="1"/>
  <c r="D39" i="18" s="1"/>
  <c r="C39" i="18" a="1"/>
  <c r="C39" i="18" s="1"/>
  <c r="E39" i="18" a="1"/>
  <c r="E39" i="18" s="1"/>
  <c r="F39" i="18" a="1"/>
  <c r="F39" i="18" s="1"/>
  <c r="B40" i="18" a="1"/>
  <c r="B40" i="18" s="1"/>
  <c r="B46" i="14"/>
  <c r="AA37" i="14"/>
  <c r="O37" i="14"/>
  <c r="A55" i="3"/>
  <c r="Z44" i="14" l="1"/>
  <c r="J44" i="14"/>
  <c r="AE43" i="14"/>
  <c r="AE44" i="14" s="1"/>
  <c r="V43" i="14"/>
  <c r="C46" i="14"/>
  <c r="E46" i="14"/>
  <c r="AI46" i="14" s="1"/>
  <c r="L46" i="14" s="1"/>
  <c r="R46" i="14"/>
  <c r="AN46" i="14" s="1"/>
  <c r="X46" i="14" s="1"/>
  <c r="F46" i="14"/>
  <c r="AJ46" i="14" s="1"/>
  <c r="M46" i="14" s="1"/>
  <c r="S46" i="14"/>
  <c r="AO46" i="14" s="1"/>
  <c r="Y46" i="14" s="1"/>
  <c r="P46" i="14"/>
  <c r="D46" i="14"/>
  <c r="AH46" i="14" s="1"/>
  <c r="K46" i="14" s="1"/>
  <c r="Q46" i="14"/>
  <c r="AM46" i="14" s="1"/>
  <c r="W46" i="14" s="1"/>
  <c r="AE45" i="14"/>
  <c r="Z43" i="14"/>
  <c r="V44" i="14"/>
  <c r="AF33" i="14"/>
  <c r="AC34" i="14"/>
  <c r="N44" i="14"/>
  <c r="J43" i="14"/>
  <c r="AG45" i="14"/>
  <c r="AK45" i="14" s="1"/>
  <c r="G45" i="14"/>
  <c r="AB45" i="14" s="1"/>
  <c r="I45" i="14" s="1"/>
  <c r="T45" i="14"/>
  <c r="AD45" i="14" s="1"/>
  <c r="U45" i="14" s="1"/>
  <c r="AL45" i="14"/>
  <c r="AP45" i="14" s="1"/>
  <c r="V45" i="14"/>
  <c r="K55" i="3"/>
  <c r="J55" i="3"/>
  <c r="B55" i="3" a="1"/>
  <c r="B55" i="3" s="1"/>
  <c r="F55" i="3" s="1"/>
  <c r="D55" i="3" a="1"/>
  <c r="D55" i="3" s="1"/>
  <c r="C55" i="3" a="1"/>
  <c r="C55" i="3" s="1"/>
  <c r="G55" i="3" s="1"/>
  <c r="I54" i="3"/>
  <c r="E54" i="3" a="1"/>
  <c r="E54" i="3" s="1"/>
  <c r="H54" i="3" s="1"/>
  <c r="H37" i="14"/>
  <c r="H44" i="16"/>
  <c r="G44" i="16"/>
  <c r="F45" i="16"/>
  <c r="D45" i="16"/>
  <c r="E45" i="16"/>
  <c r="B46" i="16" a="1"/>
  <c r="B46" i="16" s="1"/>
  <c r="C46" i="16" s="1"/>
  <c r="G39" i="18"/>
  <c r="H39" i="18"/>
  <c r="D40" i="18" a="1"/>
  <c r="D40" i="18" s="1"/>
  <c r="F40" i="18" a="1"/>
  <c r="F40" i="18" s="1"/>
  <c r="C40" i="18" a="1"/>
  <c r="C40" i="18" s="1"/>
  <c r="E40" i="18" a="1"/>
  <c r="E40" i="18" s="1"/>
  <c r="B41" i="18" a="1"/>
  <c r="B41" i="18" s="1"/>
  <c r="B47" i="14"/>
  <c r="O38" i="14"/>
  <c r="AA38" i="14"/>
  <c r="A56" i="3"/>
  <c r="B48" i="14"/>
  <c r="Z45" i="14" l="1"/>
  <c r="H45" i="16"/>
  <c r="S48" i="14"/>
  <c r="AO48" i="14" s="1"/>
  <c r="Y48" i="14" s="1"/>
  <c r="F48" i="14"/>
  <c r="AJ48" i="14" s="1"/>
  <c r="M48" i="14" s="1"/>
  <c r="P48" i="14"/>
  <c r="R48" i="14"/>
  <c r="AN48" i="14" s="1"/>
  <c r="X48" i="14" s="1"/>
  <c r="E48" i="14"/>
  <c r="AI48" i="14" s="1"/>
  <c r="L48" i="14" s="1"/>
  <c r="C48" i="14"/>
  <c r="D48" i="14"/>
  <c r="AH48" i="14" s="1"/>
  <c r="K48" i="14" s="1"/>
  <c r="Q48" i="14"/>
  <c r="AM48" i="14" s="1"/>
  <c r="W48" i="14" s="1"/>
  <c r="P47" i="14"/>
  <c r="Q47" i="14"/>
  <c r="AM47" i="14" s="1"/>
  <c r="W47" i="14" s="1"/>
  <c r="S47" i="14"/>
  <c r="AO47" i="14" s="1"/>
  <c r="Y47" i="14" s="1"/>
  <c r="D47" i="14"/>
  <c r="AH47" i="14" s="1"/>
  <c r="K47" i="14" s="1"/>
  <c r="E47" i="14"/>
  <c r="AI47" i="14" s="1"/>
  <c r="L47" i="14" s="1"/>
  <c r="F47" i="14"/>
  <c r="AJ47" i="14" s="1"/>
  <c r="M47" i="14" s="1"/>
  <c r="R47" i="14"/>
  <c r="AN47" i="14" s="1"/>
  <c r="X47" i="14" s="1"/>
  <c r="C47" i="14"/>
  <c r="AC35" i="14"/>
  <c r="AF34" i="14"/>
  <c r="N45" i="14"/>
  <c r="J45" i="14"/>
  <c r="AL46" i="14"/>
  <c r="T46" i="14"/>
  <c r="AD46" i="14" s="1"/>
  <c r="U46" i="14" s="1"/>
  <c r="AG46" i="14"/>
  <c r="G46" i="14"/>
  <c r="AB46" i="14" s="1"/>
  <c r="I46" i="14" s="1"/>
  <c r="K56" i="3"/>
  <c r="B56" i="3" a="1"/>
  <c r="B56" i="3" s="1"/>
  <c r="F56" i="3" s="1"/>
  <c r="J56" i="3"/>
  <c r="D56" i="3" a="1"/>
  <c r="D56" i="3" s="1"/>
  <c r="C56" i="3" a="1"/>
  <c r="C56" i="3" s="1"/>
  <c r="G56" i="3" s="1"/>
  <c r="I55" i="3"/>
  <c r="E55" i="3" a="1"/>
  <c r="E55" i="3" s="1"/>
  <c r="H55" i="3" s="1"/>
  <c r="H38" i="14"/>
  <c r="G45" i="16"/>
  <c r="F46" i="16"/>
  <c r="D46" i="16"/>
  <c r="E46" i="16"/>
  <c r="B47" i="16" a="1"/>
  <c r="B47" i="16" s="1"/>
  <c r="C47" i="16" s="1"/>
  <c r="G40" i="18"/>
  <c r="H40" i="18"/>
  <c r="D41" i="18" a="1"/>
  <c r="D41" i="18" s="1"/>
  <c r="E41" i="18" a="1"/>
  <c r="E41" i="18" s="1"/>
  <c r="F41" i="18" a="1"/>
  <c r="F41" i="18" s="1"/>
  <c r="C41" i="18" a="1"/>
  <c r="C41" i="18" s="1"/>
  <c r="B42" i="18" a="1"/>
  <c r="B42" i="18" s="1"/>
  <c r="B49" i="14"/>
  <c r="AA39" i="14"/>
  <c r="O39" i="14"/>
  <c r="A57" i="3"/>
  <c r="A58" i="3"/>
  <c r="H46" i="16" l="1"/>
  <c r="R49" i="14"/>
  <c r="AN49" i="14" s="1"/>
  <c r="X49" i="14" s="1"/>
  <c r="Q49" i="14"/>
  <c r="AM49" i="14" s="1"/>
  <c r="W49" i="14" s="1"/>
  <c r="F49" i="14"/>
  <c r="AJ49" i="14" s="1"/>
  <c r="M49" i="14" s="1"/>
  <c r="C49" i="14"/>
  <c r="E49" i="14"/>
  <c r="AI49" i="14" s="1"/>
  <c r="L49" i="14" s="1"/>
  <c r="P49" i="14"/>
  <c r="S49" i="14"/>
  <c r="AO49" i="14" s="1"/>
  <c r="Y49" i="14" s="1"/>
  <c r="D49" i="14"/>
  <c r="AH49" i="14" s="1"/>
  <c r="K49" i="14" s="1"/>
  <c r="AL48" i="14"/>
  <c r="T48" i="14"/>
  <c r="AD48" i="14" s="1"/>
  <c r="U48" i="14" s="1"/>
  <c r="AE46" i="14"/>
  <c r="V46" i="14"/>
  <c r="AP46" i="14"/>
  <c r="Z46" i="14" s="1"/>
  <c r="AG48" i="14"/>
  <c r="G48" i="14"/>
  <c r="AB48" i="14" s="1"/>
  <c r="I48" i="14" s="1"/>
  <c r="AL47" i="14"/>
  <c r="AP47" i="14" s="1"/>
  <c r="T47" i="14"/>
  <c r="AD47" i="14" s="1"/>
  <c r="U47" i="14" s="1"/>
  <c r="AF35" i="14"/>
  <c r="AC36" i="14"/>
  <c r="J46" i="14"/>
  <c r="AK46" i="14"/>
  <c r="N46" i="14" s="1"/>
  <c r="AG47" i="14"/>
  <c r="G47" i="14"/>
  <c r="AB47" i="14" s="1"/>
  <c r="I47" i="14" s="1"/>
  <c r="D58" i="3" a="1"/>
  <c r="D58" i="3" s="1"/>
  <c r="J58" i="3"/>
  <c r="B58" i="3" a="1"/>
  <c r="B58" i="3" s="1"/>
  <c r="F58" i="3" s="1"/>
  <c r="K58" i="3"/>
  <c r="C58" i="3" a="1"/>
  <c r="C58" i="3" s="1"/>
  <c r="G58" i="3" s="1"/>
  <c r="D57" i="3" a="1"/>
  <c r="D57" i="3" s="1"/>
  <c r="J57" i="3"/>
  <c r="B57" i="3" a="1"/>
  <c r="B57" i="3" s="1"/>
  <c r="F57" i="3" s="1"/>
  <c r="C57" i="3" a="1"/>
  <c r="C57" i="3" s="1"/>
  <c r="K57" i="3"/>
  <c r="E56" i="3" a="1"/>
  <c r="E56" i="3" s="1"/>
  <c r="H56" i="3" s="1"/>
  <c r="I56" i="3"/>
  <c r="H39" i="14"/>
  <c r="G46" i="16"/>
  <c r="F47" i="16"/>
  <c r="D47" i="16"/>
  <c r="E47" i="16"/>
  <c r="B48" i="16" a="1"/>
  <c r="B48" i="16" s="1"/>
  <c r="E48" i="16" s="1"/>
  <c r="F42" i="18" a="1"/>
  <c r="F42" i="18" s="1"/>
  <c r="D42" i="18" a="1"/>
  <c r="D42" i="18" s="1"/>
  <c r="C42" i="18" a="1"/>
  <c r="C42" i="18" s="1"/>
  <c r="E42" i="18" a="1"/>
  <c r="E42" i="18" s="1"/>
  <c r="B43" i="18" a="1"/>
  <c r="B43" i="18" s="1"/>
  <c r="H41" i="18"/>
  <c r="G41" i="18"/>
  <c r="B50" i="14"/>
  <c r="AA40" i="14"/>
  <c r="O40" i="14"/>
  <c r="A59" i="3"/>
  <c r="AE47" i="14" l="1"/>
  <c r="AE48" i="14" s="1"/>
  <c r="G57" i="3"/>
  <c r="Z47" i="14"/>
  <c r="H47" i="16"/>
  <c r="C50" i="14"/>
  <c r="E50" i="14"/>
  <c r="AI50" i="14" s="1"/>
  <c r="L50" i="14" s="1"/>
  <c r="Q50" i="14"/>
  <c r="AM50" i="14" s="1"/>
  <c r="W50" i="14" s="1"/>
  <c r="F50" i="14"/>
  <c r="AJ50" i="14" s="1"/>
  <c r="M50" i="14" s="1"/>
  <c r="R50" i="14"/>
  <c r="AN50" i="14" s="1"/>
  <c r="X50" i="14" s="1"/>
  <c r="P50" i="14"/>
  <c r="S50" i="14"/>
  <c r="AO50" i="14" s="1"/>
  <c r="Y50" i="14" s="1"/>
  <c r="D50" i="14"/>
  <c r="AH50" i="14" s="1"/>
  <c r="K50" i="14" s="1"/>
  <c r="V47" i="14"/>
  <c r="J48" i="14"/>
  <c r="AK48" i="14"/>
  <c r="N48" i="14" s="1"/>
  <c r="AL49" i="14"/>
  <c r="T49" i="14"/>
  <c r="AD49" i="14" s="1"/>
  <c r="U49" i="14" s="1"/>
  <c r="AF36" i="14"/>
  <c r="AC37" i="14"/>
  <c r="J47" i="14"/>
  <c r="AK47" i="14"/>
  <c r="N47" i="14" s="1"/>
  <c r="V48" i="14"/>
  <c r="AP48" i="14"/>
  <c r="Z48" i="14" s="1"/>
  <c r="AG49" i="14"/>
  <c r="G49" i="14"/>
  <c r="AB49" i="14" s="1"/>
  <c r="I49" i="14" s="1"/>
  <c r="D59" i="3" a="1"/>
  <c r="D59" i="3" s="1"/>
  <c r="C59" i="3" a="1"/>
  <c r="C59" i="3" s="1"/>
  <c r="G59" i="3" s="1"/>
  <c r="B59" i="3" a="1"/>
  <c r="B59" i="3" s="1"/>
  <c r="F59" i="3" s="1"/>
  <c r="K59" i="3"/>
  <c r="J59" i="3"/>
  <c r="I57" i="3"/>
  <c r="I58" i="3" s="1"/>
  <c r="E58" i="3" a="1"/>
  <c r="E58" i="3" s="1"/>
  <c r="H58" i="3" s="1"/>
  <c r="E57" i="3" a="1"/>
  <c r="E57" i="3" s="1"/>
  <c r="H57" i="3" s="1"/>
  <c r="H40" i="14"/>
  <c r="G47" i="16"/>
  <c r="F48" i="16"/>
  <c r="D48" i="16"/>
  <c r="C48" i="16"/>
  <c r="B49" i="16" a="1"/>
  <c r="B49" i="16" s="1"/>
  <c r="F49" i="16" s="1"/>
  <c r="G42" i="18"/>
  <c r="H42" i="18"/>
  <c r="B44" i="18" a="1"/>
  <c r="B44" i="18" s="1"/>
  <c r="C43" i="18" a="1"/>
  <c r="C43" i="18" s="1"/>
  <c r="F43" i="18" a="1"/>
  <c r="F43" i="18" s="1"/>
  <c r="D43" i="18" a="1"/>
  <c r="D43" i="18" s="1"/>
  <c r="E43" i="18" a="1"/>
  <c r="E43" i="18" s="1"/>
  <c r="B51" i="14"/>
  <c r="AA41" i="14"/>
  <c r="O41" i="14"/>
  <c r="A60" i="3"/>
  <c r="B52" i="14"/>
  <c r="AE49" i="14" l="1"/>
  <c r="E52" i="14"/>
  <c r="AI52" i="14" s="1"/>
  <c r="L52" i="14" s="1"/>
  <c r="D52" i="14"/>
  <c r="AH52" i="14" s="1"/>
  <c r="K52" i="14" s="1"/>
  <c r="S52" i="14"/>
  <c r="AO52" i="14" s="1"/>
  <c r="Y52" i="14" s="1"/>
  <c r="P52" i="14"/>
  <c r="R52" i="14"/>
  <c r="AN52" i="14" s="1"/>
  <c r="X52" i="14" s="1"/>
  <c r="C52" i="14"/>
  <c r="Q52" i="14"/>
  <c r="AM52" i="14" s="1"/>
  <c r="W52" i="14" s="1"/>
  <c r="F52" i="14"/>
  <c r="AJ52" i="14" s="1"/>
  <c r="M52" i="14" s="1"/>
  <c r="S51" i="14"/>
  <c r="AO51" i="14" s="1"/>
  <c r="Y51" i="14" s="1"/>
  <c r="E51" i="14"/>
  <c r="AI51" i="14" s="1"/>
  <c r="L51" i="14" s="1"/>
  <c r="C51" i="14"/>
  <c r="R51" i="14"/>
  <c r="AN51" i="14" s="1"/>
  <c r="X51" i="14" s="1"/>
  <c r="P51" i="14"/>
  <c r="D51" i="14"/>
  <c r="AH51" i="14" s="1"/>
  <c r="K51" i="14" s="1"/>
  <c r="F51" i="14"/>
  <c r="AJ51" i="14" s="1"/>
  <c r="M51" i="14" s="1"/>
  <c r="Q51" i="14"/>
  <c r="AM51" i="14" s="1"/>
  <c r="W51" i="14" s="1"/>
  <c r="V49" i="14"/>
  <c r="AP49" i="14"/>
  <c r="Z49" i="14" s="1"/>
  <c r="T50" i="14"/>
  <c r="AD50" i="14" s="1"/>
  <c r="U50" i="14" s="1"/>
  <c r="AL50" i="14"/>
  <c r="AP50" i="14" s="1"/>
  <c r="AC38" i="14"/>
  <c r="AF37" i="14"/>
  <c r="J49" i="14"/>
  <c r="AK49" i="14"/>
  <c r="N49" i="14" s="1"/>
  <c r="AG50" i="14"/>
  <c r="G50" i="14"/>
  <c r="AB50" i="14" s="1"/>
  <c r="I50" i="14" s="1"/>
  <c r="K60" i="3"/>
  <c r="B60" i="3" a="1"/>
  <c r="B60" i="3" s="1"/>
  <c r="F60" i="3" s="1"/>
  <c r="J60" i="3"/>
  <c r="C60" i="3" a="1"/>
  <c r="C60" i="3" s="1"/>
  <c r="D60" i="3" a="1"/>
  <c r="D60" i="3" s="1"/>
  <c r="I59" i="3"/>
  <c r="E59" i="3" a="1"/>
  <c r="E59" i="3" s="1"/>
  <c r="H59" i="3" s="1"/>
  <c r="H41" i="14"/>
  <c r="H48" i="16"/>
  <c r="D49" i="16"/>
  <c r="G48" i="16"/>
  <c r="C49" i="16"/>
  <c r="B50" i="16" a="1"/>
  <c r="B50" i="16" s="1"/>
  <c r="C50" i="16" s="1"/>
  <c r="E49" i="16"/>
  <c r="D44" i="18" a="1"/>
  <c r="D44" i="18" s="1"/>
  <c r="E44" i="18" a="1"/>
  <c r="E44" i="18" s="1"/>
  <c r="F44" i="18" a="1"/>
  <c r="F44" i="18" s="1"/>
  <c r="C44" i="18" a="1"/>
  <c r="C44" i="18" s="1"/>
  <c r="B45" i="18" a="1"/>
  <c r="B45" i="18" s="1"/>
  <c r="G43" i="18"/>
  <c r="H43" i="18"/>
  <c r="B53" i="14"/>
  <c r="AA42" i="14"/>
  <c r="O42" i="14"/>
  <c r="A61" i="3"/>
  <c r="A62" i="3"/>
  <c r="G60" i="3" l="1"/>
  <c r="V50" i="14"/>
  <c r="AE50" i="14"/>
  <c r="Z50" i="14"/>
  <c r="P53" i="14"/>
  <c r="F53" i="14"/>
  <c r="AJ53" i="14" s="1"/>
  <c r="M53" i="14" s="1"/>
  <c r="D53" i="14"/>
  <c r="AH53" i="14" s="1"/>
  <c r="K53" i="14" s="1"/>
  <c r="R53" i="14"/>
  <c r="AN53" i="14" s="1"/>
  <c r="X53" i="14" s="1"/>
  <c r="Q53" i="14"/>
  <c r="AM53" i="14" s="1"/>
  <c r="W53" i="14" s="1"/>
  <c r="E53" i="14"/>
  <c r="AI53" i="14" s="1"/>
  <c r="L53" i="14" s="1"/>
  <c r="S53" i="14"/>
  <c r="AO53" i="14" s="1"/>
  <c r="Y53" i="14" s="1"/>
  <c r="C53" i="14"/>
  <c r="AG51" i="14"/>
  <c r="AK51" i="14" s="1"/>
  <c r="G51" i="14"/>
  <c r="AB51" i="14" s="1"/>
  <c r="I51" i="14" s="1"/>
  <c r="J51" i="14"/>
  <c r="J50" i="14"/>
  <c r="AK50" i="14"/>
  <c r="N50" i="14" s="1"/>
  <c r="AF38" i="14"/>
  <c r="AC39" i="14"/>
  <c r="AG52" i="14"/>
  <c r="G52" i="14"/>
  <c r="AB52" i="14" s="1"/>
  <c r="I52" i="14" s="1"/>
  <c r="T51" i="14"/>
  <c r="AD51" i="14" s="1"/>
  <c r="U51" i="14" s="1"/>
  <c r="AL51" i="14"/>
  <c r="AP51" i="14" s="1"/>
  <c r="T52" i="14"/>
  <c r="AD52" i="14" s="1"/>
  <c r="U52" i="14" s="1"/>
  <c r="AL52" i="14"/>
  <c r="AP52" i="14" s="1"/>
  <c r="B62" i="3" a="1"/>
  <c r="B62" i="3" s="1"/>
  <c r="F62" i="3" s="1"/>
  <c r="C62" i="3" a="1"/>
  <c r="C62" i="3" s="1"/>
  <c r="G62" i="3" s="1"/>
  <c r="J62" i="3"/>
  <c r="K62" i="3"/>
  <c r="D62" i="3" a="1"/>
  <c r="D62" i="3" s="1"/>
  <c r="D61" i="3" a="1"/>
  <c r="D61" i="3" s="1"/>
  <c r="K61" i="3"/>
  <c r="C61" i="3" a="1"/>
  <c r="C61" i="3" s="1"/>
  <c r="J61" i="3"/>
  <c r="B61" i="3" a="1"/>
  <c r="B61" i="3" s="1"/>
  <c r="F61" i="3" s="1"/>
  <c r="I60" i="3"/>
  <c r="E60" i="3" a="1"/>
  <c r="E60" i="3" s="1"/>
  <c r="H60" i="3" s="1"/>
  <c r="H42" i="14"/>
  <c r="H49" i="16"/>
  <c r="G49" i="16"/>
  <c r="F50" i="16"/>
  <c r="E50" i="16"/>
  <c r="D50" i="16"/>
  <c r="B51" i="16" a="1"/>
  <c r="B51" i="16" s="1"/>
  <c r="F51" i="16" s="1"/>
  <c r="G44" i="18"/>
  <c r="H44" i="18"/>
  <c r="E45" i="18" a="1"/>
  <c r="E45" i="18" s="1"/>
  <c r="F45" i="18" a="1"/>
  <c r="F45" i="18" s="1"/>
  <c r="C45" i="18" a="1"/>
  <c r="C45" i="18" s="1"/>
  <c r="D45" i="18" a="1"/>
  <c r="D45" i="18" s="1"/>
  <c r="B46" i="18" a="1"/>
  <c r="B46" i="18" s="1"/>
  <c r="B54" i="14"/>
  <c r="O43" i="14"/>
  <c r="AA43" i="14"/>
  <c r="A63" i="3"/>
  <c r="G61" i="3" l="1"/>
  <c r="Z52" i="14"/>
  <c r="Z51" i="14"/>
  <c r="AE51" i="14"/>
  <c r="AE52" i="14" s="1"/>
  <c r="V52" i="14"/>
  <c r="H50" i="16"/>
  <c r="F54" i="14"/>
  <c r="AJ54" i="14" s="1"/>
  <c r="M54" i="14" s="1"/>
  <c r="E54" i="14"/>
  <c r="AI54" i="14" s="1"/>
  <c r="L54" i="14" s="1"/>
  <c r="C54" i="14"/>
  <c r="D54" i="14"/>
  <c r="AH54" i="14" s="1"/>
  <c r="K54" i="14" s="1"/>
  <c r="P54" i="14"/>
  <c r="R54" i="14"/>
  <c r="AN54" i="14" s="1"/>
  <c r="X54" i="14" s="1"/>
  <c r="S54" i="14"/>
  <c r="AO54" i="14" s="1"/>
  <c r="Y54" i="14" s="1"/>
  <c r="Q54" i="14"/>
  <c r="AM54" i="14" s="1"/>
  <c r="W54" i="14" s="1"/>
  <c r="AF39" i="14"/>
  <c r="AC40" i="14"/>
  <c r="V51" i="14"/>
  <c r="J52" i="14"/>
  <c r="AK52" i="14"/>
  <c r="N52" i="14" s="1"/>
  <c r="N51" i="14"/>
  <c r="AL53" i="14"/>
  <c r="AP53" i="14" s="1"/>
  <c r="T53" i="14"/>
  <c r="AD53" i="14" s="1"/>
  <c r="U53" i="14" s="1"/>
  <c r="G53" i="14"/>
  <c r="AB53" i="14" s="1"/>
  <c r="I53" i="14" s="1"/>
  <c r="AG53" i="14"/>
  <c r="D63" i="3" a="1"/>
  <c r="D63" i="3" s="1"/>
  <c r="C63" i="3" a="1"/>
  <c r="C63" i="3" s="1"/>
  <c r="B63" i="3" a="1"/>
  <c r="B63" i="3" s="1"/>
  <c r="F63" i="3" s="1"/>
  <c r="K63" i="3"/>
  <c r="J63" i="3"/>
  <c r="E62" i="3" a="1"/>
  <c r="E62" i="3" s="1"/>
  <c r="H62" i="3" s="1"/>
  <c r="I61" i="3"/>
  <c r="I62" i="3" s="1"/>
  <c r="E61" i="3" a="1"/>
  <c r="E61" i="3" s="1"/>
  <c r="H61" i="3" s="1"/>
  <c r="H43" i="14"/>
  <c r="G50" i="16"/>
  <c r="E51" i="16"/>
  <c r="B52" i="16" a="1"/>
  <c r="B52" i="16" s="1"/>
  <c r="C52" i="16" s="1"/>
  <c r="C51" i="16"/>
  <c r="D51" i="16"/>
  <c r="H45" i="18"/>
  <c r="G45" i="18"/>
  <c r="C46" i="18" a="1"/>
  <c r="C46" i="18" s="1"/>
  <c r="D46" i="18" a="1"/>
  <c r="D46" i="18" s="1"/>
  <c r="F46" i="18" a="1"/>
  <c r="F46" i="18" s="1"/>
  <c r="E46" i="18" a="1"/>
  <c r="E46" i="18" s="1"/>
  <c r="B47" i="18" a="1"/>
  <c r="B47" i="18" s="1"/>
  <c r="B55" i="14"/>
  <c r="O44" i="14"/>
  <c r="AA44" i="14"/>
  <c r="A64" i="3"/>
  <c r="B56" i="14"/>
  <c r="V53" i="14" l="1"/>
  <c r="AE53" i="14"/>
  <c r="G63" i="3"/>
  <c r="H51" i="16"/>
  <c r="F56" i="14"/>
  <c r="AJ56" i="14" s="1"/>
  <c r="M56" i="14" s="1"/>
  <c r="P56" i="14"/>
  <c r="E56" i="14"/>
  <c r="AI56" i="14" s="1"/>
  <c r="L56" i="14" s="1"/>
  <c r="Q56" i="14"/>
  <c r="AM56" i="14" s="1"/>
  <c r="W56" i="14" s="1"/>
  <c r="R56" i="14"/>
  <c r="AN56" i="14" s="1"/>
  <c r="X56" i="14" s="1"/>
  <c r="D56" i="14"/>
  <c r="AH56" i="14" s="1"/>
  <c r="K56" i="14" s="1"/>
  <c r="C56" i="14"/>
  <c r="S56" i="14"/>
  <c r="AO56" i="14" s="1"/>
  <c r="Y56" i="14" s="1"/>
  <c r="C55" i="14"/>
  <c r="E55" i="14"/>
  <c r="AI55" i="14" s="1"/>
  <c r="L55" i="14" s="1"/>
  <c r="D55" i="14"/>
  <c r="AH55" i="14" s="1"/>
  <c r="K55" i="14" s="1"/>
  <c r="S55" i="14"/>
  <c r="AO55" i="14" s="1"/>
  <c r="Y55" i="14" s="1"/>
  <c r="Q55" i="14"/>
  <c r="AM55" i="14" s="1"/>
  <c r="W55" i="14" s="1"/>
  <c r="R55" i="14"/>
  <c r="AN55" i="14" s="1"/>
  <c r="X55" i="14" s="1"/>
  <c r="P55" i="14"/>
  <c r="F55" i="14"/>
  <c r="AJ55" i="14" s="1"/>
  <c r="M55" i="14" s="1"/>
  <c r="AG54" i="14"/>
  <c r="G54" i="14"/>
  <c r="AB54" i="14" s="1"/>
  <c r="I54" i="14" s="1"/>
  <c r="AF40" i="14"/>
  <c r="AC41" i="14"/>
  <c r="T54" i="14"/>
  <c r="AD54" i="14" s="1"/>
  <c r="U54" i="14" s="1"/>
  <c r="AL54" i="14"/>
  <c r="AP54" i="14" s="1"/>
  <c r="J53" i="14"/>
  <c r="AK53" i="14"/>
  <c r="N53" i="14" s="1"/>
  <c r="Z53" i="14"/>
  <c r="D64" i="3" a="1"/>
  <c r="D64" i="3" s="1"/>
  <c r="B64" i="3" a="1"/>
  <c r="B64" i="3" s="1"/>
  <c r="F64" i="3" s="1"/>
  <c r="K64" i="3"/>
  <c r="J64" i="3"/>
  <c r="C64" i="3" a="1"/>
  <c r="C64" i="3" s="1"/>
  <c r="G64" i="3" s="1"/>
  <c r="E63" i="3" a="1"/>
  <c r="E63" i="3" s="1"/>
  <c r="H63" i="3" s="1"/>
  <c r="I63" i="3"/>
  <c r="H44" i="14"/>
  <c r="G51" i="16"/>
  <c r="D52" i="16"/>
  <c r="F52" i="16"/>
  <c r="E52" i="16"/>
  <c r="B53" i="16" a="1"/>
  <c r="B53" i="16" s="1"/>
  <c r="E53" i="16" s="1"/>
  <c r="D47" i="18" a="1"/>
  <c r="D47" i="18" s="1"/>
  <c r="F47" i="18" a="1"/>
  <c r="F47" i="18" s="1"/>
  <c r="E47" i="18" a="1"/>
  <c r="E47" i="18" s="1"/>
  <c r="C47" i="18" a="1"/>
  <c r="C47" i="18" s="1"/>
  <c r="B48" i="18" a="1"/>
  <c r="B48" i="18" s="1"/>
  <c r="H46" i="18"/>
  <c r="G46" i="18"/>
  <c r="B57" i="14"/>
  <c r="AA45" i="14"/>
  <c r="O45" i="14"/>
  <c r="A65" i="3"/>
  <c r="A66" i="3"/>
  <c r="V54" i="14" l="1"/>
  <c r="Z54" i="14"/>
  <c r="AE54" i="14"/>
  <c r="H52" i="16"/>
  <c r="R57" i="14"/>
  <c r="AN57" i="14" s="1"/>
  <c r="X57" i="14" s="1"/>
  <c r="S57" i="14"/>
  <c r="AO57" i="14" s="1"/>
  <c r="Y57" i="14" s="1"/>
  <c r="F57" i="14"/>
  <c r="AJ57" i="14" s="1"/>
  <c r="M57" i="14" s="1"/>
  <c r="Q57" i="14"/>
  <c r="AM57" i="14" s="1"/>
  <c r="W57" i="14" s="1"/>
  <c r="E57" i="14"/>
  <c r="AI57" i="14" s="1"/>
  <c r="L57" i="14" s="1"/>
  <c r="C57" i="14"/>
  <c r="D57" i="14"/>
  <c r="AH57" i="14" s="1"/>
  <c r="K57" i="14" s="1"/>
  <c r="P57" i="14"/>
  <c r="G56" i="14"/>
  <c r="AB56" i="14" s="1"/>
  <c r="I56" i="14" s="1"/>
  <c r="AG56" i="14"/>
  <c r="AC42" i="14"/>
  <c r="AF41" i="14"/>
  <c r="J54" i="14"/>
  <c r="AK54" i="14"/>
  <c r="N54" i="14" s="1"/>
  <c r="AE55" i="14"/>
  <c r="AL55" i="14"/>
  <c r="T55" i="14"/>
  <c r="AD55" i="14" s="1"/>
  <c r="U55" i="14" s="1"/>
  <c r="AL56" i="14"/>
  <c r="AP56" i="14" s="1"/>
  <c r="T56" i="14"/>
  <c r="AD56" i="14" s="1"/>
  <c r="U56" i="14" s="1"/>
  <c r="G55" i="14"/>
  <c r="AB55" i="14" s="1"/>
  <c r="I55" i="14" s="1"/>
  <c r="AG55" i="14"/>
  <c r="J66" i="3"/>
  <c r="D66" i="3" a="1"/>
  <c r="D66" i="3" s="1"/>
  <c r="C66" i="3" a="1"/>
  <c r="C66" i="3" s="1"/>
  <c r="K66" i="3"/>
  <c r="B66" i="3" a="1"/>
  <c r="B66" i="3" s="1"/>
  <c r="F66" i="3" s="1"/>
  <c r="D65" i="3" a="1"/>
  <c r="D65" i="3" s="1"/>
  <c r="B65" i="3" a="1"/>
  <c r="B65" i="3" s="1"/>
  <c r="F65" i="3" s="1"/>
  <c r="J65" i="3"/>
  <c r="K65" i="3"/>
  <c r="C65" i="3" a="1"/>
  <c r="C65" i="3" s="1"/>
  <c r="G65" i="3" s="1"/>
  <c r="E64" i="3" a="1"/>
  <c r="E64" i="3" s="1"/>
  <c r="H64" i="3" s="1"/>
  <c r="I64" i="3"/>
  <c r="H45" i="14"/>
  <c r="G52" i="16"/>
  <c r="B54" i="16" a="1"/>
  <c r="B54" i="16" s="1"/>
  <c r="E54" i="16" s="1"/>
  <c r="C53" i="16"/>
  <c r="D53" i="16"/>
  <c r="F53" i="16"/>
  <c r="H47" i="18"/>
  <c r="G47" i="18"/>
  <c r="E48" i="18" a="1"/>
  <c r="E48" i="18" s="1"/>
  <c r="F48" i="18" a="1"/>
  <c r="F48" i="18" s="1"/>
  <c r="D48" i="18" a="1"/>
  <c r="D48" i="18" s="1"/>
  <c r="C48" i="18" a="1"/>
  <c r="C48" i="18" s="1"/>
  <c r="B49" i="18" a="1"/>
  <c r="B49" i="18" s="1"/>
  <c r="B58" i="14"/>
  <c r="O46" i="14"/>
  <c r="AA46" i="14"/>
  <c r="A67" i="3"/>
  <c r="H53" i="16" l="1"/>
  <c r="G66" i="3"/>
  <c r="S58" i="14"/>
  <c r="AO58" i="14" s="1"/>
  <c r="Y58" i="14" s="1"/>
  <c r="R58" i="14"/>
  <c r="AN58" i="14" s="1"/>
  <c r="X58" i="14" s="1"/>
  <c r="F58" i="14"/>
  <c r="AJ58" i="14" s="1"/>
  <c r="M58" i="14" s="1"/>
  <c r="P58" i="14"/>
  <c r="C58" i="14"/>
  <c r="E58" i="14"/>
  <c r="AI58" i="14" s="1"/>
  <c r="L58" i="14" s="1"/>
  <c r="Q58" i="14"/>
  <c r="AM58" i="14" s="1"/>
  <c r="W58" i="14" s="1"/>
  <c r="D58" i="14"/>
  <c r="AH58" i="14" s="1"/>
  <c r="K58" i="14" s="1"/>
  <c r="G57" i="14"/>
  <c r="AB57" i="14" s="1"/>
  <c r="I57" i="14" s="1"/>
  <c r="AG57" i="14"/>
  <c r="AK57" i="14" s="1"/>
  <c r="J57" i="14"/>
  <c r="AE56" i="14"/>
  <c r="AF42" i="14"/>
  <c r="AC43" i="14"/>
  <c r="J55" i="14"/>
  <c r="AK55" i="14"/>
  <c r="N55" i="14" s="1"/>
  <c r="Z56" i="14"/>
  <c r="J56" i="14"/>
  <c r="AK56" i="14"/>
  <c r="N56" i="14" s="1"/>
  <c r="V56" i="14"/>
  <c r="V55" i="14"/>
  <c r="AP55" i="14"/>
  <c r="Z55" i="14" s="1"/>
  <c r="AL57" i="14"/>
  <c r="AP57" i="14" s="1"/>
  <c r="T57" i="14"/>
  <c r="AD57" i="14" s="1"/>
  <c r="U57" i="14" s="1"/>
  <c r="K67" i="3"/>
  <c r="D67" i="3" a="1"/>
  <c r="D67" i="3" s="1"/>
  <c r="B67" i="3" a="1"/>
  <c r="B67" i="3" s="1"/>
  <c r="F67" i="3" s="1"/>
  <c r="C67" i="3" a="1"/>
  <c r="C67" i="3" s="1"/>
  <c r="G67" i="3" s="1"/>
  <c r="J67" i="3"/>
  <c r="I65" i="3"/>
  <c r="I66" i="3" s="1"/>
  <c r="E66" i="3" a="1"/>
  <c r="E66" i="3" s="1"/>
  <c r="H66" i="3" s="1"/>
  <c r="E65" i="3" a="1"/>
  <c r="E65" i="3" s="1"/>
  <c r="H65" i="3" s="1"/>
  <c r="H46" i="14"/>
  <c r="G53" i="16"/>
  <c r="B55" i="16" a="1"/>
  <c r="B55" i="16" s="1"/>
  <c r="E55" i="16" s="1"/>
  <c r="C54" i="16"/>
  <c r="F54" i="16"/>
  <c r="D54" i="16"/>
  <c r="E49" i="18" a="1"/>
  <c r="E49" i="18" s="1"/>
  <c r="F49" i="18" a="1"/>
  <c r="F49" i="18" s="1"/>
  <c r="C49" i="18" a="1"/>
  <c r="C49" i="18" s="1"/>
  <c r="D49" i="18" a="1"/>
  <c r="D49" i="18" s="1"/>
  <c r="B50" i="18" a="1"/>
  <c r="B50" i="18" s="1"/>
  <c r="G48" i="18"/>
  <c r="H48" i="18"/>
  <c r="B59" i="14"/>
  <c r="AA47" i="14"/>
  <c r="O47" i="14"/>
  <c r="A68" i="3"/>
  <c r="B60" i="14"/>
  <c r="Z57" i="14" l="1"/>
  <c r="N57" i="14"/>
  <c r="S60" i="14"/>
  <c r="AO60" i="14" s="1"/>
  <c r="Y60" i="14" s="1"/>
  <c r="F60" i="14"/>
  <c r="AJ60" i="14" s="1"/>
  <c r="M60" i="14" s="1"/>
  <c r="D60" i="14"/>
  <c r="AH60" i="14" s="1"/>
  <c r="K60" i="14" s="1"/>
  <c r="C60" i="14"/>
  <c r="R60" i="14"/>
  <c r="AN60" i="14" s="1"/>
  <c r="X60" i="14" s="1"/>
  <c r="Q60" i="14"/>
  <c r="AM60" i="14" s="1"/>
  <c r="W60" i="14" s="1"/>
  <c r="P60" i="14"/>
  <c r="E60" i="14"/>
  <c r="AI60" i="14" s="1"/>
  <c r="L60" i="14" s="1"/>
  <c r="P59" i="14"/>
  <c r="Q59" i="14"/>
  <c r="AM59" i="14" s="1"/>
  <c r="W59" i="14" s="1"/>
  <c r="R59" i="14"/>
  <c r="AN59" i="14" s="1"/>
  <c r="X59" i="14" s="1"/>
  <c r="F59" i="14"/>
  <c r="AJ59" i="14" s="1"/>
  <c r="M59" i="14" s="1"/>
  <c r="D59" i="14"/>
  <c r="AH59" i="14" s="1"/>
  <c r="K59" i="14" s="1"/>
  <c r="E59" i="14"/>
  <c r="AI59" i="14" s="1"/>
  <c r="L59" i="14" s="1"/>
  <c r="C59" i="14"/>
  <c r="S59" i="14"/>
  <c r="AO59" i="14" s="1"/>
  <c r="Y59" i="14" s="1"/>
  <c r="AF43" i="14"/>
  <c r="AC44" i="14"/>
  <c r="AG58" i="14"/>
  <c r="AK58" i="14" s="1"/>
  <c r="G58" i="14"/>
  <c r="AB58" i="14" s="1"/>
  <c r="I58" i="14" s="1"/>
  <c r="V57" i="14"/>
  <c r="AE57" i="14"/>
  <c r="T58" i="14"/>
  <c r="AD58" i="14" s="1"/>
  <c r="U58" i="14" s="1"/>
  <c r="AL58" i="14"/>
  <c r="AP58" i="14" s="1"/>
  <c r="C68" i="3" a="1"/>
  <c r="C68" i="3" s="1"/>
  <c r="G68" i="3" s="1"/>
  <c r="B68" i="3" a="1"/>
  <c r="B68" i="3" s="1"/>
  <c r="F68" i="3" s="1"/>
  <c r="D68" i="3" a="1"/>
  <c r="D68" i="3" s="1"/>
  <c r="K68" i="3"/>
  <c r="J68" i="3"/>
  <c r="I67" i="3"/>
  <c r="E67" i="3" a="1"/>
  <c r="E67" i="3" s="1"/>
  <c r="H67" i="3" s="1"/>
  <c r="H47" i="14"/>
  <c r="H54" i="16"/>
  <c r="B56" i="16" a="1"/>
  <c r="B56" i="16" s="1"/>
  <c r="E56" i="16" s="1"/>
  <c r="C55" i="16"/>
  <c r="F55" i="16"/>
  <c r="G54" i="16"/>
  <c r="D55" i="16"/>
  <c r="H49" i="18"/>
  <c r="G49" i="18"/>
  <c r="F50" i="18" a="1"/>
  <c r="F50" i="18" s="1"/>
  <c r="D50" i="18" a="1"/>
  <c r="D50" i="18" s="1"/>
  <c r="E50" i="18" a="1"/>
  <c r="E50" i="18" s="1"/>
  <c r="C50" i="18" a="1"/>
  <c r="C50" i="18" s="1"/>
  <c r="B51" i="18" a="1"/>
  <c r="B51" i="18" s="1"/>
  <c r="B61" i="14"/>
  <c r="AA48" i="14"/>
  <c r="O48" i="14"/>
  <c r="A69" i="3"/>
  <c r="A70" i="3"/>
  <c r="J58" i="14" l="1"/>
  <c r="Z58" i="14"/>
  <c r="V58" i="14"/>
  <c r="F61" i="14"/>
  <c r="AJ61" i="14" s="1"/>
  <c r="M61" i="14" s="1"/>
  <c r="P61" i="14"/>
  <c r="D61" i="14"/>
  <c r="AH61" i="14" s="1"/>
  <c r="K61" i="14" s="1"/>
  <c r="E61" i="14"/>
  <c r="AI61" i="14" s="1"/>
  <c r="L61" i="14" s="1"/>
  <c r="Q61" i="14"/>
  <c r="AM61" i="14" s="1"/>
  <c r="W61" i="14" s="1"/>
  <c r="R61" i="14"/>
  <c r="AN61" i="14" s="1"/>
  <c r="X61" i="14" s="1"/>
  <c r="S61" i="14"/>
  <c r="AO61" i="14" s="1"/>
  <c r="Y61" i="14" s="1"/>
  <c r="C61" i="14"/>
  <c r="AE58" i="14"/>
  <c r="N58" i="14"/>
  <c r="AG59" i="14"/>
  <c r="AK59" i="14" s="1"/>
  <c r="G59" i="14"/>
  <c r="AB59" i="14" s="1"/>
  <c r="I59" i="14" s="1"/>
  <c r="J59" i="14"/>
  <c r="T60" i="14"/>
  <c r="AD60" i="14" s="1"/>
  <c r="U60" i="14" s="1"/>
  <c r="AL60" i="14"/>
  <c r="AP60" i="14" s="1"/>
  <c r="Z60" i="14" s="1"/>
  <c r="T59" i="14"/>
  <c r="AD59" i="14" s="1"/>
  <c r="U59" i="14" s="1"/>
  <c r="AL59" i="14"/>
  <c r="AF44" i="14"/>
  <c r="AC45" i="14"/>
  <c r="G60" i="14"/>
  <c r="AB60" i="14" s="1"/>
  <c r="I60" i="14" s="1"/>
  <c r="AG60" i="14"/>
  <c r="C70" i="3" a="1"/>
  <c r="C70" i="3" s="1"/>
  <c r="B70" i="3" a="1"/>
  <c r="B70" i="3" s="1"/>
  <c r="F70" i="3" s="1"/>
  <c r="D70" i="3" a="1"/>
  <c r="D70" i="3" s="1"/>
  <c r="K70" i="3"/>
  <c r="J70" i="3"/>
  <c r="D69" i="3" a="1"/>
  <c r="D69" i="3" s="1"/>
  <c r="C69" i="3" a="1"/>
  <c r="C69" i="3" s="1"/>
  <c r="G69" i="3" s="1"/>
  <c r="K69" i="3"/>
  <c r="B69" i="3" a="1"/>
  <c r="B69" i="3" s="1"/>
  <c r="F69" i="3" s="1"/>
  <c r="J69" i="3"/>
  <c r="I68" i="3"/>
  <c r="E68" i="3" a="1"/>
  <c r="E68" i="3" s="1"/>
  <c r="H68" i="3" s="1"/>
  <c r="H48" i="14"/>
  <c r="H55" i="16"/>
  <c r="G55" i="16"/>
  <c r="F56" i="16"/>
  <c r="B57" i="16" a="1"/>
  <c r="B57" i="16" s="1"/>
  <c r="D57" i="16" s="1"/>
  <c r="C56" i="16"/>
  <c r="D56" i="16"/>
  <c r="D51" i="18" a="1"/>
  <c r="D51" i="18" s="1"/>
  <c r="C51" i="18" a="1"/>
  <c r="C51" i="18" s="1"/>
  <c r="E51" i="18" a="1"/>
  <c r="E51" i="18" s="1"/>
  <c r="F51" i="18" a="1"/>
  <c r="F51" i="18" s="1"/>
  <c r="B52" i="18" a="1"/>
  <c r="B52" i="18" s="1"/>
  <c r="G50" i="18"/>
  <c r="H50" i="18"/>
  <c r="B62" i="14"/>
  <c r="O49" i="14"/>
  <c r="AA49" i="14"/>
  <c r="A71" i="3"/>
  <c r="G70" i="3" l="1"/>
  <c r="V60" i="14"/>
  <c r="H56" i="16"/>
  <c r="D62" i="14"/>
  <c r="AH62" i="14" s="1"/>
  <c r="K62" i="14" s="1"/>
  <c r="C62" i="14"/>
  <c r="R62" i="14"/>
  <c r="AN62" i="14" s="1"/>
  <c r="X62" i="14" s="1"/>
  <c r="P62" i="14"/>
  <c r="Q62" i="14"/>
  <c r="AM62" i="14" s="1"/>
  <c r="W62" i="14" s="1"/>
  <c r="F62" i="14"/>
  <c r="AJ62" i="14" s="1"/>
  <c r="M62" i="14" s="1"/>
  <c r="S62" i="14"/>
  <c r="AO62" i="14" s="1"/>
  <c r="Y62" i="14" s="1"/>
  <c r="E62" i="14"/>
  <c r="AI62" i="14" s="1"/>
  <c r="L62" i="14" s="1"/>
  <c r="AF45" i="14"/>
  <c r="AC46" i="14"/>
  <c r="N59" i="14"/>
  <c r="J60" i="14"/>
  <c r="AK60" i="14"/>
  <c r="N60" i="14" s="1"/>
  <c r="V59" i="14"/>
  <c r="AP59" i="14"/>
  <c r="Z59" i="14" s="1"/>
  <c r="T61" i="14"/>
  <c r="AD61" i="14" s="1"/>
  <c r="U61" i="14" s="1"/>
  <c r="AL61" i="14"/>
  <c r="AE59" i="14"/>
  <c r="AE60" i="14" s="1"/>
  <c r="AG61" i="14"/>
  <c r="G61" i="14"/>
  <c r="AB61" i="14" s="1"/>
  <c r="I61" i="14" s="1"/>
  <c r="C71" i="3" a="1"/>
  <c r="C71" i="3" s="1"/>
  <c r="D71" i="3" a="1"/>
  <c r="D71" i="3" s="1"/>
  <c r="B71" i="3" a="1"/>
  <c r="B71" i="3" s="1"/>
  <c r="F71" i="3" s="1"/>
  <c r="K71" i="3"/>
  <c r="J71" i="3"/>
  <c r="I69" i="3"/>
  <c r="I70" i="3" s="1"/>
  <c r="E69" i="3" a="1"/>
  <c r="E69" i="3" s="1"/>
  <c r="H69" i="3" s="1"/>
  <c r="E70" i="3" a="1"/>
  <c r="E70" i="3" s="1"/>
  <c r="H70" i="3" s="1"/>
  <c r="H49" i="14"/>
  <c r="G56" i="16"/>
  <c r="B58" i="16" a="1"/>
  <c r="B58" i="16" s="1"/>
  <c r="E58" i="16" s="1"/>
  <c r="C57" i="16"/>
  <c r="F57" i="16"/>
  <c r="E57" i="16"/>
  <c r="G51" i="18"/>
  <c r="H51" i="18"/>
  <c r="D52" i="18" a="1"/>
  <c r="D52" i="18" s="1"/>
  <c r="C52" i="18" a="1"/>
  <c r="C52" i="18" s="1"/>
  <c r="F52" i="18" a="1"/>
  <c r="F52" i="18" s="1"/>
  <c r="E52" i="18" a="1"/>
  <c r="E52" i="18" s="1"/>
  <c r="B53" i="18" a="1"/>
  <c r="B53" i="18" s="1"/>
  <c r="B63" i="14"/>
  <c r="AA50" i="14"/>
  <c r="O50" i="14"/>
  <c r="A72" i="3"/>
  <c r="B64" i="14"/>
  <c r="G71" i="3" l="1"/>
  <c r="D64" i="14"/>
  <c r="AH64" i="14" s="1"/>
  <c r="K64" i="14" s="1"/>
  <c r="Q64" i="14"/>
  <c r="AM64" i="14" s="1"/>
  <c r="W64" i="14" s="1"/>
  <c r="S64" i="14"/>
  <c r="AO64" i="14" s="1"/>
  <c r="Y64" i="14" s="1"/>
  <c r="F64" i="14"/>
  <c r="AJ64" i="14" s="1"/>
  <c r="M64" i="14" s="1"/>
  <c r="R64" i="14"/>
  <c r="AN64" i="14" s="1"/>
  <c r="X64" i="14" s="1"/>
  <c r="E64" i="14"/>
  <c r="AI64" i="14" s="1"/>
  <c r="L64" i="14" s="1"/>
  <c r="C64" i="14"/>
  <c r="P64" i="14"/>
  <c r="E63" i="14"/>
  <c r="AI63" i="14" s="1"/>
  <c r="L63" i="14" s="1"/>
  <c r="Q63" i="14"/>
  <c r="AM63" i="14" s="1"/>
  <c r="W63" i="14" s="1"/>
  <c r="C63" i="14"/>
  <c r="S63" i="14"/>
  <c r="AO63" i="14" s="1"/>
  <c r="Y63" i="14" s="1"/>
  <c r="P63" i="14"/>
  <c r="F63" i="14"/>
  <c r="AJ63" i="14" s="1"/>
  <c r="M63" i="14" s="1"/>
  <c r="R63" i="14"/>
  <c r="AN63" i="14" s="1"/>
  <c r="X63" i="14" s="1"/>
  <c r="D63" i="14"/>
  <c r="AH63" i="14" s="1"/>
  <c r="K63" i="14" s="1"/>
  <c r="AG62" i="14"/>
  <c r="AK62" i="14" s="1"/>
  <c r="G62" i="14"/>
  <c r="AB62" i="14" s="1"/>
  <c r="I62" i="14" s="1"/>
  <c r="J62" i="14"/>
  <c r="J61" i="14"/>
  <c r="AK61" i="14"/>
  <c r="N61" i="14" s="1"/>
  <c r="AE61" i="14"/>
  <c r="AF46" i="14"/>
  <c r="AC47" i="14"/>
  <c r="V61" i="14"/>
  <c r="AP61" i="14"/>
  <c r="Z61" i="14" s="1"/>
  <c r="T62" i="14"/>
  <c r="AD62" i="14" s="1"/>
  <c r="U62" i="14" s="1"/>
  <c r="AL62" i="14"/>
  <c r="AP62" i="14" s="1"/>
  <c r="J72" i="3"/>
  <c r="B72" i="3" a="1"/>
  <c r="B72" i="3" s="1"/>
  <c r="F72" i="3" s="1"/>
  <c r="C72" i="3" a="1"/>
  <c r="C72" i="3" s="1"/>
  <c r="D72" i="3" a="1"/>
  <c r="D72" i="3" s="1"/>
  <c r="K72" i="3"/>
  <c r="E71" i="3" a="1"/>
  <c r="E71" i="3" s="1"/>
  <c r="H71" i="3" s="1"/>
  <c r="I71" i="3"/>
  <c r="H50" i="14"/>
  <c r="H57" i="16"/>
  <c r="G57" i="16"/>
  <c r="F58" i="16"/>
  <c r="D58" i="16"/>
  <c r="B59" i="16" a="1"/>
  <c r="B59" i="16" s="1"/>
  <c r="F59" i="16" s="1"/>
  <c r="C58" i="16"/>
  <c r="D53" i="18" a="1"/>
  <c r="D53" i="18" s="1"/>
  <c r="C53" i="18" a="1"/>
  <c r="C53" i="18" s="1"/>
  <c r="F53" i="18" a="1"/>
  <c r="F53" i="18" s="1"/>
  <c r="E53" i="18" a="1"/>
  <c r="E53" i="18" s="1"/>
  <c r="B54" i="18" a="1"/>
  <c r="B54" i="18" s="1"/>
  <c r="G52" i="18"/>
  <c r="H52" i="18"/>
  <c r="B65" i="14"/>
  <c r="O51" i="14"/>
  <c r="AA51" i="14"/>
  <c r="A73" i="3"/>
  <c r="A74" i="3"/>
  <c r="Z62" i="14" l="1"/>
  <c r="G72" i="3"/>
  <c r="E65" i="14"/>
  <c r="AI65" i="14" s="1"/>
  <c r="L65" i="14" s="1"/>
  <c r="R65" i="14"/>
  <c r="AN65" i="14" s="1"/>
  <c r="X65" i="14" s="1"/>
  <c r="D65" i="14"/>
  <c r="AH65" i="14" s="1"/>
  <c r="K65" i="14" s="1"/>
  <c r="P65" i="14"/>
  <c r="Q65" i="14"/>
  <c r="AM65" i="14" s="1"/>
  <c r="W65" i="14" s="1"/>
  <c r="F65" i="14"/>
  <c r="AJ65" i="14" s="1"/>
  <c r="M65" i="14" s="1"/>
  <c r="S65" i="14"/>
  <c r="AO65" i="14" s="1"/>
  <c r="Y65" i="14" s="1"/>
  <c r="C65" i="14"/>
  <c r="G63" i="14"/>
  <c r="AB63" i="14" s="1"/>
  <c r="I63" i="14" s="1"/>
  <c r="AG63" i="14"/>
  <c r="AK63" i="14" s="1"/>
  <c r="N63" i="14" s="1"/>
  <c r="AG64" i="14"/>
  <c r="AK64" i="14" s="1"/>
  <c r="G64" i="14"/>
  <c r="AB64" i="14" s="1"/>
  <c r="I64" i="14" s="1"/>
  <c r="AC48" i="14"/>
  <c r="AF47" i="14"/>
  <c r="AE62" i="14"/>
  <c r="V62" i="14"/>
  <c r="N62" i="14"/>
  <c r="AL63" i="14"/>
  <c r="AP63" i="14" s="1"/>
  <c r="T63" i="14"/>
  <c r="AD63" i="14" s="1"/>
  <c r="U63" i="14" s="1"/>
  <c r="T64" i="14"/>
  <c r="AD64" i="14" s="1"/>
  <c r="U64" i="14" s="1"/>
  <c r="AL64" i="14"/>
  <c r="AP64" i="14" s="1"/>
  <c r="D74" i="3" a="1"/>
  <c r="D74" i="3" s="1"/>
  <c r="B74" i="3" a="1"/>
  <c r="B74" i="3" s="1"/>
  <c r="F74" i="3" s="1"/>
  <c r="C74" i="3" a="1"/>
  <c r="C74" i="3" s="1"/>
  <c r="J74" i="3"/>
  <c r="K74" i="3"/>
  <c r="D73" i="3" a="1"/>
  <c r="D73" i="3" s="1"/>
  <c r="K73" i="3"/>
  <c r="B73" i="3" a="1"/>
  <c r="B73" i="3" s="1"/>
  <c r="F73" i="3" s="1"/>
  <c r="C73" i="3" a="1"/>
  <c r="C73" i="3" s="1"/>
  <c r="J73" i="3"/>
  <c r="I72" i="3"/>
  <c r="E72" i="3" a="1"/>
  <c r="E72" i="3" s="1"/>
  <c r="H72" i="3" s="1"/>
  <c r="H51" i="14"/>
  <c r="H58" i="16"/>
  <c r="G58" i="16"/>
  <c r="B60" i="16" a="1"/>
  <c r="B60" i="16" s="1"/>
  <c r="E60" i="16" s="1"/>
  <c r="C59" i="16"/>
  <c r="E59" i="16"/>
  <c r="D59" i="16"/>
  <c r="G53" i="18"/>
  <c r="H53" i="18"/>
  <c r="E54" i="18" a="1"/>
  <c r="E54" i="18" s="1"/>
  <c r="C54" i="18" a="1"/>
  <c r="C54" i="18" s="1"/>
  <c r="D54" i="18" a="1"/>
  <c r="D54" i="18" s="1"/>
  <c r="F54" i="18" a="1"/>
  <c r="F54" i="18" s="1"/>
  <c r="B55" i="18" a="1"/>
  <c r="B55" i="18" s="1"/>
  <c r="B66" i="14"/>
  <c r="AA52" i="14"/>
  <c r="O52" i="14"/>
  <c r="A75" i="3"/>
  <c r="G73" i="3" l="1"/>
  <c r="V63" i="14"/>
  <c r="J64" i="14"/>
  <c r="J63" i="14"/>
  <c r="V64" i="14"/>
  <c r="AE63" i="14"/>
  <c r="G74" i="3"/>
  <c r="F66" i="14"/>
  <c r="AJ66" i="14" s="1"/>
  <c r="M66" i="14" s="1"/>
  <c r="R66" i="14"/>
  <c r="AN66" i="14" s="1"/>
  <c r="X66" i="14" s="1"/>
  <c r="S66" i="14"/>
  <c r="AO66" i="14" s="1"/>
  <c r="Y66" i="14" s="1"/>
  <c r="C66" i="14"/>
  <c r="E66" i="14"/>
  <c r="AI66" i="14" s="1"/>
  <c r="L66" i="14" s="1"/>
  <c r="P66" i="14"/>
  <c r="D66" i="14"/>
  <c r="AH66" i="14" s="1"/>
  <c r="K66" i="14" s="1"/>
  <c r="Q66" i="14"/>
  <c r="AM66" i="14" s="1"/>
  <c r="W66" i="14" s="1"/>
  <c r="AF48" i="14"/>
  <c r="AC49" i="14"/>
  <c r="AE64" i="14"/>
  <c r="Z64" i="14"/>
  <c r="Z63" i="14"/>
  <c r="N64" i="14"/>
  <c r="G65" i="14"/>
  <c r="AB65" i="14" s="1"/>
  <c r="I65" i="14" s="1"/>
  <c r="AG65" i="14"/>
  <c r="AK65" i="14" s="1"/>
  <c r="J65" i="14"/>
  <c r="AL65" i="14"/>
  <c r="T65" i="14"/>
  <c r="AD65" i="14" s="1"/>
  <c r="U65" i="14" s="1"/>
  <c r="D75" i="3" a="1"/>
  <c r="D75" i="3" s="1"/>
  <c r="K75" i="3"/>
  <c r="B75" i="3" a="1"/>
  <c r="B75" i="3" s="1"/>
  <c r="F75" i="3" s="1"/>
  <c r="C75" i="3" a="1"/>
  <c r="C75" i="3" s="1"/>
  <c r="G75" i="3" s="1"/>
  <c r="J75" i="3"/>
  <c r="E74" i="3" a="1"/>
  <c r="E74" i="3" s="1"/>
  <c r="H74" i="3" s="1"/>
  <c r="I73" i="3"/>
  <c r="E73" i="3" a="1"/>
  <c r="E73" i="3" s="1"/>
  <c r="H73" i="3" s="1"/>
  <c r="H52" i="14"/>
  <c r="H59" i="16"/>
  <c r="G59" i="16"/>
  <c r="D60" i="16"/>
  <c r="B61" i="16" a="1"/>
  <c r="B61" i="16" s="1"/>
  <c r="F61" i="16" s="1"/>
  <c r="C60" i="16"/>
  <c r="F60" i="16"/>
  <c r="G54" i="18"/>
  <c r="H54" i="18"/>
  <c r="D55" i="18" a="1"/>
  <c r="D55" i="18" s="1"/>
  <c r="C55" i="18" a="1"/>
  <c r="C55" i="18" s="1"/>
  <c r="F55" i="18" a="1"/>
  <c r="F55" i="18" s="1"/>
  <c r="E55" i="18" a="1"/>
  <c r="E55" i="18" s="1"/>
  <c r="B56" i="18" a="1"/>
  <c r="B56" i="18" s="1"/>
  <c r="B67" i="14"/>
  <c r="O53" i="14"/>
  <c r="AA53" i="14"/>
  <c r="A76" i="3"/>
  <c r="B68" i="14"/>
  <c r="I74" i="3" l="1"/>
  <c r="N65" i="14"/>
  <c r="D68" i="14"/>
  <c r="AH68" i="14" s="1"/>
  <c r="K68" i="14" s="1"/>
  <c r="P68" i="14"/>
  <c r="R68" i="14"/>
  <c r="AN68" i="14" s="1"/>
  <c r="X68" i="14" s="1"/>
  <c r="Q68" i="14"/>
  <c r="AM68" i="14" s="1"/>
  <c r="W68" i="14" s="1"/>
  <c r="C68" i="14"/>
  <c r="F68" i="14"/>
  <c r="AJ68" i="14" s="1"/>
  <c r="M68" i="14" s="1"/>
  <c r="E68" i="14"/>
  <c r="AI68" i="14" s="1"/>
  <c r="L68" i="14" s="1"/>
  <c r="S68" i="14"/>
  <c r="AO68" i="14" s="1"/>
  <c r="Y68" i="14" s="1"/>
  <c r="D67" i="14"/>
  <c r="AH67" i="14" s="1"/>
  <c r="K67" i="14" s="1"/>
  <c r="Q67" i="14"/>
  <c r="AM67" i="14" s="1"/>
  <c r="W67" i="14" s="1"/>
  <c r="C67" i="14"/>
  <c r="R67" i="14"/>
  <c r="AN67" i="14" s="1"/>
  <c r="X67" i="14" s="1"/>
  <c r="P67" i="14"/>
  <c r="S67" i="14"/>
  <c r="AO67" i="14" s="1"/>
  <c r="Y67" i="14" s="1"/>
  <c r="F67" i="14"/>
  <c r="AJ67" i="14" s="1"/>
  <c r="M67" i="14" s="1"/>
  <c r="E67" i="14"/>
  <c r="AI67" i="14" s="1"/>
  <c r="L67" i="14" s="1"/>
  <c r="AE65" i="14"/>
  <c r="V65" i="14"/>
  <c r="AP65" i="14"/>
  <c r="Z65" i="14" s="1"/>
  <c r="AF49" i="14"/>
  <c r="AC50" i="14"/>
  <c r="AL66" i="14"/>
  <c r="T66" i="14"/>
  <c r="AD66" i="14" s="1"/>
  <c r="U66" i="14" s="1"/>
  <c r="AG66" i="14"/>
  <c r="G66" i="14"/>
  <c r="AB66" i="14" s="1"/>
  <c r="I66" i="14" s="1"/>
  <c r="J76" i="3"/>
  <c r="D76" i="3" a="1"/>
  <c r="D76" i="3" s="1"/>
  <c r="K76" i="3"/>
  <c r="C76" i="3" a="1"/>
  <c r="C76" i="3" s="1"/>
  <c r="B76" i="3" a="1"/>
  <c r="B76" i="3" s="1"/>
  <c r="F76" i="3" s="1"/>
  <c r="I75" i="3"/>
  <c r="E75" i="3" a="1"/>
  <c r="E75" i="3" s="1"/>
  <c r="H75" i="3" s="1"/>
  <c r="H53" i="14"/>
  <c r="H60" i="16"/>
  <c r="B62" i="16" a="1"/>
  <c r="B62" i="16" s="1"/>
  <c r="D62" i="16" s="1"/>
  <c r="C61" i="16"/>
  <c r="D61" i="16"/>
  <c r="G60" i="16"/>
  <c r="E61" i="16"/>
  <c r="H55" i="18"/>
  <c r="G55" i="18"/>
  <c r="F56" i="18" a="1"/>
  <c r="F56" i="18" s="1"/>
  <c r="E56" i="18" a="1"/>
  <c r="E56" i="18" s="1"/>
  <c r="D56" i="18" a="1"/>
  <c r="D56" i="18" s="1"/>
  <c r="C56" i="18" a="1"/>
  <c r="C56" i="18" s="1"/>
  <c r="B57" i="18" a="1"/>
  <c r="B57" i="18" s="1"/>
  <c r="B69" i="14"/>
  <c r="AA54" i="14"/>
  <c r="O54" i="14"/>
  <c r="A77" i="3"/>
  <c r="A78" i="3"/>
  <c r="G76" i="3" l="1"/>
  <c r="P69" i="14"/>
  <c r="R69" i="14"/>
  <c r="AN69" i="14" s="1"/>
  <c r="X69" i="14" s="1"/>
  <c r="D69" i="14"/>
  <c r="AH69" i="14" s="1"/>
  <c r="K69" i="14" s="1"/>
  <c r="C69" i="14"/>
  <c r="Q69" i="14"/>
  <c r="AM69" i="14" s="1"/>
  <c r="W69" i="14" s="1"/>
  <c r="E69" i="14"/>
  <c r="AI69" i="14" s="1"/>
  <c r="L69" i="14" s="1"/>
  <c r="S69" i="14"/>
  <c r="AO69" i="14" s="1"/>
  <c r="Y69" i="14" s="1"/>
  <c r="F69" i="14"/>
  <c r="AJ69" i="14" s="1"/>
  <c r="M69" i="14" s="1"/>
  <c r="G67" i="14"/>
  <c r="AB67" i="14" s="1"/>
  <c r="I67" i="14" s="1"/>
  <c r="AG67" i="14"/>
  <c r="AL68" i="14"/>
  <c r="AP68" i="14" s="1"/>
  <c r="T68" i="14"/>
  <c r="AD68" i="14" s="1"/>
  <c r="U68" i="14" s="1"/>
  <c r="J66" i="14"/>
  <c r="AK66" i="14"/>
  <c r="N66" i="14" s="1"/>
  <c r="V66" i="14"/>
  <c r="AP66" i="14"/>
  <c r="Z66" i="14" s="1"/>
  <c r="AF50" i="14"/>
  <c r="AC51" i="14"/>
  <c r="AE66" i="14"/>
  <c r="AE67" i="14" s="1"/>
  <c r="AL67" i="14"/>
  <c r="AP67" i="14" s="1"/>
  <c r="T67" i="14"/>
  <c r="AD67" i="14" s="1"/>
  <c r="U67" i="14" s="1"/>
  <c r="G68" i="14"/>
  <c r="AB68" i="14" s="1"/>
  <c r="I68" i="14" s="1"/>
  <c r="AG68" i="14"/>
  <c r="B78" i="3" a="1"/>
  <c r="B78" i="3" s="1"/>
  <c r="F78" i="3" s="1"/>
  <c r="J78" i="3"/>
  <c r="D78" i="3" a="1"/>
  <c r="D78" i="3" s="1"/>
  <c r="K78" i="3"/>
  <c r="C78" i="3" a="1"/>
  <c r="C78" i="3" s="1"/>
  <c r="C77" i="3" a="1"/>
  <c r="C77" i="3" s="1"/>
  <c r="K77" i="3"/>
  <c r="B77" i="3" a="1"/>
  <c r="B77" i="3" s="1"/>
  <c r="F77" i="3" s="1"/>
  <c r="D77" i="3" a="1"/>
  <c r="D77" i="3" s="1"/>
  <c r="J77" i="3"/>
  <c r="E76" i="3" a="1"/>
  <c r="E76" i="3" s="1"/>
  <c r="H76" i="3" s="1"/>
  <c r="I76" i="3"/>
  <c r="H54" i="14"/>
  <c r="H61" i="16"/>
  <c r="B63" i="16" a="1"/>
  <c r="B63" i="16" s="1"/>
  <c r="D63" i="16" s="1"/>
  <c r="C62" i="16"/>
  <c r="F62" i="16"/>
  <c r="G61" i="16"/>
  <c r="E62" i="16"/>
  <c r="H56" i="18"/>
  <c r="G56" i="18"/>
  <c r="D57" i="18" a="1"/>
  <c r="D57" i="18" s="1"/>
  <c r="F57" i="18" a="1"/>
  <c r="F57" i="18" s="1"/>
  <c r="C57" i="18" a="1"/>
  <c r="C57" i="18" s="1"/>
  <c r="E57" i="18" a="1"/>
  <c r="E57" i="18" s="1"/>
  <c r="B58" i="18" a="1"/>
  <c r="B58" i="18" s="1"/>
  <c r="B70" i="14"/>
  <c r="O55" i="14"/>
  <c r="AA55" i="14"/>
  <c r="A79" i="3"/>
  <c r="G77" i="3" l="1"/>
  <c r="AE68" i="14"/>
  <c r="V67" i="14"/>
  <c r="G78" i="3"/>
  <c r="Q70" i="14"/>
  <c r="AM70" i="14" s="1"/>
  <c r="W70" i="14" s="1"/>
  <c r="F70" i="14"/>
  <c r="AJ70" i="14" s="1"/>
  <c r="M70" i="14" s="1"/>
  <c r="S70" i="14"/>
  <c r="AO70" i="14" s="1"/>
  <c r="Y70" i="14" s="1"/>
  <c r="R70" i="14"/>
  <c r="AN70" i="14" s="1"/>
  <c r="X70" i="14" s="1"/>
  <c r="E70" i="14"/>
  <c r="AI70" i="14" s="1"/>
  <c r="L70" i="14" s="1"/>
  <c r="D70" i="14"/>
  <c r="AH70" i="14" s="1"/>
  <c r="K70" i="14" s="1"/>
  <c r="C70" i="14"/>
  <c r="P70" i="14"/>
  <c r="AC52" i="14"/>
  <c r="AF51" i="14"/>
  <c r="Z68" i="14"/>
  <c r="J67" i="14"/>
  <c r="AK67" i="14"/>
  <c r="N67" i="14" s="1"/>
  <c r="J68" i="14"/>
  <c r="AK68" i="14"/>
  <c r="N68" i="14" s="1"/>
  <c r="Z67" i="14"/>
  <c r="V68" i="14"/>
  <c r="AL69" i="14"/>
  <c r="AP69" i="14" s="1"/>
  <c r="T69" i="14"/>
  <c r="AD69" i="14" s="1"/>
  <c r="U69" i="14" s="1"/>
  <c r="G69" i="14"/>
  <c r="AB69" i="14" s="1"/>
  <c r="I69" i="14" s="1"/>
  <c r="AG69" i="14"/>
  <c r="C79" i="3" a="1"/>
  <c r="C79" i="3" s="1"/>
  <c r="K79" i="3"/>
  <c r="B79" i="3" a="1"/>
  <c r="B79" i="3" s="1"/>
  <c r="F79" i="3" s="1"/>
  <c r="D79" i="3" a="1"/>
  <c r="D79" i="3" s="1"/>
  <c r="J79" i="3"/>
  <c r="E78" i="3" a="1"/>
  <c r="E78" i="3" s="1"/>
  <c r="H78" i="3" s="1"/>
  <c r="I77" i="3"/>
  <c r="I78" i="3" s="1"/>
  <c r="E77" i="3" a="1"/>
  <c r="E77" i="3" s="1"/>
  <c r="H77" i="3" s="1"/>
  <c r="H55" i="14"/>
  <c r="H62" i="16"/>
  <c r="G62" i="16"/>
  <c r="F63" i="16"/>
  <c r="B64" i="16" a="1"/>
  <c r="B64" i="16" s="1"/>
  <c r="E64" i="16" s="1"/>
  <c r="C63" i="16"/>
  <c r="E63" i="16"/>
  <c r="E58" i="18" a="1"/>
  <c r="E58" i="18" s="1"/>
  <c r="D58" i="18" a="1"/>
  <c r="D58" i="18" s="1"/>
  <c r="C58" i="18" a="1"/>
  <c r="C58" i="18" s="1"/>
  <c r="F58" i="18" a="1"/>
  <c r="F58" i="18" s="1"/>
  <c r="B59" i="18" a="1"/>
  <c r="B59" i="18" s="1"/>
  <c r="H57" i="18"/>
  <c r="G57" i="18"/>
  <c r="B71" i="14"/>
  <c r="AA56" i="14"/>
  <c r="O56" i="14"/>
  <c r="A80" i="3"/>
  <c r="B72" i="14"/>
  <c r="Z69" i="14" l="1"/>
  <c r="G79" i="3"/>
  <c r="F72" i="14"/>
  <c r="AJ72" i="14" s="1"/>
  <c r="M72" i="14" s="1"/>
  <c r="D72" i="14"/>
  <c r="AH72" i="14" s="1"/>
  <c r="K72" i="14" s="1"/>
  <c r="S72" i="14"/>
  <c r="AO72" i="14" s="1"/>
  <c r="Y72" i="14" s="1"/>
  <c r="E72" i="14"/>
  <c r="AI72" i="14" s="1"/>
  <c r="L72" i="14" s="1"/>
  <c r="R72" i="14"/>
  <c r="AN72" i="14" s="1"/>
  <c r="X72" i="14" s="1"/>
  <c r="P72" i="14"/>
  <c r="C72" i="14"/>
  <c r="Q72" i="14"/>
  <c r="AM72" i="14" s="1"/>
  <c r="W72" i="14" s="1"/>
  <c r="F71" i="14"/>
  <c r="AJ71" i="14" s="1"/>
  <c r="M71" i="14" s="1"/>
  <c r="E71" i="14"/>
  <c r="AI71" i="14" s="1"/>
  <c r="L71" i="14" s="1"/>
  <c r="C71" i="14"/>
  <c r="Q71" i="14"/>
  <c r="AM71" i="14" s="1"/>
  <c r="W71" i="14" s="1"/>
  <c r="P71" i="14"/>
  <c r="R71" i="14"/>
  <c r="AN71" i="14" s="1"/>
  <c r="X71" i="14" s="1"/>
  <c r="D71" i="14"/>
  <c r="AH71" i="14" s="1"/>
  <c r="K71" i="14" s="1"/>
  <c r="S71" i="14"/>
  <c r="AO71" i="14" s="1"/>
  <c r="Y71" i="14" s="1"/>
  <c r="G70" i="14"/>
  <c r="AB70" i="14" s="1"/>
  <c r="I70" i="14" s="1"/>
  <c r="AG70" i="14"/>
  <c r="J69" i="14"/>
  <c r="AK69" i="14"/>
  <c r="N69" i="14" s="1"/>
  <c r="AF52" i="14"/>
  <c r="AC53" i="14"/>
  <c r="V69" i="14"/>
  <c r="AE69" i="14"/>
  <c r="T70" i="14"/>
  <c r="AD70" i="14" s="1"/>
  <c r="U70" i="14" s="1"/>
  <c r="AL70" i="14"/>
  <c r="AP70" i="14" s="1"/>
  <c r="V70" i="14"/>
  <c r="D80" i="3" a="1"/>
  <c r="D80" i="3" s="1"/>
  <c r="B80" i="3" a="1"/>
  <c r="B80" i="3" s="1"/>
  <c r="F80" i="3" s="1"/>
  <c r="K80" i="3"/>
  <c r="J80" i="3"/>
  <c r="C80" i="3" a="1"/>
  <c r="C80" i="3" s="1"/>
  <c r="G80" i="3" s="1"/>
  <c r="I79" i="3"/>
  <c r="E79" i="3" a="1"/>
  <c r="E79" i="3" s="1"/>
  <c r="H79" i="3" s="1"/>
  <c r="H56" i="14"/>
  <c r="H63" i="16"/>
  <c r="G63" i="16"/>
  <c r="F64" i="16"/>
  <c r="B65" i="16" a="1"/>
  <c r="B65" i="16" s="1"/>
  <c r="C65" i="16" s="1"/>
  <c r="C64" i="16"/>
  <c r="D64" i="16"/>
  <c r="G58" i="18"/>
  <c r="H58" i="18"/>
  <c r="D59" i="18" a="1"/>
  <c r="D59" i="18" s="1"/>
  <c r="E59" i="18" a="1"/>
  <c r="E59" i="18" s="1"/>
  <c r="C59" i="18" a="1"/>
  <c r="C59" i="18" s="1"/>
  <c r="F59" i="18" a="1"/>
  <c r="F59" i="18" s="1"/>
  <c r="B60" i="18" a="1"/>
  <c r="B60" i="18" s="1"/>
  <c r="B73" i="14"/>
  <c r="O57" i="14"/>
  <c r="AA57" i="14"/>
  <c r="A81" i="3"/>
  <c r="A82" i="3"/>
  <c r="S73" i="14" l="1"/>
  <c r="AO73" i="14" s="1"/>
  <c r="Y73" i="14" s="1"/>
  <c r="C73" i="14"/>
  <c r="D73" i="14"/>
  <c r="AH73" i="14" s="1"/>
  <c r="K73" i="14" s="1"/>
  <c r="P73" i="14"/>
  <c r="R73" i="14"/>
  <c r="AN73" i="14" s="1"/>
  <c r="X73" i="14" s="1"/>
  <c r="E73" i="14"/>
  <c r="AI73" i="14" s="1"/>
  <c r="L73" i="14" s="1"/>
  <c r="Q73" i="14"/>
  <c r="AM73" i="14" s="1"/>
  <c r="W73" i="14" s="1"/>
  <c r="F73" i="14"/>
  <c r="AJ73" i="14" s="1"/>
  <c r="M73" i="14" s="1"/>
  <c r="AG71" i="14"/>
  <c r="AK71" i="14" s="1"/>
  <c r="G71" i="14"/>
  <c r="AB71" i="14" s="1"/>
  <c r="I71" i="14" s="1"/>
  <c r="G72" i="14"/>
  <c r="AB72" i="14" s="1"/>
  <c r="I72" i="14" s="1"/>
  <c r="AG72" i="14"/>
  <c r="AK72" i="14" s="1"/>
  <c r="N72" i="14" s="1"/>
  <c r="Z70" i="14"/>
  <c r="AF53" i="14"/>
  <c r="AC54" i="14"/>
  <c r="J70" i="14"/>
  <c r="AK70" i="14"/>
  <c r="N70" i="14" s="1"/>
  <c r="AL72" i="14"/>
  <c r="AP72" i="14" s="1"/>
  <c r="T72" i="14"/>
  <c r="AD72" i="14" s="1"/>
  <c r="U72" i="14" s="1"/>
  <c r="AL71" i="14"/>
  <c r="AP71" i="14" s="1"/>
  <c r="T71" i="14"/>
  <c r="AD71" i="14" s="1"/>
  <c r="U71" i="14" s="1"/>
  <c r="AE70" i="14"/>
  <c r="K82" i="3"/>
  <c r="D82" i="3" a="1"/>
  <c r="D82" i="3" s="1"/>
  <c r="C82" i="3" a="1"/>
  <c r="C82" i="3" s="1"/>
  <c r="B82" i="3" a="1"/>
  <c r="B82" i="3" s="1"/>
  <c r="F82" i="3" s="1"/>
  <c r="J82" i="3"/>
  <c r="D81" i="3" a="1"/>
  <c r="D81" i="3" s="1"/>
  <c r="B81" i="3" a="1"/>
  <c r="B81" i="3" s="1"/>
  <c r="F81" i="3" s="1"/>
  <c r="J81" i="3"/>
  <c r="C81" i="3" a="1"/>
  <c r="C81" i="3" s="1"/>
  <c r="K81" i="3"/>
  <c r="I80" i="3"/>
  <c r="E80" i="3" a="1"/>
  <c r="E80" i="3" s="1"/>
  <c r="H80" i="3" s="1"/>
  <c r="H57" i="14"/>
  <c r="H64" i="16"/>
  <c r="G64" i="16"/>
  <c r="E65" i="16"/>
  <c r="D65" i="16"/>
  <c r="F65" i="16"/>
  <c r="B66" i="16" a="1"/>
  <c r="B66" i="16" s="1"/>
  <c r="D66" i="16" s="1"/>
  <c r="C60" i="18" a="1"/>
  <c r="C60" i="18" s="1"/>
  <c r="F60" i="18" a="1"/>
  <c r="F60" i="18" s="1"/>
  <c r="D60" i="18" a="1"/>
  <c r="D60" i="18" s="1"/>
  <c r="E60" i="18" a="1"/>
  <c r="E60" i="18" s="1"/>
  <c r="B61" i="18" a="1"/>
  <c r="B61" i="18" s="1"/>
  <c r="G59" i="18"/>
  <c r="H59" i="18"/>
  <c r="B74" i="14"/>
  <c r="O58" i="14"/>
  <c r="AA58" i="14"/>
  <c r="M12" i="3" a="1"/>
  <c r="G81" i="3" l="1"/>
  <c r="V72" i="14"/>
  <c r="AE71" i="14"/>
  <c r="AE72" i="14" s="1"/>
  <c r="V71" i="14"/>
  <c r="J72" i="14"/>
  <c r="H65" i="16"/>
  <c r="P74" i="14"/>
  <c r="E74" i="14"/>
  <c r="AI74" i="14" s="1"/>
  <c r="L74" i="14" s="1"/>
  <c r="R74" i="14"/>
  <c r="AN74" i="14" s="1"/>
  <c r="X74" i="14" s="1"/>
  <c r="F74" i="14"/>
  <c r="AJ74" i="14" s="1"/>
  <c r="M74" i="14" s="1"/>
  <c r="D74" i="14"/>
  <c r="AH74" i="14" s="1"/>
  <c r="K74" i="14" s="1"/>
  <c r="Q74" i="14"/>
  <c r="AM74" i="14" s="1"/>
  <c r="W74" i="14" s="1"/>
  <c r="S74" i="14"/>
  <c r="AO74" i="14" s="1"/>
  <c r="Y74" i="14" s="1"/>
  <c r="C74" i="14"/>
  <c r="AC55" i="14"/>
  <c r="AF54" i="14"/>
  <c r="N71" i="14"/>
  <c r="Z72" i="14"/>
  <c r="Z71" i="14"/>
  <c r="J71" i="14"/>
  <c r="G73" i="14"/>
  <c r="AB73" i="14" s="1"/>
  <c r="I73" i="14" s="1"/>
  <c r="AG73" i="14"/>
  <c r="AL73" i="14"/>
  <c r="T73" i="14"/>
  <c r="AD73" i="14" s="1"/>
  <c r="U73" i="14" s="1"/>
  <c r="M12" i="3"/>
  <c r="G82" i="3"/>
  <c r="M3" i="3"/>
  <c r="I81" i="3"/>
  <c r="M4" i="3"/>
  <c r="E81" i="3" a="1"/>
  <c r="E81" i="3" s="1"/>
  <c r="H81" i="3" s="1"/>
  <c r="E82" i="3" a="1"/>
  <c r="E82" i="3" s="1"/>
  <c r="H82" i="3" s="1"/>
  <c r="M6" i="3"/>
  <c r="H58" i="14"/>
  <c r="B67" i="16" a="1"/>
  <c r="B67" i="16" s="1"/>
  <c r="D67" i="16" s="1"/>
  <c r="C66" i="16"/>
  <c r="F66" i="16"/>
  <c r="G65" i="16"/>
  <c r="E66" i="16"/>
  <c r="F61" i="18" a="1"/>
  <c r="F61" i="18" s="1"/>
  <c r="D61" i="18" a="1"/>
  <c r="D61" i="18" s="1"/>
  <c r="E61" i="18" a="1"/>
  <c r="E61" i="18" s="1"/>
  <c r="C61" i="18" a="1"/>
  <c r="C61" i="18" s="1"/>
  <c r="B62" i="18" a="1"/>
  <c r="B62" i="18" s="1"/>
  <c r="H60" i="18"/>
  <c r="G60" i="18"/>
  <c r="B75" i="14"/>
  <c r="AA59" i="14"/>
  <c r="O59" i="14"/>
  <c r="B76" i="14"/>
  <c r="I82" i="3" l="1"/>
  <c r="AE73" i="14"/>
  <c r="K3" i="4"/>
  <c r="L2" i="4"/>
  <c r="D76" i="14"/>
  <c r="AH76" i="14" s="1"/>
  <c r="K76" i="14" s="1"/>
  <c r="Q76" i="14"/>
  <c r="AM76" i="14" s="1"/>
  <c r="W76" i="14" s="1"/>
  <c r="E76" i="14"/>
  <c r="AI76" i="14" s="1"/>
  <c r="L76" i="14" s="1"/>
  <c r="S76" i="14"/>
  <c r="AO76" i="14" s="1"/>
  <c r="Y76" i="14" s="1"/>
  <c r="C76" i="14"/>
  <c r="F76" i="14"/>
  <c r="AJ76" i="14" s="1"/>
  <c r="M76" i="14" s="1"/>
  <c r="R76" i="14"/>
  <c r="AN76" i="14" s="1"/>
  <c r="X76" i="14" s="1"/>
  <c r="P76" i="14"/>
  <c r="P75" i="14"/>
  <c r="R75" i="14"/>
  <c r="AN75" i="14" s="1"/>
  <c r="X75" i="14" s="1"/>
  <c r="Q75" i="14"/>
  <c r="AM75" i="14" s="1"/>
  <c r="W75" i="14" s="1"/>
  <c r="S75" i="14"/>
  <c r="AO75" i="14" s="1"/>
  <c r="Y75" i="14" s="1"/>
  <c r="C75" i="14"/>
  <c r="E75" i="14"/>
  <c r="AI75" i="14" s="1"/>
  <c r="L75" i="14" s="1"/>
  <c r="F75" i="14"/>
  <c r="AJ75" i="14" s="1"/>
  <c r="M75" i="14" s="1"/>
  <c r="D75" i="14"/>
  <c r="AH75" i="14" s="1"/>
  <c r="K75" i="14" s="1"/>
  <c r="V73" i="14"/>
  <c r="AP73" i="14"/>
  <c r="Z73" i="14" s="1"/>
  <c r="AF55" i="14"/>
  <c r="AC56" i="14"/>
  <c r="G74" i="14"/>
  <c r="AB74" i="14" s="1"/>
  <c r="I74" i="14" s="1"/>
  <c r="AG74" i="14"/>
  <c r="J73" i="14"/>
  <c r="AK73" i="14"/>
  <c r="N73" i="14" s="1"/>
  <c r="T74" i="14"/>
  <c r="AD74" i="14" s="1"/>
  <c r="U74" i="14" s="1"/>
  <c r="AL74" i="14"/>
  <c r="AP74" i="14" s="1"/>
  <c r="H59" i="14"/>
  <c r="H66" i="16"/>
  <c r="B68" i="16" a="1"/>
  <c r="B68" i="16" s="1"/>
  <c r="E68" i="16" s="1"/>
  <c r="C67" i="16"/>
  <c r="E67" i="16"/>
  <c r="G66" i="16"/>
  <c r="F67" i="16"/>
  <c r="C62" i="18" a="1"/>
  <c r="C62" i="18" s="1"/>
  <c r="D62" i="18" a="1"/>
  <c r="D62" i="18" s="1"/>
  <c r="E62" i="18" a="1"/>
  <c r="E62" i="18" s="1"/>
  <c r="F62" i="18" a="1"/>
  <c r="F62" i="18" s="1"/>
  <c r="B63" i="18" a="1"/>
  <c r="B63" i="18" s="1"/>
  <c r="G61" i="18"/>
  <c r="H61" i="18"/>
  <c r="B77" i="14"/>
  <c r="AA60" i="14"/>
  <c r="O60" i="14"/>
  <c r="Z74" i="14" l="1"/>
  <c r="V74" i="14"/>
  <c r="E77" i="14"/>
  <c r="AI77" i="14" s="1"/>
  <c r="L77" i="14" s="1"/>
  <c r="S77" i="14"/>
  <c r="AO77" i="14" s="1"/>
  <c r="Y77" i="14" s="1"/>
  <c r="C77" i="14"/>
  <c r="D77" i="14"/>
  <c r="AH77" i="14" s="1"/>
  <c r="K77" i="14" s="1"/>
  <c r="P77" i="14"/>
  <c r="Q77" i="14"/>
  <c r="AM77" i="14" s="1"/>
  <c r="W77" i="14" s="1"/>
  <c r="R77" i="14"/>
  <c r="AN77" i="14" s="1"/>
  <c r="X77" i="14" s="1"/>
  <c r="F77" i="14"/>
  <c r="AJ77" i="14" s="1"/>
  <c r="M77" i="14" s="1"/>
  <c r="J74" i="14"/>
  <c r="AK74" i="14"/>
  <c r="N74" i="14" s="1"/>
  <c r="AE74" i="14"/>
  <c r="G75" i="14"/>
  <c r="AB75" i="14" s="1"/>
  <c r="I75" i="14" s="1"/>
  <c r="AG75" i="14"/>
  <c r="T75" i="14"/>
  <c r="AD75" i="14" s="1"/>
  <c r="U75" i="14" s="1"/>
  <c r="AL75" i="14"/>
  <c r="AP75" i="14" s="1"/>
  <c r="V75" i="14"/>
  <c r="AG76" i="14"/>
  <c r="AK76" i="14" s="1"/>
  <c r="G76" i="14"/>
  <c r="AB76" i="14" s="1"/>
  <c r="I76" i="14" s="1"/>
  <c r="AF56" i="14"/>
  <c r="AC57" i="14"/>
  <c r="AL76" i="14"/>
  <c r="AP76" i="14" s="1"/>
  <c r="T76" i="14"/>
  <c r="AD76" i="14" s="1"/>
  <c r="U76" i="14" s="1"/>
  <c r="H60" i="14"/>
  <c r="H67" i="16"/>
  <c r="G67" i="16"/>
  <c r="D68" i="16"/>
  <c r="B69" i="16" a="1"/>
  <c r="B69" i="16" s="1"/>
  <c r="E69" i="16" s="1"/>
  <c r="C68" i="16"/>
  <c r="F68" i="16"/>
  <c r="F63" i="18" a="1"/>
  <c r="F63" i="18" s="1"/>
  <c r="C63" i="18" a="1"/>
  <c r="C63" i="18" s="1"/>
  <c r="E63" i="18" a="1"/>
  <c r="E63" i="18" s="1"/>
  <c r="D63" i="18" a="1"/>
  <c r="D63" i="18" s="1"/>
  <c r="B64" i="18" a="1"/>
  <c r="B64" i="18" s="1"/>
  <c r="G62" i="18"/>
  <c r="H62" i="18"/>
  <c r="B78" i="14"/>
  <c r="AA61" i="14"/>
  <c r="O61" i="14"/>
  <c r="Z76" i="14" l="1"/>
  <c r="N76" i="14"/>
  <c r="H68" i="16"/>
  <c r="D78" i="14"/>
  <c r="AH78" i="14" s="1"/>
  <c r="K78" i="14" s="1"/>
  <c r="C78" i="14"/>
  <c r="R78" i="14"/>
  <c r="AN78" i="14" s="1"/>
  <c r="X78" i="14" s="1"/>
  <c r="P78" i="14"/>
  <c r="S78" i="14"/>
  <c r="AO78" i="14" s="1"/>
  <c r="Y78" i="14" s="1"/>
  <c r="E78" i="14"/>
  <c r="AI78" i="14" s="1"/>
  <c r="L78" i="14" s="1"/>
  <c r="Q78" i="14"/>
  <c r="AM78" i="14" s="1"/>
  <c r="W78" i="14" s="1"/>
  <c r="F78" i="14"/>
  <c r="AJ78" i="14" s="1"/>
  <c r="M78" i="14" s="1"/>
  <c r="AL77" i="14"/>
  <c r="T77" i="14"/>
  <c r="AD77" i="14" s="1"/>
  <c r="U77" i="14" s="1"/>
  <c r="V76" i="14"/>
  <c r="J76" i="14"/>
  <c r="Z75" i="14"/>
  <c r="AE75" i="14"/>
  <c r="AE76" i="14" s="1"/>
  <c r="AE77" i="14" s="1"/>
  <c r="G77" i="14"/>
  <c r="AB77" i="14" s="1"/>
  <c r="I77" i="14" s="1"/>
  <c r="AG77" i="14"/>
  <c r="AF57" i="14"/>
  <c r="AC58" i="14"/>
  <c r="J75" i="14"/>
  <c r="AK75" i="14"/>
  <c r="N75" i="14" s="1"/>
  <c r="H61" i="14"/>
  <c r="G68" i="16"/>
  <c r="B70" i="16" a="1"/>
  <c r="B70" i="16" s="1"/>
  <c r="D70" i="16" s="1"/>
  <c r="C69" i="16"/>
  <c r="D69" i="16"/>
  <c r="F69" i="16"/>
  <c r="G63" i="18"/>
  <c r="H63" i="18"/>
  <c r="D64" i="18" a="1"/>
  <c r="D64" i="18" s="1"/>
  <c r="E64" i="18" a="1"/>
  <c r="E64" i="18" s="1"/>
  <c r="C64" i="18" a="1"/>
  <c r="C64" i="18" s="1"/>
  <c r="F64" i="18" a="1"/>
  <c r="F64" i="18" s="1"/>
  <c r="B65" i="18" a="1"/>
  <c r="B65" i="18" s="1"/>
  <c r="B79" i="14"/>
  <c r="O62" i="14"/>
  <c r="AA62" i="14"/>
  <c r="B80" i="14"/>
  <c r="H69" i="16" l="1"/>
  <c r="F80" i="14"/>
  <c r="AJ80" i="14" s="1"/>
  <c r="M80" i="14" s="1"/>
  <c r="P80" i="14"/>
  <c r="E80" i="14"/>
  <c r="AI80" i="14" s="1"/>
  <c r="L80" i="14" s="1"/>
  <c r="S80" i="14"/>
  <c r="AO80" i="14" s="1"/>
  <c r="Y80" i="14" s="1"/>
  <c r="C80" i="14"/>
  <c r="Q80" i="14"/>
  <c r="AM80" i="14" s="1"/>
  <c r="W80" i="14" s="1"/>
  <c r="D80" i="14"/>
  <c r="AH80" i="14" s="1"/>
  <c r="K80" i="14" s="1"/>
  <c r="R80" i="14"/>
  <c r="AN80" i="14" s="1"/>
  <c r="X80" i="14" s="1"/>
  <c r="S79" i="14"/>
  <c r="AO79" i="14" s="1"/>
  <c r="Y79" i="14" s="1"/>
  <c r="R79" i="14"/>
  <c r="AN79" i="14" s="1"/>
  <c r="X79" i="14" s="1"/>
  <c r="F79" i="14"/>
  <c r="AJ79" i="14" s="1"/>
  <c r="M79" i="14" s="1"/>
  <c r="C79" i="14"/>
  <c r="D79" i="14"/>
  <c r="AH79" i="14" s="1"/>
  <c r="K79" i="14" s="1"/>
  <c r="P79" i="14"/>
  <c r="Q79" i="14"/>
  <c r="AM79" i="14" s="1"/>
  <c r="W79" i="14" s="1"/>
  <c r="E79" i="14"/>
  <c r="AI79" i="14" s="1"/>
  <c r="L79" i="14" s="1"/>
  <c r="AF58" i="14"/>
  <c r="AC59" i="14"/>
  <c r="V77" i="14"/>
  <c r="AP77" i="14"/>
  <c r="Z77" i="14" s="1"/>
  <c r="J77" i="14"/>
  <c r="AK77" i="14"/>
  <c r="N77" i="14" s="1"/>
  <c r="AG78" i="14"/>
  <c r="G78" i="14"/>
  <c r="AB78" i="14" s="1"/>
  <c r="I78" i="14" s="1"/>
  <c r="AL78" i="14"/>
  <c r="T78" i="14"/>
  <c r="AD78" i="14" s="1"/>
  <c r="U78" i="14" s="1"/>
  <c r="H62" i="14"/>
  <c r="G69" i="16"/>
  <c r="E70" i="16"/>
  <c r="F70" i="16"/>
  <c r="B71" i="16" a="1"/>
  <c r="B71" i="16" s="1"/>
  <c r="D71" i="16" s="1"/>
  <c r="C70" i="16"/>
  <c r="G64" i="18"/>
  <c r="H64" i="18"/>
  <c r="D65" i="18" a="1"/>
  <c r="D65" i="18" s="1"/>
  <c r="E65" i="18" a="1"/>
  <c r="E65" i="18" s="1"/>
  <c r="C65" i="18" a="1"/>
  <c r="C65" i="18" s="1"/>
  <c r="F65" i="18" a="1"/>
  <c r="F65" i="18" s="1"/>
  <c r="B66" i="18" a="1"/>
  <c r="B66" i="18" s="1"/>
  <c r="B81" i="14"/>
  <c r="AA63" i="14"/>
  <c r="O63" i="14"/>
  <c r="D81" i="14" l="1"/>
  <c r="AH81" i="14" s="1"/>
  <c r="K81" i="14" s="1"/>
  <c r="S81" i="14"/>
  <c r="AO81" i="14" s="1"/>
  <c r="Y81" i="14" s="1"/>
  <c r="C81" i="14"/>
  <c r="E81" i="14"/>
  <c r="AI81" i="14" s="1"/>
  <c r="L81" i="14" s="1"/>
  <c r="P81" i="14"/>
  <c r="Q81" i="14"/>
  <c r="AM81" i="14" s="1"/>
  <c r="W81" i="14" s="1"/>
  <c r="R81" i="14"/>
  <c r="AN81" i="14" s="1"/>
  <c r="X81" i="14" s="1"/>
  <c r="F81" i="14"/>
  <c r="AJ81" i="14" s="1"/>
  <c r="M81" i="14" s="1"/>
  <c r="J78" i="14"/>
  <c r="AK78" i="14"/>
  <c r="N78" i="14" s="1"/>
  <c r="AE78" i="14"/>
  <c r="V78" i="14"/>
  <c r="AP78" i="14"/>
  <c r="Z78" i="14" s="1"/>
  <c r="AF59" i="14"/>
  <c r="AC60" i="14"/>
  <c r="AL79" i="14"/>
  <c r="AP79" i="14" s="1"/>
  <c r="T79" i="14"/>
  <c r="AD79" i="14" s="1"/>
  <c r="U79" i="14" s="1"/>
  <c r="T80" i="14"/>
  <c r="AD80" i="14" s="1"/>
  <c r="U80" i="14" s="1"/>
  <c r="AL80" i="14"/>
  <c r="AG80" i="14"/>
  <c r="G80" i="14"/>
  <c r="AB80" i="14" s="1"/>
  <c r="I80" i="14" s="1"/>
  <c r="G79" i="14"/>
  <c r="AB79" i="14" s="1"/>
  <c r="I79" i="14" s="1"/>
  <c r="AG79" i="14"/>
  <c r="H63" i="14"/>
  <c r="H70" i="16"/>
  <c r="G70" i="16"/>
  <c r="B72" i="16" a="1"/>
  <c r="B72" i="16" s="1"/>
  <c r="E72" i="16" s="1"/>
  <c r="C71" i="16"/>
  <c r="H71" i="16" s="1"/>
  <c r="F71" i="16"/>
  <c r="E71" i="16"/>
  <c r="H65" i="18"/>
  <c r="G65" i="18"/>
  <c r="E66" i="18" a="1"/>
  <c r="E66" i="18" s="1"/>
  <c r="F66" i="18" a="1"/>
  <c r="F66" i="18" s="1"/>
  <c r="D66" i="18" a="1"/>
  <c r="D66" i="18" s="1"/>
  <c r="C66" i="18" a="1"/>
  <c r="C66" i="18" s="1"/>
  <c r="B67" i="18" a="1"/>
  <c r="B67" i="18" s="1"/>
  <c r="B82" i="14"/>
  <c r="AA64" i="14"/>
  <c r="O64" i="14"/>
  <c r="V79" i="14" l="1"/>
  <c r="D82" i="14"/>
  <c r="AH82" i="14" s="1"/>
  <c r="K82" i="14" s="1"/>
  <c r="Q82" i="14"/>
  <c r="AM82" i="14" s="1"/>
  <c r="W82" i="14" s="1"/>
  <c r="R82" i="14"/>
  <c r="AN82" i="14" s="1"/>
  <c r="X82" i="14" s="1"/>
  <c r="S82" i="14"/>
  <c r="AO82" i="14" s="1"/>
  <c r="Y82" i="14" s="1"/>
  <c r="C82" i="14"/>
  <c r="P82" i="14"/>
  <c r="E82" i="14"/>
  <c r="AI82" i="14" s="1"/>
  <c r="L82" i="14" s="1"/>
  <c r="F82" i="14"/>
  <c r="AJ82" i="14" s="1"/>
  <c r="M82" i="14" s="1"/>
  <c r="J80" i="14"/>
  <c r="AK80" i="14"/>
  <c r="N80" i="14" s="1"/>
  <c r="J79" i="14"/>
  <c r="AK79" i="14"/>
  <c r="N79" i="14" s="1"/>
  <c r="V80" i="14"/>
  <c r="AP80" i="14"/>
  <c r="Z80" i="14" s="1"/>
  <c r="Z79" i="14"/>
  <c r="AF60" i="14"/>
  <c r="AC61" i="14"/>
  <c r="AE79" i="14"/>
  <c r="AE80" i="14" s="1"/>
  <c r="AG81" i="14"/>
  <c r="G81" i="14"/>
  <c r="AB81" i="14" s="1"/>
  <c r="I81" i="14" s="1"/>
  <c r="AL81" i="14"/>
  <c r="AP81" i="14" s="1"/>
  <c r="Z81" i="14" s="1"/>
  <c r="T81" i="14"/>
  <c r="AD81" i="14" s="1"/>
  <c r="U81" i="14" s="1"/>
  <c r="H64" i="14"/>
  <c r="G71" i="16"/>
  <c r="F72" i="16"/>
  <c r="B73" i="16" a="1"/>
  <c r="B73" i="16" s="1"/>
  <c r="D73" i="16" s="1"/>
  <c r="C72" i="16"/>
  <c r="D72" i="16"/>
  <c r="G66" i="18"/>
  <c r="H66" i="18"/>
  <c r="E67" i="18" a="1"/>
  <c r="E67" i="18" s="1"/>
  <c r="D67" i="18" a="1"/>
  <c r="D67" i="18" s="1"/>
  <c r="F67" i="18" a="1"/>
  <c r="F67" i="18" s="1"/>
  <c r="C67" i="18" a="1"/>
  <c r="C67" i="18" s="1"/>
  <c r="B68" i="18" a="1"/>
  <c r="B68" i="18" s="1"/>
  <c r="B83" i="14"/>
  <c r="AA65" i="14"/>
  <c r="O65" i="14"/>
  <c r="B84" i="14"/>
  <c r="H72" i="16" l="1"/>
  <c r="S84" i="14"/>
  <c r="AO84" i="14" s="1"/>
  <c r="Y84" i="14" s="1"/>
  <c r="R84" i="14"/>
  <c r="AN84" i="14" s="1"/>
  <c r="X84" i="14" s="1"/>
  <c r="E84" i="14"/>
  <c r="AI84" i="14" s="1"/>
  <c r="L84" i="14" s="1"/>
  <c r="P84" i="14"/>
  <c r="C84" i="14"/>
  <c r="F84" i="14"/>
  <c r="AJ84" i="14" s="1"/>
  <c r="M84" i="14" s="1"/>
  <c r="Q84" i="14"/>
  <c r="AM84" i="14" s="1"/>
  <c r="W84" i="14" s="1"/>
  <c r="D84" i="14"/>
  <c r="AH84" i="14" s="1"/>
  <c r="K84" i="14" s="1"/>
  <c r="S83" i="14"/>
  <c r="AO83" i="14" s="1"/>
  <c r="Y83" i="14" s="1"/>
  <c r="Q83" i="14"/>
  <c r="AM83" i="14" s="1"/>
  <c r="W83" i="14" s="1"/>
  <c r="F83" i="14"/>
  <c r="AJ83" i="14" s="1"/>
  <c r="M83" i="14" s="1"/>
  <c r="R83" i="14"/>
  <c r="AN83" i="14" s="1"/>
  <c r="X83" i="14" s="1"/>
  <c r="D83" i="14"/>
  <c r="AH83" i="14" s="1"/>
  <c r="K83" i="14" s="1"/>
  <c r="C83" i="14"/>
  <c r="E83" i="14"/>
  <c r="AI83" i="14" s="1"/>
  <c r="L83" i="14" s="1"/>
  <c r="P83" i="14"/>
  <c r="AF61" i="14"/>
  <c r="AC62" i="14"/>
  <c r="V81" i="14"/>
  <c r="J81" i="14"/>
  <c r="AK81" i="14"/>
  <c r="N81" i="14" s="1"/>
  <c r="AE81" i="14"/>
  <c r="T82" i="14"/>
  <c r="AD82" i="14" s="1"/>
  <c r="U82" i="14" s="1"/>
  <c r="AL82" i="14"/>
  <c r="AP82" i="14" s="1"/>
  <c r="V82" i="14"/>
  <c r="AG82" i="14"/>
  <c r="G82" i="14"/>
  <c r="AB82" i="14" s="1"/>
  <c r="I82" i="14" s="1"/>
  <c r="H65" i="14"/>
  <c r="G72" i="16"/>
  <c r="F73" i="16"/>
  <c r="B74" i="16" a="1"/>
  <c r="B74" i="16" s="1"/>
  <c r="D74" i="16" s="1"/>
  <c r="C73" i="16"/>
  <c r="E73" i="16"/>
  <c r="G67" i="18"/>
  <c r="H67" i="18"/>
  <c r="D68" i="18" a="1"/>
  <c r="D68" i="18" s="1"/>
  <c r="C68" i="18" a="1"/>
  <c r="C68" i="18" s="1"/>
  <c r="E68" i="18" a="1"/>
  <c r="E68" i="18" s="1"/>
  <c r="F68" i="18" a="1"/>
  <c r="F68" i="18" s="1"/>
  <c r="B69" i="18" a="1"/>
  <c r="B69" i="18" s="1"/>
  <c r="B85" i="14"/>
  <c r="AA66" i="14"/>
  <c r="O66" i="14"/>
  <c r="D85" i="14" l="1"/>
  <c r="AH85" i="14" s="1"/>
  <c r="K85" i="14" s="1"/>
  <c r="Q85" i="14"/>
  <c r="AM85" i="14" s="1"/>
  <c r="W85" i="14" s="1"/>
  <c r="C85" i="14"/>
  <c r="F85" i="14"/>
  <c r="AJ85" i="14" s="1"/>
  <c r="M85" i="14" s="1"/>
  <c r="P85" i="14"/>
  <c r="S85" i="14"/>
  <c r="AO85" i="14" s="1"/>
  <c r="Y85" i="14" s="1"/>
  <c r="R85" i="14"/>
  <c r="AN85" i="14" s="1"/>
  <c r="X85" i="14" s="1"/>
  <c r="E85" i="14"/>
  <c r="AI85" i="14" s="1"/>
  <c r="L85" i="14" s="1"/>
  <c r="AG83" i="14"/>
  <c r="G83" i="14"/>
  <c r="AB83" i="14" s="1"/>
  <c r="I83" i="14" s="1"/>
  <c r="J82" i="14"/>
  <c r="AK82" i="14"/>
  <c r="N82" i="14" s="1"/>
  <c r="AE82" i="14"/>
  <c r="AF62" i="14"/>
  <c r="AC63" i="14"/>
  <c r="AG84" i="14"/>
  <c r="G84" i="14"/>
  <c r="AB84" i="14" s="1"/>
  <c r="I84" i="14" s="1"/>
  <c r="Z82" i="14"/>
  <c r="T83" i="14"/>
  <c r="AD83" i="14" s="1"/>
  <c r="U83" i="14" s="1"/>
  <c r="AL83" i="14"/>
  <c r="AP83" i="14" s="1"/>
  <c r="Z83" i="14" s="1"/>
  <c r="T84" i="14"/>
  <c r="AD84" i="14" s="1"/>
  <c r="U84" i="14" s="1"/>
  <c r="AL84" i="14"/>
  <c r="AP84" i="14" s="1"/>
  <c r="H66" i="14"/>
  <c r="H73" i="16"/>
  <c r="B75" i="16" a="1"/>
  <c r="B75" i="16" s="1"/>
  <c r="F75" i="16" s="1"/>
  <c r="C74" i="16"/>
  <c r="F74" i="16"/>
  <c r="G73" i="16"/>
  <c r="E74" i="16"/>
  <c r="H68" i="18"/>
  <c r="G68" i="18"/>
  <c r="D69" i="18" a="1"/>
  <c r="D69" i="18" s="1"/>
  <c r="F69" i="18" a="1"/>
  <c r="F69" i="18" s="1"/>
  <c r="E69" i="18" a="1"/>
  <c r="E69" i="18" s="1"/>
  <c r="C69" i="18" a="1"/>
  <c r="C69" i="18" s="1"/>
  <c r="B70" i="18" a="1"/>
  <c r="B70" i="18" s="1"/>
  <c r="B86" i="14"/>
  <c r="O67" i="14"/>
  <c r="AA67" i="14"/>
  <c r="AE83" i="14" l="1"/>
  <c r="V84" i="14"/>
  <c r="D86" i="14"/>
  <c r="AH86" i="14" s="1"/>
  <c r="K86" i="14" s="1"/>
  <c r="Q86" i="14"/>
  <c r="AM86" i="14" s="1"/>
  <c r="W86" i="14" s="1"/>
  <c r="R86" i="14"/>
  <c r="AN86" i="14" s="1"/>
  <c r="X86" i="14" s="1"/>
  <c r="C86" i="14"/>
  <c r="F86" i="14"/>
  <c r="AJ86" i="14" s="1"/>
  <c r="M86" i="14" s="1"/>
  <c r="S86" i="14"/>
  <c r="AO86" i="14" s="1"/>
  <c r="Y86" i="14" s="1"/>
  <c r="P86" i="14"/>
  <c r="E86" i="14"/>
  <c r="AI86" i="14" s="1"/>
  <c r="L86" i="14" s="1"/>
  <c r="Z84" i="14"/>
  <c r="AC64" i="14"/>
  <c r="AF63" i="14"/>
  <c r="AG85" i="14"/>
  <c r="G85" i="14"/>
  <c r="AB85" i="14" s="1"/>
  <c r="I85" i="14" s="1"/>
  <c r="J84" i="14"/>
  <c r="AK84" i="14"/>
  <c r="N84" i="14" s="1"/>
  <c r="V83" i="14"/>
  <c r="AE84" i="14"/>
  <c r="AE85" i="14" s="1"/>
  <c r="J83" i="14"/>
  <c r="AK83" i="14"/>
  <c r="N83" i="14" s="1"/>
  <c r="T85" i="14"/>
  <c r="AD85" i="14" s="1"/>
  <c r="U85" i="14" s="1"/>
  <c r="AL85" i="14"/>
  <c r="H67" i="14"/>
  <c r="H74" i="16"/>
  <c r="G74" i="16"/>
  <c r="B76" i="16" a="1"/>
  <c r="B76" i="16" s="1"/>
  <c r="E76" i="16" s="1"/>
  <c r="C75" i="16"/>
  <c r="E75" i="16"/>
  <c r="D75" i="16"/>
  <c r="F70" i="18" a="1"/>
  <c r="F70" i="18" s="1"/>
  <c r="D70" i="18" a="1"/>
  <c r="D70" i="18" s="1"/>
  <c r="E70" i="18" a="1"/>
  <c r="E70" i="18" s="1"/>
  <c r="C70" i="18" a="1"/>
  <c r="C70" i="18" s="1"/>
  <c r="B71" i="18" a="1"/>
  <c r="B71" i="18" s="1"/>
  <c r="G69" i="18"/>
  <c r="H69" i="18"/>
  <c r="B87" i="14"/>
  <c r="O68" i="14"/>
  <c r="AA68" i="14"/>
  <c r="E87" i="14" l="1"/>
  <c r="AI87" i="14" s="1"/>
  <c r="L87" i="14" s="1"/>
  <c r="P87" i="14"/>
  <c r="F87" i="14"/>
  <c r="AJ87" i="14" s="1"/>
  <c r="M87" i="14" s="1"/>
  <c r="Q87" i="14"/>
  <c r="AM87" i="14" s="1"/>
  <c r="W87" i="14" s="1"/>
  <c r="D87" i="14"/>
  <c r="AH87" i="14" s="1"/>
  <c r="K87" i="14" s="1"/>
  <c r="R87" i="14"/>
  <c r="AN87" i="14" s="1"/>
  <c r="X87" i="14" s="1"/>
  <c r="C87" i="14"/>
  <c r="S87" i="14"/>
  <c r="AO87" i="14" s="1"/>
  <c r="Y87" i="14" s="1"/>
  <c r="AT1" i="14"/>
  <c r="AF64" i="14"/>
  <c r="AC65" i="14"/>
  <c r="V85" i="14"/>
  <c r="AP85" i="14"/>
  <c r="Z85" i="14" s="1"/>
  <c r="J85" i="14"/>
  <c r="AK85" i="14"/>
  <c r="N85" i="14" s="1"/>
  <c r="T86" i="14"/>
  <c r="AD86" i="14" s="1"/>
  <c r="U86" i="14" s="1"/>
  <c r="AL86" i="14"/>
  <c r="AG86" i="14"/>
  <c r="G86" i="14"/>
  <c r="AB86" i="14" s="1"/>
  <c r="I86" i="14" s="1"/>
  <c r="H68" i="14"/>
  <c r="H75" i="16"/>
  <c r="G75" i="16"/>
  <c r="D76" i="16"/>
  <c r="F76" i="16"/>
  <c r="B77" i="16" a="1"/>
  <c r="B77" i="16" s="1"/>
  <c r="E77" i="16" s="1"/>
  <c r="C76" i="16"/>
  <c r="G70" i="18"/>
  <c r="H70" i="18"/>
  <c r="C71" i="18" a="1"/>
  <c r="C71" i="18" s="1"/>
  <c r="F71" i="18" a="1"/>
  <c r="F71" i="18" s="1"/>
  <c r="D71" i="18" a="1"/>
  <c r="D71" i="18" s="1"/>
  <c r="E71" i="18" a="1"/>
  <c r="E71" i="18" s="1"/>
  <c r="B72" i="18" a="1"/>
  <c r="B72" i="18" s="1"/>
  <c r="AA69" i="14"/>
  <c r="O69" i="14"/>
  <c r="J86" i="14" l="1"/>
  <c r="AK86" i="14"/>
  <c r="N86" i="14" s="1"/>
  <c r="AF65" i="14"/>
  <c r="AC66" i="14"/>
  <c r="G87" i="14"/>
  <c r="AB87" i="14" s="1"/>
  <c r="I87" i="14" s="1"/>
  <c r="AG87" i="14"/>
  <c r="V86" i="14"/>
  <c r="AP86" i="14"/>
  <c r="Z86" i="14" s="1"/>
  <c r="AE86" i="14"/>
  <c r="T87" i="14"/>
  <c r="AD87" i="14" s="1"/>
  <c r="U87" i="14" s="1"/>
  <c r="AL87" i="14"/>
  <c r="AP87" i="14" s="1"/>
  <c r="H69" i="14"/>
  <c r="H76" i="16"/>
  <c r="G76" i="16"/>
  <c r="B78" i="16" a="1"/>
  <c r="B78" i="16" s="1"/>
  <c r="D78" i="16" s="1"/>
  <c r="D77" i="16"/>
  <c r="F77" i="16"/>
  <c r="C77" i="16"/>
  <c r="C72" i="18" a="1"/>
  <c r="C72" i="18" s="1"/>
  <c r="D72" i="18" a="1"/>
  <c r="D72" i="18" s="1"/>
  <c r="E72" i="18" a="1"/>
  <c r="E72" i="18" s="1"/>
  <c r="F72" i="18" a="1"/>
  <c r="F72" i="18" s="1"/>
  <c r="B73" i="18" a="1"/>
  <c r="B73" i="18" s="1"/>
  <c r="H71" i="18"/>
  <c r="G71" i="18"/>
  <c r="AA70" i="14"/>
  <c r="O70" i="14"/>
  <c r="V87" i="14" l="1"/>
  <c r="AF66" i="14"/>
  <c r="AC67" i="14"/>
  <c r="Z87" i="14"/>
  <c r="J87" i="14"/>
  <c r="AK87" i="14"/>
  <c r="N87" i="14" s="1"/>
  <c r="AE87" i="14"/>
  <c r="H70" i="14"/>
  <c r="H77" i="16"/>
  <c r="G77" i="16"/>
  <c r="B79" i="16" a="1"/>
  <c r="B79" i="16" s="1"/>
  <c r="F79" i="16" s="1"/>
  <c r="C78" i="16"/>
  <c r="E78" i="16"/>
  <c r="F78" i="16"/>
  <c r="D73" i="18" a="1"/>
  <c r="D73" i="18" s="1"/>
  <c r="F73" i="18" a="1"/>
  <c r="F73" i="18" s="1"/>
  <c r="C73" i="18" a="1"/>
  <c r="C73" i="18" s="1"/>
  <c r="E73" i="18" a="1"/>
  <c r="E73" i="18" s="1"/>
  <c r="B74" i="18" a="1"/>
  <c r="B74" i="18" s="1"/>
  <c r="H72" i="18"/>
  <c r="G72" i="18"/>
  <c r="O71" i="14"/>
  <c r="AA71" i="14"/>
  <c r="AC68" i="14" l="1"/>
  <c r="AF67" i="14"/>
  <c r="H71" i="14"/>
  <c r="H78" i="16"/>
  <c r="G78" i="16"/>
  <c r="B80" i="16" a="1"/>
  <c r="B80" i="16" s="1"/>
  <c r="D80" i="16" s="1"/>
  <c r="C79" i="16"/>
  <c r="E79" i="16"/>
  <c r="D79" i="16"/>
  <c r="F74" i="18" a="1"/>
  <c r="F74" i="18" s="1"/>
  <c r="C74" i="18" a="1"/>
  <c r="C74" i="18" s="1"/>
  <c r="E74" i="18" a="1"/>
  <c r="E74" i="18" s="1"/>
  <c r="D74" i="18" a="1"/>
  <c r="D74" i="18" s="1"/>
  <c r="B75" i="18" a="1"/>
  <c r="B75" i="18" s="1"/>
  <c r="H73" i="18"/>
  <c r="G73" i="18"/>
  <c r="AA72" i="14"/>
  <c r="O72" i="14"/>
  <c r="AC69" i="14" l="1"/>
  <c r="AF68" i="14"/>
  <c r="H72" i="14"/>
  <c r="H79" i="16"/>
  <c r="B81" i="16" a="1"/>
  <c r="B81" i="16" s="1"/>
  <c r="E81" i="16" s="1"/>
  <c r="C80" i="16"/>
  <c r="G79" i="16"/>
  <c r="E80" i="16"/>
  <c r="F80" i="16"/>
  <c r="H74" i="18"/>
  <c r="G74" i="18"/>
  <c r="F75" i="18" a="1"/>
  <c r="F75" i="18" s="1"/>
  <c r="D75" i="18" a="1"/>
  <c r="D75" i="18" s="1"/>
  <c r="C75" i="18" a="1"/>
  <c r="C75" i="18" s="1"/>
  <c r="E75" i="18" a="1"/>
  <c r="E75" i="18" s="1"/>
  <c r="B76" i="18" a="1"/>
  <c r="B76" i="18" s="1"/>
  <c r="O73" i="14"/>
  <c r="AA73" i="14"/>
  <c r="AF69" i="14" l="1"/>
  <c r="AC70" i="14"/>
  <c r="H73" i="14"/>
  <c r="H80" i="16"/>
  <c r="G80" i="16"/>
  <c r="D81" i="16"/>
  <c r="B82" i="16" a="1"/>
  <c r="B82" i="16" s="1"/>
  <c r="C82" i="16" s="1"/>
  <c r="C81" i="16"/>
  <c r="F81" i="16"/>
  <c r="D76" i="18" a="1"/>
  <c r="D76" i="18" s="1"/>
  <c r="E76" i="18" a="1"/>
  <c r="E76" i="18" s="1"/>
  <c r="C76" i="18" a="1"/>
  <c r="C76" i="18" s="1"/>
  <c r="F76" i="18" a="1"/>
  <c r="F76" i="18" s="1"/>
  <c r="B77" i="18" a="1"/>
  <c r="B77" i="18" s="1"/>
  <c r="G75" i="18"/>
  <c r="H75" i="18"/>
  <c r="AA74" i="14"/>
  <c r="O74" i="14"/>
  <c r="AF70" i="14" l="1"/>
  <c r="AC71" i="14"/>
  <c r="H74" i="14"/>
  <c r="H81" i="16"/>
  <c r="G81" i="16"/>
  <c r="F82" i="16"/>
  <c r="D82" i="16"/>
  <c r="E82" i="16"/>
  <c r="B83" i="16" a="1"/>
  <c r="B83" i="16" s="1"/>
  <c r="F83" i="16" s="1"/>
  <c r="H76" i="18"/>
  <c r="G76" i="18"/>
  <c r="D77" i="18" a="1"/>
  <c r="D77" i="18" s="1"/>
  <c r="F77" i="18" a="1"/>
  <c r="F77" i="18" s="1"/>
  <c r="E77" i="18" a="1"/>
  <c r="E77" i="18" s="1"/>
  <c r="C77" i="18" a="1"/>
  <c r="C77" i="18" s="1"/>
  <c r="B78" i="18" a="1"/>
  <c r="B78" i="18" s="1"/>
  <c r="AA75" i="14"/>
  <c r="O75" i="14"/>
  <c r="H82" i="16" l="1"/>
  <c r="AC72" i="14"/>
  <c r="AF71" i="14"/>
  <c r="H75" i="14"/>
  <c r="G82" i="16"/>
  <c r="B84" i="16" a="1"/>
  <c r="B84" i="16" s="1"/>
  <c r="E84" i="16" s="1"/>
  <c r="C83" i="16"/>
  <c r="E83" i="16"/>
  <c r="D83" i="16"/>
  <c r="G77" i="18"/>
  <c r="H77" i="18"/>
  <c r="C78" i="18" a="1"/>
  <c r="C78" i="18" s="1"/>
  <c r="F78" i="18" a="1"/>
  <c r="F78" i="18" s="1"/>
  <c r="D78" i="18" a="1"/>
  <c r="D78" i="18" s="1"/>
  <c r="E78" i="18" a="1"/>
  <c r="E78" i="18" s="1"/>
  <c r="B79" i="18" a="1"/>
  <c r="B79" i="18" s="1"/>
  <c r="AA76" i="14"/>
  <c r="O76" i="14"/>
  <c r="H83" i="16" l="1"/>
  <c r="AF72" i="14"/>
  <c r="AC73" i="14"/>
  <c r="H76" i="14"/>
  <c r="G83" i="16"/>
  <c r="D84" i="16"/>
  <c r="F84" i="16"/>
  <c r="B85" i="16" a="1"/>
  <c r="B85" i="16" s="1"/>
  <c r="E85" i="16" s="1"/>
  <c r="C84" i="16"/>
  <c r="D79" i="18" a="1"/>
  <c r="D79" i="18" s="1"/>
  <c r="E79" i="18" a="1"/>
  <c r="E79" i="18" s="1"/>
  <c r="F79" i="18" a="1"/>
  <c r="F79" i="18" s="1"/>
  <c r="C79" i="18" a="1"/>
  <c r="C79" i="18" s="1"/>
  <c r="B80" i="18" a="1"/>
  <c r="B80" i="18" s="1"/>
  <c r="G78" i="18"/>
  <c r="H78" i="18"/>
  <c r="O77" i="14"/>
  <c r="AA77" i="14"/>
  <c r="H84" i="16" l="1"/>
  <c r="AC74" i="14"/>
  <c r="AF73" i="14"/>
  <c r="H77" i="14"/>
  <c r="G84" i="16"/>
  <c r="B86" i="16" a="1"/>
  <c r="B86" i="16" s="1"/>
  <c r="E86" i="16" s="1"/>
  <c r="C85" i="16"/>
  <c r="D85" i="16"/>
  <c r="F85" i="16"/>
  <c r="H79" i="18"/>
  <c r="G79" i="18"/>
  <c r="F80" i="18" a="1"/>
  <c r="F80" i="18" s="1"/>
  <c r="C80" i="18" a="1"/>
  <c r="C80" i="18" s="1"/>
  <c r="D80" i="18" a="1"/>
  <c r="D80" i="18" s="1"/>
  <c r="E80" i="18" a="1"/>
  <c r="E80" i="18" s="1"/>
  <c r="B81" i="18" a="1"/>
  <c r="B81" i="18" s="1"/>
  <c r="O78" i="14"/>
  <c r="AA78" i="14"/>
  <c r="H85" i="16" l="1"/>
  <c r="AF74" i="14"/>
  <c r="AC75" i="14"/>
  <c r="H78" i="14"/>
  <c r="G85" i="16"/>
  <c r="F86" i="16"/>
  <c r="D86" i="16"/>
  <c r="B87" i="16" a="1"/>
  <c r="B87" i="16" s="1"/>
  <c r="D87" i="16" s="1"/>
  <c r="C86" i="16"/>
  <c r="H80" i="18"/>
  <c r="G80" i="18"/>
  <c r="C81" i="18" a="1"/>
  <c r="C81" i="18" s="1"/>
  <c r="F81" i="18" a="1"/>
  <c r="F81" i="18" s="1"/>
  <c r="E81" i="18" a="1"/>
  <c r="E81" i="18" s="1"/>
  <c r="D81" i="18" a="1"/>
  <c r="D81" i="18" s="1"/>
  <c r="B82" i="18" a="1"/>
  <c r="B82" i="18" s="1"/>
  <c r="AA79" i="14"/>
  <c r="O79" i="14"/>
  <c r="AF75" i="14" l="1"/>
  <c r="AC76" i="14"/>
  <c r="H79" i="14"/>
  <c r="H86" i="16"/>
  <c r="G86" i="16"/>
  <c r="B88" i="16" a="1"/>
  <c r="B88" i="16" s="1"/>
  <c r="E88" i="16" s="1"/>
  <c r="C87" i="16"/>
  <c r="F87" i="16"/>
  <c r="E87" i="16"/>
  <c r="D82" i="18" a="1"/>
  <c r="D82" i="18" s="1"/>
  <c r="E82" i="18" a="1"/>
  <c r="E82" i="18" s="1"/>
  <c r="C82" i="18" a="1"/>
  <c r="C82" i="18" s="1"/>
  <c r="F82" i="18" a="1"/>
  <c r="F82" i="18" s="1"/>
  <c r="B83" i="18" a="1"/>
  <c r="B83" i="18" s="1"/>
  <c r="H81" i="18"/>
  <c r="G81" i="18"/>
  <c r="AA80" i="14"/>
  <c r="O80" i="14"/>
  <c r="AC77" i="14" l="1"/>
  <c r="AF76" i="14"/>
  <c r="H80" i="14"/>
  <c r="H87" i="16"/>
  <c r="B89" i="16" a="1"/>
  <c r="B89" i="16" s="1"/>
  <c r="E89" i="16" s="1"/>
  <c r="C88" i="16"/>
  <c r="F88" i="16"/>
  <c r="G87" i="16"/>
  <c r="D88" i="16"/>
  <c r="H82" i="18"/>
  <c r="G82" i="18"/>
  <c r="C83" i="18" a="1"/>
  <c r="C83" i="18" s="1"/>
  <c r="E83" i="18" a="1"/>
  <c r="E83" i="18" s="1"/>
  <c r="F83" i="18" a="1"/>
  <c r="F83" i="18" s="1"/>
  <c r="D83" i="18" a="1"/>
  <c r="D83" i="18" s="1"/>
  <c r="B84" i="18" a="1"/>
  <c r="B84" i="18" s="1"/>
  <c r="AA81" i="14"/>
  <c r="O81" i="14"/>
  <c r="AF77" i="14" l="1"/>
  <c r="AC78" i="14"/>
  <c r="H81" i="14"/>
  <c r="H88" i="16"/>
  <c r="G88" i="16"/>
  <c r="B90" i="16" a="1"/>
  <c r="B90" i="16" s="1"/>
  <c r="D90" i="16" s="1"/>
  <c r="C89" i="16"/>
  <c r="D89" i="16"/>
  <c r="F89" i="16"/>
  <c r="E84" i="18" a="1"/>
  <c r="E84" i="18" s="1"/>
  <c r="D84" i="18" a="1"/>
  <c r="D84" i="18" s="1"/>
  <c r="F84" i="18" a="1"/>
  <c r="F84" i="18" s="1"/>
  <c r="C84" i="18" a="1"/>
  <c r="C84" i="18" s="1"/>
  <c r="B85" i="18" a="1"/>
  <c r="B85" i="18" s="1"/>
  <c r="H83" i="18"/>
  <c r="G83" i="18"/>
  <c r="AA82" i="14"/>
  <c r="O82" i="14"/>
  <c r="AC79" i="14" l="1"/>
  <c r="AF78" i="14"/>
  <c r="H82" i="14"/>
  <c r="H89" i="16"/>
  <c r="G89" i="16"/>
  <c r="F90" i="16"/>
  <c r="B91" i="16" a="1"/>
  <c r="B91" i="16" s="1"/>
  <c r="E91" i="16" s="1"/>
  <c r="C90" i="16"/>
  <c r="E90" i="16"/>
  <c r="G84" i="18"/>
  <c r="H84" i="18"/>
  <c r="C85" i="18" a="1"/>
  <c r="C85" i="18" s="1"/>
  <c r="E85" i="18" a="1"/>
  <c r="E85" i="18" s="1"/>
  <c r="F85" i="18" a="1"/>
  <c r="F85" i="18" s="1"/>
  <c r="D85" i="18" a="1"/>
  <c r="D85" i="18" s="1"/>
  <c r="B86" i="18" a="1"/>
  <c r="B86" i="18" s="1"/>
  <c r="O83" i="14"/>
  <c r="AA83" i="14"/>
  <c r="AC80" i="14" l="1"/>
  <c r="AF79" i="14"/>
  <c r="H83" i="14"/>
  <c r="H90" i="16"/>
  <c r="G90" i="16"/>
  <c r="B92" i="16" a="1"/>
  <c r="B92" i="16" s="1"/>
  <c r="E92" i="16" s="1"/>
  <c r="C91" i="16"/>
  <c r="H91" i="16" s="1"/>
  <c r="D91" i="16"/>
  <c r="F91" i="16"/>
  <c r="C86" i="18" a="1"/>
  <c r="C86" i="18" s="1"/>
  <c r="E86" i="18" a="1"/>
  <c r="E86" i="18" s="1"/>
  <c r="D86" i="18" a="1"/>
  <c r="D86" i="18" s="1"/>
  <c r="F86" i="18" a="1"/>
  <c r="F86" i="18" s="1"/>
  <c r="B87" i="18" a="1"/>
  <c r="B87" i="18" s="1"/>
  <c r="H85" i="18"/>
  <c r="G85" i="18"/>
  <c r="AA84" i="14"/>
  <c r="O84" i="14"/>
  <c r="AF80" i="14" l="1"/>
  <c r="AC81" i="14"/>
  <c r="H84" i="14"/>
  <c r="G91" i="16"/>
  <c r="D92" i="16"/>
  <c r="F92" i="16"/>
  <c r="B93" i="16" a="1"/>
  <c r="B93" i="16" s="1"/>
  <c r="E93" i="16" s="1"/>
  <c r="C92" i="16"/>
  <c r="F87" i="18" a="1"/>
  <c r="F87" i="18" s="1"/>
  <c r="C87" i="18" a="1"/>
  <c r="C87" i="18" s="1"/>
  <c r="D87" i="18" a="1"/>
  <c r="D87" i="18" s="1"/>
  <c r="E87" i="18" a="1"/>
  <c r="E87" i="18" s="1"/>
  <c r="B88" i="18" a="1"/>
  <c r="B88" i="18" s="1"/>
  <c r="H86" i="18"/>
  <c r="G86" i="18"/>
  <c r="AA85" i="14"/>
  <c r="O85" i="14"/>
  <c r="AC82" i="14" l="1"/>
  <c r="AF81" i="14"/>
  <c r="H85" i="14"/>
  <c r="H92" i="16"/>
  <c r="G92" i="16"/>
  <c r="B94" i="16" a="1"/>
  <c r="B94" i="16" s="1"/>
  <c r="E94" i="16" s="1"/>
  <c r="C93" i="16"/>
  <c r="D93" i="16"/>
  <c r="F93" i="16"/>
  <c r="H87" i="18"/>
  <c r="G87" i="18"/>
  <c r="F88" i="18" a="1"/>
  <c r="F88" i="18" s="1"/>
  <c r="C88" i="18" a="1"/>
  <c r="C88" i="18" s="1"/>
  <c r="E88" i="18" a="1"/>
  <c r="E88" i="18" s="1"/>
  <c r="D88" i="18" a="1"/>
  <c r="D88" i="18" s="1"/>
  <c r="B89" i="18" a="1"/>
  <c r="B89" i="18" s="1"/>
  <c r="AA86" i="14"/>
  <c r="O86" i="14"/>
  <c r="AF82" i="14" l="1"/>
  <c r="AC83" i="14"/>
  <c r="H86" i="14"/>
  <c r="H93" i="16"/>
  <c r="G93" i="16"/>
  <c r="B95" i="16" a="1"/>
  <c r="B95" i="16" s="1"/>
  <c r="C95" i="16" s="1"/>
  <c r="C94" i="16"/>
  <c r="F94" i="16"/>
  <c r="D94" i="16"/>
  <c r="H88" i="18"/>
  <c r="G88" i="18"/>
  <c r="E89" i="18" a="1"/>
  <c r="E89" i="18" s="1"/>
  <c r="D89" i="18" a="1"/>
  <c r="D89" i="18" s="1"/>
  <c r="C89" i="18" a="1"/>
  <c r="C89" i="18" s="1"/>
  <c r="F89" i="18" a="1"/>
  <c r="F89" i="18" s="1"/>
  <c r="B90" i="18" a="1"/>
  <c r="B90" i="18" s="1"/>
  <c r="O87" i="14"/>
  <c r="AA87" i="14"/>
  <c r="AC84" i="14" l="1"/>
  <c r="AF83" i="14"/>
  <c r="H87" i="14"/>
  <c r="H94" i="16"/>
  <c r="G94" i="16"/>
  <c r="D95" i="16"/>
  <c r="F95" i="16"/>
  <c r="E95" i="16"/>
  <c r="B96" i="16" a="1"/>
  <c r="B96" i="16" s="1"/>
  <c r="F96" i="16" s="1"/>
  <c r="C90" i="18" a="1"/>
  <c r="C90" i="18" s="1"/>
  <c r="F90" i="18" a="1"/>
  <c r="F90" i="18" s="1"/>
  <c r="E90" i="18" a="1"/>
  <c r="E90" i="18" s="1"/>
  <c r="D90" i="18" a="1"/>
  <c r="D90" i="18" s="1"/>
  <c r="B91" i="18" a="1"/>
  <c r="B91" i="18" s="1"/>
  <c r="G89" i="18"/>
  <c r="H89" i="18"/>
  <c r="H95" i="16" l="1"/>
  <c r="AF84" i="14"/>
  <c r="AC85" i="14"/>
  <c r="G95" i="16"/>
  <c r="B97" i="16" a="1"/>
  <c r="B97" i="16" s="1"/>
  <c r="E97" i="16" s="1"/>
  <c r="C96" i="16"/>
  <c r="E96" i="16"/>
  <c r="D96" i="16"/>
  <c r="D91" i="18" a="1"/>
  <c r="D91" i="18" s="1"/>
  <c r="C91" i="18" a="1"/>
  <c r="C91" i="18" s="1"/>
  <c r="F91" i="18" a="1"/>
  <c r="F91" i="18" s="1"/>
  <c r="E91" i="18" a="1"/>
  <c r="E91" i="18" s="1"/>
  <c r="B92" i="18" a="1"/>
  <c r="B92" i="18" s="1"/>
  <c r="H90" i="18"/>
  <c r="G90" i="18"/>
  <c r="AF85" i="14" l="1"/>
  <c r="AC86" i="14"/>
  <c r="H96" i="16"/>
  <c r="G96" i="16"/>
  <c r="D97" i="16"/>
  <c r="B98" i="16" a="1"/>
  <c r="B98" i="16" s="1"/>
  <c r="C98" i="16" s="1"/>
  <c r="C97" i="16"/>
  <c r="F97" i="16"/>
  <c r="H91" i="18"/>
  <c r="G91" i="18"/>
  <c r="E92" i="18" a="1"/>
  <c r="E92" i="18" s="1"/>
  <c r="F92" i="18" a="1"/>
  <c r="F92" i="18" s="1"/>
  <c r="D92" i="18" a="1"/>
  <c r="D92" i="18" s="1"/>
  <c r="C92" i="18" a="1"/>
  <c r="C92" i="18" s="1"/>
  <c r="B93" i="18" a="1"/>
  <c r="B93" i="18" s="1"/>
  <c r="AF86" i="14" l="1"/>
  <c r="AC87" i="14"/>
  <c r="AF87" i="14" s="1"/>
  <c r="H97" i="16"/>
  <c r="G97" i="16"/>
  <c r="E98" i="16"/>
  <c r="D98" i="16"/>
  <c r="F98" i="16"/>
  <c r="B99" i="16" a="1"/>
  <c r="B99" i="16" s="1"/>
  <c r="E99" i="16" s="1"/>
  <c r="F93" i="18" a="1"/>
  <c r="F93" i="18" s="1"/>
  <c r="E93" i="18" a="1"/>
  <c r="E93" i="18" s="1"/>
  <c r="C93" i="18" a="1"/>
  <c r="C93" i="18" s="1"/>
  <c r="D93" i="18" a="1"/>
  <c r="D93" i="18" s="1"/>
  <c r="B94" i="18" a="1"/>
  <c r="B94" i="18" s="1"/>
  <c r="H92" i="18"/>
  <c r="G92" i="18"/>
  <c r="H98" i="16" l="1"/>
  <c r="G98" i="16"/>
  <c r="B100" i="16" a="1"/>
  <c r="B100" i="16" s="1"/>
  <c r="C100" i="16" s="1"/>
  <c r="C99" i="16"/>
  <c r="D99" i="16"/>
  <c r="F99" i="16"/>
  <c r="G93" i="18"/>
  <c r="H93" i="18"/>
  <c r="F94" i="18" a="1"/>
  <c r="F94" i="18" s="1"/>
  <c r="C94" i="18" a="1"/>
  <c r="C94" i="18" s="1"/>
  <c r="D94" i="18" a="1"/>
  <c r="D94" i="18" s="1"/>
  <c r="E94" i="18" a="1"/>
  <c r="E94" i="18" s="1"/>
  <c r="B95" i="18" a="1"/>
  <c r="B95" i="18" s="1"/>
  <c r="H99" i="16" l="1"/>
  <c r="G99" i="16"/>
  <c r="F100" i="16"/>
  <c r="E100" i="16"/>
  <c r="D100" i="16"/>
  <c r="D95" i="18" a="1"/>
  <c r="D95" i="18" s="1"/>
  <c r="E95" i="18" a="1"/>
  <c r="E95" i="18" s="1"/>
  <c r="F95" i="18" a="1"/>
  <c r="F95" i="18" s="1"/>
  <c r="C95" i="18" a="1"/>
  <c r="C95" i="18" s="1"/>
  <c r="B96" i="18" a="1"/>
  <c r="B96" i="18" s="1"/>
  <c r="H94" i="18"/>
  <c r="G94" i="18"/>
  <c r="H100" i="16" l="1"/>
  <c r="G100" i="16"/>
  <c r="G95" i="18"/>
  <c r="H95" i="18"/>
  <c r="F96" i="18" a="1"/>
  <c r="F96" i="18" s="1"/>
  <c r="E96" i="18" a="1"/>
  <c r="E96" i="18" s="1"/>
  <c r="C96" i="18" a="1"/>
  <c r="C96" i="18" s="1"/>
  <c r="D96" i="18" a="1"/>
  <c r="D96" i="18" s="1"/>
  <c r="B97" i="18" a="1"/>
  <c r="B97" i="18" s="1"/>
  <c r="C97" i="18" l="1" a="1"/>
  <c r="C97" i="18" s="1"/>
  <c r="E97" i="18" a="1"/>
  <c r="E97" i="18" s="1"/>
  <c r="D97" i="18" a="1"/>
  <c r="D97" i="18" s="1"/>
  <c r="F97" i="18" a="1"/>
  <c r="F97" i="18" s="1"/>
  <c r="B98" i="18" a="1"/>
  <c r="B98" i="18" s="1"/>
  <c r="G96" i="18"/>
  <c r="H96" i="18"/>
  <c r="E98" i="18" l="1" a="1"/>
  <c r="E98" i="18" s="1"/>
  <c r="F98" i="18" a="1"/>
  <c r="F98" i="18" s="1"/>
  <c r="C98" i="18" a="1"/>
  <c r="C98" i="18" s="1"/>
  <c r="D98" i="18" a="1"/>
  <c r="D98" i="18" s="1"/>
  <c r="B99" i="18" a="1"/>
  <c r="B99" i="18" s="1"/>
  <c r="H97" i="18"/>
  <c r="G97" i="18"/>
  <c r="D99" i="18" l="1" a="1"/>
  <c r="D99" i="18" s="1"/>
  <c r="F99" i="18" a="1"/>
  <c r="F99" i="18" s="1"/>
  <c r="E99" i="18" a="1"/>
  <c r="E99" i="18" s="1"/>
  <c r="C99" i="18" a="1"/>
  <c r="C99" i="18" s="1"/>
  <c r="B100" i="18" a="1"/>
  <c r="B100" i="18" s="1"/>
  <c r="G98" i="18"/>
  <c r="H98" i="18"/>
  <c r="H99" i="18" l="1"/>
  <c r="G99" i="18"/>
  <c r="F100" i="18" a="1"/>
  <c r="F100" i="18" s="1"/>
  <c r="E100" i="18" a="1"/>
  <c r="E100" i="18" s="1"/>
  <c r="C100" i="18" a="1"/>
  <c r="C100" i="18" s="1"/>
  <c r="D100" i="18" a="1"/>
  <c r="D100" i="18" s="1"/>
  <c r="G100" i="18" l="1"/>
  <c r="H100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Fryxell Carl-Johan (SEIT)</author>
  </authors>
  <commentList>
    <comment ref="W2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1st day of the test period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3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Last day of the test period</t>
        </r>
      </text>
    </comment>
    <comment ref="W4" authorId="0" shapeId="0" xr:uid="{00000000-0006-0000-0100-000003000000}">
      <text>
        <r>
          <rPr>
            <b/>
            <sz val="8"/>
            <color indexed="81"/>
            <rFont val="Tahoma"/>
            <family val="2"/>
          </rPr>
          <t>Today's date
(do not fill in)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Fryxell Carl-Johan (SEIT)</author>
  </authors>
  <commentList>
    <comment ref="A1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ID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Name of the Test Specification</t>
        </r>
      </text>
    </comment>
    <comment ref="D1" authorId="0" shapeId="0" xr:uid="{00000000-0006-0000-0700-000003000000}">
      <text>
        <r>
          <rPr>
            <sz val="8"/>
            <color indexed="81"/>
            <rFont val="Tahoma"/>
            <family val="2"/>
          </rPr>
          <t>Brief description</t>
        </r>
      </text>
    </comment>
    <comment ref="E1" authorId="0" shapeId="0" xr:uid="{00000000-0006-0000-0700-000004000000}">
      <text>
        <r>
          <rPr>
            <sz val="8"/>
            <color indexed="81"/>
            <rFont val="Tahoma"/>
            <family val="2"/>
          </rPr>
          <t xml:space="preserve">Test executor 
</t>
        </r>
        <r>
          <rPr>
            <i/>
            <sz val="8"/>
            <color indexed="81"/>
            <rFont val="Tahoma"/>
            <family val="2"/>
          </rPr>
          <t>(* mandatory field)</t>
        </r>
      </text>
    </comment>
    <comment ref="F1" authorId="0" shapeId="0" xr:uid="{00000000-0006-0000-0700-000005000000}">
      <text>
        <r>
          <rPr>
            <sz val="8"/>
            <color indexed="81"/>
            <rFont val="Tahoma"/>
            <family val="2"/>
          </rPr>
          <t xml:space="preserve">Priority of execution
</t>
        </r>
        <r>
          <rPr>
            <i/>
            <sz val="8"/>
            <color indexed="81"/>
            <rFont val="Tahoma"/>
            <family val="2"/>
          </rPr>
          <t>(* mandatory field)</t>
        </r>
      </text>
    </comment>
    <comment ref="G1" authorId="0" shapeId="0" xr:uid="{00000000-0006-0000-0700-000006000000}">
      <text>
        <r>
          <rPr>
            <b/>
            <sz val="8"/>
            <color indexed="81"/>
            <rFont val="Tahoma"/>
            <family val="2"/>
          </rPr>
          <t xml:space="preserve">The planned </t>
        </r>
        <r>
          <rPr>
            <b/>
            <u/>
            <sz val="8"/>
            <color indexed="81"/>
            <rFont val="Tahoma"/>
            <family val="2"/>
          </rPr>
          <t>completion</t>
        </r>
        <r>
          <rPr>
            <b/>
            <sz val="8"/>
            <color indexed="81"/>
            <rFont val="Tahoma"/>
            <family val="2"/>
          </rPr>
          <t xml:space="preserve"> date (YYYY-MM-DD)
</t>
        </r>
        <r>
          <rPr>
            <i/>
            <sz val="8"/>
            <color indexed="81"/>
            <rFont val="Tahoma"/>
            <family val="2"/>
          </rPr>
          <t xml:space="preserve">The date you </t>
        </r>
        <r>
          <rPr>
            <b/>
            <i/>
            <sz val="8"/>
            <color indexed="81"/>
            <rFont val="Tahoma"/>
            <family val="2"/>
          </rPr>
          <t>plan</t>
        </r>
        <r>
          <rPr>
            <i/>
            <sz val="8"/>
            <color indexed="81"/>
            <rFont val="Tahoma"/>
            <family val="2"/>
          </rPr>
          <t xml:space="preserve"> to have completed the test case
(* mandatory field)</t>
        </r>
      </text>
    </comment>
    <comment ref="H1" authorId="0" shapeId="0" xr:uid="{00000000-0006-0000-0700-000007000000}">
      <text>
        <r>
          <rPr>
            <b/>
            <sz val="8"/>
            <color indexed="81"/>
            <rFont val="Tahoma"/>
            <family val="2"/>
          </rPr>
          <t xml:space="preserve">The actual execution </t>
        </r>
        <r>
          <rPr>
            <b/>
            <u/>
            <sz val="8"/>
            <color indexed="81"/>
            <rFont val="Tahoma"/>
            <family val="2"/>
          </rPr>
          <t>start</t>
        </r>
        <r>
          <rPr>
            <b/>
            <sz val="8"/>
            <color indexed="81"/>
            <rFont val="Tahoma"/>
            <family val="2"/>
          </rPr>
          <t xml:space="preserve"> date (YYYY-MM-DD)
</t>
        </r>
        <r>
          <rPr>
            <i/>
            <sz val="8"/>
            <color indexed="81"/>
            <rFont val="Tahoma"/>
            <family val="2"/>
          </rPr>
          <t xml:space="preserve">The date you </t>
        </r>
        <r>
          <rPr>
            <b/>
            <i/>
            <sz val="8"/>
            <color indexed="81"/>
            <rFont val="Tahoma"/>
            <family val="2"/>
          </rPr>
          <t>start</t>
        </r>
        <r>
          <rPr>
            <i/>
            <sz val="8"/>
            <color indexed="81"/>
            <rFont val="Tahoma"/>
            <family val="2"/>
          </rPr>
          <t xml:space="preserve"> working on the test case
(* mandatory field)</t>
        </r>
      </text>
    </comment>
    <comment ref="I1" authorId="0" shapeId="0" xr:uid="{00000000-0006-0000-0700-000008000000}">
      <text>
        <r>
          <rPr>
            <b/>
            <sz val="8"/>
            <color indexed="81"/>
            <rFont val="Tahoma"/>
            <family val="2"/>
          </rPr>
          <t xml:space="preserve">The actual execution </t>
        </r>
        <r>
          <rPr>
            <b/>
            <u/>
            <sz val="8"/>
            <color indexed="81"/>
            <rFont val="Tahoma"/>
            <family val="2"/>
          </rPr>
          <t>completion</t>
        </r>
        <r>
          <rPr>
            <b/>
            <sz val="8"/>
            <color indexed="81"/>
            <rFont val="Tahoma"/>
            <family val="2"/>
          </rPr>
          <t xml:space="preserve"> date (YYYY-MM-DD)
</t>
        </r>
        <r>
          <rPr>
            <i/>
            <sz val="8"/>
            <color indexed="81"/>
            <rFont val="Tahoma"/>
            <family val="2"/>
          </rPr>
          <t xml:space="preserve">The date you </t>
        </r>
        <r>
          <rPr>
            <b/>
            <i/>
            <sz val="8"/>
            <color indexed="81"/>
            <rFont val="Tahoma"/>
            <family val="2"/>
          </rPr>
          <t>complete</t>
        </r>
        <r>
          <rPr>
            <i/>
            <sz val="8"/>
            <color indexed="81"/>
            <rFont val="Tahoma"/>
            <family val="2"/>
          </rPr>
          <t xml:space="preserve"> a test case
(* mandatory field)</t>
        </r>
      </text>
    </comment>
    <comment ref="J1" authorId="0" shapeId="0" xr:uid="{00000000-0006-0000-0700-000009000000}">
      <text>
        <r>
          <rPr>
            <b/>
            <sz val="8"/>
            <color indexed="81"/>
            <rFont val="Tahoma"/>
            <family val="2"/>
          </rPr>
          <t>- Not Executed:</t>
        </r>
        <r>
          <rPr>
            <sz val="8"/>
            <color indexed="81"/>
            <rFont val="Tahoma"/>
            <family val="2"/>
          </rPr>
          <t xml:space="preserve">  The test has not been executed</t>
        </r>
        <r>
          <rPr>
            <b/>
            <sz val="8"/>
            <color indexed="81"/>
            <rFont val="Tahoma"/>
            <family val="2"/>
          </rPr>
          <t xml:space="preserve">
- In Progress:</t>
        </r>
        <r>
          <rPr>
            <sz val="8"/>
            <color indexed="81"/>
            <rFont val="Tahoma"/>
            <family val="2"/>
          </rPr>
          <t xml:space="preserve">  Test test has been executed but not completed
- </t>
        </r>
        <r>
          <rPr>
            <b/>
            <sz val="8"/>
            <color indexed="81"/>
            <rFont val="Tahoma"/>
            <family val="2"/>
          </rPr>
          <t>Blocked:</t>
        </r>
        <r>
          <rPr>
            <sz val="8"/>
            <color indexed="81"/>
            <rFont val="Tahoma"/>
            <family val="2"/>
          </rPr>
          <t xml:space="preserve"> The test cannot be executed</t>
        </r>
        <r>
          <rPr>
            <b/>
            <sz val="8"/>
            <color indexed="81"/>
            <rFont val="Tahoma"/>
            <family val="2"/>
          </rPr>
          <t xml:space="preserve">
- Failed:</t>
        </r>
        <r>
          <rPr>
            <sz val="8"/>
            <color indexed="81"/>
            <rFont val="Tahoma"/>
            <family val="2"/>
          </rPr>
          <t xml:space="preserve">  The test cannot be completed due to a defect</t>
        </r>
        <r>
          <rPr>
            <b/>
            <sz val="8"/>
            <color indexed="81"/>
            <rFont val="Tahoma"/>
            <family val="2"/>
          </rPr>
          <t xml:space="preserve">
- Completed:  </t>
        </r>
        <r>
          <rPr>
            <sz val="8"/>
            <color indexed="81"/>
            <rFont val="Tahoma"/>
            <family val="2"/>
          </rPr>
          <t xml:space="preserve">The test has been completed
</t>
        </r>
        <r>
          <rPr>
            <i/>
            <sz val="8"/>
            <color indexed="81"/>
            <rFont val="Tahoma"/>
            <family val="2"/>
          </rPr>
          <t xml:space="preserve">
(* mandatory field)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Fryxell Carl-Johan (SEIT)</author>
  </authors>
  <commentList>
    <comment ref="L14" authorId="0" shapeId="0" xr:uid="{00000000-0006-0000-0800-00000B000000}">
      <text>
        <r>
          <rPr>
            <sz val="8"/>
            <color indexed="81"/>
            <rFont val="Tahoma"/>
            <family val="2"/>
          </rPr>
          <t>Compares a few cells that should have the same value.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Fryxell Carl-Johan (SEIT)</author>
  </authors>
  <commentList>
    <comment ref="C2" authorId="0" shapeId="0" xr:uid="{00000000-0006-0000-0900-000001000000}">
      <text>
        <r>
          <rPr>
            <b/>
            <sz val="8"/>
            <color indexed="81"/>
            <rFont val="Tahoma"/>
            <family val="2"/>
          </rPr>
          <t>1st day of the test period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" authorId="0" shapeId="0" xr:uid="{00000000-0006-0000-0900-000002000000}">
      <text>
        <r>
          <rPr>
            <b/>
            <sz val="8"/>
            <color indexed="81"/>
            <rFont val="Tahoma"/>
            <family val="2"/>
          </rPr>
          <t>Last day of the test period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<sst xmlns="http://schemas.openxmlformats.org/spreadsheetml/2006/main" count="13082" uniqueCount="409">
  <si>
    <t>Failed</t>
  </si>
  <si>
    <t>Status</t>
  </si>
  <si>
    <t>In Progress</t>
  </si>
  <si>
    <t>Tester</t>
  </si>
  <si>
    <t>Prio</t>
  </si>
  <si>
    <t>Closed</t>
  </si>
  <si>
    <t>Total</t>
  </si>
  <si>
    <t>Planned</t>
  </si>
  <si>
    <t>Diff</t>
  </si>
  <si>
    <t>Date</t>
  </si>
  <si>
    <t>Completed</t>
  </si>
  <si>
    <t>DAILY SUMMARY</t>
  </si>
  <si>
    <t>Planned Total</t>
  </si>
  <si>
    <t>Executed Total</t>
  </si>
  <si>
    <t>Open</t>
  </si>
  <si>
    <t>Description</t>
  </si>
  <si>
    <t>(tab: Execution)</t>
  </si>
  <si>
    <t>High</t>
  </si>
  <si>
    <t>Medium</t>
  </si>
  <si>
    <t>Low</t>
  </si>
  <si>
    <t>DROP-DOWN LISTS</t>
  </si>
  <si>
    <t>STATUS</t>
  </si>
  <si>
    <t>Not Executed</t>
  </si>
  <si>
    <t>Planned tot</t>
  </si>
  <si>
    <t>Status tot</t>
  </si>
  <si>
    <t>Tester tot</t>
  </si>
  <si>
    <t>Tester pl. tot</t>
  </si>
  <si>
    <t>Formula check</t>
  </si>
  <si>
    <t>CHECK</t>
  </si>
  <si>
    <t>Compl.</t>
  </si>
  <si>
    <t>InPr. &amp; Failed</t>
  </si>
  <si>
    <t>Start Date:</t>
  </si>
  <si>
    <t>End Date:</t>
  </si>
  <si>
    <t>Today's Date:</t>
  </si>
  <si>
    <t>Checks if all mandatory fields in Execution tab are filled in</t>
  </si>
  <si>
    <t>TOTAL NO. OF TESTS</t>
  </si>
  <si>
    <t>Test w. ACT. S. date</t>
  </si>
  <si>
    <t>Tests w. Status</t>
  </si>
  <si>
    <t>Test w. ACT. C. date</t>
  </si>
  <si>
    <t>Tests w. Priority</t>
  </si>
  <si>
    <t>Test w. Status</t>
  </si>
  <si>
    <t>Tests w. PLN date</t>
  </si>
  <si>
    <t>Tests w. Est Time</t>
  </si>
  <si>
    <t>Cum∑. Plan</t>
  </si>
  <si>
    <t>Cum∑. Diff</t>
  </si>
  <si>
    <t>Type of Test</t>
  </si>
  <si>
    <t>Start Date</t>
  </si>
  <si>
    <t>End Date</t>
  </si>
  <si>
    <t>Cum∑. Exe</t>
  </si>
  <si>
    <t>Executed Yesterday</t>
  </si>
  <si>
    <t>Planned Yesterday</t>
  </si>
  <si>
    <r>
      <rPr>
        <b/>
        <sz val="10"/>
        <rFont val="Calibri"/>
        <family val="2"/>
        <scheme val="minor"/>
      </rPr>
      <t>Tester</t>
    </r>
    <r>
      <rPr>
        <sz val="8"/>
        <rFont val="Calibri"/>
        <family val="2"/>
        <scheme val="minor"/>
      </rPr>
      <t xml:space="preserve">  1</t>
    </r>
  </si>
  <si>
    <t>Executed Today</t>
  </si>
  <si>
    <t>Planned Today</t>
  </si>
  <si>
    <t>Test Type</t>
  </si>
  <si>
    <t>Test type</t>
  </si>
  <si>
    <t>Exe Today</t>
  </si>
  <si>
    <t>Exe Yday</t>
  </si>
  <si>
    <t>Blocker</t>
  </si>
  <si>
    <t>Critical</t>
  </si>
  <si>
    <t>Major</t>
  </si>
  <si>
    <t>Minor</t>
  </si>
  <si>
    <t>Blocked</t>
  </si>
  <si>
    <t>Invalid</t>
  </si>
  <si>
    <t>Rejected</t>
  </si>
  <si>
    <t>Postponed</t>
  </si>
  <si>
    <t>Ready for Test</t>
  </si>
  <si>
    <t>Priority</t>
  </si>
  <si>
    <t>(tab: Execution &gt; Defects)</t>
  </si>
  <si>
    <t>Defects</t>
  </si>
  <si>
    <t>Accepted</t>
  </si>
  <si>
    <t>Closed Today</t>
  </si>
  <si>
    <t>Opened Today</t>
  </si>
  <si>
    <t>Opened Yesterday</t>
  </si>
  <si>
    <t>Closed Yesterday</t>
  </si>
  <si>
    <t>∑</t>
  </si>
  <si>
    <t>DEF. CLOSE TIME</t>
  </si>
  <si>
    <t>OPEN/CLOSE</t>
  </si>
  <si>
    <t>Diff / Plan</t>
  </si>
  <si>
    <t>J</t>
  </si>
  <si>
    <t>K</t>
  </si>
  <si>
    <t>L</t>
  </si>
  <si>
    <t>Today: Diff / Plan</t>
  </si>
  <si>
    <t>─</t>
  </si>
  <si>
    <t>Test Progress threshold ranges (low-high)</t>
  </si>
  <si>
    <t>Overall Status based 
on Test progress</t>
  </si>
  <si>
    <t>Dates</t>
  </si>
  <si>
    <t>&lt;=</t>
  </si>
  <si>
    <t>─&gt;</t>
  </si>
  <si>
    <t>&gt;=</t>
  </si>
  <si>
    <t>Issue Type</t>
  </si>
  <si>
    <t>Key</t>
  </si>
  <si>
    <t>Summary</t>
  </si>
  <si>
    <t>Assignee</t>
  </si>
  <si>
    <t>Reporter</t>
  </si>
  <si>
    <t>Created</t>
  </si>
  <si>
    <t>Labels</t>
  </si>
  <si>
    <t>Epic/Theme</t>
  </si>
  <si>
    <t>Defect</t>
  </si>
  <si>
    <t>Trivial</t>
  </si>
  <si>
    <t>OPEN DUMP COMPARISON</t>
  </si>
  <si>
    <t>CLOSE DUMP COMPARISON</t>
  </si>
  <si>
    <t>Defect Status</t>
  </si>
  <si>
    <t>Open Defects</t>
  </si>
  <si>
    <t>Closed Defects</t>
  </si>
  <si>
    <t>Gap</t>
  </si>
  <si>
    <t>Defect Created</t>
  </si>
  <si>
    <t>P1</t>
  </si>
  <si>
    <t>P2</t>
  </si>
  <si>
    <t>P3</t>
  </si>
  <si>
    <t>P4</t>
  </si>
  <si>
    <t>GT</t>
  </si>
  <si>
    <t>Date Check</t>
  </si>
  <si>
    <t>Opened Daily Check</t>
  </si>
  <si>
    <t>Open P1 Check</t>
  </si>
  <si>
    <t>Open P2 Check</t>
  </si>
  <si>
    <t>Open P3 Check</t>
  </si>
  <si>
    <t>Open P4 Check</t>
  </si>
  <si>
    <t>Daily Open Count Check</t>
  </si>
  <si>
    <t>Defect Closed</t>
  </si>
  <si>
    <t>Closed Daily Check</t>
  </si>
  <si>
    <t>Closed P1 Check</t>
  </si>
  <si>
    <t>Closed P2 Check</t>
  </si>
  <si>
    <t>Closed P3 Check</t>
  </si>
  <si>
    <t>Closed P4 Check</t>
  </si>
  <si>
    <t>Found
(Daily)</t>
  </si>
  <si>
    <t>Found
(Cumulative )</t>
  </si>
  <si>
    <t>Closed
(Daily)</t>
  </si>
  <si>
    <t>Closed
(Cumulative)</t>
  </si>
  <si>
    <t>Config</t>
  </si>
  <si>
    <t>UI</t>
  </si>
  <si>
    <t>CONTENT</t>
  </si>
  <si>
    <t>DATA</t>
  </si>
  <si>
    <t>DEFAULT</t>
  </si>
  <si>
    <t>FUNCTIONAL</t>
  </si>
  <si>
    <t>Last Close</t>
  </si>
  <si>
    <t>Functional</t>
  </si>
  <si>
    <t>Content</t>
  </si>
  <si>
    <t>Reopened</t>
  </si>
  <si>
    <t>Dropped</t>
  </si>
  <si>
    <t>Ready for Testing</t>
  </si>
  <si>
    <t>On Hold</t>
  </si>
  <si>
    <t>Story Name</t>
  </si>
  <si>
    <t>Functional Area</t>
  </si>
  <si>
    <r>
      <rPr>
        <b/>
        <sz val="10"/>
        <color rgb="FFFF0000"/>
        <rFont val="Calibri"/>
        <family val="2"/>
        <scheme val="minor"/>
      </rPr>
      <t xml:space="preserve">* </t>
    </r>
    <r>
      <rPr>
        <b/>
        <sz val="10"/>
        <rFont val="Calibri"/>
        <family val="2"/>
        <scheme val="minor"/>
      </rPr>
      <t>Type</t>
    </r>
  </si>
  <si>
    <r>
      <rPr>
        <b/>
        <sz val="10"/>
        <color rgb="FFFF0000"/>
        <rFont val="Calibri"/>
        <family val="2"/>
        <scheme val="minor"/>
      </rPr>
      <t xml:space="preserve">* </t>
    </r>
    <r>
      <rPr>
        <b/>
        <sz val="10"/>
        <rFont val="Calibri"/>
        <family val="2"/>
        <scheme val="minor"/>
      </rPr>
      <t>Tester</t>
    </r>
  </si>
  <si>
    <r>
      <rPr>
        <b/>
        <sz val="10"/>
        <color rgb="FFFF0000"/>
        <rFont val="Calibri"/>
        <family val="2"/>
        <scheme val="minor"/>
      </rPr>
      <t xml:space="preserve">* </t>
    </r>
    <r>
      <rPr>
        <b/>
        <sz val="10"/>
        <rFont val="Calibri"/>
        <family val="2"/>
        <scheme val="minor"/>
      </rPr>
      <t>Priority</t>
    </r>
  </si>
  <si>
    <r>
      <rPr>
        <b/>
        <sz val="10"/>
        <color rgb="FFFF0000"/>
        <rFont val="Calibri"/>
        <family val="2"/>
        <scheme val="minor"/>
      </rPr>
      <t xml:space="preserve">* </t>
    </r>
    <r>
      <rPr>
        <b/>
        <sz val="10"/>
        <rFont val="Calibri"/>
        <family val="2"/>
        <scheme val="minor"/>
      </rPr>
      <t>PLN. 
Comp Date</t>
    </r>
  </si>
  <si>
    <r>
      <rPr>
        <b/>
        <sz val="10"/>
        <color rgb="FFFF0000"/>
        <rFont val="Calibri"/>
        <family val="2"/>
        <scheme val="minor"/>
      </rPr>
      <t xml:space="preserve">* </t>
    </r>
    <r>
      <rPr>
        <b/>
        <sz val="10"/>
        <rFont val="Calibri"/>
        <family val="2"/>
        <scheme val="minor"/>
      </rPr>
      <t>ACT. 
Start Date</t>
    </r>
  </si>
  <si>
    <r>
      <rPr>
        <b/>
        <sz val="10"/>
        <color rgb="FFFF0000"/>
        <rFont val="Calibri"/>
        <family val="2"/>
        <scheme val="minor"/>
      </rPr>
      <t xml:space="preserve">* </t>
    </r>
    <r>
      <rPr>
        <b/>
        <sz val="10"/>
        <rFont val="Calibri"/>
        <family val="2"/>
        <scheme val="minor"/>
      </rPr>
      <t>ACT. 
Comp Date</t>
    </r>
  </si>
  <si>
    <r>
      <t xml:space="preserve">* </t>
    </r>
    <r>
      <rPr>
        <b/>
        <sz val="10"/>
        <color theme="1"/>
        <rFont val="Calibri"/>
        <family val="2"/>
        <scheme val="minor"/>
      </rPr>
      <t>Status</t>
    </r>
  </si>
  <si>
    <t>DRIVER</t>
  </si>
  <si>
    <t>Slide Panel</t>
  </si>
  <si>
    <t>Top Module Navigation</t>
  </si>
  <si>
    <t>Footer</t>
  </si>
  <si>
    <t>SHARE REPORT</t>
  </si>
  <si>
    <t>Stats</t>
  </si>
  <si>
    <t xml:space="preserve"> 2 D</t>
  </si>
  <si>
    <t>3 D</t>
  </si>
  <si>
    <t>4 D</t>
  </si>
  <si>
    <t>5 D</t>
  </si>
  <si>
    <t>&gt; 5 D</t>
  </si>
  <si>
    <t xml:space="preserve"> &lt;1 D</t>
  </si>
  <si>
    <t>1 D</t>
  </si>
  <si>
    <t>Open+ReOpened+R.F.T.</t>
  </si>
  <si>
    <t>PRIORITY / STATUS</t>
  </si>
  <si>
    <t>HEAT MAP status</t>
  </si>
  <si>
    <t>STORY NAME</t>
  </si>
  <si>
    <t>APPLICATION</t>
  </si>
  <si>
    <t>Common</t>
  </si>
  <si>
    <t>Navigation</t>
  </si>
  <si>
    <t>Features</t>
  </si>
  <si>
    <t>.</t>
  </si>
  <si>
    <t>TEST SCENARIO EXECUTION - STATUS</t>
  </si>
  <si>
    <t>HEAT MAP</t>
  </si>
  <si>
    <t>B.0.1.0</t>
  </si>
  <si>
    <t>Header</t>
  </si>
  <si>
    <t>DMEO</t>
  </si>
  <si>
    <t>Status Detail</t>
  </si>
  <si>
    <t>Affects Build Tag Number</t>
  </si>
  <si>
    <t>Defect Severity</t>
  </si>
  <si>
    <t>Driver</t>
  </si>
  <si>
    <t>Generic</t>
  </si>
  <si>
    <t>Share Report</t>
  </si>
  <si>
    <t>Date
Diff</t>
  </si>
  <si>
    <t>DEFECT - STATS</t>
  </si>
  <si>
    <t>Created 2</t>
  </si>
  <si>
    <t>Last Close 2</t>
  </si>
  <si>
    <t>Data</t>
  </si>
  <si>
    <t>LOGIN-LOGOUT</t>
  </si>
  <si>
    <t>Login</t>
  </si>
  <si>
    <t>Login_Error</t>
  </si>
  <si>
    <t>Logout</t>
  </si>
  <si>
    <t>Default</t>
  </si>
  <si>
    <t xml:space="preserve">UI </t>
  </si>
  <si>
    <t xml:space="preserve">Verify that the default color of icon for Username and Password will be displayed in grey color </t>
  </si>
  <si>
    <t xml:space="preserve">Verify that the default color of text displaying in the textbox of Username and Password will be displayed in grey color </t>
  </si>
  <si>
    <t>Verify that Username textbox contains a place holder displaying the format of Username</t>
  </si>
  <si>
    <t>Verify that Password textbox contains a placeholder displaying Password text</t>
  </si>
  <si>
    <t>Verify that Login button is disabled by default</t>
  </si>
  <si>
    <t>Verify that by default, the cursor is in the username input
field</t>
  </si>
  <si>
    <t xml:space="preserve">Verify the Username format for login </t>
  </si>
  <si>
    <t xml:space="preserve">Verify the Password format for login </t>
  </si>
  <si>
    <t>Verify that the user is able to login to the application with valid credentials</t>
  </si>
  <si>
    <t>Verify that the system displays error message on the top of Username textbox for invalid credentials with red background</t>
  </si>
  <si>
    <t>Verify that the system displays error message on the top of Username textbox  for invalid Username with red background</t>
  </si>
  <si>
    <t>Verify that the system displays error message on the top of Username textbox for invalid password with red background</t>
  </si>
  <si>
    <t>Verify that Username textbox shows an example of the format in which username needs to be provided</t>
  </si>
  <si>
    <t>Verify that the text inside the username will be disappear when user starts entering a value in the username textbox</t>
  </si>
  <si>
    <t>Verify that the text inside the username will always appear when the cursor is at the starting point in the username textbox</t>
  </si>
  <si>
    <t>Verify that Password textbox shows label ‘Password’ to prompt
users to enter a password</t>
  </si>
  <si>
    <t>Verify that the text inside the Password will be disappear when user starts entering a value in the Password textbox</t>
  </si>
  <si>
    <t>Verify that the text inside the Password will always appear when the cursor is at the starting point in the Password textbox</t>
  </si>
  <si>
    <t xml:space="preserve">Verify that when user has entered data into textbox and cursor is outside the textbox then data and icon will be in grey </t>
  </si>
  <si>
    <t xml:space="preserve">Verify that when user has entered data into the textbox and cursor is inside the textbox then data and icon will be in blue </t>
  </si>
  <si>
    <t>Verify that Login button will be enable when user enter valid format into Username and any data into Password textbox</t>
  </si>
  <si>
    <t>Verify that Login button remain disabled when user enter invalid format into Username and any data into Password textbox</t>
  </si>
  <si>
    <t>Verify that Login button remain disabled when user does not enter any data into Username and Password textbox</t>
  </si>
  <si>
    <t>Verify that when user enter the Username into the Username textbox but does not enter the Password then Login button will be disabled</t>
  </si>
  <si>
    <t>Verify that when user enter the Password into the Password textbox but does not enter the Username then Login button will be disabled</t>
  </si>
  <si>
    <t xml:space="preserve">Verify that the Login button is disable once clicked when the user has entered Username and password </t>
  </si>
  <si>
    <t>Verify that the login page is displayed to the unauthenticated user when there is an attempt to access an authorized page directly</t>
  </si>
  <si>
    <t>Verify that the user can click the logout link to log out from the application</t>
  </si>
  <si>
    <t>Verify that after logout, the user session ends and user is not able to access any previously viewed page</t>
  </si>
  <si>
    <t>Verify that textbox are provided for Username and Password</t>
  </si>
  <si>
    <t>Verify that the button is provided for Login</t>
  </si>
  <si>
    <t>Verify that the FUTUREWAV label is available at the top of the Login page</t>
  </si>
  <si>
    <t>Verify that icon of Username will be highlighted when user entered into the Username textbox</t>
  </si>
  <si>
    <t>Verify that icon of Password will be highlighted when user entered into the Password textbox</t>
  </si>
  <si>
    <t>Verify that textbox of Username will be highlighted when user entered into the Username textbox</t>
  </si>
  <si>
    <t>Verify that textbox of Password will be highlighted when user entered into the Password textbox</t>
  </si>
  <si>
    <t>Slide-Filter</t>
  </si>
  <si>
    <t>Slide</t>
  </si>
  <si>
    <t>Global Bar/Header</t>
  </si>
  <si>
    <t>Presentation selection Drop-down</t>
  </si>
  <si>
    <t>Plan on Page Slide/Highlight slide</t>
  </si>
  <si>
    <t>Page</t>
  </si>
  <si>
    <t>Verify that the first Presentation in the Presentation list is selected and highlighted by default</t>
  </si>
  <si>
    <t>Verify that the first slide in the slide panel for the selected presentation is selected and highlighted by default</t>
  </si>
  <si>
    <t xml:space="preserve">Verify that the number of filters in the slide will be available as per the default slide selected
</t>
  </si>
  <si>
    <t>Verify that the default values of the filter will be the first value available in the filters for the current selected Slide</t>
  </si>
  <si>
    <t>Verify that all the slides will be listed for default Presentation</t>
  </si>
  <si>
    <t>Verify that the default state of all the Reports will be in initial state</t>
  </si>
  <si>
    <t>Verify that the Driver landing page is displayed when user clicks DRIVER in the Primary navigation menu</t>
  </si>
  <si>
    <t>Verify that name of the module is mentioned as DRIVER on the Driver landing page</t>
  </si>
  <si>
    <t>Verify that the Module navigation menu has options to access the various modules in the application</t>
  </si>
  <si>
    <t>Verify that on clicking the module name in Module navigation menu, the user navigates to the Module landing page</t>
  </si>
  <si>
    <t>Verify that when user scrolls down a page than Global navigation bar gets hidden</t>
  </si>
  <si>
    <t>Verify that when user scrolls down a page, Module navigation bar gets leaner and user gets persistent access to the Module navigation bar and Presentation dropdown menu &amp; filter dimension bar</t>
  </si>
  <si>
    <t>Verify that the left pane of the page contains listbox selection for PRESENTATION</t>
  </si>
  <si>
    <t>Verify that on click to the left pane contains listbox selection for PRESENTATION, opens the list of available Presentations for the user</t>
  </si>
  <si>
    <t>Verify that the first slide in the slide panel for the selected presentation is selected by default</t>
  </si>
  <si>
    <t>Verify that when the user clicks on the Slide name in the list, the user navigate to that Slide and the content area refreshes to show the corresponding reports</t>
  </si>
  <si>
    <t>Verify that the selected Slide will be highlighted in the list and the Slide Title is displayed on the top of the Content area</t>
  </si>
  <si>
    <t xml:space="preserve">Verify that the Slide has upto 4 relevant filters on the content area </t>
  </si>
  <si>
    <t>Verify that each Slide has a set of Filters setup by the Admin module</t>
  </si>
  <si>
    <t>Verify that Product Filter is a listbox that displays all level of Product hierarchies set by admin</t>
  </si>
  <si>
    <t>Verify that Market Filter is a listbox that displays all level of  Market hierarchies set by admin</t>
  </si>
  <si>
    <t>Verify that Time Period Filter is a listbox that displays all level of Time Period hierarchies set by admin</t>
  </si>
  <si>
    <t>Verify that the user can click the HIGHLIGHTS Slide to view Driver Highlights section</t>
  </si>
  <si>
    <t>Verify that the Plan on Page slide should be available to the selected Presentation</t>
  </si>
  <si>
    <t>Verify that the Plan on Page slide contains customized content decided by the admin/ It will be an JPEG or PDF uploaded</t>
  </si>
  <si>
    <t>Verify that the Page Indicator Bar will be available at the top of Plan on Page</t>
  </si>
  <si>
    <t>Verify that the Page Indicator Bar shows the page number of the page
within ‘Plan on a Page’ document that user is currently viewing</t>
  </si>
  <si>
    <t>Verify that each page within the ‘Plan on a Page’ document is shown as an image and when user clicks on the image, it expands</t>
  </si>
  <si>
    <t>Verify that the expanded image comprises of enlarged image of the
selected page in ‘Plan on a Page’ document</t>
  </si>
  <si>
    <t>Verify that when image is in expanded state then the image size will fit the device’s screen estate, and will not require user to scroll vertically or horizontally</t>
  </si>
  <si>
    <t xml:space="preserve">Verify that when image is in expanded state then the rest of the screen becomes inaccessible </t>
  </si>
  <si>
    <t>Verify that when user clicks on Close button at the top right hand side of the expanded image then user will go back to minimized version of the image</t>
  </si>
  <si>
    <t>Verify that the carousels arrow are used to browse various pages within the ‘Plan on a Page’ document</t>
  </si>
  <si>
    <t>Verify that on clicking the right hand side carousel arrow, user will be taken to the next page in the document</t>
  </si>
  <si>
    <t>Verify that on clicking the left hand side carousel arrow, user will be taken to the previous page in the document</t>
  </si>
  <si>
    <t>Verify that when user is on the first page: The left hand side carousel arrow will be in disabled state. The right hand side carousel arrow will be in enabled state</t>
  </si>
  <si>
    <t>Verify that when user is on the interim pages: The left hand side carousel arrow and the right hand side carousel arrow will be in enabled states</t>
  </si>
  <si>
    <t>Verify that when user is on the last page: The left hand side carousel arrow will be in enabled state. The right hand side carousel arrow will be in disabled state</t>
  </si>
  <si>
    <t>Verify that when there is only one page in the ‘Plan on a Page’ document, both the left and right hand side carousel arrows will not be seen</t>
  </si>
  <si>
    <t>Verify that the content on Plan on Page slide are properly aligned and structured</t>
  </si>
  <si>
    <t>Verify that the Plan on Page can be downloaded in form of PDF (TBD) by clicking on Download in PDF Format button</t>
  </si>
  <si>
    <t>Verify that the Dimension filter are reset when the user moves from one Slide to another</t>
  </si>
  <si>
    <t xml:space="preserve">Verify that the user can select an option from the Presentation list box, which updates the Slides list, highlighting the Highlights Slide and reloading the Key Matrices, Takeaways and Reports </t>
  </si>
  <si>
    <t xml:space="preserve">Verify that FutureWAV logo is present on the Top Global bar on the Driver page </t>
  </si>
  <si>
    <t>Verify that Client logo is present on the Top Global bar on the Driver page</t>
  </si>
  <si>
    <t>Verify that text on Page Indicator Bar is read only text</t>
  </si>
  <si>
    <t>Verify that Font of all labels in FLIGHTING INPUT panel will be as per style guide</t>
  </si>
  <si>
    <t>Verify that Footer is present on the page with Sapient logo</t>
  </si>
  <si>
    <t>Verify that Footer is present on the page with (m)Phasize logo</t>
  </si>
  <si>
    <t>Verify that Footer is present on the page with About Us link</t>
  </si>
  <si>
    <t>Verify that Footer is present on the page with Contact Us link</t>
  </si>
  <si>
    <t>Verify that bottom of the page displays (m)Phasize copyright text</t>
  </si>
  <si>
    <t>Share</t>
  </si>
  <si>
    <t>Verify that the contribution report is displayed Share report (PIE chart)</t>
  </si>
  <si>
    <t>Verify that the default state of Share report is locked on all Measure</t>
  </si>
  <si>
    <t>Verify that the Reports are displayed as per the pre-selected values in each page level filters - Product, Market and Time Period</t>
  </si>
  <si>
    <t>Verify that the default state of Share report is in collapsed state</t>
  </si>
  <si>
    <r>
      <t>Verify that by default the Share report shows Percentage/</t>
    </r>
    <r>
      <rPr>
        <sz val="10"/>
        <color theme="1"/>
        <rFont val="Calibri"/>
        <family val="2"/>
        <scheme val="minor"/>
      </rPr>
      <t xml:space="preserve">Actual Figure </t>
    </r>
    <r>
      <rPr>
        <sz val="10"/>
        <rFont val="Calibri"/>
        <family val="2"/>
        <scheme val="minor"/>
      </rPr>
      <t>of the measures</t>
    </r>
  </si>
  <si>
    <t>Verify that the Percentage is highlighted by default during user landing on the Contribution Chart</t>
  </si>
  <si>
    <t>Verify that the title of the Report will be displayed as per the filter selected</t>
  </si>
  <si>
    <t>Verify that the sub-title of the Report will be displayed as per the filter selected</t>
  </si>
  <si>
    <t>Verify that the Report container expands upon clicking the top-right button on the report container</t>
  </si>
  <si>
    <r>
      <t xml:space="preserve">Verify that the Report container returns to its previous size upon clicking the top-right button </t>
    </r>
    <r>
      <rPr>
        <sz val="10"/>
        <rFont val="Calibri"/>
        <family val="2"/>
        <scheme val="minor"/>
      </rPr>
      <t xml:space="preserve"> on the report container</t>
    </r>
  </si>
  <si>
    <t>Verify that the Report container returns to its initial state upon clicking the top-right button  on the report container</t>
  </si>
  <si>
    <t>Verify that when the Report is in expanded form than user cannot access the background area</t>
  </si>
  <si>
    <t>Verify that the user drills down further on the Measure by clicking the Label (Coke)  on the Share report</t>
  </si>
  <si>
    <t>Verify that the user can drill down to nth level of hierarchy of the Dimension (Product) for the selected Measure</t>
  </si>
  <si>
    <t>Verify that the user can click the any breadcrum item (Diet)  to go back to the previously select dimension value of the Report</t>
  </si>
  <si>
    <t>Verify that the user can select a different Measure (PRINT) from the Measure filter on the report to display the contribution of the new measure on the pre-selected Brand, Market, Time Period</t>
  </si>
  <si>
    <t xml:space="preserve">Verify that Share report displays applicable hierarchy of Dimension(Market) when the drill down is on Market
</t>
  </si>
  <si>
    <t>Verify that Share report displays applicable hierarchy of Dimension(Time Period) when the drill down is on Time Period</t>
  </si>
  <si>
    <t xml:space="preserve">Verify that the user can click on a hierarchy option of Time Period to view in the Share report
</t>
  </si>
  <si>
    <t>Verify that the Excel Charts are similar to the Reports prepared in the application</t>
  </si>
  <si>
    <t>Verify that the report type remains same on drill down</t>
  </si>
  <si>
    <t>Verify that the report names are meaningful</t>
  </si>
  <si>
    <t>Test the report  in supported browsers</t>
  </si>
  <si>
    <t>Verify that the title and sub-title is mentioned on the top of the chart and style guide should be implemented as per Specifications</t>
  </si>
  <si>
    <t>Verify that the title is mentioned on the top of the chart and style guide should be implemented as per Specifications</t>
  </si>
  <si>
    <t>Verify that each of the segment have different colors to each measure</t>
  </si>
  <si>
    <t>Verify the position and color of labels</t>
  </si>
  <si>
    <t>Verify that each of the segment has Labels as indication of the value of contribution in the Share report</t>
  </si>
  <si>
    <t>Verify that if the drill down is available on the segment, the Labels appears as hyperlink-text</t>
  </si>
  <si>
    <t>Verify that if the drill down is not available on the segment, the Labels appears as regular text</t>
  </si>
  <si>
    <t>Verify that each of the dimension have different colors</t>
  </si>
  <si>
    <t>Verify that the Drill down shows each segment colored only as variation of the color of Measure</t>
  </si>
  <si>
    <t>Verify that the breadcrum shows the level of hierarchy to which it was drilled-down</t>
  </si>
  <si>
    <t>Verify that the color combinations is according to Style guide</t>
  </si>
  <si>
    <t>Ability to display Graphs with specific color for each type of Measure</t>
  </si>
  <si>
    <t>Verify that the scroll-bar should not be available on the report</t>
  </si>
  <si>
    <t>Verify the Font Size and Font Style on reports as per specifications</t>
  </si>
  <si>
    <t xml:space="preserve">Verify the Font Size and Font Style on reports in supported Browsers </t>
  </si>
  <si>
    <t>Verify that each of the chart segment has Labels as indication of the value of contribution in the Share report</t>
  </si>
  <si>
    <r>
      <t>Verify that the label displays</t>
    </r>
    <r>
      <rPr>
        <sz val="10"/>
        <color theme="1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correct</t>
    </r>
    <r>
      <rPr>
        <sz val="10"/>
        <color rgb="FFFF000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values as associated with each segment</t>
    </r>
  </si>
  <si>
    <t>Verify that the data interpretation in Share Report will be in Percentage</t>
  </si>
  <si>
    <t>Verify that the segment of the Share report gets highlighted when the user mousehover or clicks on the segment</t>
  </si>
  <si>
    <t>My Scenario</t>
  </si>
  <si>
    <t>Shared
Scenario</t>
  </si>
  <si>
    <t>Manage Scenario</t>
  </si>
  <si>
    <t>Scenario Listing</t>
  </si>
  <si>
    <t>Scenario Table</t>
  </si>
  <si>
    <t>Shared Scenario</t>
  </si>
  <si>
    <t>Verify that sub-menu bar provides - SIMULATION, MANAGE SCENARIOS and FAQ on click event on Simulator button in the Module navigation menu</t>
  </si>
  <si>
    <t>Verify that the user navigates to Scenario Landing page by clicking the 'MANAGE SCENARIOS' sub-menu from the module navigation menu</t>
  </si>
  <si>
    <t>Verify that the MANAGE SCENARIOS page has MY SCENARIOS and SHARED SCENARIOS tabs</t>
  </si>
  <si>
    <t>Verify that when the user clicks tab SHARED SCENARIOS, it gets highlighted</t>
  </si>
  <si>
    <t>Verify that the default tab MY SCENARIOS is highlighted when user lands to Manage Scenario page</t>
  </si>
  <si>
    <t>Verify that for a new user the MY SCENARIOS page displays No data available message</t>
  </si>
  <si>
    <t>Verify that the content of MY SCENARIOS page are by default sorted on Last Modified column in descending order</t>
  </si>
  <si>
    <t>Verify that the default column 'Last Modified' and downward Triangle symbol is highlighted indicating the sort order</t>
  </si>
  <si>
    <t>Verify that MY SCENARIOS section displays the list of scenario that the user has created</t>
  </si>
  <si>
    <t>Verify that the scenarios in MY SCENARIOS list are displayed in a Tabular format</t>
  </si>
  <si>
    <t>Verify that the user gets a popup when user selects a different Scenario to mark it as default scenario</t>
  </si>
  <si>
    <t>Verify that the popup displays the previous default scenario name and provides option to set current as default or Not Now to cancel action</t>
  </si>
  <si>
    <t>Verify that user can set the current scenario as default by clicking "Make this default Scenario" button on the popup</t>
  </si>
  <si>
    <t>Verify that user can cancel the action by clicking "Not Now" button on the popup which keeps the previously marked scenario as default</t>
  </si>
  <si>
    <t>Verify that Total Spend, Total ROI, Total Volume, Total Profit columns in the Table display info from Scenario with New Plan data</t>
  </si>
  <si>
    <t>Verify that columns Total Spend, Total ROI, Total Volume, Total Profit have Currency, Units mentioned for each</t>
  </si>
  <si>
    <t>Verify that Total ROI, Total Profit have a specified sign (+/-) associated to each</t>
  </si>
  <si>
    <t>Verify that Total Spend, Total ROI, Total Volume, Total Profit will be displayed to 2 decimal places for each ?
Total Spend: 11 digit, no decimal 
Total ROI: 4 digits, 2 decimal
Total Volume:  11 digit, no decimal 
Total Profit:  11 digit, no decimal</t>
  </si>
  <si>
    <t>Verify the Date format of Last modified field as "DD MMM YYYY"</t>
  </si>
  <si>
    <t>Verify that all the columns are sortable in ascending order in MY SCENARIOS page</t>
  </si>
  <si>
    <t>Verify that all the columns are sortable in descending order in MY SCENARIOS page</t>
  </si>
  <si>
    <t xml:space="preserve">Verify that when column is sorted on descending order then downward triangle and entire column gets highlighted </t>
  </si>
  <si>
    <t xml:space="preserve">Verify that when column is sorted on ascending order then upward triangle and entire column gets highlighted </t>
  </si>
  <si>
    <t>Verify that the STATS icon displays Scenario Properties - Time Period, Outlet, Created by - of the Scenario in a table in a popup</t>
  </si>
  <si>
    <t>Verify that the maxlength of text in Scenario properties can be upto 160 chars</t>
  </si>
  <si>
    <t>Verify that the STATS icon displays Original Plan Key Matrices - Total and % Change for (ROI, Volume, Spend, Profit) - of the Scenario in a table in a popup</t>
  </si>
  <si>
    <t>Verify that each scenario has STATS icon</t>
  </si>
  <si>
    <t>Verify that the scenarios in SHARED SCENARIOS list are displayed in a Tabular format</t>
  </si>
  <si>
    <t>PRIORITY / 
TODAY</t>
  </si>
  <si>
    <t>DEFECTS TO CLOSED / QA</t>
  </si>
  <si>
    <t>Latest 1 Week trend</t>
  </si>
  <si>
    <t>All Issues</t>
  </si>
  <si>
    <t>RFT  + In Testing</t>
  </si>
  <si>
    <t>Testers</t>
  </si>
  <si>
    <t>LABELS</t>
  </si>
  <si>
    <t>Defect-Key</t>
  </si>
  <si>
    <t>Defect Summary</t>
  </si>
  <si>
    <t>Assignee-Name</t>
  </si>
  <si>
    <t>Reporter-Name</t>
  </si>
  <si>
    <t>Label3</t>
  </si>
  <si>
    <t>Portal</t>
  </si>
  <si>
    <t>User-Mgmt</t>
  </si>
  <si>
    <t>User_Preference</t>
  </si>
  <si>
    <t>Search</t>
  </si>
  <si>
    <t>Notifications</t>
  </si>
  <si>
    <t>In Development</t>
  </si>
  <si>
    <t>Ready for Development</t>
  </si>
  <si>
    <t>In Analysis</t>
  </si>
  <si>
    <t>Forgot-PWD</t>
  </si>
  <si>
    <t>portal</t>
  </si>
  <si>
    <t>Dashboard</t>
  </si>
  <si>
    <t>Authorization</t>
  </si>
  <si>
    <t>Requirements</t>
  </si>
  <si>
    <t>In Testing</t>
  </si>
  <si>
    <t>Personalization</t>
  </si>
  <si>
    <t>requirement</t>
  </si>
  <si>
    <t>My_Profile</t>
  </si>
  <si>
    <t>Alerts</t>
  </si>
  <si>
    <t>My_Apps</t>
  </si>
  <si>
    <t>Registration</t>
  </si>
  <si>
    <t>My_Network</t>
  </si>
  <si>
    <t>data</t>
  </si>
  <si>
    <t>Reports</t>
  </si>
  <si>
    <t>DEMO</t>
  </si>
  <si>
    <t>Security_Testing</t>
  </si>
  <si>
    <t>HEAT MAP - Factors</t>
  </si>
  <si>
    <t>Amber</t>
  </si>
  <si>
    <t>Green</t>
  </si>
  <si>
    <t>Red</t>
  </si>
  <si>
    <t>Prakash</t>
  </si>
  <si>
    <t>Ramesh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</si>
</sst>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3">
    <numFmt numFmtId="5" formatCode="&quot;$&quot;#,##0_);\(&quot;$&quot;#,##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yyyy/mm/dd;@"/>
    <numFmt numFmtId="165" formatCode="[$-409]mmmm\ d\,\ yyyy;@"/>
    <numFmt numFmtId="166" formatCode="0.0"/>
    <numFmt numFmtId="167" formatCode="dd/mm/yyyy;@"/>
    <numFmt numFmtId="168" formatCode="[$-409]d\-mmm\-yy;@"/>
    <numFmt numFmtId="169" formatCode="yyyy\-mm\-dd"/>
    <numFmt numFmtId="170" formatCode="[$-409]mmm\-yy;@"/>
    <numFmt numFmtId="171" formatCode="m/d"/>
    <numFmt numFmtId="172" formatCode="0.000_)"/>
    <numFmt numFmtId="173" formatCode="dd\-mmm\-yyyy"/>
    <numFmt numFmtId="174" formatCode="##0.00;\-#0.00;#"/>
    <numFmt numFmtId="175" formatCode="0.00;\-0.00;#"/>
    <numFmt numFmtId="176" formatCode="General_)"/>
    <numFmt numFmtId="177" formatCode="######;\-######;#"/>
    <numFmt numFmtId="178" formatCode="0.00_)"/>
    <numFmt numFmtId="179" formatCode="&quot;$&quot;#,##0"/>
    <numFmt numFmtId="180" formatCode="_(&quot;$&quot;* #,##0_);_(&quot;$&quot;* \(#,##0\);_(&quot;$&quot;* &quot;-&quot;??_);_(@_)"/>
    <numFmt numFmtId="181" formatCode="m/d/yy;@"/>
    <numFmt numFmtId="182" formatCode="0.00;\-0.00;0"/>
    <numFmt numFmtId="183" formatCode="mmmm\-yy"/>
    <numFmt numFmtId="184" formatCode="mm/dd/yyyy"/>
    <numFmt numFmtId="185" formatCode="_([$€]* #,##0.00_);_([$€]* \(#,##0.00\);_([$€]* &quot;-&quot;??_);_(@_)"/>
    <numFmt numFmtId="186" formatCode="m/d/yyyy;@"/>
    <numFmt numFmtId="187" formatCode="m/d;@"/>
    <numFmt numFmtId="188" formatCode="[$-409]d\-mmm;@"/>
    <numFmt numFmtId="189" formatCode="#,###"/>
    <numFmt numFmtId="190" formatCode="0.00;\-0.00;0.00"/>
    <numFmt numFmtId="191" formatCode="&quot;$&quot;#,###,##0;&quot;$&quot;\-#,###,##0;#"/>
    <numFmt numFmtId="192" formatCode="#,##0_);\(#,##0\);"/>
  </numFmts>
  <fonts count="11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10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u/>
      <sz val="8"/>
      <color indexed="81"/>
      <name val="Tahoma"/>
      <family val="2"/>
    </font>
    <font>
      <u/>
      <sz val="10"/>
      <color rgb="FF0000FF"/>
      <name val="Arial"/>
      <family val="2"/>
    </font>
    <font>
      <i/>
      <sz val="8"/>
      <color indexed="81"/>
      <name val="Tahom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rgb="FF000000"/>
      <name val="Arial"/>
      <family val="2"/>
    </font>
    <font>
      <b/>
      <i/>
      <sz val="8"/>
      <color indexed="81"/>
      <name val="Tahoma"/>
      <family val="2"/>
    </font>
    <font>
      <sz val="12"/>
      <name val="Wingdings"/>
      <charset val="2"/>
    </font>
    <font>
      <sz val="14"/>
      <name val="Wingdings"/>
      <charset val="2"/>
    </font>
    <font>
      <sz val="18"/>
      <name val="Wingdings"/>
      <charset val="2"/>
    </font>
    <font>
      <sz val="48"/>
      <name val="Wingdings"/>
      <charset val="2"/>
    </font>
    <font>
      <sz val="12"/>
      <color theme="1"/>
      <name val="Wingdings"/>
      <charset val="2"/>
    </font>
    <font>
      <sz val="12"/>
      <name val="Arial"/>
      <family val="2"/>
    </font>
    <font>
      <sz val="12"/>
      <name val="Times New Roman"/>
      <family val="1"/>
    </font>
    <font>
      <sz val="12"/>
      <name val="Times New Roman"/>
      <family val="1"/>
      <charset val="238"/>
    </font>
    <font>
      <sz val="10"/>
      <name val="Calibri"/>
      <family val="2"/>
    </font>
    <font>
      <sz val="10"/>
      <name val="Book Antiqua"/>
      <family val="1"/>
    </font>
    <font>
      <sz val="10"/>
      <color indexed="23"/>
      <name val="Arial"/>
      <family val="2"/>
    </font>
    <font>
      <sz val="10"/>
      <name val="MS Serif"/>
      <family val="1"/>
    </font>
    <font>
      <sz val="12"/>
      <color indexed="8"/>
      <name val="Arial"/>
      <family val="2"/>
    </font>
    <font>
      <sz val="10"/>
      <color indexed="10"/>
      <name val="Arial"/>
      <family val="2"/>
    </font>
    <font>
      <sz val="12"/>
      <color indexed="2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6"/>
      <color indexed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u/>
      <sz val="12"/>
      <color theme="10"/>
      <name val="Calibri"/>
      <family val="2"/>
      <scheme val="minor"/>
    </font>
    <font>
      <u/>
      <sz val="10"/>
      <color indexed="12"/>
      <name val="Arial"/>
      <family val="2"/>
    </font>
    <font>
      <sz val="8"/>
      <name val="SapientSansRegular"/>
    </font>
    <font>
      <b/>
      <i/>
      <sz val="12"/>
      <name val="Arial"/>
      <family val="2"/>
    </font>
    <font>
      <b/>
      <i/>
      <sz val="14"/>
      <name val="MS Sans Serif"/>
      <family val="2"/>
    </font>
    <font>
      <b/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u/>
      <sz val="8"/>
      <color indexed="49"/>
      <name val="Trebuchet MS"/>
      <family val="2"/>
    </font>
    <font>
      <sz val="18"/>
      <name val="SapientSansBold"/>
    </font>
    <font>
      <sz val="12"/>
      <color indexed="9"/>
      <name val="Arial"/>
      <family val="2"/>
    </font>
    <font>
      <sz val="8"/>
      <color indexed="8"/>
      <name val="Arial Narrow"/>
      <family val="2"/>
    </font>
    <font>
      <sz val="12"/>
      <name val="Calibri"/>
      <family val="2"/>
      <scheme val="minor"/>
    </font>
    <font>
      <sz val="16"/>
      <name val="Calibri"/>
      <family val="2"/>
      <scheme val="minor"/>
    </font>
    <font>
      <sz val="11"/>
      <color rgb="FF000000"/>
      <name val="Arial"/>
      <family val="2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000000"/>
      <name val="Arial"/>
      <family val="2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0"/>
      <color rgb="FFFFFF00"/>
      <name val="Calibri"/>
      <family val="2"/>
      <scheme val="minor"/>
    </font>
    <font>
      <sz val="10"/>
      <color theme="0"/>
      <name val="Arial"/>
      <family val="2"/>
    </font>
    <font>
      <sz val="11"/>
      <color theme="0"/>
      <name val="Arial"/>
      <family val="2"/>
    </font>
    <font>
      <b/>
      <sz val="14"/>
      <color rgb="FF000000"/>
      <name val="Arial"/>
      <family val="2"/>
    </font>
    <font>
      <b/>
      <sz val="14"/>
      <color theme="0"/>
      <name val="Arial"/>
      <family val="2"/>
    </font>
    <font>
      <b/>
      <sz val="14"/>
      <color rgb="FFFF0000"/>
      <name val="Arial"/>
      <family val="2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9"/>
      <name val="Arial"/>
      <family val="2"/>
    </font>
  </fonts>
  <fills count="9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499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499984740745262"/>
        <bgColor indexed="64"/>
      </patternFill>
    </fill>
  </fills>
  <borders count="8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indexed="23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hair">
        <color indexed="22"/>
      </top>
      <bottom style="hair">
        <color indexed="22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6"/>
      </left>
      <right style="thin">
        <color indexed="26"/>
      </right>
      <top style="thin">
        <color indexed="26"/>
      </top>
      <bottom style="thin">
        <color indexed="26"/>
      </bottom>
      <diagonal/>
    </border>
    <border>
      <left style="thin">
        <color indexed="26"/>
      </left>
      <right style="thin">
        <color indexed="26"/>
      </right>
      <top style="thin">
        <color auto="1"/>
      </top>
      <bottom style="thin">
        <color indexed="10"/>
      </bottom>
      <diagonal/>
    </border>
    <border>
      <left/>
      <right/>
      <top/>
      <bottom style="thick">
        <color indexed="1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1721">
    <xf numFmtId="165" fontId="0" fillId="0" borderId="0"/>
    <xf numFmtId="165" fontId="7" fillId="2" borderId="0" applyNumberFormat="0" applyBorder="0" applyAlignment="0" applyProtection="0"/>
    <xf numFmtId="165" fontId="7" fillId="3" borderId="0" applyNumberFormat="0" applyBorder="0" applyAlignment="0" applyProtection="0"/>
    <xf numFmtId="165" fontId="7" fillId="4" borderId="0" applyNumberFormat="0" applyBorder="0" applyAlignment="0" applyProtection="0"/>
    <xf numFmtId="165" fontId="7" fillId="5" borderId="0" applyNumberFormat="0" applyBorder="0" applyAlignment="0" applyProtection="0"/>
    <xf numFmtId="165" fontId="7" fillId="6" borderId="0" applyNumberFormat="0" applyBorder="0" applyAlignment="0" applyProtection="0"/>
    <xf numFmtId="165" fontId="7" fillId="7" borderId="0" applyNumberFormat="0" applyBorder="0" applyAlignment="0" applyProtection="0"/>
    <xf numFmtId="165" fontId="7" fillId="8" borderId="0" applyNumberFormat="0" applyBorder="0" applyAlignment="0" applyProtection="0"/>
    <xf numFmtId="165" fontId="7" fillId="9" borderId="0" applyNumberFormat="0" applyBorder="0" applyAlignment="0" applyProtection="0"/>
    <xf numFmtId="165" fontId="7" fillId="10" borderId="0" applyNumberFormat="0" applyBorder="0" applyAlignment="0" applyProtection="0"/>
    <xf numFmtId="165" fontId="7" fillId="5" borderId="0" applyNumberFormat="0" applyBorder="0" applyAlignment="0" applyProtection="0"/>
    <xf numFmtId="165" fontId="7" fillId="8" borderId="0" applyNumberFormat="0" applyBorder="0" applyAlignment="0" applyProtection="0"/>
    <xf numFmtId="165" fontId="7" fillId="11" borderId="0" applyNumberFormat="0" applyBorder="0" applyAlignment="0" applyProtection="0"/>
    <xf numFmtId="165" fontId="8" fillId="12" borderId="0" applyNumberFormat="0" applyBorder="0" applyAlignment="0" applyProtection="0"/>
    <xf numFmtId="165" fontId="8" fillId="9" borderId="0" applyNumberFormat="0" applyBorder="0" applyAlignment="0" applyProtection="0"/>
    <xf numFmtId="165" fontId="8" fillId="10" borderId="0" applyNumberFormat="0" applyBorder="0" applyAlignment="0" applyProtection="0"/>
    <xf numFmtId="165" fontId="8" fillId="13" borderId="0" applyNumberFormat="0" applyBorder="0" applyAlignment="0" applyProtection="0"/>
    <xf numFmtId="165" fontId="8" fillId="14" borderId="0" applyNumberFormat="0" applyBorder="0" applyAlignment="0" applyProtection="0"/>
    <xf numFmtId="165" fontId="8" fillId="15" borderId="0" applyNumberFormat="0" applyBorder="0" applyAlignment="0" applyProtection="0"/>
    <xf numFmtId="165" fontId="8" fillId="16" borderId="0" applyNumberFormat="0" applyBorder="0" applyAlignment="0" applyProtection="0"/>
    <xf numFmtId="165" fontId="8" fillId="17" borderId="0" applyNumberFormat="0" applyBorder="0" applyAlignment="0" applyProtection="0"/>
    <xf numFmtId="165" fontId="8" fillId="18" borderId="0" applyNumberFormat="0" applyBorder="0" applyAlignment="0" applyProtection="0"/>
    <xf numFmtId="165" fontId="8" fillId="13" borderId="0" applyNumberFormat="0" applyBorder="0" applyAlignment="0" applyProtection="0"/>
    <xf numFmtId="165" fontId="8" fillId="14" borderId="0" applyNumberFormat="0" applyBorder="0" applyAlignment="0" applyProtection="0"/>
    <xf numFmtId="165" fontId="8" fillId="19" borderId="0" applyNumberFormat="0" applyBorder="0" applyAlignment="0" applyProtection="0"/>
    <xf numFmtId="165" fontId="9" fillId="3" borderId="0" applyNumberFormat="0" applyBorder="0" applyAlignment="0" applyProtection="0"/>
    <xf numFmtId="165" fontId="10" fillId="20" borderId="1" applyNumberFormat="0" applyAlignment="0" applyProtection="0"/>
    <xf numFmtId="165" fontId="11" fillId="21" borderId="2" applyNumberFormat="0" applyAlignment="0" applyProtection="0"/>
    <xf numFmtId="165" fontId="12" fillId="0" borderId="0" applyNumberFormat="0" applyFill="0" applyBorder="0" applyAlignment="0" applyProtection="0"/>
    <xf numFmtId="165" fontId="13" fillId="4" borderId="0" applyNumberFormat="0" applyBorder="0" applyAlignment="0" applyProtection="0"/>
    <xf numFmtId="165" fontId="14" fillId="0" borderId="3" applyNumberFormat="0" applyFill="0" applyAlignment="0" applyProtection="0"/>
    <xf numFmtId="165" fontId="15" fillId="0" borderId="4" applyNumberFormat="0" applyFill="0" applyAlignment="0" applyProtection="0"/>
    <xf numFmtId="165" fontId="16" fillId="0" borderId="5" applyNumberFormat="0" applyFill="0" applyAlignment="0" applyProtection="0"/>
    <xf numFmtId="165" fontId="16" fillId="0" borderId="0" applyNumberFormat="0" applyFill="0" applyBorder="0" applyAlignment="0" applyProtection="0"/>
    <xf numFmtId="165" fontId="17" fillId="7" borderId="1" applyNumberFormat="0" applyAlignment="0" applyProtection="0"/>
    <xf numFmtId="165" fontId="18" fillId="0" borderId="6" applyNumberFormat="0" applyFill="0" applyAlignment="0" applyProtection="0"/>
    <xf numFmtId="165" fontId="19" fillId="22" borderId="0" applyNumberFormat="0" applyBorder="0" applyAlignment="0" applyProtection="0"/>
    <xf numFmtId="165" fontId="20" fillId="23" borderId="7" applyNumberFormat="0" applyFont="0" applyAlignment="0" applyProtection="0"/>
    <xf numFmtId="165" fontId="21" fillId="20" borderId="8" applyNumberFormat="0" applyAlignment="0" applyProtection="0"/>
    <xf numFmtId="165" fontId="22" fillId="0" borderId="0" applyNumberFormat="0" applyFill="0" applyBorder="0" applyAlignment="0" applyProtection="0"/>
    <xf numFmtId="165" fontId="23" fillId="0" borderId="9" applyNumberFormat="0" applyFill="0" applyAlignment="0" applyProtection="0"/>
    <xf numFmtId="165" fontId="24" fillId="0" borderId="0" applyNumberFormat="0" applyFill="0" applyBorder="0" applyAlignment="0" applyProtection="0"/>
    <xf numFmtId="165" fontId="20" fillId="0" borderId="0"/>
    <xf numFmtId="165" fontId="36" fillId="0" borderId="0" applyNumberFormat="0" applyFill="0" applyBorder="0" applyAlignment="0" applyProtection="0"/>
    <xf numFmtId="165" fontId="6" fillId="0" borderId="0"/>
    <xf numFmtId="165" fontId="38" fillId="0" borderId="0" applyNumberFormat="0" applyFill="0" applyBorder="0" applyAlignment="0" applyProtection="0"/>
    <xf numFmtId="165" fontId="39" fillId="0" borderId="31" applyNumberFormat="0" applyFill="0" applyAlignment="0" applyProtection="0"/>
    <xf numFmtId="165" fontId="40" fillId="0" borderId="32" applyNumberFormat="0" applyFill="0" applyAlignment="0" applyProtection="0"/>
    <xf numFmtId="165" fontId="41" fillId="0" borderId="33" applyNumberFormat="0" applyFill="0" applyAlignment="0" applyProtection="0"/>
    <xf numFmtId="165" fontId="41" fillId="0" borderId="0" applyNumberFormat="0" applyFill="0" applyBorder="0" applyAlignment="0" applyProtection="0"/>
    <xf numFmtId="165" fontId="42" fillId="32" borderId="0" applyNumberFormat="0" applyBorder="0" applyAlignment="0" applyProtection="0"/>
    <xf numFmtId="165" fontId="43" fillId="33" borderId="0" applyNumberFormat="0" applyBorder="0" applyAlignment="0" applyProtection="0"/>
    <xf numFmtId="165" fontId="44" fillId="34" borderId="0" applyNumberFormat="0" applyBorder="0" applyAlignment="0" applyProtection="0"/>
    <xf numFmtId="165" fontId="45" fillId="35" borderId="34" applyNumberFormat="0" applyAlignment="0" applyProtection="0"/>
    <xf numFmtId="165" fontId="46" fillId="36" borderId="35" applyNumberFormat="0" applyAlignment="0" applyProtection="0"/>
    <xf numFmtId="165" fontId="47" fillId="36" borderId="34" applyNumberFormat="0" applyAlignment="0" applyProtection="0"/>
    <xf numFmtId="165" fontId="48" fillId="0" borderId="36" applyNumberFormat="0" applyFill="0" applyAlignment="0" applyProtection="0"/>
    <xf numFmtId="165" fontId="49" fillId="37" borderId="37" applyNumberFormat="0" applyAlignment="0" applyProtection="0"/>
    <xf numFmtId="165" fontId="50" fillId="0" borderId="0" applyNumberFormat="0" applyFill="0" applyBorder="0" applyAlignment="0" applyProtection="0"/>
    <xf numFmtId="165" fontId="6" fillId="38" borderId="38" applyNumberFormat="0" applyFont="0" applyAlignment="0" applyProtection="0"/>
    <xf numFmtId="165" fontId="51" fillId="0" borderId="0" applyNumberFormat="0" applyFill="0" applyBorder="0" applyAlignment="0" applyProtection="0"/>
    <xf numFmtId="165" fontId="52" fillId="0" borderId="39" applyNumberFormat="0" applyFill="0" applyAlignment="0" applyProtection="0"/>
    <xf numFmtId="165" fontId="53" fillId="39" borderId="0" applyNumberFormat="0" applyBorder="0" applyAlignment="0" applyProtection="0"/>
    <xf numFmtId="165" fontId="6" fillId="40" borderId="0" applyNumberFormat="0" applyBorder="0" applyAlignment="0" applyProtection="0"/>
    <xf numFmtId="165" fontId="6" fillId="41" borderId="0" applyNumberFormat="0" applyBorder="0" applyAlignment="0" applyProtection="0"/>
    <xf numFmtId="165" fontId="53" fillId="42" borderId="0" applyNumberFormat="0" applyBorder="0" applyAlignment="0" applyProtection="0"/>
    <xf numFmtId="165" fontId="53" fillId="43" borderId="0" applyNumberFormat="0" applyBorder="0" applyAlignment="0" applyProtection="0"/>
    <xf numFmtId="165" fontId="6" fillId="44" borderId="0" applyNumberFormat="0" applyBorder="0" applyAlignment="0" applyProtection="0"/>
    <xf numFmtId="165" fontId="6" fillId="45" borderId="0" applyNumberFormat="0" applyBorder="0" applyAlignment="0" applyProtection="0"/>
    <xf numFmtId="165" fontId="53" fillId="46" borderId="0" applyNumberFormat="0" applyBorder="0" applyAlignment="0" applyProtection="0"/>
    <xf numFmtId="165" fontId="53" fillId="47" borderId="0" applyNumberFormat="0" applyBorder="0" applyAlignment="0" applyProtection="0"/>
    <xf numFmtId="165" fontId="6" fillId="48" borderId="0" applyNumberFormat="0" applyBorder="0" applyAlignment="0" applyProtection="0"/>
    <xf numFmtId="165" fontId="6" fillId="49" borderId="0" applyNumberFormat="0" applyBorder="0" applyAlignment="0" applyProtection="0"/>
    <xf numFmtId="165" fontId="53" fillId="50" borderId="0" applyNumberFormat="0" applyBorder="0" applyAlignment="0" applyProtection="0"/>
    <xf numFmtId="165" fontId="53" fillId="51" borderId="0" applyNumberFormat="0" applyBorder="0" applyAlignment="0" applyProtection="0"/>
    <xf numFmtId="165" fontId="6" fillId="52" borderId="0" applyNumberFormat="0" applyBorder="0" applyAlignment="0" applyProtection="0"/>
    <xf numFmtId="165" fontId="6" fillId="53" borderId="0" applyNumberFormat="0" applyBorder="0" applyAlignment="0" applyProtection="0"/>
    <xf numFmtId="165" fontId="53" fillId="54" borderId="0" applyNumberFormat="0" applyBorder="0" applyAlignment="0" applyProtection="0"/>
    <xf numFmtId="165" fontId="53" fillId="55" borderId="0" applyNumberFormat="0" applyBorder="0" applyAlignment="0" applyProtection="0"/>
    <xf numFmtId="165" fontId="6" fillId="56" borderId="0" applyNumberFormat="0" applyBorder="0" applyAlignment="0" applyProtection="0"/>
    <xf numFmtId="165" fontId="6" fillId="57" borderId="0" applyNumberFormat="0" applyBorder="0" applyAlignment="0" applyProtection="0"/>
    <xf numFmtId="165" fontId="53" fillId="58" borderId="0" applyNumberFormat="0" applyBorder="0" applyAlignment="0" applyProtection="0"/>
    <xf numFmtId="165" fontId="53" fillId="59" borderId="0" applyNumberFormat="0" applyBorder="0" applyAlignment="0" applyProtection="0"/>
    <xf numFmtId="165" fontId="6" fillId="60" borderId="0" applyNumberFormat="0" applyBorder="0" applyAlignment="0" applyProtection="0"/>
    <xf numFmtId="165" fontId="6" fillId="61" borderId="0" applyNumberFormat="0" applyBorder="0" applyAlignment="0" applyProtection="0"/>
    <xf numFmtId="165" fontId="53" fillId="62" borderId="0" applyNumberFormat="0" applyBorder="0" applyAlignment="0" applyProtection="0"/>
    <xf numFmtId="165" fontId="5" fillId="0" borderId="0"/>
    <xf numFmtId="0" fontId="4" fillId="0" borderId="0"/>
    <xf numFmtId="0" fontId="3" fillId="0" borderId="0"/>
    <xf numFmtId="0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63" fillId="0" borderId="0"/>
    <xf numFmtId="170" fontId="63" fillId="0" borderId="0"/>
    <xf numFmtId="168" fontId="63" fillId="0" borderId="0"/>
    <xf numFmtId="168" fontId="63" fillId="0" borderId="0"/>
    <xf numFmtId="170" fontId="63" fillId="0" borderId="0"/>
    <xf numFmtId="170" fontId="63" fillId="0" borderId="0"/>
    <xf numFmtId="168" fontId="63" fillId="0" borderId="0"/>
    <xf numFmtId="0" fontId="63" fillId="0" borderId="0"/>
    <xf numFmtId="168" fontId="63" fillId="0" borderId="0"/>
    <xf numFmtId="168" fontId="63" fillId="0" borderId="0"/>
    <xf numFmtId="0" fontId="63" fillId="0" borderId="0"/>
    <xf numFmtId="170" fontId="63" fillId="0" borderId="0"/>
    <xf numFmtId="170" fontId="63" fillId="0" borderId="0"/>
    <xf numFmtId="168" fontId="63" fillId="0" borderId="0"/>
    <xf numFmtId="0" fontId="63" fillId="0" borderId="0"/>
    <xf numFmtId="168" fontId="63" fillId="0" borderId="0"/>
    <xf numFmtId="168" fontId="63" fillId="0" borderId="0"/>
    <xf numFmtId="0" fontId="63" fillId="0" borderId="0"/>
    <xf numFmtId="170" fontId="63" fillId="0" borderId="0"/>
    <xf numFmtId="170" fontId="63" fillId="0" borderId="0"/>
    <xf numFmtId="168" fontId="63" fillId="0" borderId="0"/>
    <xf numFmtId="0" fontId="63" fillId="0" borderId="0"/>
    <xf numFmtId="168" fontId="63" fillId="0" borderId="0"/>
    <xf numFmtId="168" fontId="63" fillId="0" borderId="0"/>
    <xf numFmtId="0" fontId="63" fillId="0" borderId="0"/>
    <xf numFmtId="170" fontId="64" fillId="0" borderId="0"/>
    <xf numFmtId="168" fontId="64" fillId="0" borderId="0"/>
    <xf numFmtId="0" fontId="64" fillId="0" borderId="0"/>
    <xf numFmtId="168" fontId="64" fillId="0" borderId="0"/>
    <xf numFmtId="0" fontId="64" fillId="0" borderId="0"/>
    <xf numFmtId="168" fontId="64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168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168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168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68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168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168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168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168" fontId="20" fillId="0" borderId="0"/>
    <xf numFmtId="170" fontId="20" fillId="0" borderId="0"/>
    <xf numFmtId="170" fontId="20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68" fontId="20" fillId="0" borderId="0"/>
    <xf numFmtId="170" fontId="20" fillId="0" borderId="0"/>
    <xf numFmtId="0" fontId="7" fillId="0" borderId="0"/>
    <xf numFmtId="170" fontId="20" fillId="0" borderId="0"/>
    <xf numFmtId="0" fontId="7" fillId="0" borderId="0"/>
    <xf numFmtId="170" fontId="20" fillId="0" borderId="0"/>
    <xf numFmtId="0" fontId="7" fillId="0" borderId="0"/>
    <xf numFmtId="170" fontId="20" fillId="0" borderId="0"/>
    <xf numFmtId="170" fontId="20" fillId="0" borderId="0"/>
    <xf numFmtId="168" fontId="20" fillId="0" borderId="0"/>
    <xf numFmtId="168" fontId="20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68" fontId="20" fillId="0" borderId="0"/>
    <xf numFmtId="0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168" fontId="20" fillId="0" borderId="0"/>
    <xf numFmtId="168" fontId="20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68" fontId="20" fillId="0" borderId="0"/>
    <xf numFmtId="0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168" fontId="20" fillId="0" borderId="0"/>
    <xf numFmtId="168" fontId="20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68" fontId="20" fillId="0" borderId="0"/>
    <xf numFmtId="0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168" fontId="20" fillId="0" borderId="0"/>
    <xf numFmtId="168" fontId="20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0" fontId="20" fillId="0" borderId="0"/>
    <xf numFmtId="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68" fontId="20" fillId="0" borderId="0"/>
    <xf numFmtId="170" fontId="20" fillId="0" borderId="0"/>
    <xf numFmtId="0" fontId="7" fillId="0" borderId="0"/>
    <xf numFmtId="170" fontId="20" fillId="0" borderId="0"/>
    <xf numFmtId="0" fontId="7" fillId="0" borderId="0"/>
    <xf numFmtId="170" fontId="20" fillId="0" borderId="0"/>
    <xf numFmtId="0" fontId="7" fillId="0" borderId="0"/>
    <xf numFmtId="170" fontId="20" fillId="0" borderId="0"/>
    <xf numFmtId="170" fontId="20" fillId="0" borderId="0"/>
    <xf numFmtId="168" fontId="20" fillId="0" borderId="0"/>
    <xf numFmtId="168" fontId="20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7" fillId="0" borderId="0"/>
    <xf numFmtId="170" fontId="20" fillId="0" borderId="0"/>
    <xf numFmtId="170" fontId="20" fillId="0" borderId="0"/>
    <xf numFmtId="0" fontId="7" fillId="0" borderId="0"/>
    <xf numFmtId="168" fontId="20" fillId="0" borderId="0"/>
    <xf numFmtId="0" fontId="7" fillId="0" borderId="0"/>
    <xf numFmtId="0" fontId="64" fillId="0" borderId="0" applyNumberFormat="0" applyFill="0" applyBorder="0" applyAlignment="0" applyProtection="0"/>
    <xf numFmtId="168" fontId="64" fillId="0" borderId="0" applyNumberFormat="0" applyFill="0" applyBorder="0" applyAlignment="0" applyProtection="0"/>
    <xf numFmtId="0" fontId="7" fillId="0" borderId="0"/>
    <xf numFmtId="0" fontId="65" fillId="0" borderId="0" applyNumberFormat="0" applyFill="0" applyBorder="0" applyAlignment="0" applyProtection="0"/>
    <xf numFmtId="168" fontId="65" fillId="0" borderId="0" applyNumberFormat="0" applyFill="0" applyBorder="0" applyAlignment="0" applyProtection="0"/>
    <xf numFmtId="0" fontId="7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7" fillId="0" borderId="0"/>
    <xf numFmtId="0" fontId="20" fillId="0" borderId="0"/>
    <xf numFmtId="168" fontId="20" fillId="0" borderId="0"/>
    <xf numFmtId="0" fontId="7" fillId="0" borderId="0"/>
    <xf numFmtId="0" fontId="64" fillId="0" borderId="0"/>
    <xf numFmtId="168" fontId="64" fillId="0" borderId="0"/>
    <xf numFmtId="170" fontId="64" fillId="0" borderId="0"/>
    <xf numFmtId="168" fontId="64" fillId="0" borderId="0"/>
    <xf numFmtId="0" fontId="66" fillId="68" borderId="62" applyProtection="0"/>
    <xf numFmtId="0" fontId="66" fillId="68" borderId="62" applyProtection="0"/>
    <xf numFmtId="0" fontId="66" fillId="68" borderId="62" applyProtection="0"/>
    <xf numFmtId="0" fontId="66" fillId="68" borderId="62" applyProtection="0"/>
    <xf numFmtId="0" fontId="66" fillId="68" borderId="62" applyProtection="0"/>
    <xf numFmtId="0" fontId="66" fillId="68" borderId="62" applyProtection="0"/>
    <xf numFmtId="0" fontId="66" fillId="68" borderId="62" applyProtection="0"/>
    <xf numFmtId="0" fontId="66" fillId="68" borderId="62" applyProtection="0"/>
    <xf numFmtId="168" fontId="7" fillId="2" borderId="0" applyNumberFormat="0" applyBorder="0" applyAlignment="0" applyProtection="0"/>
    <xf numFmtId="0" fontId="7" fillId="2" borderId="0" applyNumberFormat="0" applyBorder="0" applyAlignment="0" applyProtection="0"/>
    <xf numFmtId="168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168" fontId="7" fillId="3" borderId="0" applyNumberFormat="0" applyBorder="0" applyAlignment="0" applyProtection="0"/>
    <xf numFmtId="0" fontId="7" fillId="3" borderId="0" applyNumberFormat="0" applyBorder="0" applyAlignment="0" applyProtection="0"/>
    <xf numFmtId="168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2" fillId="44" borderId="0" applyNumberFormat="0" applyBorder="0" applyAlignment="0" applyProtection="0"/>
    <xf numFmtId="0" fontId="2" fillId="44" borderId="0" applyNumberFormat="0" applyBorder="0" applyAlignment="0" applyProtection="0"/>
    <xf numFmtId="0" fontId="2" fillId="44" borderId="0" applyNumberFormat="0" applyBorder="0" applyAlignment="0" applyProtection="0"/>
    <xf numFmtId="0" fontId="2" fillId="44" borderId="0" applyNumberFormat="0" applyBorder="0" applyAlignment="0" applyProtection="0"/>
    <xf numFmtId="0" fontId="2" fillId="44" borderId="0" applyNumberFormat="0" applyBorder="0" applyAlignment="0" applyProtection="0"/>
    <xf numFmtId="168" fontId="7" fillId="4" borderId="0" applyNumberFormat="0" applyBorder="0" applyAlignment="0" applyProtection="0"/>
    <xf numFmtId="0" fontId="7" fillId="4" borderId="0" applyNumberFormat="0" applyBorder="0" applyAlignment="0" applyProtection="0"/>
    <xf numFmtId="168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2" fillId="48" borderId="0" applyNumberFormat="0" applyBorder="0" applyAlignment="0" applyProtection="0"/>
    <xf numFmtId="0" fontId="2" fillId="48" borderId="0" applyNumberFormat="0" applyBorder="0" applyAlignment="0" applyProtection="0"/>
    <xf numFmtId="0" fontId="2" fillId="48" borderId="0" applyNumberFormat="0" applyBorder="0" applyAlignment="0" applyProtection="0"/>
    <xf numFmtId="0" fontId="2" fillId="48" borderId="0" applyNumberFormat="0" applyBorder="0" applyAlignment="0" applyProtection="0"/>
    <xf numFmtId="0" fontId="2" fillId="48" borderId="0" applyNumberFormat="0" applyBorder="0" applyAlignment="0" applyProtection="0"/>
    <xf numFmtId="168" fontId="7" fillId="5" borderId="0" applyNumberFormat="0" applyBorder="0" applyAlignment="0" applyProtection="0"/>
    <xf numFmtId="0" fontId="7" fillId="5" borderId="0" applyNumberFormat="0" applyBorder="0" applyAlignment="0" applyProtection="0"/>
    <xf numFmtId="168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2" fillId="52" borderId="0" applyNumberFormat="0" applyBorder="0" applyAlignment="0" applyProtection="0"/>
    <xf numFmtId="0" fontId="2" fillId="52" borderId="0" applyNumberFormat="0" applyBorder="0" applyAlignment="0" applyProtection="0"/>
    <xf numFmtId="0" fontId="2" fillId="52" borderId="0" applyNumberFormat="0" applyBorder="0" applyAlignment="0" applyProtection="0"/>
    <xf numFmtId="0" fontId="2" fillId="52" borderId="0" applyNumberFormat="0" applyBorder="0" applyAlignment="0" applyProtection="0"/>
    <xf numFmtId="0" fontId="2" fillId="52" borderId="0" applyNumberFormat="0" applyBorder="0" applyAlignment="0" applyProtection="0"/>
    <xf numFmtId="168" fontId="7" fillId="6" borderId="0" applyNumberFormat="0" applyBorder="0" applyAlignment="0" applyProtection="0"/>
    <xf numFmtId="0" fontId="7" fillId="6" borderId="0" applyNumberFormat="0" applyBorder="0" applyAlignment="0" applyProtection="0"/>
    <xf numFmtId="168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2" fillId="56" borderId="0" applyNumberFormat="0" applyBorder="0" applyAlignment="0" applyProtection="0"/>
    <xf numFmtId="0" fontId="2" fillId="56" borderId="0" applyNumberFormat="0" applyBorder="0" applyAlignment="0" applyProtection="0"/>
    <xf numFmtId="0" fontId="2" fillId="56" borderId="0" applyNumberFormat="0" applyBorder="0" applyAlignment="0" applyProtection="0"/>
    <xf numFmtId="0" fontId="2" fillId="56" borderId="0" applyNumberFormat="0" applyBorder="0" applyAlignment="0" applyProtection="0"/>
    <xf numFmtId="0" fontId="2" fillId="56" borderId="0" applyNumberFormat="0" applyBorder="0" applyAlignment="0" applyProtection="0"/>
    <xf numFmtId="168" fontId="7" fillId="7" borderId="0" applyNumberFormat="0" applyBorder="0" applyAlignment="0" applyProtection="0"/>
    <xf numFmtId="0" fontId="7" fillId="7" borderId="0" applyNumberFormat="0" applyBorder="0" applyAlignment="0" applyProtection="0"/>
    <xf numFmtId="168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2" fillId="60" borderId="0" applyNumberFormat="0" applyBorder="0" applyAlignment="0" applyProtection="0"/>
    <xf numFmtId="0" fontId="2" fillId="60" borderId="0" applyNumberFormat="0" applyBorder="0" applyAlignment="0" applyProtection="0"/>
    <xf numFmtId="0" fontId="2" fillId="60" borderId="0" applyNumberFormat="0" applyBorder="0" applyAlignment="0" applyProtection="0"/>
    <xf numFmtId="0" fontId="2" fillId="60" borderId="0" applyNumberFormat="0" applyBorder="0" applyAlignment="0" applyProtection="0"/>
    <xf numFmtId="0" fontId="2" fillId="60" borderId="0" applyNumberFormat="0" applyBorder="0" applyAlignment="0" applyProtection="0"/>
    <xf numFmtId="168" fontId="7" fillId="8" borderId="0" applyNumberFormat="0" applyBorder="0" applyAlignment="0" applyProtection="0"/>
    <xf numFmtId="0" fontId="7" fillId="8" borderId="0" applyNumberFormat="0" applyBorder="0" applyAlignment="0" applyProtection="0"/>
    <xf numFmtId="168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168" fontId="7" fillId="9" borderId="0" applyNumberFormat="0" applyBorder="0" applyAlignment="0" applyProtection="0"/>
    <xf numFmtId="0" fontId="7" fillId="9" borderId="0" applyNumberFormat="0" applyBorder="0" applyAlignment="0" applyProtection="0"/>
    <xf numFmtId="168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2" fillId="45" borderId="0" applyNumberFormat="0" applyBorder="0" applyAlignment="0" applyProtection="0"/>
    <xf numFmtId="0" fontId="2" fillId="45" borderId="0" applyNumberFormat="0" applyBorder="0" applyAlignment="0" applyProtection="0"/>
    <xf numFmtId="0" fontId="2" fillId="45" borderId="0" applyNumberFormat="0" applyBorder="0" applyAlignment="0" applyProtection="0"/>
    <xf numFmtId="0" fontId="2" fillId="45" borderId="0" applyNumberFormat="0" applyBorder="0" applyAlignment="0" applyProtection="0"/>
    <xf numFmtId="0" fontId="2" fillId="45" borderId="0" applyNumberFormat="0" applyBorder="0" applyAlignment="0" applyProtection="0"/>
    <xf numFmtId="168" fontId="7" fillId="10" borderId="0" applyNumberFormat="0" applyBorder="0" applyAlignment="0" applyProtection="0"/>
    <xf numFmtId="0" fontId="7" fillId="10" borderId="0" applyNumberFormat="0" applyBorder="0" applyAlignment="0" applyProtection="0"/>
    <xf numFmtId="168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2" fillId="49" borderId="0" applyNumberFormat="0" applyBorder="0" applyAlignment="0" applyProtection="0"/>
    <xf numFmtId="0" fontId="2" fillId="49" borderId="0" applyNumberFormat="0" applyBorder="0" applyAlignment="0" applyProtection="0"/>
    <xf numFmtId="0" fontId="2" fillId="49" borderId="0" applyNumberFormat="0" applyBorder="0" applyAlignment="0" applyProtection="0"/>
    <xf numFmtId="0" fontId="2" fillId="49" borderId="0" applyNumberFormat="0" applyBorder="0" applyAlignment="0" applyProtection="0"/>
    <xf numFmtId="0" fontId="2" fillId="49" borderId="0" applyNumberFormat="0" applyBorder="0" applyAlignment="0" applyProtection="0"/>
    <xf numFmtId="168" fontId="7" fillId="5" borderId="0" applyNumberFormat="0" applyBorder="0" applyAlignment="0" applyProtection="0"/>
    <xf numFmtId="0" fontId="7" fillId="5" borderId="0" applyNumberFormat="0" applyBorder="0" applyAlignment="0" applyProtection="0"/>
    <xf numFmtId="168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2" fillId="53" borderId="0" applyNumberFormat="0" applyBorder="0" applyAlignment="0" applyProtection="0"/>
    <xf numFmtId="0" fontId="2" fillId="53" borderId="0" applyNumberFormat="0" applyBorder="0" applyAlignment="0" applyProtection="0"/>
    <xf numFmtId="0" fontId="2" fillId="53" borderId="0" applyNumberFormat="0" applyBorder="0" applyAlignment="0" applyProtection="0"/>
    <xf numFmtId="0" fontId="2" fillId="53" borderId="0" applyNumberFormat="0" applyBorder="0" applyAlignment="0" applyProtection="0"/>
    <xf numFmtId="0" fontId="2" fillId="53" borderId="0" applyNumberFormat="0" applyBorder="0" applyAlignment="0" applyProtection="0"/>
    <xf numFmtId="168" fontId="7" fillId="8" borderId="0" applyNumberFormat="0" applyBorder="0" applyAlignment="0" applyProtection="0"/>
    <xf numFmtId="0" fontId="7" fillId="8" borderId="0" applyNumberFormat="0" applyBorder="0" applyAlignment="0" applyProtection="0"/>
    <xf numFmtId="168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2" fillId="57" borderId="0" applyNumberFormat="0" applyBorder="0" applyAlignment="0" applyProtection="0"/>
    <xf numFmtId="0" fontId="2" fillId="57" borderId="0" applyNumberFormat="0" applyBorder="0" applyAlignment="0" applyProtection="0"/>
    <xf numFmtId="0" fontId="2" fillId="57" borderId="0" applyNumberFormat="0" applyBorder="0" applyAlignment="0" applyProtection="0"/>
    <xf numFmtId="0" fontId="2" fillId="57" borderId="0" applyNumberFormat="0" applyBorder="0" applyAlignment="0" applyProtection="0"/>
    <xf numFmtId="0" fontId="2" fillId="57" borderId="0" applyNumberFormat="0" applyBorder="0" applyAlignment="0" applyProtection="0"/>
    <xf numFmtId="168" fontId="7" fillId="11" borderId="0" applyNumberFormat="0" applyBorder="0" applyAlignment="0" applyProtection="0"/>
    <xf numFmtId="0" fontId="7" fillId="11" borderId="0" applyNumberFormat="0" applyBorder="0" applyAlignment="0" applyProtection="0"/>
    <xf numFmtId="168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2" fillId="61" borderId="0" applyNumberFormat="0" applyBorder="0" applyAlignment="0" applyProtection="0"/>
    <xf numFmtId="0" fontId="2" fillId="61" borderId="0" applyNumberFormat="0" applyBorder="0" applyAlignment="0" applyProtection="0"/>
    <xf numFmtId="0" fontId="2" fillId="61" borderId="0" applyNumberFormat="0" applyBorder="0" applyAlignment="0" applyProtection="0"/>
    <xf numFmtId="0" fontId="2" fillId="61" borderId="0" applyNumberFormat="0" applyBorder="0" applyAlignment="0" applyProtection="0"/>
    <xf numFmtId="0" fontId="2" fillId="61" borderId="0" applyNumberFormat="0" applyBorder="0" applyAlignment="0" applyProtection="0"/>
    <xf numFmtId="168" fontId="8" fillId="12" borderId="0" applyNumberFormat="0" applyBorder="0" applyAlignment="0" applyProtection="0"/>
    <xf numFmtId="0" fontId="8" fillId="12" borderId="0" applyNumberFormat="0" applyBorder="0" applyAlignment="0" applyProtection="0"/>
    <xf numFmtId="168" fontId="8" fillId="9" borderId="0" applyNumberFormat="0" applyBorder="0" applyAlignment="0" applyProtection="0"/>
    <xf numFmtId="0" fontId="8" fillId="9" borderId="0" applyNumberFormat="0" applyBorder="0" applyAlignment="0" applyProtection="0"/>
    <xf numFmtId="168" fontId="8" fillId="10" borderId="0" applyNumberFormat="0" applyBorder="0" applyAlignment="0" applyProtection="0"/>
    <xf numFmtId="0" fontId="8" fillId="10" borderId="0" applyNumberFormat="0" applyBorder="0" applyAlignment="0" applyProtection="0"/>
    <xf numFmtId="168" fontId="8" fillId="13" borderId="0" applyNumberFormat="0" applyBorder="0" applyAlignment="0" applyProtection="0"/>
    <xf numFmtId="0" fontId="8" fillId="13" borderId="0" applyNumberFormat="0" applyBorder="0" applyAlignment="0" applyProtection="0"/>
    <xf numFmtId="168" fontId="8" fillId="14" borderId="0" applyNumberFormat="0" applyBorder="0" applyAlignment="0" applyProtection="0"/>
    <xf numFmtId="0" fontId="8" fillId="14" borderId="0" applyNumberFormat="0" applyBorder="0" applyAlignment="0" applyProtection="0"/>
    <xf numFmtId="168" fontId="8" fillId="15" borderId="0" applyNumberFormat="0" applyBorder="0" applyAlignment="0" applyProtection="0"/>
    <xf numFmtId="0" fontId="8" fillId="15" borderId="0" applyNumberFormat="0" applyBorder="0" applyAlignment="0" applyProtection="0"/>
    <xf numFmtId="170" fontId="20" fillId="0" borderId="0"/>
    <xf numFmtId="170" fontId="20" fillId="0" borderId="0"/>
    <xf numFmtId="170" fontId="20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168" fontId="20" fillId="0" borderId="0"/>
    <xf numFmtId="0" fontId="7" fillId="0" borderId="0"/>
    <xf numFmtId="170" fontId="20" fillId="0" borderId="0"/>
    <xf numFmtId="168" fontId="20" fillId="0" borderId="0"/>
    <xf numFmtId="0" fontId="20" fillId="0" borderId="0"/>
    <xf numFmtId="168" fontId="8" fillId="16" borderId="0" applyNumberFormat="0" applyBorder="0" applyAlignment="0" applyProtection="0"/>
    <xf numFmtId="0" fontId="8" fillId="16" borderId="0" applyNumberFormat="0" applyBorder="0" applyAlignment="0" applyProtection="0"/>
    <xf numFmtId="168" fontId="8" fillId="17" borderId="0" applyNumberFormat="0" applyBorder="0" applyAlignment="0" applyProtection="0"/>
    <xf numFmtId="0" fontId="8" fillId="17" borderId="0" applyNumberFormat="0" applyBorder="0" applyAlignment="0" applyProtection="0"/>
    <xf numFmtId="168" fontId="8" fillId="18" borderId="0" applyNumberFormat="0" applyBorder="0" applyAlignment="0" applyProtection="0"/>
    <xf numFmtId="0" fontId="8" fillId="18" borderId="0" applyNumberFormat="0" applyBorder="0" applyAlignment="0" applyProtection="0"/>
    <xf numFmtId="168" fontId="8" fillId="13" borderId="0" applyNumberFormat="0" applyBorder="0" applyAlignment="0" applyProtection="0"/>
    <xf numFmtId="0" fontId="8" fillId="13" borderId="0" applyNumberFormat="0" applyBorder="0" applyAlignment="0" applyProtection="0"/>
    <xf numFmtId="168" fontId="8" fillId="14" borderId="0" applyNumberFormat="0" applyBorder="0" applyAlignment="0" applyProtection="0"/>
    <xf numFmtId="0" fontId="8" fillId="14" borderId="0" applyNumberFormat="0" applyBorder="0" applyAlignment="0" applyProtection="0"/>
    <xf numFmtId="168" fontId="8" fillId="19" borderId="0" applyNumberFormat="0" applyBorder="0" applyAlignment="0" applyProtection="0"/>
    <xf numFmtId="0" fontId="8" fillId="19" borderId="0" applyNumberFormat="0" applyBorder="0" applyAlignment="0" applyProtection="0"/>
    <xf numFmtId="168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67" fillId="69" borderId="0"/>
    <xf numFmtId="168" fontId="67" fillId="69" borderId="0"/>
    <xf numFmtId="171" fontId="68" fillId="0" borderId="0">
      <alignment horizontal="left"/>
    </xf>
    <xf numFmtId="168" fontId="10" fillId="20" borderId="1" applyNumberFormat="0" applyAlignment="0" applyProtection="0"/>
    <xf numFmtId="168" fontId="10" fillId="20" borderId="1" applyNumberFormat="0" applyAlignment="0" applyProtection="0"/>
    <xf numFmtId="168" fontId="10" fillId="20" borderId="1" applyNumberFormat="0" applyAlignment="0" applyProtection="0"/>
    <xf numFmtId="168" fontId="10" fillId="20" borderId="1" applyNumberFormat="0" applyAlignment="0" applyProtection="0"/>
    <xf numFmtId="168" fontId="10" fillId="20" borderId="1" applyNumberFormat="0" applyAlignment="0" applyProtection="0"/>
    <xf numFmtId="168" fontId="10" fillId="20" borderId="1" applyNumberFormat="0" applyAlignment="0" applyProtection="0"/>
    <xf numFmtId="168" fontId="10" fillId="20" borderId="1" applyNumberFormat="0" applyAlignment="0" applyProtection="0"/>
    <xf numFmtId="0" fontId="10" fillId="20" borderId="1" applyNumberFormat="0" applyAlignment="0" applyProtection="0"/>
    <xf numFmtId="0" fontId="10" fillId="20" borderId="1" applyNumberFormat="0" applyAlignment="0" applyProtection="0"/>
    <xf numFmtId="0" fontId="10" fillId="20" borderId="1" applyNumberFormat="0" applyAlignment="0" applyProtection="0"/>
    <xf numFmtId="0" fontId="10" fillId="20" borderId="1" applyNumberFormat="0" applyAlignment="0" applyProtection="0"/>
    <xf numFmtId="0" fontId="10" fillId="20" borderId="1" applyNumberFormat="0" applyAlignment="0" applyProtection="0"/>
    <xf numFmtId="0" fontId="10" fillId="20" borderId="1" applyNumberFormat="0" applyAlignment="0" applyProtection="0"/>
    <xf numFmtId="0" fontId="10" fillId="20" borderId="1" applyNumberFormat="0" applyAlignment="0" applyProtection="0"/>
    <xf numFmtId="0" fontId="10" fillId="20" borderId="1" applyNumberFormat="0" applyAlignment="0" applyProtection="0"/>
    <xf numFmtId="0" fontId="10" fillId="20" borderId="1" applyNumberFormat="0" applyAlignment="0" applyProtection="0"/>
    <xf numFmtId="0" fontId="10" fillId="20" borderId="1" applyNumberFormat="0" applyAlignment="0" applyProtection="0"/>
    <xf numFmtId="0" fontId="10" fillId="20" borderId="1" applyNumberFormat="0" applyAlignment="0" applyProtection="0"/>
    <xf numFmtId="0" fontId="10" fillId="20" borderId="1" applyNumberFormat="0" applyAlignment="0" applyProtection="0"/>
    <xf numFmtId="0" fontId="10" fillId="20" borderId="1" applyNumberFormat="0" applyAlignment="0" applyProtection="0"/>
    <xf numFmtId="170" fontId="63" fillId="0" borderId="63">
      <alignment wrapText="1"/>
    </xf>
    <xf numFmtId="170" fontId="63" fillId="0" borderId="63">
      <alignment wrapText="1"/>
    </xf>
    <xf numFmtId="168" fontId="63" fillId="0" borderId="63">
      <alignment wrapText="1"/>
    </xf>
    <xf numFmtId="168" fontId="63" fillId="0" borderId="63">
      <alignment wrapText="1"/>
    </xf>
    <xf numFmtId="168" fontId="63" fillId="0" borderId="63">
      <alignment wrapText="1"/>
    </xf>
    <xf numFmtId="168" fontId="63" fillId="0" borderId="63">
      <alignment wrapText="1"/>
    </xf>
    <xf numFmtId="168" fontId="63" fillId="0" borderId="63">
      <alignment wrapText="1"/>
    </xf>
    <xf numFmtId="168" fontId="63" fillId="0" borderId="63">
      <alignment wrapText="1"/>
    </xf>
    <xf numFmtId="168" fontId="63" fillId="0" borderId="63">
      <alignment wrapText="1"/>
    </xf>
    <xf numFmtId="168" fontId="63" fillId="0" borderId="63">
      <alignment wrapText="1"/>
    </xf>
    <xf numFmtId="168" fontId="63" fillId="0" borderId="63">
      <alignment wrapText="1"/>
    </xf>
    <xf numFmtId="168" fontId="63" fillId="0" borderId="63">
      <alignment wrapText="1"/>
    </xf>
    <xf numFmtId="168" fontId="63" fillId="0" borderId="63">
      <alignment wrapText="1"/>
    </xf>
    <xf numFmtId="170" fontId="63" fillId="0" borderId="63">
      <alignment wrapText="1"/>
    </xf>
    <xf numFmtId="170" fontId="63" fillId="0" borderId="63">
      <alignment wrapText="1"/>
    </xf>
    <xf numFmtId="170" fontId="63" fillId="0" borderId="63">
      <alignment wrapText="1"/>
    </xf>
    <xf numFmtId="170" fontId="63" fillId="0" borderId="63">
      <alignment wrapText="1"/>
    </xf>
    <xf numFmtId="170" fontId="63" fillId="0" borderId="63">
      <alignment wrapText="1"/>
    </xf>
    <xf numFmtId="170" fontId="63" fillId="0" borderId="63">
      <alignment wrapText="1"/>
    </xf>
    <xf numFmtId="170" fontId="63" fillId="0" borderId="63">
      <alignment wrapText="1"/>
    </xf>
    <xf numFmtId="170" fontId="63" fillId="0" borderId="63">
      <alignment wrapText="1"/>
    </xf>
    <xf numFmtId="170" fontId="63" fillId="0" borderId="63">
      <alignment wrapText="1"/>
    </xf>
    <xf numFmtId="170" fontId="63" fillId="0" borderId="63">
      <alignment wrapText="1"/>
    </xf>
    <xf numFmtId="168" fontId="63" fillId="0" borderId="63">
      <alignment wrapText="1"/>
    </xf>
    <xf numFmtId="168" fontId="63" fillId="0" borderId="63">
      <alignment wrapText="1"/>
    </xf>
    <xf numFmtId="168" fontId="63" fillId="0" borderId="63">
      <alignment wrapText="1"/>
    </xf>
    <xf numFmtId="168" fontId="63" fillId="0" borderId="63">
      <alignment wrapText="1"/>
    </xf>
    <xf numFmtId="168" fontId="63" fillId="0" borderId="63">
      <alignment wrapText="1"/>
    </xf>
    <xf numFmtId="168" fontId="63" fillId="0" borderId="63">
      <alignment wrapText="1"/>
    </xf>
    <xf numFmtId="168" fontId="63" fillId="0" borderId="63">
      <alignment wrapText="1"/>
    </xf>
    <xf numFmtId="168" fontId="63" fillId="0" borderId="63">
      <alignment wrapText="1"/>
    </xf>
    <xf numFmtId="168" fontId="63" fillId="0" borderId="63">
      <alignment wrapText="1"/>
    </xf>
    <xf numFmtId="168" fontId="63" fillId="0" borderId="63">
      <alignment wrapText="1"/>
    </xf>
    <xf numFmtId="168" fontId="63" fillId="0" borderId="63">
      <alignment wrapText="1"/>
    </xf>
    <xf numFmtId="170" fontId="63" fillId="0" borderId="63">
      <alignment wrapText="1"/>
    </xf>
    <xf numFmtId="170" fontId="63" fillId="0" borderId="63">
      <alignment wrapText="1"/>
    </xf>
    <xf numFmtId="170" fontId="63" fillId="0" borderId="63">
      <alignment wrapText="1"/>
    </xf>
    <xf numFmtId="170" fontId="63" fillId="0" borderId="63">
      <alignment wrapText="1"/>
    </xf>
    <xf numFmtId="170" fontId="63" fillId="0" borderId="63">
      <alignment wrapText="1"/>
    </xf>
    <xf numFmtId="170" fontId="63" fillId="0" borderId="63">
      <alignment wrapText="1"/>
    </xf>
    <xf numFmtId="170" fontId="63" fillId="0" borderId="63">
      <alignment wrapText="1"/>
    </xf>
    <xf numFmtId="170" fontId="63" fillId="0" borderId="63">
      <alignment wrapText="1"/>
    </xf>
    <xf numFmtId="170" fontId="63" fillId="0" borderId="63">
      <alignment wrapText="1"/>
    </xf>
    <xf numFmtId="170" fontId="63" fillId="0" borderId="63">
      <alignment wrapText="1"/>
    </xf>
    <xf numFmtId="0" fontId="7" fillId="0" borderId="0"/>
    <xf numFmtId="168" fontId="11" fillId="21" borderId="2" applyNumberFormat="0" applyAlignment="0" applyProtection="0"/>
    <xf numFmtId="0" fontId="11" fillId="21" borderId="2" applyNumberFormat="0" applyAlignment="0" applyProtection="0"/>
    <xf numFmtId="172" fontId="69" fillId="0" borderId="0"/>
    <xf numFmtId="172" fontId="69" fillId="0" borderId="0"/>
    <xf numFmtId="172" fontId="69" fillId="0" borderId="0"/>
    <xf numFmtId="172" fontId="69" fillId="0" borderId="0"/>
    <xf numFmtId="172" fontId="69" fillId="0" borderId="0"/>
    <xf numFmtId="172" fontId="69" fillId="0" borderId="0"/>
    <xf numFmtId="172" fontId="69" fillId="0" borderId="0"/>
    <xf numFmtId="172" fontId="69" fillId="0" borderId="0"/>
    <xf numFmtId="41" fontId="20" fillId="0" borderId="0" applyFont="0" applyFill="0" applyBorder="0" applyAlignment="0" applyProtection="0"/>
    <xf numFmtId="41" fontId="20" fillId="0" borderId="0" applyFont="0" applyFill="0" applyBorder="0" applyAlignment="0" applyProtection="0"/>
    <xf numFmtId="0" fontId="7" fillId="0" borderId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0" fontId="7" fillId="0" borderId="0"/>
    <xf numFmtId="43" fontId="20" fillId="0" borderId="0" applyFont="0" applyFill="0" applyBorder="0" applyAlignment="0" applyProtection="0"/>
    <xf numFmtId="0" fontId="7" fillId="0" borderId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0" fontId="7" fillId="0" borderId="0"/>
    <xf numFmtId="44" fontId="20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7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7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7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7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7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7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7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7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7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7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7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7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7" fillId="0" borderId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0" fontId="7" fillId="0" borderId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0" fontId="7" fillId="0" borderId="0"/>
    <xf numFmtId="44" fontId="20" fillId="0" borderId="0" applyFont="0" applyFill="0" applyBorder="0" applyAlignment="0" applyProtection="0"/>
    <xf numFmtId="0" fontId="7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7" fillId="0" borderId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0" fontId="7" fillId="0" borderId="0"/>
    <xf numFmtId="173" fontId="20" fillId="0" borderId="0">
      <alignment horizontal="left"/>
    </xf>
    <xf numFmtId="173" fontId="20" fillId="0" borderId="0">
      <alignment horizontal="left"/>
    </xf>
    <xf numFmtId="173" fontId="20" fillId="0" borderId="0">
      <alignment horizontal="left"/>
    </xf>
    <xf numFmtId="0" fontId="7" fillId="0" borderId="0"/>
    <xf numFmtId="173" fontId="20" fillId="0" borderId="0">
      <alignment horizontal="left"/>
    </xf>
    <xf numFmtId="173" fontId="20" fillId="0" borderId="0">
      <alignment horizontal="left"/>
    </xf>
    <xf numFmtId="174" fontId="70" fillId="68" borderId="44" applyFill="0" applyBorder="0">
      <alignment horizontal="center" vertical="center" wrapText="1"/>
    </xf>
    <xf numFmtId="174" fontId="70" fillId="68" borderId="44" applyFill="0" applyBorder="0">
      <alignment horizontal="center" vertical="center" wrapText="1"/>
    </xf>
    <xf numFmtId="0" fontId="7" fillId="0" borderId="0"/>
    <xf numFmtId="170" fontId="20" fillId="0" borderId="0" applyFont="0" applyFill="0" applyBorder="0" applyAlignment="0" applyProtection="0"/>
    <xf numFmtId="170" fontId="20" fillId="0" borderId="0" applyFont="0" applyFill="0" applyBorder="0" applyAlignment="0" applyProtection="0"/>
    <xf numFmtId="170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0" fontId="7" fillId="0" borderId="0"/>
    <xf numFmtId="170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0" fontId="7" fillId="0" borderId="0"/>
    <xf numFmtId="168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75" fontId="70" fillId="0" borderId="49" applyFill="0" applyBorder="0">
      <alignment horizontal="center" vertical="center"/>
    </xf>
    <xf numFmtId="175" fontId="70" fillId="0" borderId="49" applyFill="0" applyBorder="0">
      <alignment horizontal="center" vertical="center"/>
    </xf>
    <xf numFmtId="0" fontId="7" fillId="0" borderId="0"/>
    <xf numFmtId="171" fontId="71" fillId="0" borderId="0">
      <alignment horizontal="center"/>
    </xf>
    <xf numFmtId="168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67" fillId="70" borderId="0"/>
    <xf numFmtId="170" fontId="67" fillId="70" borderId="0"/>
    <xf numFmtId="168" fontId="67" fillId="70" borderId="0"/>
    <xf numFmtId="0" fontId="67" fillId="70" borderId="0"/>
    <xf numFmtId="168" fontId="67" fillId="70" borderId="0"/>
    <xf numFmtId="168" fontId="67" fillId="70" borderId="0"/>
    <xf numFmtId="0" fontId="67" fillId="70" borderId="0"/>
    <xf numFmtId="2" fontId="72" fillId="70" borderId="49" applyNumberFormat="0" applyBorder="0" applyAlignment="0">
      <alignment horizontal="center" wrapText="1"/>
    </xf>
    <xf numFmtId="2" fontId="72" fillId="70" borderId="49" applyNumberFormat="0" applyBorder="0" applyAlignment="0">
      <alignment horizontal="center" wrapText="1"/>
    </xf>
    <xf numFmtId="0" fontId="7" fillId="0" borderId="0"/>
    <xf numFmtId="170" fontId="20" fillId="0" borderId="7">
      <alignment wrapText="1"/>
    </xf>
    <xf numFmtId="170" fontId="20" fillId="0" borderId="7">
      <alignment wrapText="1"/>
    </xf>
    <xf numFmtId="170" fontId="20" fillId="0" borderId="7">
      <alignment wrapText="1"/>
    </xf>
    <xf numFmtId="170" fontId="20" fillId="0" borderId="7">
      <alignment wrapText="1"/>
    </xf>
    <xf numFmtId="170" fontId="20" fillId="0" borderId="7">
      <alignment wrapText="1"/>
    </xf>
    <xf numFmtId="170" fontId="20" fillId="0" borderId="7">
      <alignment wrapText="1"/>
    </xf>
    <xf numFmtId="170" fontId="20" fillId="0" borderId="7">
      <alignment wrapText="1"/>
    </xf>
    <xf numFmtId="170" fontId="20" fillId="0" borderId="7">
      <alignment wrapText="1"/>
    </xf>
    <xf numFmtId="170" fontId="20" fillId="0" borderId="7">
      <alignment wrapText="1"/>
    </xf>
    <xf numFmtId="168" fontId="20" fillId="0" borderId="7">
      <alignment wrapText="1"/>
    </xf>
    <xf numFmtId="168" fontId="20" fillId="0" borderId="7">
      <alignment wrapText="1"/>
    </xf>
    <xf numFmtId="168" fontId="20" fillId="0" borderId="7">
      <alignment wrapText="1"/>
    </xf>
    <xf numFmtId="168" fontId="20" fillId="0" borderId="7">
      <alignment wrapText="1"/>
    </xf>
    <xf numFmtId="168" fontId="20" fillId="0" borderId="7">
      <alignment wrapText="1"/>
    </xf>
    <xf numFmtId="168" fontId="20" fillId="0" borderId="7">
      <alignment wrapText="1"/>
    </xf>
    <xf numFmtId="168" fontId="20" fillId="0" borderId="7">
      <alignment wrapText="1"/>
    </xf>
    <xf numFmtId="170" fontId="20" fillId="0" borderId="7">
      <alignment wrapText="1"/>
    </xf>
    <xf numFmtId="170" fontId="20" fillId="0" borderId="7">
      <alignment wrapText="1"/>
    </xf>
    <xf numFmtId="170" fontId="20" fillId="0" borderId="7">
      <alignment wrapText="1"/>
    </xf>
    <xf numFmtId="170" fontId="20" fillId="0" borderId="7">
      <alignment wrapText="1"/>
    </xf>
    <xf numFmtId="170" fontId="20" fillId="0" borderId="7">
      <alignment wrapText="1"/>
    </xf>
    <xf numFmtId="170" fontId="20" fillId="0" borderId="7">
      <alignment wrapText="1"/>
    </xf>
    <xf numFmtId="0" fontId="7" fillId="0" borderId="0"/>
    <xf numFmtId="170" fontId="20" fillId="0" borderId="7">
      <alignment wrapText="1"/>
    </xf>
    <xf numFmtId="170" fontId="20" fillId="0" borderId="7">
      <alignment wrapText="1"/>
    </xf>
    <xf numFmtId="170" fontId="20" fillId="0" borderId="7">
      <alignment wrapText="1"/>
    </xf>
    <xf numFmtId="170" fontId="20" fillId="0" borderId="7">
      <alignment wrapText="1"/>
    </xf>
    <xf numFmtId="170" fontId="20" fillId="0" borderId="7">
      <alignment wrapText="1"/>
    </xf>
    <xf numFmtId="170" fontId="20" fillId="0" borderId="7">
      <alignment wrapText="1"/>
    </xf>
    <xf numFmtId="170" fontId="20" fillId="0" borderId="7">
      <alignment wrapText="1"/>
    </xf>
    <xf numFmtId="168" fontId="20" fillId="0" borderId="7">
      <alignment wrapText="1"/>
    </xf>
    <xf numFmtId="168" fontId="20" fillId="0" borderId="7">
      <alignment wrapText="1"/>
    </xf>
    <xf numFmtId="168" fontId="20" fillId="0" borderId="7">
      <alignment wrapText="1"/>
    </xf>
    <xf numFmtId="168" fontId="20" fillId="0" borderId="7">
      <alignment wrapText="1"/>
    </xf>
    <xf numFmtId="168" fontId="20" fillId="0" borderId="7">
      <alignment wrapText="1"/>
    </xf>
    <xf numFmtId="168" fontId="20" fillId="0" borderId="7">
      <alignment wrapText="1"/>
    </xf>
    <xf numFmtId="168" fontId="20" fillId="0" borderId="7">
      <alignment wrapText="1"/>
    </xf>
    <xf numFmtId="170" fontId="20" fillId="0" borderId="7">
      <alignment wrapText="1"/>
    </xf>
    <xf numFmtId="170" fontId="20" fillId="0" borderId="7">
      <alignment wrapText="1"/>
    </xf>
    <xf numFmtId="170" fontId="20" fillId="0" borderId="7">
      <alignment wrapText="1"/>
    </xf>
    <xf numFmtId="170" fontId="20" fillId="0" borderId="7">
      <alignment wrapText="1"/>
    </xf>
    <xf numFmtId="170" fontId="20" fillId="0" borderId="7">
      <alignment wrapText="1"/>
    </xf>
    <xf numFmtId="170" fontId="20" fillId="0" borderId="7">
      <alignment wrapText="1"/>
    </xf>
    <xf numFmtId="0" fontId="7" fillId="0" borderId="0"/>
    <xf numFmtId="170" fontId="73" fillId="70" borderId="25"/>
    <xf numFmtId="168" fontId="73" fillId="70" borderId="25"/>
    <xf numFmtId="170" fontId="74" fillId="0" borderId="61" applyNumberFormat="0" applyAlignment="0" applyProtection="0"/>
    <xf numFmtId="170" fontId="74" fillId="0" borderId="61" applyNumberFormat="0" applyAlignment="0" applyProtection="0"/>
    <xf numFmtId="168" fontId="74" fillId="0" borderId="61" applyNumberFormat="0" applyAlignment="0" applyProtection="0"/>
    <xf numFmtId="168" fontId="74" fillId="0" borderId="61" applyNumberFormat="0" applyAlignment="0" applyProtection="0"/>
    <xf numFmtId="0" fontId="7" fillId="0" borderId="0"/>
    <xf numFmtId="170" fontId="74" fillId="0" borderId="64">
      <alignment horizontal="left" vertical="center"/>
    </xf>
    <xf numFmtId="170" fontId="74" fillId="0" borderId="64">
      <alignment horizontal="left" vertical="center"/>
    </xf>
    <xf numFmtId="168" fontId="74" fillId="0" borderId="64">
      <alignment horizontal="left" vertical="center"/>
    </xf>
    <xf numFmtId="168" fontId="74" fillId="0" borderId="64">
      <alignment horizontal="left" vertical="center"/>
    </xf>
    <xf numFmtId="170" fontId="74" fillId="0" borderId="64">
      <alignment horizontal="left" vertical="center"/>
    </xf>
    <xf numFmtId="168" fontId="74" fillId="0" borderId="64">
      <alignment horizontal="left" vertical="center"/>
    </xf>
    <xf numFmtId="168" fontId="74" fillId="0" borderId="64">
      <alignment horizontal="left" vertical="center"/>
    </xf>
    <xf numFmtId="170" fontId="74" fillId="0" borderId="64">
      <alignment horizontal="left" vertical="center"/>
    </xf>
    <xf numFmtId="0" fontId="7" fillId="0" borderId="0"/>
    <xf numFmtId="168" fontId="75" fillId="0" borderId="0"/>
    <xf numFmtId="0" fontId="14" fillId="0" borderId="3" applyNumberFormat="0" applyFill="0" applyAlignment="0" applyProtection="0"/>
    <xf numFmtId="168" fontId="14" fillId="0" borderId="3" applyNumberFormat="0" applyFill="0" applyAlignment="0" applyProtection="0"/>
    <xf numFmtId="0" fontId="14" fillId="0" borderId="3" applyNumberFormat="0" applyFill="0" applyAlignment="0" applyProtection="0"/>
    <xf numFmtId="168" fontId="76" fillId="0" borderId="0"/>
    <xf numFmtId="0" fontId="15" fillId="0" borderId="4" applyNumberFormat="0" applyFill="0" applyAlignment="0" applyProtection="0"/>
    <xf numFmtId="168" fontId="15" fillId="0" borderId="4" applyNumberFormat="0" applyFill="0" applyAlignment="0" applyProtection="0"/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168" fontId="16" fillId="0" borderId="5" applyNumberFormat="0" applyFill="0" applyAlignment="0" applyProtection="0"/>
    <xf numFmtId="168" fontId="16" fillId="0" borderId="5" applyNumberFormat="0" applyFill="0" applyAlignment="0" applyProtection="0"/>
    <xf numFmtId="168" fontId="16" fillId="0" borderId="5" applyNumberFormat="0" applyFill="0" applyAlignment="0" applyProtection="0"/>
    <xf numFmtId="168" fontId="16" fillId="0" borderId="5" applyNumberFormat="0" applyFill="0" applyAlignment="0" applyProtection="0"/>
    <xf numFmtId="0" fontId="7" fillId="0" borderId="0"/>
    <xf numFmtId="0" fontId="16" fillId="0" borderId="5" applyNumberFormat="0" applyFill="0" applyAlignment="0" applyProtection="0"/>
    <xf numFmtId="168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1" fontId="77" fillId="0" borderId="0" applyNumberFormat="0">
      <alignment horizontal="centerContinuous" vertical="center" wrapText="1"/>
    </xf>
    <xf numFmtId="0" fontId="78" fillId="0" borderId="0" applyNumberFormat="0" applyFill="0" applyBorder="0" applyAlignment="0" applyProtection="0"/>
    <xf numFmtId="0" fontId="78" fillId="0" borderId="0" applyNumberFormat="0" applyFill="0" applyBorder="0" applyAlignment="0" applyProtection="0"/>
    <xf numFmtId="0" fontId="78" fillId="0" borderId="0" applyNumberFormat="0" applyFill="0" applyBorder="0" applyAlignment="0" applyProtection="0"/>
    <xf numFmtId="0" fontId="78" fillId="0" borderId="0" applyNumberFormat="0" applyFill="0" applyBorder="0" applyAlignment="0" applyProtection="0"/>
    <xf numFmtId="0" fontId="78" fillId="0" borderId="0" applyNumberFormat="0" applyFill="0" applyBorder="0" applyAlignment="0" applyProtection="0"/>
    <xf numFmtId="0" fontId="78" fillId="0" borderId="0" applyNumberFormat="0" applyFill="0" applyBorder="0" applyAlignment="0" applyProtection="0"/>
    <xf numFmtId="0" fontId="78" fillId="0" borderId="0" applyNumberFormat="0" applyFill="0" applyBorder="0" applyAlignment="0" applyProtection="0"/>
    <xf numFmtId="0" fontId="78" fillId="0" borderId="0" applyNumberFormat="0" applyFill="0" applyBorder="0" applyAlignment="0" applyProtection="0"/>
    <xf numFmtId="0" fontId="78" fillId="0" borderId="0" applyNumberFormat="0" applyFill="0" applyBorder="0" applyAlignment="0" applyProtection="0"/>
    <xf numFmtId="0" fontId="78" fillId="0" borderId="0" applyNumberFormat="0" applyFill="0" applyBorder="0" applyAlignment="0" applyProtection="0"/>
    <xf numFmtId="168" fontId="79" fillId="0" borderId="0" applyNumberFormat="0" applyFill="0" applyBorder="0" applyAlignment="0" applyProtection="0">
      <alignment vertical="top"/>
      <protection locked="0"/>
    </xf>
    <xf numFmtId="0" fontId="78" fillId="0" borderId="0" applyNumberFormat="0" applyFill="0" applyBorder="0" applyAlignment="0" applyProtection="0"/>
    <xf numFmtId="0" fontId="78" fillId="0" borderId="0" applyNumberFormat="0" applyFill="0" applyBorder="0" applyAlignment="0" applyProtection="0"/>
    <xf numFmtId="0" fontId="78" fillId="0" borderId="0" applyNumberFormat="0" applyFill="0" applyBorder="0" applyAlignment="0" applyProtection="0"/>
    <xf numFmtId="170" fontId="79" fillId="0" borderId="0" applyNumberFormat="0" applyFill="0" applyBorder="0" applyAlignment="0" applyProtection="0">
      <alignment vertical="top"/>
      <protection locked="0"/>
    </xf>
    <xf numFmtId="168" fontId="79" fillId="0" borderId="0" applyNumberFormat="0" applyFill="0" applyBorder="0" applyAlignment="0" applyProtection="0">
      <alignment vertical="top"/>
      <protection locked="0"/>
    </xf>
    <xf numFmtId="170" fontId="79" fillId="0" borderId="0" applyNumberFormat="0" applyFill="0" applyBorder="0" applyAlignment="0" applyProtection="0">
      <alignment vertical="top"/>
      <protection locked="0"/>
    </xf>
    <xf numFmtId="168" fontId="79" fillId="0" borderId="0" applyNumberFormat="0" applyFill="0" applyBorder="0" applyAlignment="0" applyProtection="0">
      <alignment vertical="top"/>
      <protection locked="0"/>
    </xf>
    <xf numFmtId="0" fontId="79" fillId="0" borderId="0" applyNumberFormat="0" applyFill="0" applyBorder="0" applyAlignment="0" applyProtection="0">
      <alignment vertical="top"/>
      <protection locked="0"/>
    </xf>
    <xf numFmtId="168" fontId="79" fillId="0" borderId="0" applyNumberFormat="0" applyFill="0" applyBorder="0" applyAlignment="0" applyProtection="0">
      <alignment vertical="top"/>
      <protection locked="0"/>
    </xf>
    <xf numFmtId="0" fontId="78" fillId="0" borderId="0" applyNumberFormat="0" applyFill="0" applyBorder="0" applyAlignment="0" applyProtection="0"/>
    <xf numFmtId="0" fontId="78" fillId="0" borderId="0" applyNumberFormat="0" applyFill="0" applyBorder="0" applyAlignment="0" applyProtection="0"/>
    <xf numFmtId="0" fontId="78" fillId="0" borderId="0" applyNumberFormat="0" applyFill="0" applyBorder="0" applyAlignment="0" applyProtection="0"/>
    <xf numFmtId="0" fontId="78" fillId="0" borderId="0" applyNumberFormat="0" applyFill="0" applyBorder="0" applyAlignment="0" applyProtection="0"/>
    <xf numFmtId="168" fontId="17" fillId="7" borderId="1" applyNumberFormat="0" applyAlignment="0" applyProtection="0"/>
    <xf numFmtId="168" fontId="17" fillId="7" borderId="1" applyNumberFormat="0" applyAlignment="0" applyProtection="0"/>
    <xf numFmtId="168" fontId="17" fillId="7" borderId="1" applyNumberFormat="0" applyAlignment="0" applyProtection="0"/>
    <xf numFmtId="168" fontId="17" fillId="7" borderId="1" applyNumberFormat="0" applyAlignment="0" applyProtection="0"/>
    <xf numFmtId="168" fontId="17" fillId="7" borderId="1" applyNumberFormat="0" applyAlignment="0" applyProtection="0"/>
    <xf numFmtId="168" fontId="17" fillId="7" borderId="1" applyNumberFormat="0" applyAlignment="0" applyProtection="0"/>
    <xf numFmtId="168" fontId="17" fillId="7" borderId="1" applyNumberFormat="0" applyAlignment="0" applyProtection="0"/>
    <xf numFmtId="0" fontId="17" fillId="7" borderId="1" applyNumberFormat="0" applyAlignment="0" applyProtection="0"/>
    <xf numFmtId="0" fontId="17" fillId="7" borderId="1" applyNumberFormat="0" applyAlignment="0" applyProtection="0"/>
    <xf numFmtId="0" fontId="17" fillId="7" borderId="1" applyNumberFormat="0" applyAlignment="0" applyProtection="0"/>
    <xf numFmtId="0" fontId="17" fillId="7" borderId="1" applyNumberFormat="0" applyAlignment="0" applyProtection="0"/>
    <xf numFmtId="0" fontId="17" fillId="7" borderId="1" applyNumberFormat="0" applyAlignment="0" applyProtection="0"/>
    <xf numFmtId="0" fontId="17" fillId="7" borderId="1" applyNumberFormat="0" applyAlignment="0" applyProtection="0"/>
    <xf numFmtId="0" fontId="17" fillId="7" borderId="1" applyNumberFormat="0" applyAlignment="0" applyProtection="0"/>
    <xf numFmtId="0" fontId="17" fillId="7" borderId="1" applyNumberFormat="0" applyAlignment="0" applyProtection="0"/>
    <xf numFmtId="0" fontId="17" fillId="7" borderId="1" applyNumberFormat="0" applyAlignment="0" applyProtection="0"/>
    <xf numFmtId="0" fontId="17" fillId="7" borderId="1" applyNumberFormat="0" applyAlignment="0" applyProtection="0"/>
    <xf numFmtId="0" fontId="17" fillId="7" borderId="1" applyNumberFormat="0" applyAlignment="0" applyProtection="0"/>
    <xf numFmtId="0" fontId="17" fillId="7" borderId="1" applyNumberFormat="0" applyAlignment="0" applyProtection="0"/>
    <xf numFmtId="0" fontId="17" fillId="7" borderId="1" applyNumberFormat="0" applyAlignment="0" applyProtection="0"/>
    <xf numFmtId="49" fontId="80" fillId="0" borderId="65">
      <alignment vertical="top" wrapText="1"/>
    </xf>
    <xf numFmtId="168" fontId="18" fillId="0" borderId="6" applyNumberFormat="0" applyFill="0" applyAlignment="0" applyProtection="0"/>
    <xf numFmtId="0" fontId="18" fillId="0" borderId="6" applyNumberFormat="0" applyFill="0" applyAlignment="0" applyProtection="0"/>
    <xf numFmtId="176" fontId="63" fillId="0" borderId="0" applyNumberFormat="0">
      <alignment horizontal="left"/>
    </xf>
    <xf numFmtId="176" fontId="63" fillId="0" borderId="0" applyNumberFormat="0">
      <alignment horizontal="left"/>
    </xf>
    <xf numFmtId="176" fontId="63" fillId="0" borderId="0" applyNumberFormat="0">
      <alignment horizontal="left"/>
    </xf>
    <xf numFmtId="170" fontId="81" fillId="0" borderId="0"/>
    <xf numFmtId="168" fontId="81" fillId="0" borderId="0"/>
    <xf numFmtId="177" fontId="25" fillId="0" borderId="0"/>
    <xf numFmtId="177" fontId="25" fillId="0" borderId="0"/>
    <xf numFmtId="0" fontId="7" fillId="0" borderId="0"/>
    <xf numFmtId="168" fontId="19" fillId="22" borderId="0" applyNumberFormat="0" applyBorder="0" applyAlignment="0" applyProtection="0"/>
    <xf numFmtId="0" fontId="19" fillId="22" borderId="0" applyNumberFormat="0" applyBorder="0" applyAlignment="0" applyProtection="0"/>
    <xf numFmtId="178" fontId="82" fillId="0" borderId="0"/>
    <xf numFmtId="170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0" fontId="7" fillId="0" borderId="0"/>
    <xf numFmtId="179" fontId="20" fillId="0" borderId="0"/>
    <xf numFmtId="179" fontId="20" fillId="0" borderId="0"/>
    <xf numFmtId="179" fontId="20" fillId="0" borderId="0"/>
    <xf numFmtId="0" fontId="7" fillId="0" borderId="0"/>
    <xf numFmtId="179" fontId="20" fillId="0" borderId="0"/>
    <xf numFmtId="0" fontId="7" fillId="0" borderId="0"/>
    <xf numFmtId="179" fontId="20" fillId="0" borderId="0"/>
    <xf numFmtId="180" fontId="20" fillId="0" borderId="0"/>
    <xf numFmtId="170" fontId="20" fillId="0" borderId="0"/>
    <xf numFmtId="170" fontId="20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68" fontId="20" fillId="0" borderId="0"/>
    <xf numFmtId="0" fontId="7" fillId="0" borderId="0"/>
    <xf numFmtId="181" fontId="20" fillId="0" borderId="0"/>
    <xf numFmtId="181" fontId="20" fillId="0" borderId="0"/>
    <xf numFmtId="0" fontId="7" fillId="0" borderId="0"/>
    <xf numFmtId="180" fontId="20" fillId="0" borderId="0"/>
    <xf numFmtId="180" fontId="20" fillId="0" borderId="0"/>
    <xf numFmtId="180" fontId="20" fillId="0" borderId="0"/>
    <xf numFmtId="0" fontId="7" fillId="0" borderId="0"/>
    <xf numFmtId="179" fontId="20" fillId="0" borderId="0"/>
    <xf numFmtId="179" fontId="20" fillId="0" borderId="0"/>
    <xf numFmtId="0" fontId="7" fillId="0" borderId="0"/>
    <xf numFmtId="179" fontId="20" fillId="0" borderId="0"/>
    <xf numFmtId="179" fontId="20" fillId="0" borderId="0"/>
    <xf numFmtId="179" fontId="20" fillId="0" borderId="0"/>
    <xf numFmtId="0" fontId="7" fillId="0" borderId="0"/>
    <xf numFmtId="166" fontId="20" fillId="0" borderId="0"/>
    <xf numFmtId="166" fontId="20" fillId="0" borderId="0"/>
    <xf numFmtId="0" fontId="7" fillId="0" borderId="0"/>
    <xf numFmtId="173" fontId="20" fillId="0" borderId="0"/>
    <xf numFmtId="173" fontId="20" fillId="0" borderId="0"/>
    <xf numFmtId="0" fontId="7" fillId="0" borderId="0"/>
    <xf numFmtId="170" fontId="20" fillId="0" borderId="0"/>
    <xf numFmtId="168" fontId="20" fillId="0" borderId="0"/>
    <xf numFmtId="0" fontId="7" fillId="0" borderId="0"/>
    <xf numFmtId="170" fontId="20" fillId="0" borderId="0"/>
    <xf numFmtId="168" fontId="20" fillId="0" borderId="0"/>
    <xf numFmtId="0" fontId="7" fillId="0" borderId="0"/>
    <xf numFmtId="170" fontId="2" fillId="0" borderId="0"/>
    <xf numFmtId="170" fontId="2" fillId="0" borderId="0"/>
    <xf numFmtId="170" fontId="2" fillId="0" borderId="0"/>
    <xf numFmtId="170" fontId="2" fillId="0" borderId="0"/>
    <xf numFmtId="182" fontId="2" fillId="0" borderId="0"/>
    <xf numFmtId="182" fontId="2" fillId="0" borderId="0"/>
    <xf numFmtId="183" fontId="2" fillId="0" borderId="0"/>
    <xf numFmtId="183" fontId="2" fillId="0" borderId="0"/>
    <xf numFmtId="183" fontId="2" fillId="0" borderId="0"/>
    <xf numFmtId="183" fontId="2" fillId="0" borderId="0"/>
    <xf numFmtId="183" fontId="2" fillId="0" borderId="0"/>
    <xf numFmtId="183" fontId="2" fillId="0" borderId="0"/>
    <xf numFmtId="183" fontId="2" fillId="0" borderId="0"/>
    <xf numFmtId="183" fontId="2" fillId="0" borderId="0"/>
    <xf numFmtId="183" fontId="2" fillId="0" borderId="0"/>
    <xf numFmtId="183" fontId="2" fillId="0" borderId="0"/>
    <xf numFmtId="0" fontId="7" fillId="0" borderId="0"/>
    <xf numFmtId="183" fontId="2" fillId="0" borderId="0"/>
    <xf numFmtId="183" fontId="2" fillId="0" borderId="0"/>
    <xf numFmtId="183" fontId="2" fillId="0" borderId="0"/>
    <xf numFmtId="183" fontId="2" fillId="0" borderId="0"/>
    <xf numFmtId="183" fontId="2" fillId="0" borderId="0"/>
    <xf numFmtId="183" fontId="2" fillId="0" borderId="0"/>
    <xf numFmtId="183" fontId="2" fillId="0" borderId="0"/>
    <xf numFmtId="0" fontId="7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1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2" fontId="2" fillId="0" borderId="0"/>
    <xf numFmtId="182" fontId="2" fillId="0" borderId="0"/>
    <xf numFmtId="182" fontId="2" fillId="0" borderId="0"/>
    <xf numFmtId="182" fontId="2" fillId="0" borderId="0"/>
    <xf numFmtId="0" fontId="7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0" fontId="7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0" fontId="7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0" fontId="7" fillId="0" borderId="0"/>
    <xf numFmtId="183" fontId="2" fillId="0" borderId="0"/>
    <xf numFmtId="183" fontId="2" fillId="0" borderId="0"/>
    <xf numFmtId="183" fontId="2" fillId="0" borderId="0"/>
    <xf numFmtId="183" fontId="2" fillId="0" borderId="0"/>
    <xf numFmtId="183" fontId="2" fillId="0" borderId="0"/>
    <xf numFmtId="183" fontId="2" fillId="0" borderId="0"/>
    <xf numFmtId="183" fontId="2" fillId="0" borderId="0"/>
    <xf numFmtId="183" fontId="2" fillId="0" borderId="0"/>
    <xf numFmtId="0" fontId="7" fillId="0" borderId="0"/>
    <xf numFmtId="183" fontId="2" fillId="0" borderId="0"/>
    <xf numFmtId="183" fontId="2" fillId="0" borderId="0"/>
    <xf numFmtId="183" fontId="2" fillId="0" borderId="0"/>
    <xf numFmtId="183" fontId="2" fillId="0" borderId="0"/>
    <xf numFmtId="183" fontId="2" fillId="0" borderId="0"/>
    <xf numFmtId="183" fontId="2" fillId="0" borderId="0"/>
    <xf numFmtId="183" fontId="2" fillId="0" borderId="0"/>
    <xf numFmtId="0" fontId="7" fillId="0" borderId="0"/>
    <xf numFmtId="182" fontId="2" fillId="0" borderId="0"/>
    <xf numFmtId="182" fontId="2" fillId="0" borderId="0"/>
    <xf numFmtId="182" fontId="2" fillId="0" borderId="0"/>
    <xf numFmtId="182" fontId="2" fillId="0" borderId="0"/>
    <xf numFmtId="182" fontId="2" fillId="0" borderId="0"/>
    <xf numFmtId="182" fontId="2" fillId="0" borderId="0"/>
    <xf numFmtId="182" fontId="2" fillId="0" borderId="0"/>
    <xf numFmtId="182" fontId="2" fillId="0" borderId="0"/>
    <xf numFmtId="0" fontId="7" fillId="0" borderId="0"/>
    <xf numFmtId="182" fontId="2" fillId="0" borderId="0"/>
    <xf numFmtId="182" fontId="2" fillId="0" borderId="0"/>
    <xf numFmtId="182" fontId="2" fillId="0" borderId="0"/>
    <xf numFmtId="182" fontId="2" fillId="0" borderId="0"/>
    <xf numFmtId="182" fontId="2" fillId="0" borderId="0"/>
    <xf numFmtId="182" fontId="2" fillId="0" borderId="0"/>
    <xf numFmtId="182" fontId="2" fillId="0" borderId="0"/>
    <xf numFmtId="182" fontId="2" fillId="0" borderId="0"/>
    <xf numFmtId="182" fontId="2" fillId="0" borderId="0"/>
    <xf numFmtId="182" fontId="2" fillId="0" borderId="0"/>
    <xf numFmtId="182" fontId="2" fillId="0" borderId="0"/>
    <xf numFmtId="182" fontId="2" fillId="0" borderId="0"/>
    <xf numFmtId="182" fontId="2" fillId="0" borderId="0"/>
    <xf numFmtId="182" fontId="2" fillId="0" borderId="0"/>
    <xf numFmtId="0" fontId="7" fillId="0" borderId="0"/>
    <xf numFmtId="170" fontId="2" fillId="0" borderId="0"/>
    <xf numFmtId="170" fontId="2" fillId="0" borderId="0"/>
    <xf numFmtId="170" fontId="2" fillId="0" borderId="0"/>
    <xf numFmtId="170" fontId="2" fillId="0" borderId="0"/>
    <xf numFmtId="17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0" fontId="7" fillId="0" borderId="0"/>
    <xf numFmtId="17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0" fontId="7" fillId="0" borderId="0"/>
    <xf numFmtId="179" fontId="7" fillId="0" borderId="0"/>
    <xf numFmtId="170" fontId="2" fillId="0" borderId="0"/>
    <xf numFmtId="17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0" fontId="7" fillId="0" borderId="0"/>
    <xf numFmtId="170" fontId="7" fillId="0" borderId="0"/>
    <xf numFmtId="179" fontId="7" fillId="0" borderId="0"/>
    <xf numFmtId="179" fontId="7" fillId="0" borderId="0"/>
    <xf numFmtId="0" fontId="7" fillId="0" borderId="0"/>
    <xf numFmtId="168" fontId="7" fillId="0" borderId="0"/>
    <xf numFmtId="170" fontId="7" fillId="0" borderId="0"/>
    <xf numFmtId="168" fontId="7" fillId="0" borderId="0"/>
    <xf numFmtId="168" fontId="7" fillId="0" borderId="0"/>
    <xf numFmtId="0" fontId="7" fillId="0" borderId="0"/>
    <xf numFmtId="17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0" fontId="7" fillId="0" borderId="0"/>
    <xf numFmtId="170" fontId="2" fillId="0" borderId="0"/>
    <xf numFmtId="17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0" fontId="7" fillId="0" borderId="0"/>
    <xf numFmtId="17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0" fontId="7" fillId="0" borderId="0"/>
    <xf numFmtId="170" fontId="2" fillId="0" borderId="0"/>
    <xf numFmtId="17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0" fontId="7" fillId="0" borderId="0"/>
    <xf numFmtId="17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170" fontId="2" fillId="0" borderId="0"/>
    <xf numFmtId="170" fontId="2" fillId="0" borderId="0"/>
    <xf numFmtId="170" fontId="2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0" fontId="7" fillId="0" borderId="0"/>
    <xf numFmtId="170" fontId="20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68" fontId="20" fillId="0" borderId="0"/>
    <xf numFmtId="0" fontId="7" fillId="0" borderId="0"/>
    <xf numFmtId="170" fontId="2" fillId="0" borderId="0"/>
    <xf numFmtId="170" fontId="2" fillId="0" borderId="0"/>
    <xf numFmtId="17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0" fontId="7" fillId="0" borderId="0"/>
    <xf numFmtId="17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0" fontId="7" fillId="0" borderId="0"/>
    <xf numFmtId="170" fontId="20" fillId="0" borderId="0"/>
    <xf numFmtId="184" fontId="20" fillId="0" borderId="0"/>
    <xf numFmtId="184" fontId="20" fillId="0" borderId="0"/>
    <xf numFmtId="185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0" fontId="7" fillId="0" borderId="0"/>
    <xf numFmtId="170" fontId="20" fillId="0" borderId="0"/>
    <xf numFmtId="168" fontId="20" fillId="0" borderId="0"/>
    <xf numFmtId="0" fontId="7" fillId="0" borderId="0"/>
    <xf numFmtId="170" fontId="20" fillId="0" borderId="0"/>
    <xf numFmtId="0" fontId="20" fillId="0" borderId="0"/>
    <xf numFmtId="0" fontId="20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0" fontId="7" fillId="0" borderId="0"/>
    <xf numFmtId="170" fontId="20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0" fontId="7" fillId="0" borderId="0"/>
    <xf numFmtId="170" fontId="20" fillId="0" borderId="0"/>
    <xf numFmtId="168" fontId="20" fillId="0" borderId="0"/>
    <xf numFmtId="0" fontId="7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0" fontId="2" fillId="0" borderId="0"/>
    <xf numFmtId="0" fontId="2" fillId="0" borderId="0"/>
    <xf numFmtId="0" fontId="20" fillId="0" borderId="0"/>
    <xf numFmtId="0" fontId="20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170" fontId="20" fillId="0" borderId="0"/>
    <xf numFmtId="0" fontId="20" fillId="0" borderId="0"/>
    <xf numFmtId="0" fontId="20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0" fontId="7" fillId="0" borderId="0"/>
    <xf numFmtId="170" fontId="20" fillId="0" borderId="0"/>
    <xf numFmtId="186" fontId="20" fillId="0" borderId="0"/>
    <xf numFmtId="186" fontId="20" fillId="0" borderId="0"/>
    <xf numFmtId="186" fontId="20" fillId="0" borderId="0"/>
    <xf numFmtId="186" fontId="20" fillId="0" borderId="0"/>
    <xf numFmtId="186" fontId="20" fillId="0" borderId="0"/>
    <xf numFmtId="170" fontId="20" fillId="0" borderId="0"/>
    <xf numFmtId="0" fontId="20" fillId="0" borderId="0"/>
    <xf numFmtId="0" fontId="20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168" fontId="20" fillId="0" borderId="0"/>
    <xf numFmtId="0" fontId="7" fillId="0" borderId="0"/>
    <xf numFmtId="186" fontId="20" fillId="0" borderId="0"/>
    <xf numFmtId="186" fontId="20" fillId="0" borderId="0"/>
    <xf numFmtId="0" fontId="7" fillId="0" borderId="0"/>
    <xf numFmtId="186" fontId="20" fillId="0" borderId="0"/>
    <xf numFmtId="186" fontId="20" fillId="0" borderId="0"/>
    <xf numFmtId="0" fontId="7" fillId="0" borderId="0"/>
    <xf numFmtId="186" fontId="20" fillId="0" borderId="0"/>
    <xf numFmtId="186" fontId="20" fillId="0" borderId="0"/>
    <xf numFmtId="0" fontId="7" fillId="0" borderId="0"/>
    <xf numFmtId="186" fontId="20" fillId="0" borderId="0"/>
    <xf numFmtId="186" fontId="20" fillId="0" borderId="0"/>
    <xf numFmtId="0" fontId="7" fillId="0" borderId="0"/>
    <xf numFmtId="186" fontId="20" fillId="0" borderId="0"/>
    <xf numFmtId="186" fontId="20" fillId="0" borderId="0"/>
    <xf numFmtId="0" fontId="7" fillId="0" borderId="0"/>
    <xf numFmtId="170" fontId="20" fillId="0" borderId="0"/>
    <xf numFmtId="0" fontId="7" fillId="0" borderId="0"/>
    <xf numFmtId="0" fontId="20" fillId="0" borderId="0"/>
    <xf numFmtId="0" fontId="20" fillId="0" borderId="0"/>
    <xf numFmtId="168" fontId="20" fillId="0" borderId="0"/>
    <xf numFmtId="0" fontId="7" fillId="0" borderId="0"/>
    <xf numFmtId="181" fontId="20" fillId="0" borderId="0"/>
    <xf numFmtId="0" fontId="20" fillId="0" borderId="0"/>
    <xf numFmtId="0" fontId="20" fillId="0" borderId="0"/>
    <xf numFmtId="168" fontId="20" fillId="0" borderId="0"/>
    <xf numFmtId="0" fontId="7" fillId="0" borderId="0"/>
    <xf numFmtId="181" fontId="20" fillId="0" borderId="0"/>
    <xf numFmtId="181" fontId="20" fillId="0" borderId="0"/>
    <xf numFmtId="181" fontId="20" fillId="0" borderId="0"/>
    <xf numFmtId="0" fontId="7" fillId="0" borderId="0"/>
    <xf numFmtId="181" fontId="20" fillId="0" borderId="0"/>
    <xf numFmtId="181" fontId="20" fillId="0" borderId="0"/>
    <xf numFmtId="0" fontId="7" fillId="0" borderId="0"/>
    <xf numFmtId="170" fontId="20" fillId="0" borderId="0"/>
    <xf numFmtId="170" fontId="20" fillId="0" borderId="0"/>
    <xf numFmtId="168" fontId="20" fillId="0" borderId="0"/>
    <xf numFmtId="0" fontId="7" fillId="0" borderId="0"/>
    <xf numFmtId="170" fontId="20" fillId="0" borderId="0" applyNumberFormat="0" applyFill="0" applyBorder="0" applyAlignment="0" applyProtection="0"/>
    <xf numFmtId="170" fontId="20" fillId="0" borderId="0" applyNumberFormat="0" applyFill="0" applyBorder="0" applyAlignment="0" applyProtection="0"/>
    <xf numFmtId="168" fontId="20" fillId="0" borderId="0" applyNumberFormat="0" applyFill="0" applyBorder="0" applyAlignment="0" applyProtection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7" fillId="0" borderId="0"/>
    <xf numFmtId="0" fontId="20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7" fillId="0" borderId="0"/>
    <xf numFmtId="0" fontId="20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7" fillId="0" borderId="0"/>
    <xf numFmtId="0" fontId="20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7" fillId="0" borderId="0"/>
    <xf numFmtId="0" fontId="20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7" fillId="0" borderId="0"/>
    <xf numFmtId="0" fontId="20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7" fillId="0" borderId="0"/>
    <xf numFmtId="0" fontId="20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7" fillId="0" borderId="0"/>
    <xf numFmtId="0" fontId="20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68" fontId="20" fillId="0" borderId="0"/>
    <xf numFmtId="0" fontId="7" fillId="0" borderId="0"/>
    <xf numFmtId="0" fontId="2" fillId="0" borderId="0"/>
    <xf numFmtId="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0" fontId="2" fillId="0" borderId="0"/>
    <xf numFmtId="0" fontId="2" fillId="0" borderId="0"/>
    <xf numFmtId="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170" fontId="20" fillId="0" borderId="0"/>
    <xf numFmtId="187" fontId="20" fillId="0" borderId="0"/>
    <xf numFmtId="168" fontId="20" fillId="0" borderId="0"/>
    <xf numFmtId="0" fontId="7" fillId="0" borderId="0"/>
    <xf numFmtId="170" fontId="20" fillId="0" borderId="0"/>
    <xf numFmtId="179" fontId="20" fillId="0" borderId="0"/>
    <xf numFmtId="180" fontId="20" fillId="0" borderId="0"/>
    <xf numFmtId="170" fontId="20" fillId="0" borderId="0"/>
    <xf numFmtId="170" fontId="20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68" fontId="20" fillId="0" borderId="0"/>
    <xf numFmtId="0" fontId="7" fillId="0" borderId="0"/>
    <xf numFmtId="181" fontId="20" fillId="0" borderId="0"/>
    <xf numFmtId="181" fontId="20" fillId="0" borderId="0"/>
    <xf numFmtId="0" fontId="7" fillId="0" borderId="0"/>
    <xf numFmtId="180" fontId="20" fillId="0" borderId="0"/>
    <xf numFmtId="180" fontId="20" fillId="0" borderId="0"/>
    <xf numFmtId="180" fontId="20" fillId="0" borderId="0"/>
    <xf numFmtId="0" fontId="7" fillId="0" borderId="0"/>
    <xf numFmtId="179" fontId="20" fillId="0" borderId="0"/>
    <xf numFmtId="179" fontId="20" fillId="0" borderId="0"/>
    <xf numFmtId="0" fontId="7" fillId="0" borderId="0"/>
    <xf numFmtId="179" fontId="20" fillId="0" borderId="0"/>
    <xf numFmtId="179" fontId="20" fillId="0" borderId="0"/>
    <xf numFmtId="179" fontId="20" fillId="0" borderId="0"/>
    <xf numFmtId="0" fontId="7" fillId="0" borderId="0"/>
    <xf numFmtId="166" fontId="20" fillId="0" borderId="0"/>
    <xf numFmtId="166" fontId="20" fillId="0" borderId="0"/>
    <xf numFmtId="0" fontId="7" fillId="0" borderId="0"/>
    <xf numFmtId="173" fontId="20" fillId="0" borderId="0"/>
    <xf numFmtId="173" fontId="20" fillId="0" borderId="0"/>
    <xf numFmtId="0" fontId="7" fillId="0" borderId="0"/>
    <xf numFmtId="179" fontId="20" fillId="0" borderId="0"/>
    <xf numFmtId="179" fontId="20" fillId="0" borderId="0"/>
    <xf numFmtId="179" fontId="20" fillId="0" borderId="0"/>
    <xf numFmtId="0" fontId="7" fillId="0" borderId="0"/>
    <xf numFmtId="170" fontId="20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168" fontId="20" fillId="0" borderId="0"/>
    <xf numFmtId="0" fontId="7" fillId="0" borderId="0"/>
    <xf numFmtId="168" fontId="20" fillId="0" borderId="0"/>
    <xf numFmtId="168" fontId="20" fillId="0" borderId="0"/>
    <xf numFmtId="0" fontId="7" fillId="0" borderId="0"/>
    <xf numFmtId="170" fontId="20" fillId="0" borderId="0"/>
    <xf numFmtId="188" fontId="2" fillId="0" borderId="0"/>
    <xf numFmtId="188" fontId="2" fillId="0" borderId="0"/>
    <xf numFmtId="188" fontId="2" fillId="0" borderId="0"/>
    <xf numFmtId="188" fontId="2" fillId="0" borderId="0"/>
    <xf numFmtId="0" fontId="7" fillId="0" borderId="0"/>
    <xf numFmtId="170" fontId="20" fillId="0" borderId="0"/>
    <xf numFmtId="170" fontId="20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0" fontId="7" fillId="0" borderId="0"/>
    <xf numFmtId="179" fontId="20" fillId="0" borderId="0"/>
    <xf numFmtId="179" fontId="20" fillId="0" borderId="0"/>
    <xf numFmtId="179" fontId="20" fillId="0" borderId="0"/>
    <xf numFmtId="0" fontId="7" fillId="0" borderId="0"/>
    <xf numFmtId="179" fontId="20" fillId="0" borderId="0"/>
    <xf numFmtId="0" fontId="7" fillId="0" borderId="0"/>
    <xf numFmtId="179" fontId="20" fillId="0" borderId="0"/>
    <xf numFmtId="180" fontId="20" fillId="0" borderId="0"/>
    <xf numFmtId="170" fontId="20" fillId="0" borderId="0"/>
    <xf numFmtId="170" fontId="20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68" fontId="20" fillId="0" borderId="0"/>
    <xf numFmtId="0" fontId="7" fillId="0" borderId="0"/>
    <xf numFmtId="181" fontId="20" fillId="0" borderId="0"/>
    <xf numFmtId="181" fontId="20" fillId="0" borderId="0"/>
    <xf numFmtId="0" fontId="7" fillId="0" borderId="0"/>
    <xf numFmtId="180" fontId="20" fillId="0" borderId="0"/>
    <xf numFmtId="180" fontId="20" fillId="0" borderId="0"/>
    <xf numFmtId="180" fontId="20" fillId="0" borderId="0"/>
    <xf numFmtId="0" fontId="7" fillId="0" borderId="0"/>
    <xf numFmtId="179" fontId="20" fillId="0" borderId="0"/>
    <xf numFmtId="179" fontId="20" fillId="0" borderId="0"/>
    <xf numFmtId="0" fontId="7" fillId="0" borderId="0"/>
    <xf numFmtId="179" fontId="20" fillId="0" borderId="0"/>
    <xf numFmtId="179" fontId="20" fillId="0" borderId="0"/>
    <xf numFmtId="179" fontId="20" fillId="0" borderId="0"/>
    <xf numFmtId="0" fontId="7" fillId="0" borderId="0"/>
    <xf numFmtId="170" fontId="20" fillId="0" borderId="0"/>
    <xf numFmtId="168" fontId="20" fillId="0" borderId="0"/>
    <xf numFmtId="0" fontId="7" fillId="0" borderId="0"/>
    <xf numFmtId="170" fontId="20" fillId="0" borderId="0"/>
    <xf numFmtId="168" fontId="20" fillId="0" borderId="0"/>
    <xf numFmtId="0" fontId="7" fillId="0" borderId="0"/>
    <xf numFmtId="170" fontId="20" fillId="0" borderId="0"/>
    <xf numFmtId="185" fontId="2" fillId="0" borderId="0"/>
    <xf numFmtId="185" fontId="2" fillId="0" borderId="0"/>
    <xf numFmtId="185" fontId="2" fillId="0" borderId="0"/>
    <xf numFmtId="185" fontId="2" fillId="0" borderId="0"/>
    <xf numFmtId="185" fontId="2" fillId="0" borderId="0"/>
    <xf numFmtId="185" fontId="2" fillId="0" borderId="0"/>
    <xf numFmtId="185" fontId="2" fillId="0" borderId="0"/>
    <xf numFmtId="185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0" fontId="2" fillId="0" borderId="0"/>
    <xf numFmtId="0" fontId="2" fillId="0" borderId="0"/>
    <xf numFmtId="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0" fontId="2" fillId="0" borderId="0"/>
    <xf numFmtId="0" fontId="2" fillId="0" borderId="0"/>
    <xf numFmtId="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168" fontId="20" fillId="0" borderId="0"/>
    <xf numFmtId="0" fontId="7" fillId="0" borderId="0"/>
    <xf numFmtId="0" fontId="20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68" fontId="20" fillId="0" borderId="0"/>
    <xf numFmtId="0" fontId="7" fillId="0" borderId="0"/>
    <xf numFmtId="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0" fillId="0" borderId="0"/>
    <xf numFmtId="168" fontId="20" fillId="0" borderId="0"/>
    <xf numFmtId="0" fontId="7" fillId="0" borderId="0"/>
    <xf numFmtId="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0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168" fontId="20" fillId="0" borderId="0"/>
    <xf numFmtId="0" fontId="7" fillId="0" borderId="0"/>
    <xf numFmtId="170" fontId="2" fillId="0" borderId="0"/>
    <xf numFmtId="170" fontId="2" fillId="0" borderId="0"/>
    <xf numFmtId="170" fontId="2" fillId="0" borderId="0"/>
    <xf numFmtId="17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0" fontId="7" fillId="0" borderId="0"/>
    <xf numFmtId="17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0" fontId="7" fillId="0" borderId="0"/>
    <xf numFmtId="170" fontId="2" fillId="0" borderId="0"/>
    <xf numFmtId="17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0" fontId="7" fillId="0" borderId="0"/>
    <xf numFmtId="17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170" fontId="7" fillId="0" borderId="0"/>
    <xf numFmtId="170" fontId="2" fillId="0" borderId="0"/>
    <xf numFmtId="170" fontId="2" fillId="0" borderId="0"/>
    <xf numFmtId="17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0" fontId="7" fillId="0" borderId="0"/>
    <xf numFmtId="17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0" fontId="7" fillId="0" borderId="0"/>
    <xf numFmtId="170" fontId="2" fillId="0" borderId="0"/>
    <xf numFmtId="17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0" fontId="7" fillId="0" borderId="0"/>
    <xf numFmtId="17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188" fontId="2" fillId="0" borderId="0"/>
    <xf numFmtId="188" fontId="2" fillId="0" borderId="0"/>
    <xf numFmtId="188" fontId="2" fillId="0" borderId="0"/>
    <xf numFmtId="188" fontId="2" fillId="0" borderId="0"/>
    <xf numFmtId="188" fontId="2" fillId="0" borderId="0"/>
    <xf numFmtId="188" fontId="2" fillId="0" borderId="0"/>
    <xf numFmtId="188" fontId="2" fillId="0" borderId="0"/>
    <xf numFmtId="188" fontId="2" fillId="0" borderId="0"/>
    <xf numFmtId="170" fontId="2" fillId="0" borderId="0"/>
    <xf numFmtId="170" fontId="2" fillId="0" borderId="0"/>
    <xf numFmtId="170" fontId="2" fillId="0" borderId="0"/>
    <xf numFmtId="0" fontId="7" fillId="0" borderId="0"/>
    <xf numFmtId="0" fontId="20" fillId="0" borderId="0"/>
    <xf numFmtId="0" fontId="20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168" fontId="20" fillId="0" borderId="0"/>
    <xf numFmtId="0" fontId="7" fillId="0" borderId="0"/>
    <xf numFmtId="170" fontId="2" fillId="0" borderId="0"/>
    <xf numFmtId="17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0" fontId="7" fillId="0" borderId="0"/>
    <xf numFmtId="17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17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0" fontId="7" fillId="0" borderId="0"/>
    <xf numFmtId="0" fontId="20" fillId="0" borderId="0"/>
    <xf numFmtId="0" fontId="20" fillId="0" borderId="0"/>
    <xf numFmtId="168" fontId="20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83" fontId="20" fillId="0" borderId="0"/>
    <xf numFmtId="183" fontId="20" fillId="0" borderId="0"/>
    <xf numFmtId="0" fontId="20" fillId="0" borderId="0"/>
    <xf numFmtId="0" fontId="20" fillId="0" borderId="0"/>
    <xf numFmtId="170" fontId="2" fillId="0" borderId="0"/>
    <xf numFmtId="170" fontId="2" fillId="0" borderId="0"/>
    <xf numFmtId="170" fontId="2" fillId="0" borderId="0"/>
    <xf numFmtId="0" fontId="20" fillId="0" borderId="0"/>
    <xf numFmtId="0" fontId="20" fillId="0" borderId="0"/>
    <xf numFmtId="168" fontId="20" fillId="0" borderId="0"/>
    <xf numFmtId="0" fontId="7" fillId="0" borderId="0"/>
    <xf numFmtId="170" fontId="2" fillId="0" borderId="0"/>
    <xf numFmtId="17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0" fontId="7" fillId="0" borderId="0"/>
    <xf numFmtId="17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170" fontId="2" fillId="0" borderId="0"/>
    <xf numFmtId="170" fontId="2" fillId="0" borderId="0"/>
    <xf numFmtId="170" fontId="2" fillId="0" borderId="0"/>
    <xf numFmtId="170" fontId="2" fillId="0" borderId="0"/>
    <xf numFmtId="170" fontId="2" fillId="0" borderId="0"/>
    <xf numFmtId="0" fontId="7" fillId="0" borderId="0"/>
    <xf numFmtId="0" fontId="20" fillId="0" borderId="0"/>
    <xf numFmtId="168" fontId="20" fillId="0" borderId="0"/>
    <xf numFmtId="0" fontId="20" fillId="0" borderId="0"/>
    <xf numFmtId="168" fontId="20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170" fontId="2" fillId="0" borderId="0"/>
    <xf numFmtId="170" fontId="2" fillId="0" borderId="0"/>
    <xf numFmtId="170" fontId="2" fillId="0" borderId="0"/>
    <xf numFmtId="0" fontId="2" fillId="0" borderId="0"/>
    <xf numFmtId="0" fontId="2" fillId="0" borderId="0"/>
    <xf numFmtId="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0" fontId="2" fillId="0" borderId="0"/>
    <xf numFmtId="0" fontId="2" fillId="0" borderId="0"/>
    <xf numFmtId="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0" fontId="2" fillId="0" borderId="0"/>
    <xf numFmtId="0" fontId="2" fillId="0" borderId="0"/>
    <xf numFmtId="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170" fontId="2" fillId="0" borderId="0"/>
    <xf numFmtId="17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0" fontId="7" fillId="0" borderId="0"/>
    <xf numFmtId="17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0" fontId="2" fillId="0" borderId="0"/>
    <xf numFmtId="0" fontId="2" fillId="0" borderId="0"/>
    <xf numFmtId="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70" fontId="2" fillId="0" borderId="0"/>
    <xf numFmtId="170" fontId="2" fillId="0" borderId="0"/>
    <xf numFmtId="170" fontId="2" fillId="0" borderId="0"/>
    <xf numFmtId="170" fontId="2" fillId="0" borderId="0"/>
    <xf numFmtId="170" fontId="2" fillId="0" borderId="0"/>
    <xf numFmtId="170" fontId="2" fillId="0" borderId="0"/>
    <xf numFmtId="0" fontId="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" fillId="0" borderId="0"/>
    <xf numFmtId="0" fontId="2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0" fontId="7" fillId="0" borderId="0"/>
    <xf numFmtId="170" fontId="20" fillId="0" borderId="0"/>
    <xf numFmtId="170" fontId="20" fillId="0" borderId="0"/>
    <xf numFmtId="183" fontId="20" fillId="0" borderId="0"/>
    <xf numFmtId="168" fontId="20" fillId="0" borderId="0"/>
    <xf numFmtId="0" fontId="7" fillId="0" borderId="0"/>
    <xf numFmtId="170" fontId="20" fillId="0" borderId="0"/>
    <xf numFmtId="168" fontId="20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0" fontId="2" fillId="0" borderId="0"/>
    <xf numFmtId="170" fontId="2" fillId="0" borderId="0"/>
    <xf numFmtId="170" fontId="2" fillId="0" borderId="0"/>
    <xf numFmtId="170" fontId="2" fillId="0" borderId="0"/>
    <xf numFmtId="0" fontId="2" fillId="0" borderId="0"/>
    <xf numFmtId="0" fontId="2" fillId="0" borderId="0"/>
    <xf numFmtId="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0" fontId="2" fillId="0" borderId="0"/>
    <xf numFmtId="0" fontId="2" fillId="0" borderId="0"/>
    <xf numFmtId="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0" fontId="2" fillId="0" borderId="0"/>
    <xf numFmtId="0" fontId="2" fillId="0" borderId="0"/>
    <xf numFmtId="0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170" fontId="2" fillId="0" borderId="0"/>
    <xf numFmtId="17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0" fontId="2" fillId="0" borderId="0"/>
    <xf numFmtId="170" fontId="2" fillId="0" borderId="0"/>
    <xf numFmtId="17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0" fontId="2" fillId="0" borderId="0"/>
    <xf numFmtId="170" fontId="2" fillId="0" borderId="0"/>
    <xf numFmtId="170" fontId="2" fillId="0" borderId="0"/>
    <xf numFmtId="0" fontId="7" fillId="0" borderId="0"/>
    <xf numFmtId="17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0" fontId="2" fillId="0" borderId="0"/>
    <xf numFmtId="170" fontId="2" fillId="0" borderId="0"/>
    <xf numFmtId="17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0" fontId="2" fillId="0" borderId="0"/>
    <xf numFmtId="170" fontId="2" fillId="0" borderId="0"/>
    <xf numFmtId="170" fontId="2" fillId="0" borderId="0"/>
    <xf numFmtId="170" fontId="2" fillId="0" borderId="0"/>
    <xf numFmtId="170" fontId="2" fillId="0" borderId="0"/>
    <xf numFmtId="170" fontId="2" fillId="0" borderId="0"/>
    <xf numFmtId="170" fontId="2" fillId="0" borderId="0"/>
    <xf numFmtId="170" fontId="2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0" fontId="20" fillId="0" borderId="0"/>
    <xf numFmtId="0" fontId="20" fillId="0" borderId="0"/>
    <xf numFmtId="0" fontId="2" fillId="0" borderId="0"/>
    <xf numFmtId="0" fontId="2" fillId="38" borderId="38" applyNumberFormat="0" applyFont="0" applyAlignment="0" applyProtection="0"/>
    <xf numFmtId="0" fontId="2" fillId="38" borderId="38" applyNumberFormat="0" applyFont="0" applyAlignment="0" applyProtection="0"/>
    <xf numFmtId="0" fontId="2" fillId="38" borderId="38" applyNumberFormat="0" applyFont="0" applyAlignment="0" applyProtection="0"/>
    <xf numFmtId="0" fontId="20" fillId="23" borderId="7" applyNumberFormat="0" applyFont="0" applyAlignment="0" applyProtection="0"/>
    <xf numFmtId="0" fontId="20" fillId="23" borderId="7" applyNumberFormat="0" applyFont="0" applyAlignment="0" applyProtection="0"/>
    <xf numFmtId="0" fontId="20" fillId="23" borderId="7" applyNumberFormat="0" applyFont="0" applyAlignment="0" applyProtection="0"/>
    <xf numFmtId="0" fontId="20" fillId="23" borderId="7" applyNumberFormat="0" applyFont="0" applyAlignment="0" applyProtection="0"/>
    <xf numFmtId="0" fontId="20" fillId="23" borderId="7" applyNumberFormat="0" applyFont="0" applyAlignment="0" applyProtection="0"/>
    <xf numFmtId="0" fontId="20" fillId="23" borderId="7" applyNumberFormat="0" applyFont="0" applyAlignment="0" applyProtection="0"/>
    <xf numFmtId="0" fontId="20" fillId="23" borderId="7" applyNumberFormat="0" applyFont="0" applyAlignment="0" applyProtection="0"/>
    <xf numFmtId="168" fontId="20" fillId="23" borderId="7" applyNumberFormat="0" applyFont="0" applyAlignment="0" applyProtection="0"/>
    <xf numFmtId="168" fontId="20" fillId="23" borderId="7" applyNumberFormat="0" applyFont="0" applyAlignment="0" applyProtection="0"/>
    <xf numFmtId="168" fontId="20" fillId="23" borderId="7" applyNumberFormat="0" applyFont="0" applyAlignment="0" applyProtection="0"/>
    <xf numFmtId="168" fontId="20" fillId="23" borderId="7" applyNumberFormat="0" applyFont="0" applyAlignment="0" applyProtection="0"/>
    <xf numFmtId="168" fontId="20" fillId="23" borderId="7" applyNumberFormat="0" applyFont="0" applyAlignment="0" applyProtection="0"/>
    <xf numFmtId="168" fontId="20" fillId="23" borderId="7" applyNumberFormat="0" applyFont="0" applyAlignment="0" applyProtection="0"/>
    <xf numFmtId="168" fontId="20" fillId="23" borderId="7" applyNumberFormat="0" applyFont="0" applyAlignment="0" applyProtection="0"/>
    <xf numFmtId="0" fontId="20" fillId="23" borderId="7" applyNumberFormat="0" applyFont="0" applyAlignment="0" applyProtection="0"/>
    <xf numFmtId="0" fontId="20" fillId="23" borderId="7" applyNumberFormat="0" applyFont="0" applyAlignment="0" applyProtection="0"/>
    <xf numFmtId="0" fontId="20" fillId="23" borderId="7" applyNumberFormat="0" applyFont="0" applyAlignment="0" applyProtection="0"/>
    <xf numFmtId="0" fontId="20" fillId="23" borderId="7" applyNumberFormat="0" applyFont="0" applyAlignment="0" applyProtection="0"/>
    <xf numFmtId="0" fontId="20" fillId="23" borderId="7" applyNumberFormat="0" applyFont="0" applyAlignment="0" applyProtection="0"/>
    <xf numFmtId="0" fontId="20" fillId="23" borderId="7" applyNumberFormat="0" applyFont="0" applyAlignment="0" applyProtection="0"/>
    <xf numFmtId="0" fontId="7" fillId="0" borderId="0"/>
    <xf numFmtId="0" fontId="20" fillId="23" borderId="7" applyNumberFormat="0" applyFont="0" applyAlignment="0" applyProtection="0"/>
    <xf numFmtId="0" fontId="20" fillId="23" borderId="7" applyNumberFormat="0" applyFont="0" applyAlignment="0" applyProtection="0"/>
    <xf numFmtId="0" fontId="20" fillId="23" borderId="7" applyNumberFormat="0" applyFont="0" applyAlignment="0" applyProtection="0"/>
    <xf numFmtId="0" fontId="20" fillId="23" borderId="7" applyNumberFormat="0" applyFont="0" applyAlignment="0" applyProtection="0"/>
    <xf numFmtId="0" fontId="20" fillId="23" borderId="7" applyNumberFormat="0" applyFont="0" applyAlignment="0" applyProtection="0"/>
    <xf numFmtId="0" fontId="20" fillId="23" borderId="7" applyNumberFormat="0" applyFont="0" applyAlignment="0" applyProtection="0"/>
    <xf numFmtId="0" fontId="20" fillId="23" borderId="7" applyNumberFormat="0" applyFont="0" applyAlignment="0" applyProtection="0"/>
    <xf numFmtId="0" fontId="2" fillId="38" borderId="38" applyNumberFormat="0" applyFont="0" applyAlignment="0" applyProtection="0"/>
    <xf numFmtId="0" fontId="2" fillId="38" borderId="38" applyNumberFormat="0" applyFont="0" applyAlignment="0" applyProtection="0"/>
    <xf numFmtId="0" fontId="2" fillId="38" borderId="38" applyNumberFormat="0" applyFont="0" applyAlignment="0" applyProtection="0"/>
    <xf numFmtId="0" fontId="2" fillId="38" borderId="38" applyNumberFormat="0" applyFont="0" applyAlignment="0" applyProtection="0"/>
    <xf numFmtId="0" fontId="2" fillId="38" borderId="38" applyNumberFormat="0" applyFont="0" applyAlignment="0" applyProtection="0"/>
    <xf numFmtId="0" fontId="2" fillId="38" borderId="38" applyNumberFormat="0" applyFont="0" applyAlignment="0" applyProtection="0"/>
    <xf numFmtId="0" fontId="2" fillId="38" borderId="38" applyNumberFormat="0" applyFont="0" applyAlignment="0" applyProtection="0"/>
    <xf numFmtId="0" fontId="2" fillId="38" borderId="38" applyNumberFormat="0" applyFont="0" applyAlignment="0" applyProtection="0"/>
    <xf numFmtId="0" fontId="2" fillId="38" borderId="38" applyNumberFormat="0" applyFont="0" applyAlignment="0" applyProtection="0"/>
    <xf numFmtId="0" fontId="2" fillId="38" borderId="38" applyNumberFormat="0" applyFont="0" applyAlignment="0" applyProtection="0"/>
    <xf numFmtId="0" fontId="2" fillId="38" borderId="38" applyNumberFormat="0" applyFont="0" applyAlignment="0" applyProtection="0"/>
    <xf numFmtId="0" fontId="2" fillId="38" borderId="38" applyNumberFormat="0" applyFont="0" applyAlignment="0" applyProtection="0"/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0" fontId="7" fillId="0" borderId="0"/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89" fontId="20" fillId="0" borderId="63">
      <alignment horizontal="center" vertical="center"/>
    </xf>
    <xf numFmtId="176" fontId="25" fillId="0" borderId="0">
      <alignment horizontal="center" vertical="center"/>
    </xf>
    <xf numFmtId="176" fontId="25" fillId="0" borderId="0">
      <alignment horizontal="center" vertical="center"/>
    </xf>
    <xf numFmtId="0" fontId="7" fillId="0" borderId="0"/>
    <xf numFmtId="177" fontId="70" fillId="0" borderId="66" applyBorder="0">
      <alignment horizontal="center" vertical="center"/>
    </xf>
    <xf numFmtId="177" fontId="70" fillId="0" borderId="66" applyBorder="0">
      <alignment horizontal="center" vertical="center"/>
    </xf>
    <xf numFmtId="0" fontId="7" fillId="0" borderId="0"/>
    <xf numFmtId="168" fontId="21" fillId="20" borderId="8" applyNumberFormat="0" applyAlignment="0" applyProtection="0"/>
    <xf numFmtId="168" fontId="21" fillId="20" borderId="8" applyNumberFormat="0" applyAlignment="0" applyProtection="0"/>
    <xf numFmtId="168" fontId="21" fillId="20" borderId="8" applyNumberFormat="0" applyAlignment="0" applyProtection="0"/>
    <xf numFmtId="168" fontId="21" fillId="20" borderId="8" applyNumberFormat="0" applyAlignment="0" applyProtection="0"/>
    <xf numFmtId="168" fontId="21" fillId="20" borderId="8" applyNumberFormat="0" applyAlignment="0" applyProtection="0"/>
    <xf numFmtId="168" fontId="21" fillId="20" borderId="8" applyNumberFormat="0" applyAlignment="0" applyProtection="0"/>
    <xf numFmtId="168" fontId="21" fillId="20" borderId="8" applyNumberFormat="0" applyAlignment="0" applyProtection="0"/>
    <xf numFmtId="0" fontId="21" fillId="20" borderId="8" applyNumberFormat="0" applyAlignment="0" applyProtection="0"/>
    <xf numFmtId="0" fontId="21" fillId="20" borderId="8" applyNumberFormat="0" applyAlignment="0" applyProtection="0"/>
    <xf numFmtId="0" fontId="21" fillId="20" borderId="8" applyNumberFormat="0" applyAlignment="0" applyProtection="0"/>
    <xf numFmtId="0" fontId="21" fillId="20" borderId="8" applyNumberFormat="0" applyAlignment="0" applyProtection="0"/>
    <xf numFmtId="0" fontId="21" fillId="20" borderId="8" applyNumberFormat="0" applyAlignment="0" applyProtection="0"/>
    <xf numFmtId="0" fontId="21" fillId="20" borderId="8" applyNumberFormat="0" applyAlignment="0" applyProtection="0"/>
    <xf numFmtId="0" fontId="21" fillId="20" borderId="8" applyNumberFormat="0" applyAlignment="0" applyProtection="0"/>
    <xf numFmtId="0" fontId="21" fillId="20" borderId="8" applyNumberFormat="0" applyAlignment="0" applyProtection="0"/>
    <xf numFmtId="0" fontId="21" fillId="20" borderId="8" applyNumberFormat="0" applyAlignment="0" applyProtection="0"/>
    <xf numFmtId="0" fontId="21" fillId="20" borderId="8" applyNumberFormat="0" applyAlignment="0" applyProtection="0"/>
    <xf numFmtId="0" fontId="21" fillId="20" borderId="8" applyNumberFormat="0" applyAlignment="0" applyProtection="0"/>
    <xf numFmtId="0" fontId="21" fillId="20" borderId="8" applyNumberFormat="0" applyAlignment="0" applyProtection="0"/>
    <xf numFmtId="0" fontId="21" fillId="20" borderId="8" applyNumberFormat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7" fillId="0" borderId="0"/>
    <xf numFmtId="9" fontId="20" fillId="0" borderId="0" applyFont="0" applyFill="0" applyBorder="0" applyAlignment="0" applyProtection="0"/>
    <xf numFmtId="0" fontId="7" fillId="0" borderId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7" fillId="0" borderId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7" fillId="0" borderId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7" fillId="0" borderId="0"/>
    <xf numFmtId="190" fontId="70" fillId="0" borderId="43" applyBorder="0">
      <alignment horizontal="center" vertical="center"/>
    </xf>
    <xf numFmtId="190" fontId="70" fillId="0" borderId="43" applyBorder="0">
      <alignment horizontal="center" vertical="center"/>
    </xf>
    <xf numFmtId="0" fontId="7" fillId="0" borderId="0"/>
    <xf numFmtId="0" fontId="67" fillId="0" borderId="63">
      <alignment horizontal="center" vertical="center" wrapText="1"/>
      <protection locked="0"/>
    </xf>
    <xf numFmtId="168" fontId="67" fillId="0" borderId="63">
      <alignment horizontal="center" vertical="center" wrapText="1"/>
      <protection locked="0"/>
    </xf>
    <xf numFmtId="168" fontId="67" fillId="0" borderId="63">
      <alignment horizontal="center" vertical="center" wrapText="1"/>
      <protection locked="0"/>
    </xf>
    <xf numFmtId="168" fontId="67" fillId="0" borderId="63">
      <alignment horizontal="center" vertical="center" wrapText="1"/>
      <protection locked="0"/>
    </xf>
    <xf numFmtId="168" fontId="67" fillId="0" borderId="63">
      <alignment horizontal="center" vertical="center" wrapText="1"/>
      <protection locked="0"/>
    </xf>
    <xf numFmtId="168" fontId="67" fillId="0" borderId="63">
      <alignment horizontal="center" vertical="center" wrapText="1"/>
      <protection locked="0"/>
    </xf>
    <xf numFmtId="168" fontId="67" fillId="0" borderId="63">
      <alignment horizontal="center" vertical="center" wrapText="1"/>
      <protection locked="0"/>
    </xf>
    <xf numFmtId="168" fontId="67" fillId="0" borderId="63">
      <alignment horizontal="center" vertical="center" wrapText="1"/>
      <protection locked="0"/>
    </xf>
    <xf numFmtId="168" fontId="67" fillId="0" borderId="63">
      <alignment horizontal="center" vertical="center" wrapText="1"/>
      <protection locked="0"/>
    </xf>
    <xf numFmtId="168" fontId="67" fillId="0" borderId="63">
      <alignment horizontal="center" vertical="center" wrapText="1"/>
      <protection locked="0"/>
    </xf>
    <xf numFmtId="168" fontId="67" fillId="0" borderId="63">
      <alignment horizontal="center" vertical="center" wrapText="1"/>
      <protection locked="0"/>
    </xf>
    <xf numFmtId="168" fontId="67" fillId="0" borderId="63">
      <alignment horizontal="center" vertical="center" wrapText="1"/>
      <protection locked="0"/>
    </xf>
    <xf numFmtId="0" fontId="67" fillId="0" borderId="63">
      <alignment horizontal="center" vertical="center" wrapText="1"/>
      <protection locked="0"/>
    </xf>
    <xf numFmtId="0" fontId="67" fillId="0" borderId="63">
      <alignment horizontal="center" vertical="center" wrapText="1"/>
      <protection locked="0"/>
    </xf>
    <xf numFmtId="0" fontId="67" fillId="0" borderId="63">
      <alignment horizontal="center" vertical="center" wrapText="1"/>
      <protection locked="0"/>
    </xf>
    <xf numFmtId="0" fontId="67" fillId="0" borderId="63">
      <alignment horizontal="center" vertical="center" wrapText="1"/>
      <protection locked="0"/>
    </xf>
    <xf numFmtId="0" fontId="67" fillId="0" borderId="63">
      <alignment horizontal="center" vertical="center" wrapText="1"/>
      <protection locked="0"/>
    </xf>
    <xf numFmtId="0" fontId="67" fillId="0" borderId="63">
      <alignment horizontal="center" vertical="center" wrapText="1"/>
      <protection locked="0"/>
    </xf>
    <xf numFmtId="0" fontId="67" fillId="0" borderId="63">
      <alignment horizontal="center" vertical="center" wrapText="1"/>
      <protection locked="0"/>
    </xf>
    <xf numFmtId="0" fontId="67" fillId="0" borderId="63">
      <alignment horizontal="center" vertical="center" wrapText="1"/>
      <protection locked="0"/>
    </xf>
    <xf numFmtId="0" fontId="67" fillId="0" borderId="63">
      <alignment horizontal="center" vertical="center" wrapText="1"/>
      <protection locked="0"/>
    </xf>
    <xf numFmtId="0" fontId="67" fillId="0" borderId="63">
      <alignment horizontal="center" vertical="center" wrapText="1"/>
      <protection locked="0"/>
    </xf>
    <xf numFmtId="170" fontId="20" fillId="0" borderId="0" applyFill="0" applyBorder="0">
      <alignment horizontal="center" vertical="center" shrinkToFit="1"/>
    </xf>
    <xf numFmtId="170" fontId="20" fillId="0" borderId="0" applyFill="0" applyBorder="0">
      <alignment horizontal="center" vertical="center" shrinkToFit="1"/>
    </xf>
    <xf numFmtId="170" fontId="20" fillId="0" borderId="0" applyFill="0" applyBorder="0">
      <alignment horizontal="center" vertical="center" shrinkToFit="1"/>
    </xf>
    <xf numFmtId="168" fontId="20" fillId="0" borderId="0" applyFill="0" applyBorder="0">
      <alignment horizontal="center" vertical="center" shrinkToFit="1"/>
    </xf>
    <xf numFmtId="0" fontId="7" fillId="0" borderId="0"/>
    <xf numFmtId="170" fontId="20" fillId="0" borderId="0" applyFill="0" applyBorder="0">
      <alignment horizontal="center" vertical="center" shrinkToFit="1"/>
    </xf>
    <xf numFmtId="168" fontId="20" fillId="0" borderId="0" applyFill="0" applyBorder="0">
      <alignment horizontal="center" vertical="center" shrinkToFit="1"/>
    </xf>
    <xf numFmtId="0" fontId="7" fillId="0" borderId="0"/>
    <xf numFmtId="170" fontId="20" fillId="0" borderId="0"/>
    <xf numFmtId="170" fontId="20" fillId="0" borderId="0"/>
    <xf numFmtId="170" fontId="20" fillId="0" borderId="0"/>
    <xf numFmtId="170" fontId="20" fillId="0" borderId="0"/>
    <xf numFmtId="168" fontId="20" fillId="0" borderId="0"/>
    <xf numFmtId="0" fontId="7" fillId="0" borderId="0"/>
    <xf numFmtId="170" fontId="20" fillId="0" borderId="0"/>
    <xf numFmtId="168" fontId="20" fillId="0" borderId="0"/>
    <xf numFmtId="0" fontId="7" fillId="0" borderId="0"/>
    <xf numFmtId="170" fontId="20" fillId="0" borderId="0"/>
    <xf numFmtId="168" fontId="20" fillId="0" borderId="0"/>
    <xf numFmtId="0" fontId="7" fillId="0" borderId="0"/>
    <xf numFmtId="170" fontId="63" fillId="0" borderId="0"/>
    <xf numFmtId="170" fontId="63" fillId="0" borderId="0"/>
    <xf numFmtId="168" fontId="63" fillId="0" borderId="0"/>
    <xf numFmtId="0" fontId="63" fillId="0" borderId="0"/>
    <xf numFmtId="168" fontId="63" fillId="0" borderId="0"/>
    <xf numFmtId="168" fontId="63" fillId="0" borderId="0"/>
    <xf numFmtId="0" fontId="63" fillId="0" borderId="0"/>
    <xf numFmtId="170" fontId="73" fillId="0" borderId="0" applyNumberFormat="0" applyFill="0" applyBorder="0" applyProtection="0">
      <alignment horizontal="left"/>
    </xf>
    <xf numFmtId="170" fontId="73" fillId="0" borderId="0" applyNumberFormat="0" applyFill="0" applyBorder="0" applyProtection="0">
      <alignment horizontal="left"/>
    </xf>
    <xf numFmtId="168" fontId="73" fillId="0" borderId="0" applyNumberFormat="0" applyFill="0" applyBorder="0" applyProtection="0">
      <alignment horizontal="left"/>
    </xf>
    <xf numFmtId="0" fontId="73" fillId="0" borderId="0" applyNumberFormat="0" applyFill="0" applyBorder="0" applyProtection="0">
      <alignment horizontal="left"/>
    </xf>
    <xf numFmtId="168" fontId="73" fillId="0" borderId="0" applyNumberFormat="0" applyFill="0" applyBorder="0" applyProtection="0">
      <alignment horizontal="left"/>
    </xf>
    <xf numFmtId="168" fontId="73" fillId="0" borderId="0" applyNumberFormat="0" applyFill="0" applyBorder="0" applyProtection="0">
      <alignment horizontal="left"/>
    </xf>
    <xf numFmtId="0" fontId="73" fillId="0" borderId="0" applyNumberFormat="0" applyFill="0" applyBorder="0" applyProtection="0">
      <alignment horizontal="left"/>
    </xf>
    <xf numFmtId="170" fontId="83" fillId="0" borderId="63" applyNumberFormat="0" applyFill="0" applyProtection="0">
      <alignment horizontal="center" vertical="center" wrapText="1"/>
    </xf>
    <xf numFmtId="168" fontId="83" fillId="0" borderId="63" applyNumberFormat="0" applyFill="0" applyProtection="0">
      <alignment horizontal="center" vertical="center" wrapText="1"/>
    </xf>
    <xf numFmtId="168" fontId="83" fillId="0" borderId="63" applyNumberFormat="0" applyFill="0" applyProtection="0">
      <alignment horizontal="center" vertical="center" wrapText="1"/>
    </xf>
    <xf numFmtId="168" fontId="83" fillId="0" borderId="63" applyNumberFormat="0" applyFill="0" applyProtection="0">
      <alignment horizontal="center" vertical="center" wrapText="1"/>
    </xf>
    <xf numFmtId="168" fontId="83" fillId="0" borderId="63" applyNumberFormat="0" applyFill="0" applyProtection="0">
      <alignment horizontal="center" vertical="center" wrapText="1"/>
    </xf>
    <xf numFmtId="168" fontId="83" fillId="0" borderId="63" applyNumberFormat="0" applyFill="0" applyProtection="0">
      <alignment horizontal="center" vertical="center" wrapText="1"/>
    </xf>
    <xf numFmtId="168" fontId="83" fillId="0" borderId="63" applyNumberFormat="0" applyFill="0" applyProtection="0">
      <alignment horizontal="center" vertical="center" wrapText="1"/>
    </xf>
    <xf numFmtId="168" fontId="83" fillId="0" borderId="63" applyNumberFormat="0" applyFill="0" applyProtection="0">
      <alignment horizontal="center" vertical="center" wrapText="1"/>
    </xf>
    <xf numFmtId="168" fontId="83" fillId="0" borderId="63" applyNumberFormat="0" applyFill="0" applyProtection="0">
      <alignment horizontal="center" vertical="center" wrapText="1"/>
    </xf>
    <xf numFmtId="168" fontId="83" fillId="0" borderId="63" applyNumberFormat="0" applyFill="0" applyProtection="0">
      <alignment horizontal="center" vertical="center" wrapText="1"/>
    </xf>
    <xf numFmtId="168" fontId="83" fillId="0" borderId="63" applyNumberFormat="0" applyFill="0" applyProtection="0">
      <alignment horizontal="center" vertical="center" wrapText="1"/>
    </xf>
    <xf numFmtId="168" fontId="83" fillId="0" borderId="63" applyNumberFormat="0" applyFill="0" applyProtection="0">
      <alignment horizontal="center" vertical="center" wrapText="1"/>
    </xf>
    <xf numFmtId="170" fontId="83" fillId="0" borderId="63" applyNumberFormat="0" applyFill="0" applyProtection="0">
      <alignment horizontal="center" vertical="center" wrapText="1"/>
    </xf>
    <xf numFmtId="170" fontId="83" fillId="0" borderId="63" applyNumberFormat="0" applyFill="0" applyProtection="0">
      <alignment horizontal="center" vertical="center" wrapText="1"/>
    </xf>
    <xf numFmtId="170" fontId="83" fillId="0" borderId="63" applyNumberFormat="0" applyFill="0" applyProtection="0">
      <alignment horizontal="center" vertical="center" wrapText="1"/>
    </xf>
    <xf numFmtId="170" fontId="83" fillId="0" borderId="63" applyNumberFormat="0" applyFill="0" applyProtection="0">
      <alignment horizontal="center" vertical="center" wrapText="1"/>
    </xf>
    <xf numFmtId="170" fontId="83" fillId="0" borderId="63" applyNumberFormat="0" applyFill="0" applyProtection="0">
      <alignment horizontal="center" vertical="center" wrapText="1"/>
    </xf>
    <xf numFmtId="170" fontId="83" fillId="0" borderId="63" applyNumberFormat="0" applyFill="0" applyProtection="0">
      <alignment horizontal="center" vertical="center" wrapText="1"/>
    </xf>
    <xf numFmtId="170" fontId="83" fillId="0" borderId="63" applyNumberFormat="0" applyFill="0" applyProtection="0">
      <alignment horizontal="center" vertical="center" wrapText="1"/>
    </xf>
    <xf numFmtId="170" fontId="83" fillId="0" borderId="63" applyNumberFormat="0" applyFill="0" applyProtection="0">
      <alignment horizontal="center" vertical="center" wrapText="1"/>
    </xf>
    <xf numFmtId="170" fontId="83" fillId="0" borderId="63" applyNumberFormat="0" applyFill="0" applyProtection="0">
      <alignment horizontal="center" vertical="center" wrapText="1"/>
    </xf>
    <xf numFmtId="170" fontId="83" fillId="0" borderId="63" applyNumberFormat="0" applyFill="0" applyProtection="0">
      <alignment horizontal="center" vertical="center" wrapText="1"/>
    </xf>
    <xf numFmtId="170" fontId="83" fillId="71" borderId="63" applyNumberFormat="0" applyProtection="0">
      <alignment horizontal="center" vertical="center" wrapText="1"/>
    </xf>
    <xf numFmtId="168" fontId="83" fillId="71" borderId="63" applyNumberFormat="0" applyProtection="0">
      <alignment horizontal="center" vertical="center" wrapText="1"/>
    </xf>
    <xf numFmtId="168" fontId="83" fillId="71" borderId="63" applyNumberFormat="0" applyProtection="0">
      <alignment horizontal="center" vertical="center" wrapText="1"/>
    </xf>
    <xf numFmtId="168" fontId="83" fillId="71" borderId="63" applyNumberFormat="0" applyProtection="0">
      <alignment horizontal="center" vertical="center" wrapText="1"/>
    </xf>
    <xf numFmtId="168" fontId="83" fillId="71" borderId="63" applyNumberFormat="0" applyProtection="0">
      <alignment horizontal="center" vertical="center" wrapText="1"/>
    </xf>
    <xf numFmtId="168" fontId="83" fillId="71" borderId="63" applyNumberFormat="0" applyProtection="0">
      <alignment horizontal="center" vertical="center" wrapText="1"/>
    </xf>
    <xf numFmtId="168" fontId="83" fillId="71" borderId="63" applyNumberFormat="0" applyProtection="0">
      <alignment horizontal="center" vertical="center" wrapText="1"/>
    </xf>
    <xf numFmtId="168" fontId="83" fillId="71" borderId="63" applyNumberFormat="0" applyProtection="0">
      <alignment horizontal="center" vertical="center" wrapText="1"/>
    </xf>
    <xf numFmtId="168" fontId="83" fillId="71" borderId="63" applyNumberFormat="0" applyProtection="0">
      <alignment horizontal="center" vertical="center" wrapText="1"/>
    </xf>
    <xf numFmtId="168" fontId="83" fillId="71" borderId="63" applyNumberFormat="0" applyProtection="0">
      <alignment horizontal="center" vertical="center" wrapText="1"/>
    </xf>
    <xf numFmtId="168" fontId="83" fillId="71" borderId="63" applyNumberFormat="0" applyProtection="0">
      <alignment horizontal="center" vertical="center" wrapText="1"/>
    </xf>
    <xf numFmtId="168" fontId="83" fillId="71" borderId="63" applyNumberFormat="0" applyProtection="0">
      <alignment horizontal="center" vertical="center" wrapText="1"/>
    </xf>
    <xf numFmtId="170" fontId="83" fillId="71" borderId="63" applyNumberFormat="0" applyProtection="0">
      <alignment horizontal="center" vertical="center" wrapText="1"/>
    </xf>
    <xf numFmtId="170" fontId="83" fillId="71" borderId="63" applyNumberFormat="0" applyProtection="0">
      <alignment horizontal="center" vertical="center" wrapText="1"/>
    </xf>
    <xf numFmtId="170" fontId="83" fillId="71" borderId="63" applyNumberFormat="0" applyProtection="0">
      <alignment horizontal="center" vertical="center" wrapText="1"/>
    </xf>
    <xf numFmtId="170" fontId="83" fillId="71" borderId="63" applyNumberFormat="0" applyProtection="0">
      <alignment horizontal="center" vertical="center" wrapText="1"/>
    </xf>
    <xf numFmtId="170" fontId="83" fillId="71" borderId="63" applyNumberFormat="0" applyProtection="0">
      <alignment horizontal="center" vertical="center" wrapText="1"/>
    </xf>
    <xf numFmtId="170" fontId="83" fillId="71" borderId="63" applyNumberFormat="0" applyProtection="0">
      <alignment horizontal="center" vertical="center" wrapText="1"/>
    </xf>
    <xf numFmtId="170" fontId="83" fillId="71" borderId="63" applyNumberFormat="0" applyProtection="0">
      <alignment horizontal="center" vertical="center" wrapText="1"/>
    </xf>
    <xf numFmtId="170" fontId="83" fillId="71" borderId="63" applyNumberFormat="0" applyProtection="0">
      <alignment horizontal="center" vertical="center" wrapText="1"/>
    </xf>
    <xf numFmtId="170" fontId="83" fillId="71" borderId="63" applyNumberFormat="0" applyProtection="0">
      <alignment horizontal="center" vertical="center" wrapText="1"/>
    </xf>
    <xf numFmtId="170" fontId="83" fillId="71" borderId="63" applyNumberFormat="0" applyProtection="0">
      <alignment horizontal="center" vertical="center" wrapText="1"/>
    </xf>
    <xf numFmtId="170" fontId="83" fillId="72" borderId="63" applyNumberFormat="0" applyProtection="0">
      <alignment horizontal="center" vertical="center" wrapText="1"/>
    </xf>
    <xf numFmtId="168" fontId="83" fillId="72" borderId="63" applyNumberFormat="0" applyProtection="0">
      <alignment horizontal="center" vertical="center" wrapText="1"/>
    </xf>
    <xf numFmtId="168" fontId="83" fillId="72" borderId="63" applyNumberFormat="0" applyProtection="0">
      <alignment horizontal="center" vertical="center" wrapText="1"/>
    </xf>
    <xf numFmtId="168" fontId="83" fillId="72" borderId="63" applyNumberFormat="0" applyProtection="0">
      <alignment horizontal="center" vertical="center" wrapText="1"/>
    </xf>
    <xf numFmtId="168" fontId="83" fillId="72" borderId="63" applyNumberFormat="0" applyProtection="0">
      <alignment horizontal="center" vertical="center" wrapText="1"/>
    </xf>
    <xf numFmtId="168" fontId="83" fillId="72" borderId="63" applyNumberFormat="0" applyProtection="0">
      <alignment horizontal="center" vertical="center" wrapText="1"/>
    </xf>
    <xf numFmtId="168" fontId="83" fillId="72" borderId="63" applyNumberFormat="0" applyProtection="0">
      <alignment horizontal="center" vertical="center" wrapText="1"/>
    </xf>
    <xf numFmtId="168" fontId="83" fillId="72" borderId="63" applyNumberFormat="0" applyProtection="0">
      <alignment horizontal="center" vertical="center" wrapText="1"/>
    </xf>
    <xf numFmtId="168" fontId="83" fillId="72" borderId="63" applyNumberFormat="0" applyProtection="0">
      <alignment horizontal="center" vertical="center" wrapText="1"/>
    </xf>
    <xf numFmtId="168" fontId="83" fillId="72" borderId="63" applyNumberFormat="0" applyProtection="0">
      <alignment horizontal="center" vertical="center" wrapText="1"/>
    </xf>
    <xf numFmtId="168" fontId="83" fillId="72" borderId="63" applyNumberFormat="0" applyProtection="0">
      <alignment horizontal="center" vertical="center" wrapText="1"/>
    </xf>
    <xf numFmtId="168" fontId="83" fillId="72" borderId="63" applyNumberFormat="0" applyProtection="0">
      <alignment horizontal="center" vertical="center" wrapText="1"/>
    </xf>
    <xf numFmtId="170" fontId="83" fillId="72" borderId="63" applyNumberFormat="0" applyProtection="0">
      <alignment horizontal="center" vertical="center" wrapText="1"/>
    </xf>
    <xf numFmtId="170" fontId="83" fillId="72" borderId="63" applyNumberFormat="0" applyProtection="0">
      <alignment horizontal="center" vertical="center" wrapText="1"/>
    </xf>
    <xf numFmtId="170" fontId="83" fillId="72" borderId="63" applyNumberFormat="0" applyProtection="0">
      <alignment horizontal="center" vertical="center" wrapText="1"/>
    </xf>
    <xf numFmtId="170" fontId="83" fillId="72" borderId="63" applyNumberFormat="0" applyProtection="0">
      <alignment horizontal="center" vertical="center" wrapText="1"/>
    </xf>
    <xf numFmtId="170" fontId="83" fillId="72" borderId="63" applyNumberFormat="0" applyProtection="0">
      <alignment horizontal="center" vertical="center" wrapText="1"/>
    </xf>
    <xf numFmtId="170" fontId="83" fillId="72" borderId="63" applyNumberFormat="0" applyProtection="0">
      <alignment horizontal="center" vertical="center" wrapText="1"/>
    </xf>
    <xf numFmtId="170" fontId="83" fillId="72" borderId="63" applyNumberFormat="0" applyProtection="0">
      <alignment horizontal="center" vertical="center" wrapText="1"/>
    </xf>
    <xf numFmtId="170" fontId="83" fillId="72" borderId="63" applyNumberFormat="0" applyProtection="0">
      <alignment horizontal="center" vertical="center" wrapText="1"/>
    </xf>
    <xf numFmtId="170" fontId="83" fillId="72" borderId="63" applyNumberFormat="0" applyProtection="0">
      <alignment horizontal="center" vertical="center" wrapText="1"/>
    </xf>
    <xf numFmtId="170" fontId="83" fillId="72" borderId="63" applyNumberFormat="0" applyProtection="0">
      <alignment horizontal="center" vertical="center" wrapText="1"/>
    </xf>
    <xf numFmtId="170" fontId="83" fillId="73" borderId="63" applyNumberFormat="0" applyProtection="0">
      <alignment horizontal="center" vertical="center" wrapText="1"/>
    </xf>
    <xf numFmtId="168" fontId="83" fillId="73" borderId="63" applyNumberFormat="0" applyProtection="0">
      <alignment horizontal="center" vertical="center" wrapText="1"/>
    </xf>
    <xf numFmtId="168" fontId="83" fillId="73" borderId="63" applyNumberFormat="0" applyProtection="0">
      <alignment horizontal="center" vertical="center" wrapText="1"/>
    </xf>
    <xf numFmtId="168" fontId="83" fillId="73" borderId="63" applyNumberFormat="0" applyProtection="0">
      <alignment horizontal="center" vertical="center" wrapText="1"/>
    </xf>
    <xf numFmtId="168" fontId="83" fillId="73" borderId="63" applyNumberFormat="0" applyProtection="0">
      <alignment horizontal="center" vertical="center" wrapText="1"/>
    </xf>
    <xf numFmtId="168" fontId="83" fillId="73" borderId="63" applyNumberFormat="0" applyProtection="0">
      <alignment horizontal="center" vertical="center" wrapText="1"/>
    </xf>
    <xf numFmtId="168" fontId="83" fillId="73" borderId="63" applyNumberFormat="0" applyProtection="0">
      <alignment horizontal="center" vertical="center" wrapText="1"/>
    </xf>
    <xf numFmtId="168" fontId="83" fillId="73" borderId="63" applyNumberFormat="0" applyProtection="0">
      <alignment horizontal="center" vertical="center" wrapText="1"/>
    </xf>
    <xf numFmtId="168" fontId="83" fillId="73" borderId="63" applyNumberFormat="0" applyProtection="0">
      <alignment horizontal="center" vertical="center" wrapText="1"/>
    </xf>
    <xf numFmtId="168" fontId="83" fillId="73" borderId="63" applyNumberFormat="0" applyProtection="0">
      <alignment horizontal="center" vertical="center" wrapText="1"/>
    </xf>
    <xf numFmtId="168" fontId="83" fillId="73" borderId="63" applyNumberFormat="0" applyProtection="0">
      <alignment horizontal="center" vertical="center" wrapText="1"/>
    </xf>
    <xf numFmtId="168" fontId="83" fillId="73" borderId="63" applyNumberFormat="0" applyProtection="0">
      <alignment horizontal="center" vertical="center" wrapText="1"/>
    </xf>
    <xf numFmtId="170" fontId="83" fillId="73" borderId="63" applyNumberFormat="0" applyProtection="0">
      <alignment horizontal="center" vertical="center" wrapText="1"/>
    </xf>
    <xf numFmtId="170" fontId="83" fillId="73" borderId="63" applyNumberFormat="0" applyProtection="0">
      <alignment horizontal="center" vertical="center" wrapText="1"/>
    </xf>
    <xf numFmtId="170" fontId="83" fillId="73" borderId="63" applyNumberFormat="0" applyProtection="0">
      <alignment horizontal="center" vertical="center" wrapText="1"/>
    </xf>
    <xf numFmtId="170" fontId="83" fillId="73" borderId="63" applyNumberFormat="0" applyProtection="0">
      <alignment horizontal="center" vertical="center" wrapText="1"/>
    </xf>
    <xf numFmtId="170" fontId="83" fillId="73" borderId="63" applyNumberFormat="0" applyProtection="0">
      <alignment horizontal="center" vertical="center" wrapText="1"/>
    </xf>
    <xf numFmtId="170" fontId="83" fillId="73" borderId="63" applyNumberFormat="0" applyProtection="0">
      <alignment horizontal="center" vertical="center" wrapText="1"/>
    </xf>
    <xf numFmtId="170" fontId="83" fillId="73" borderId="63" applyNumberFormat="0" applyProtection="0">
      <alignment horizontal="center" vertical="center" wrapText="1"/>
    </xf>
    <xf numFmtId="170" fontId="83" fillId="73" borderId="63" applyNumberFormat="0" applyProtection="0">
      <alignment horizontal="center" vertical="center" wrapText="1"/>
    </xf>
    <xf numFmtId="170" fontId="83" fillId="73" borderId="63" applyNumberFormat="0" applyProtection="0">
      <alignment horizontal="center" vertical="center" wrapText="1"/>
    </xf>
    <xf numFmtId="170" fontId="83" fillId="73" borderId="63" applyNumberFormat="0" applyProtection="0">
      <alignment horizontal="center" vertical="center" wrapText="1"/>
    </xf>
    <xf numFmtId="170" fontId="83" fillId="74" borderId="63" applyNumberFormat="0" applyProtection="0">
      <alignment horizontal="center" vertical="center" wrapText="1"/>
    </xf>
    <xf numFmtId="168" fontId="83" fillId="74" borderId="63" applyNumberFormat="0" applyProtection="0">
      <alignment horizontal="center" vertical="center" wrapText="1"/>
    </xf>
    <xf numFmtId="168" fontId="83" fillId="74" borderId="63" applyNumberFormat="0" applyProtection="0">
      <alignment horizontal="center" vertical="center" wrapText="1"/>
    </xf>
    <xf numFmtId="168" fontId="83" fillId="74" borderId="63" applyNumberFormat="0" applyProtection="0">
      <alignment horizontal="center" vertical="center" wrapText="1"/>
    </xf>
    <xf numFmtId="168" fontId="83" fillId="74" borderId="63" applyNumberFormat="0" applyProtection="0">
      <alignment horizontal="center" vertical="center" wrapText="1"/>
    </xf>
    <xf numFmtId="168" fontId="83" fillId="74" borderId="63" applyNumberFormat="0" applyProtection="0">
      <alignment horizontal="center" vertical="center" wrapText="1"/>
    </xf>
    <xf numFmtId="168" fontId="83" fillId="74" borderId="63" applyNumberFormat="0" applyProtection="0">
      <alignment horizontal="center" vertical="center" wrapText="1"/>
    </xf>
    <xf numFmtId="168" fontId="83" fillId="74" borderId="63" applyNumberFormat="0" applyProtection="0">
      <alignment horizontal="center" vertical="center" wrapText="1"/>
    </xf>
    <xf numFmtId="168" fontId="83" fillId="74" borderId="63" applyNumberFormat="0" applyProtection="0">
      <alignment horizontal="center" vertical="center" wrapText="1"/>
    </xf>
    <xf numFmtId="168" fontId="83" fillId="74" borderId="63" applyNumberFormat="0" applyProtection="0">
      <alignment horizontal="center" vertical="center" wrapText="1"/>
    </xf>
    <xf numFmtId="168" fontId="83" fillId="74" borderId="63" applyNumberFormat="0" applyProtection="0">
      <alignment horizontal="center" vertical="center" wrapText="1"/>
    </xf>
    <xf numFmtId="168" fontId="83" fillId="74" borderId="63" applyNumberFormat="0" applyProtection="0">
      <alignment horizontal="center" vertical="center" wrapText="1"/>
    </xf>
    <xf numFmtId="170" fontId="83" fillId="74" borderId="63" applyNumberFormat="0" applyProtection="0">
      <alignment horizontal="center" vertical="center" wrapText="1"/>
    </xf>
    <xf numFmtId="170" fontId="83" fillId="74" borderId="63" applyNumberFormat="0" applyProtection="0">
      <alignment horizontal="center" vertical="center" wrapText="1"/>
    </xf>
    <xf numFmtId="170" fontId="83" fillId="74" borderId="63" applyNumberFormat="0" applyProtection="0">
      <alignment horizontal="center" vertical="center" wrapText="1"/>
    </xf>
    <xf numFmtId="170" fontId="83" fillId="74" borderId="63" applyNumberFormat="0" applyProtection="0">
      <alignment horizontal="center" vertical="center" wrapText="1"/>
    </xf>
    <xf numFmtId="170" fontId="83" fillId="74" borderId="63" applyNumberFormat="0" applyProtection="0">
      <alignment horizontal="center" vertical="center" wrapText="1"/>
    </xf>
    <xf numFmtId="170" fontId="83" fillId="74" borderId="63" applyNumberFormat="0" applyProtection="0">
      <alignment horizontal="center" vertical="center" wrapText="1"/>
    </xf>
    <xf numFmtId="170" fontId="83" fillId="74" borderId="63" applyNumberFormat="0" applyProtection="0">
      <alignment horizontal="center" vertical="center" wrapText="1"/>
    </xf>
    <xf numFmtId="170" fontId="83" fillId="74" borderId="63" applyNumberFormat="0" applyProtection="0">
      <alignment horizontal="center" vertical="center" wrapText="1"/>
    </xf>
    <xf numFmtId="170" fontId="83" fillId="74" borderId="63" applyNumberFormat="0" applyProtection="0">
      <alignment horizontal="center" vertical="center" wrapText="1"/>
    </xf>
    <xf numFmtId="170" fontId="83" fillId="74" borderId="63" applyNumberFormat="0" applyProtection="0">
      <alignment horizontal="center" vertical="center" wrapText="1"/>
    </xf>
    <xf numFmtId="170" fontId="25" fillId="0" borderId="63" applyNumberFormat="0" applyFill="0" applyProtection="0">
      <alignment horizontal="left" vertical="center" wrapText="1"/>
    </xf>
    <xf numFmtId="170" fontId="25" fillId="0" borderId="63" applyNumberFormat="0" applyFill="0" applyProtection="0">
      <alignment horizontal="left" vertical="center" wrapText="1"/>
    </xf>
    <xf numFmtId="168" fontId="25" fillId="0" borderId="63" applyNumberFormat="0" applyFill="0" applyProtection="0">
      <alignment horizontal="left" vertical="center" wrapText="1"/>
    </xf>
    <xf numFmtId="168" fontId="25" fillId="0" borderId="63" applyNumberFormat="0" applyFill="0" applyProtection="0">
      <alignment horizontal="left" vertical="center" wrapText="1"/>
    </xf>
    <xf numFmtId="168" fontId="25" fillId="0" borderId="63" applyNumberFormat="0" applyFill="0" applyProtection="0">
      <alignment horizontal="left" vertical="center" wrapText="1"/>
    </xf>
    <xf numFmtId="168" fontId="25" fillId="0" borderId="63" applyNumberFormat="0" applyFill="0" applyProtection="0">
      <alignment horizontal="left" vertical="center" wrapText="1"/>
    </xf>
    <xf numFmtId="168" fontId="25" fillId="0" borderId="63" applyNumberFormat="0" applyFill="0" applyProtection="0">
      <alignment horizontal="left" vertical="center" wrapText="1"/>
    </xf>
    <xf numFmtId="168" fontId="25" fillId="0" borderId="63" applyNumberFormat="0" applyFill="0" applyProtection="0">
      <alignment horizontal="left" vertical="center" wrapText="1"/>
    </xf>
    <xf numFmtId="168" fontId="25" fillId="0" borderId="63" applyNumberFormat="0" applyFill="0" applyProtection="0">
      <alignment horizontal="left" vertical="center" wrapText="1"/>
    </xf>
    <xf numFmtId="168" fontId="25" fillId="0" borderId="63" applyNumberFormat="0" applyFill="0" applyProtection="0">
      <alignment horizontal="left" vertical="center" wrapText="1"/>
    </xf>
    <xf numFmtId="168" fontId="25" fillId="0" borderId="63" applyNumberFormat="0" applyFill="0" applyProtection="0">
      <alignment horizontal="left" vertical="center" wrapText="1"/>
    </xf>
    <xf numFmtId="168" fontId="25" fillId="0" borderId="63" applyNumberFormat="0" applyFill="0" applyProtection="0">
      <alignment horizontal="left" vertical="center" wrapText="1"/>
    </xf>
    <xf numFmtId="168" fontId="25" fillId="0" borderId="63" applyNumberFormat="0" applyFill="0" applyProtection="0">
      <alignment horizontal="left" vertical="center" wrapText="1"/>
    </xf>
    <xf numFmtId="170" fontId="25" fillId="0" borderId="63" applyNumberFormat="0" applyFill="0" applyProtection="0">
      <alignment horizontal="left" vertical="center" wrapText="1"/>
    </xf>
    <xf numFmtId="170" fontId="25" fillId="0" borderId="63" applyNumberFormat="0" applyFill="0" applyProtection="0">
      <alignment horizontal="left" vertical="center" wrapText="1"/>
    </xf>
    <xf numFmtId="170" fontId="25" fillId="0" borderId="63" applyNumberFormat="0" applyFill="0" applyProtection="0">
      <alignment horizontal="left" vertical="center" wrapText="1"/>
    </xf>
    <xf numFmtId="170" fontId="25" fillId="0" borderId="63" applyNumberFormat="0" applyFill="0" applyProtection="0">
      <alignment horizontal="left" vertical="center" wrapText="1"/>
    </xf>
    <xf numFmtId="170" fontId="25" fillId="0" borderId="63" applyNumberFormat="0" applyFill="0" applyProtection="0">
      <alignment horizontal="left" vertical="center" wrapText="1"/>
    </xf>
    <xf numFmtId="170" fontId="25" fillId="0" borderId="63" applyNumberFormat="0" applyFill="0" applyProtection="0">
      <alignment horizontal="left" vertical="center" wrapText="1"/>
    </xf>
    <xf numFmtId="170" fontId="25" fillId="0" borderId="63" applyNumberFormat="0" applyFill="0" applyProtection="0">
      <alignment horizontal="left" vertical="center" wrapText="1"/>
    </xf>
    <xf numFmtId="170" fontId="25" fillId="0" borderId="63" applyNumberFormat="0" applyFill="0" applyProtection="0">
      <alignment horizontal="left" vertical="center" wrapText="1"/>
    </xf>
    <xf numFmtId="170" fontId="25" fillId="0" borderId="63" applyNumberFormat="0" applyFill="0" applyProtection="0">
      <alignment horizontal="left" vertical="center" wrapText="1"/>
    </xf>
    <xf numFmtId="170" fontId="25" fillId="0" borderId="63" applyNumberFormat="0" applyFill="0" applyProtection="0">
      <alignment horizontal="left" vertical="center" wrapText="1"/>
    </xf>
    <xf numFmtId="168" fontId="25" fillId="0" borderId="63" applyNumberFormat="0" applyFill="0" applyProtection="0">
      <alignment horizontal="left" vertical="center" wrapText="1"/>
    </xf>
    <xf numFmtId="168" fontId="25" fillId="0" borderId="63" applyNumberFormat="0" applyFill="0" applyProtection="0">
      <alignment horizontal="left" vertical="center" wrapText="1"/>
    </xf>
    <xf numFmtId="168" fontId="25" fillId="0" borderId="63" applyNumberFormat="0" applyFill="0" applyProtection="0">
      <alignment horizontal="left" vertical="center" wrapText="1"/>
    </xf>
    <xf numFmtId="168" fontId="25" fillId="0" borderId="63" applyNumberFormat="0" applyFill="0" applyProtection="0">
      <alignment horizontal="left" vertical="center" wrapText="1"/>
    </xf>
    <xf numFmtId="168" fontId="25" fillId="0" borderId="63" applyNumberFormat="0" applyFill="0" applyProtection="0">
      <alignment horizontal="left" vertical="center" wrapText="1"/>
    </xf>
    <xf numFmtId="168" fontId="25" fillId="0" borderId="63" applyNumberFormat="0" applyFill="0" applyProtection="0">
      <alignment horizontal="left" vertical="center" wrapText="1"/>
    </xf>
    <xf numFmtId="168" fontId="25" fillId="0" borderId="63" applyNumberFormat="0" applyFill="0" applyProtection="0">
      <alignment horizontal="left" vertical="center" wrapText="1"/>
    </xf>
    <xf numFmtId="168" fontId="25" fillId="0" borderId="63" applyNumberFormat="0" applyFill="0" applyProtection="0">
      <alignment horizontal="left" vertical="center" wrapText="1"/>
    </xf>
    <xf numFmtId="168" fontId="25" fillId="0" borderId="63" applyNumberFormat="0" applyFill="0" applyProtection="0">
      <alignment horizontal="left" vertical="center" wrapText="1"/>
    </xf>
    <xf numFmtId="168" fontId="25" fillId="0" borderId="63" applyNumberFormat="0" applyFill="0" applyProtection="0">
      <alignment horizontal="left" vertical="center" wrapText="1"/>
    </xf>
    <xf numFmtId="168" fontId="25" fillId="0" borderId="63" applyNumberFormat="0" applyFill="0" applyProtection="0">
      <alignment horizontal="left" vertical="center" wrapText="1"/>
    </xf>
    <xf numFmtId="170" fontId="25" fillId="0" borderId="63" applyNumberFormat="0" applyFill="0" applyProtection="0">
      <alignment horizontal="left" vertical="center" wrapText="1"/>
    </xf>
    <xf numFmtId="170" fontId="25" fillId="0" borderId="63" applyNumberFormat="0" applyFill="0" applyProtection="0">
      <alignment horizontal="left" vertical="center" wrapText="1"/>
    </xf>
    <xf numFmtId="170" fontId="25" fillId="0" borderId="63" applyNumberFormat="0" applyFill="0" applyProtection="0">
      <alignment horizontal="left" vertical="center" wrapText="1"/>
    </xf>
    <xf numFmtId="170" fontId="25" fillId="0" borderId="63" applyNumberFormat="0" applyFill="0" applyProtection="0">
      <alignment horizontal="left" vertical="center" wrapText="1"/>
    </xf>
    <xf numFmtId="170" fontId="25" fillId="0" borderId="63" applyNumberFormat="0" applyFill="0" applyProtection="0">
      <alignment horizontal="left" vertical="center" wrapText="1"/>
    </xf>
    <xf numFmtId="170" fontId="25" fillId="0" borderId="63" applyNumberFormat="0" applyFill="0" applyProtection="0">
      <alignment horizontal="left" vertical="center" wrapText="1"/>
    </xf>
    <xf numFmtId="170" fontId="25" fillId="0" borderId="63" applyNumberFormat="0" applyFill="0" applyProtection="0">
      <alignment horizontal="left" vertical="center" wrapText="1"/>
    </xf>
    <xf numFmtId="170" fontId="25" fillId="0" borderId="63" applyNumberFormat="0" applyFill="0" applyProtection="0">
      <alignment horizontal="left" vertical="center" wrapText="1"/>
    </xf>
    <xf numFmtId="170" fontId="25" fillId="0" borderId="63" applyNumberFormat="0" applyFill="0" applyProtection="0">
      <alignment horizontal="left" vertical="center" wrapText="1"/>
    </xf>
    <xf numFmtId="170" fontId="25" fillId="0" borderId="63" applyNumberFormat="0" applyFill="0" applyProtection="0">
      <alignment horizontal="left" vertical="center" wrapText="1"/>
    </xf>
    <xf numFmtId="0" fontId="7" fillId="0" borderId="0"/>
    <xf numFmtId="170" fontId="25" fillId="0" borderId="63" applyNumberFormat="0" applyFill="0" applyProtection="0">
      <alignment horizontal="center" vertical="center" wrapText="1"/>
    </xf>
    <xf numFmtId="170" fontId="25" fillId="0" borderId="63" applyNumberFormat="0" applyFill="0" applyProtection="0">
      <alignment horizontal="center" vertical="center" wrapText="1"/>
    </xf>
    <xf numFmtId="168" fontId="25" fillId="0" borderId="63" applyNumberFormat="0" applyFill="0" applyProtection="0">
      <alignment horizontal="center" vertical="center" wrapText="1"/>
    </xf>
    <xf numFmtId="168" fontId="25" fillId="0" borderId="63" applyNumberFormat="0" applyFill="0" applyProtection="0">
      <alignment horizontal="center" vertical="center" wrapText="1"/>
    </xf>
    <xf numFmtId="168" fontId="25" fillId="0" borderId="63" applyNumberFormat="0" applyFill="0" applyProtection="0">
      <alignment horizontal="center" vertical="center" wrapText="1"/>
    </xf>
    <xf numFmtId="168" fontId="25" fillId="0" borderId="63" applyNumberFormat="0" applyFill="0" applyProtection="0">
      <alignment horizontal="center" vertical="center" wrapText="1"/>
    </xf>
    <xf numFmtId="168" fontId="25" fillId="0" borderId="63" applyNumberFormat="0" applyFill="0" applyProtection="0">
      <alignment horizontal="center" vertical="center" wrapText="1"/>
    </xf>
    <xf numFmtId="168" fontId="25" fillId="0" borderId="63" applyNumberFormat="0" applyFill="0" applyProtection="0">
      <alignment horizontal="center" vertical="center" wrapText="1"/>
    </xf>
    <xf numFmtId="168" fontId="25" fillId="0" borderId="63" applyNumberFormat="0" applyFill="0" applyProtection="0">
      <alignment horizontal="center" vertical="center" wrapText="1"/>
    </xf>
    <xf numFmtId="168" fontId="25" fillId="0" borderId="63" applyNumberFormat="0" applyFill="0" applyProtection="0">
      <alignment horizontal="center" vertical="center" wrapText="1"/>
    </xf>
    <xf numFmtId="168" fontId="25" fillId="0" borderId="63" applyNumberFormat="0" applyFill="0" applyProtection="0">
      <alignment horizontal="center" vertical="center" wrapText="1"/>
    </xf>
    <xf numFmtId="168" fontId="25" fillId="0" borderId="63" applyNumberFormat="0" applyFill="0" applyProtection="0">
      <alignment horizontal="center" vertical="center" wrapText="1"/>
    </xf>
    <xf numFmtId="168" fontId="25" fillId="0" borderId="63" applyNumberFormat="0" applyFill="0" applyProtection="0">
      <alignment horizontal="center" vertical="center" wrapText="1"/>
    </xf>
    <xf numFmtId="170" fontId="25" fillId="0" borderId="63" applyNumberFormat="0" applyFill="0" applyProtection="0">
      <alignment horizontal="center" vertical="center" wrapText="1"/>
    </xf>
    <xf numFmtId="170" fontId="25" fillId="0" borderId="63" applyNumberFormat="0" applyFill="0" applyProtection="0">
      <alignment horizontal="center" vertical="center" wrapText="1"/>
    </xf>
    <xf numFmtId="170" fontId="25" fillId="0" borderId="63" applyNumberFormat="0" applyFill="0" applyProtection="0">
      <alignment horizontal="center" vertical="center" wrapText="1"/>
    </xf>
    <xf numFmtId="170" fontId="25" fillId="0" borderId="63" applyNumberFormat="0" applyFill="0" applyProtection="0">
      <alignment horizontal="center" vertical="center" wrapText="1"/>
    </xf>
    <xf numFmtId="170" fontId="25" fillId="0" borderId="63" applyNumberFormat="0" applyFill="0" applyProtection="0">
      <alignment horizontal="center" vertical="center" wrapText="1"/>
    </xf>
    <xf numFmtId="170" fontId="25" fillId="0" borderId="63" applyNumberFormat="0" applyFill="0" applyProtection="0">
      <alignment horizontal="center" vertical="center" wrapText="1"/>
    </xf>
    <xf numFmtId="170" fontId="25" fillId="0" borderId="63" applyNumberFormat="0" applyFill="0" applyProtection="0">
      <alignment horizontal="center" vertical="center" wrapText="1"/>
    </xf>
    <xf numFmtId="170" fontId="25" fillId="0" borderId="63" applyNumberFormat="0" applyFill="0" applyProtection="0">
      <alignment horizontal="center" vertical="center" wrapText="1"/>
    </xf>
    <xf numFmtId="170" fontId="25" fillId="0" borderId="63" applyNumberFormat="0" applyFill="0" applyProtection="0">
      <alignment horizontal="center" vertical="center" wrapText="1"/>
    </xf>
    <xf numFmtId="170" fontId="25" fillId="0" borderId="63" applyNumberFormat="0" applyFill="0" applyProtection="0">
      <alignment horizontal="center" vertical="center" wrapText="1"/>
    </xf>
    <xf numFmtId="168" fontId="25" fillId="0" borderId="63" applyNumberFormat="0" applyFill="0" applyProtection="0">
      <alignment horizontal="center" vertical="center" wrapText="1"/>
    </xf>
    <xf numFmtId="168" fontId="25" fillId="0" borderId="63" applyNumberFormat="0" applyFill="0" applyProtection="0">
      <alignment horizontal="center" vertical="center" wrapText="1"/>
    </xf>
    <xf numFmtId="168" fontId="25" fillId="0" borderId="63" applyNumberFormat="0" applyFill="0" applyProtection="0">
      <alignment horizontal="center" vertical="center" wrapText="1"/>
    </xf>
    <xf numFmtId="168" fontId="25" fillId="0" borderId="63" applyNumberFormat="0" applyFill="0" applyProtection="0">
      <alignment horizontal="center" vertical="center" wrapText="1"/>
    </xf>
    <xf numFmtId="168" fontId="25" fillId="0" borderId="63" applyNumberFormat="0" applyFill="0" applyProtection="0">
      <alignment horizontal="center" vertical="center" wrapText="1"/>
    </xf>
    <xf numFmtId="168" fontId="25" fillId="0" borderId="63" applyNumberFormat="0" applyFill="0" applyProtection="0">
      <alignment horizontal="center" vertical="center" wrapText="1"/>
    </xf>
    <xf numFmtId="168" fontId="25" fillId="0" borderId="63" applyNumberFormat="0" applyFill="0" applyProtection="0">
      <alignment horizontal="center" vertical="center" wrapText="1"/>
    </xf>
    <xf numFmtId="168" fontId="25" fillId="0" borderId="63" applyNumberFormat="0" applyFill="0" applyProtection="0">
      <alignment horizontal="center" vertical="center" wrapText="1"/>
    </xf>
    <xf numFmtId="168" fontId="25" fillId="0" borderId="63" applyNumberFormat="0" applyFill="0" applyProtection="0">
      <alignment horizontal="center" vertical="center" wrapText="1"/>
    </xf>
    <xf numFmtId="168" fontId="25" fillId="0" borderId="63" applyNumberFormat="0" applyFill="0" applyProtection="0">
      <alignment horizontal="center" vertical="center" wrapText="1"/>
    </xf>
    <xf numFmtId="168" fontId="25" fillId="0" borderId="63" applyNumberFormat="0" applyFill="0" applyProtection="0">
      <alignment horizontal="center" vertical="center" wrapText="1"/>
    </xf>
    <xf numFmtId="170" fontId="25" fillId="0" borderId="63" applyNumberFormat="0" applyFill="0" applyProtection="0">
      <alignment horizontal="center" vertical="center" wrapText="1"/>
    </xf>
    <xf numFmtId="170" fontId="25" fillId="0" borderId="63" applyNumberFormat="0" applyFill="0" applyProtection="0">
      <alignment horizontal="center" vertical="center" wrapText="1"/>
    </xf>
    <xf numFmtId="170" fontId="25" fillId="0" borderId="63" applyNumberFormat="0" applyFill="0" applyProtection="0">
      <alignment horizontal="center" vertical="center" wrapText="1"/>
    </xf>
    <xf numFmtId="170" fontId="25" fillId="0" borderId="63" applyNumberFormat="0" applyFill="0" applyProtection="0">
      <alignment horizontal="center" vertical="center" wrapText="1"/>
    </xf>
    <xf numFmtId="170" fontId="25" fillId="0" borderId="63" applyNumberFormat="0" applyFill="0" applyProtection="0">
      <alignment horizontal="center" vertical="center" wrapText="1"/>
    </xf>
    <xf numFmtId="170" fontId="25" fillId="0" borderId="63" applyNumberFormat="0" applyFill="0" applyProtection="0">
      <alignment horizontal="center" vertical="center" wrapText="1"/>
    </xf>
    <xf numFmtId="170" fontId="25" fillId="0" borderId="63" applyNumberFormat="0" applyFill="0" applyProtection="0">
      <alignment horizontal="center" vertical="center" wrapText="1"/>
    </xf>
    <xf numFmtId="170" fontId="25" fillId="0" borderId="63" applyNumberFormat="0" applyFill="0" applyProtection="0">
      <alignment horizontal="center" vertical="center" wrapText="1"/>
    </xf>
    <xf numFmtId="170" fontId="25" fillId="0" borderId="63" applyNumberFormat="0" applyFill="0" applyProtection="0">
      <alignment horizontal="center" vertical="center" wrapText="1"/>
    </xf>
    <xf numFmtId="170" fontId="25" fillId="0" borderId="63" applyNumberFormat="0" applyFill="0" applyProtection="0">
      <alignment horizontal="center" vertical="center" wrapText="1"/>
    </xf>
    <xf numFmtId="0" fontId="7" fillId="0" borderId="0"/>
    <xf numFmtId="170" fontId="63" fillId="0" borderId="0"/>
    <xf numFmtId="170" fontId="63" fillId="0" borderId="0"/>
    <xf numFmtId="168" fontId="63" fillId="0" borderId="0"/>
    <xf numFmtId="0" fontId="63" fillId="0" borderId="0"/>
    <xf numFmtId="168" fontId="63" fillId="0" borderId="0"/>
    <xf numFmtId="168" fontId="63" fillId="0" borderId="0"/>
    <xf numFmtId="0" fontId="63" fillId="0" borderId="0"/>
    <xf numFmtId="5" fontId="84" fillId="0" borderId="63" applyFill="0" applyProtection="0">
      <alignment horizontal="right" wrapText="1"/>
    </xf>
    <xf numFmtId="5" fontId="84" fillId="0" borderId="63" applyFill="0" applyProtection="0">
      <alignment horizontal="right" wrapText="1"/>
    </xf>
    <xf numFmtId="5" fontId="84" fillId="0" borderId="63" applyFill="0" applyProtection="0">
      <alignment horizontal="right" wrapText="1"/>
    </xf>
    <xf numFmtId="5" fontId="84" fillId="0" borderId="63" applyFill="0" applyProtection="0">
      <alignment horizontal="right" wrapText="1"/>
    </xf>
    <xf numFmtId="5" fontId="84" fillId="0" borderId="63" applyFill="0" applyProtection="0">
      <alignment horizontal="right" wrapText="1"/>
    </xf>
    <xf numFmtId="5" fontId="84" fillId="0" borderId="63" applyFill="0" applyProtection="0">
      <alignment horizontal="right" wrapText="1"/>
    </xf>
    <xf numFmtId="5" fontId="84" fillId="0" borderId="63" applyFill="0" applyProtection="0">
      <alignment horizontal="right" wrapText="1"/>
    </xf>
    <xf numFmtId="5" fontId="84" fillId="0" borderId="63" applyFill="0" applyProtection="0">
      <alignment horizontal="right" wrapText="1"/>
    </xf>
    <xf numFmtId="5" fontId="84" fillId="0" borderId="63" applyFill="0" applyProtection="0">
      <alignment horizontal="right" wrapText="1"/>
    </xf>
    <xf numFmtId="5" fontId="84" fillId="0" borderId="63" applyFill="0" applyProtection="0">
      <alignment horizontal="right" wrapText="1"/>
    </xf>
    <xf numFmtId="5" fontId="84" fillId="0" borderId="63" applyFill="0" applyProtection="0">
      <alignment horizontal="right" wrapText="1"/>
    </xf>
    <xf numFmtId="5" fontId="84" fillId="0" borderId="63" applyFill="0" applyProtection="0">
      <alignment horizontal="right" wrapText="1"/>
    </xf>
    <xf numFmtId="5" fontId="84" fillId="0" borderId="63" applyFill="0" applyProtection="0">
      <alignment horizontal="right" wrapText="1"/>
    </xf>
    <xf numFmtId="5" fontId="84" fillId="0" borderId="63" applyFill="0" applyProtection="0">
      <alignment horizontal="right" wrapText="1"/>
    </xf>
    <xf numFmtId="5" fontId="84" fillId="0" borderId="63" applyFill="0" applyProtection="0">
      <alignment horizontal="right" wrapText="1"/>
    </xf>
    <xf numFmtId="5" fontId="84" fillId="0" borderId="63" applyFill="0" applyProtection="0">
      <alignment horizontal="right" wrapText="1"/>
    </xf>
    <xf numFmtId="5" fontId="84" fillId="0" borderId="63" applyFill="0" applyProtection="0">
      <alignment horizontal="right" wrapText="1"/>
    </xf>
    <xf numFmtId="5" fontId="84" fillId="0" borderId="63" applyFill="0" applyProtection="0">
      <alignment horizontal="right" wrapText="1"/>
    </xf>
    <xf numFmtId="5" fontId="84" fillId="0" borderId="63" applyFill="0" applyProtection="0">
      <alignment horizontal="right" wrapText="1"/>
    </xf>
    <xf numFmtId="5" fontId="84" fillId="0" borderId="63" applyFill="0" applyProtection="0">
      <alignment horizontal="right" wrapText="1"/>
    </xf>
    <xf numFmtId="5" fontId="84" fillId="0" borderId="63" applyFill="0" applyProtection="0">
      <alignment horizontal="right" wrapText="1"/>
    </xf>
    <xf numFmtId="5" fontId="84" fillId="0" borderId="63" applyFill="0" applyProtection="0">
      <alignment horizontal="right" wrapText="1"/>
    </xf>
    <xf numFmtId="5" fontId="85" fillId="0" borderId="63" applyFill="0" applyProtection="0">
      <alignment horizontal="right" wrapText="1"/>
    </xf>
    <xf numFmtId="5" fontId="85" fillId="0" borderId="63" applyFill="0" applyProtection="0">
      <alignment horizontal="right" wrapText="1"/>
    </xf>
    <xf numFmtId="5" fontId="85" fillId="0" borderId="63" applyFill="0" applyProtection="0">
      <alignment horizontal="right" wrapText="1"/>
    </xf>
    <xf numFmtId="5" fontId="85" fillId="0" borderId="63" applyFill="0" applyProtection="0">
      <alignment horizontal="right" wrapText="1"/>
    </xf>
    <xf numFmtId="5" fontId="85" fillId="0" borderId="63" applyFill="0" applyProtection="0">
      <alignment horizontal="right" wrapText="1"/>
    </xf>
    <xf numFmtId="5" fontId="85" fillId="0" borderId="63" applyFill="0" applyProtection="0">
      <alignment horizontal="right" wrapText="1"/>
    </xf>
    <xf numFmtId="5" fontId="85" fillId="0" borderId="63" applyFill="0" applyProtection="0">
      <alignment horizontal="right" wrapText="1"/>
    </xf>
    <xf numFmtId="5" fontId="85" fillId="0" borderId="63" applyFill="0" applyProtection="0">
      <alignment horizontal="right" wrapText="1"/>
    </xf>
    <xf numFmtId="5" fontId="85" fillId="0" borderId="63" applyFill="0" applyProtection="0">
      <alignment horizontal="right" wrapText="1"/>
    </xf>
    <xf numFmtId="5" fontId="85" fillId="0" borderId="63" applyFill="0" applyProtection="0">
      <alignment horizontal="right" wrapText="1"/>
    </xf>
    <xf numFmtId="5" fontId="85" fillId="0" borderId="63" applyFill="0" applyProtection="0">
      <alignment horizontal="right" wrapText="1"/>
    </xf>
    <xf numFmtId="5" fontId="85" fillId="0" borderId="63" applyFill="0" applyProtection="0">
      <alignment horizontal="right" wrapText="1"/>
    </xf>
    <xf numFmtId="5" fontId="85" fillId="0" borderId="63" applyFill="0" applyProtection="0">
      <alignment horizontal="right" wrapText="1"/>
    </xf>
    <xf numFmtId="5" fontId="85" fillId="0" borderId="63" applyFill="0" applyProtection="0">
      <alignment horizontal="right" wrapText="1"/>
    </xf>
    <xf numFmtId="5" fontId="85" fillId="0" borderId="63" applyFill="0" applyProtection="0">
      <alignment horizontal="right" wrapText="1"/>
    </xf>
    <xf numFmtId="5" fontId="85" fillId="0" borderId="63" applyFill="0" applyProtection="0">
      <alignment horizontal="right" wrapText="1"/>
    </xf>
    <xf numFmtId="5" fontId="85" fillId="0" borderId="63" applyFill="0" applyProtection="0">
      <alignment horizontal="right" wrapText="1"/>
    </xf>
    <xf numFmtId="5" fontId="85" fillId="0" borderId="63" applyFill="0" applyProtection="0">
      <alignment horizontal="right" wrapText="1"/>
    </xf>
    <xf numFmtId="5" fontId="85" fillId="0" borderId="63" applyFill="0" applyProtection="0">
      <alignment horizontal="right" wrapText="1"/>
    </xf>
    <xf numFmtId="5" fontId="85" fillId="0" borderId="63" applyFill="0" applyProtection="0">
      <alignment horizontal="right" wrapText="1"/>
    </xf>
    <xf numFmtId="5" fontId="85" fillId="0" borderId="63" applyFill="0" applyProtection="0">
      <alignment horizontal="right" wrapText="1"/>
    </xf>
    <xf numFmtId="5" fontId="85" fillId="0" borderId="63" applyFill="0" applyProtection="0">
      <alignment horizontal="right" wrapText="1"/>
    </xf>
    <xf numFmtId="5" fontId="84" fillId="71" borderId="63" applyProtection="0">
      <alignment horizontal="right" wrapText="1"/>
    </xf>
    <xf numFmtId="5" fontId="84" fillId="71" borderId="63" applyProtection="0">
      <alignment horizontal="right" wrapText="1"/>
    </xf>
    <xf numFmtId="5" fontId="84" fillId="71" borderId="63" applyProtection="0">
      <alignment horizontal="right" wrapText="1"/>
    </xf>
    <xf numFmtId="5" fontId="84" fillId="71" borderId="63" applyProtection="0">
      <alignment horizontal="right" wrapText="1"/>
    </xf>
    <xf numFmtId="5" fontId="84" fillId="71" borderId="63" applyProtection="0">
      <alignment horizontal="right" wrapText="1"/>
    </xf>
    <xf numFmtId="5" fontId="84" fillId="71" borderId="63" applyProtection="0">
      <alignment horizontal="right" wrapText="1"/>
    </xf>
    <xf numFmtId="5" fontId="84" fillId="71" borderId="63" applyProtection="0">
      <alignment horizontal="right" wrapText="1"/>
    </xf>
    <xf numFmtId="5" fontId="84" fillId="71" borderId="63" applyProtection="0">
      <alignment horizontal="right" wrapText="1"/>
    </xf>
    <xf numFmtId="5" fontId="84" fillId="71" borderId="63" applyProtection="0">
      <alignment horizontal="right" wrapText="1"/>
    </xf>
    <xf numFmtId="5" fontId="84" fillId="71" borderId="63" applyProtection="0">
      <alignment horizontal="right" wrapText="1"/>
    </xf>
    <xf numFmtId="5" fontId="84" fillId="71" borderId="63" applyProtection="0">
      <alignment horizontal="right" wrapText="1"/>
    </xf>
    <xf numFmtId="5" fontId="84" fillId="71" borderId="63" applyProtection="0">
      <alignment horizontal="right" wrapText="1"/>
    </xf>
    <xf numFmtId="5" fontId="84" fillId="71" borderId="63" applyProtection="0">
      <alignment horizontal="right" wrapText="1"/>
    </xf>
    <xf numFmtId="5" fontId="84" fillId="71" borderId="63" applyProtection="0">
      <alignment horizontal="right" wrapText="1"/>
    </xf>
    <xf numFmtId="5" fontId="84" fillId="71" borderId="63" applyProtection="0">
      <alignment horizontal="right" wrapText="1"/>
    </xf>
    <xf numFmtId="5" fontId="84" fillId="71" borderId="63" applyProtection="0">
      <alignment horizontal="right" wrapText="1"/>
    </xf>
    <xf numFmtId="5" fontId="84" fillId="71" borderId="63" applyProtection="0">
      <alignment horizontal="right" wrapText="1"/>
    </xf>
    <xf numFmtId="5" fontId="84" fillId="71" borderId="63" applyProtection="0">
      <alignment horizontal="right" wrapText="1"/>
    </xf>
    <xf numFmtId="5" fontId="84" fillId="71" borderId="63" applyProtection="0">
      <alignment horizontal="right" wrapText="1"/>
    </xf>
    <xf numFmtId="5" fontId="84" fillId="71" borderId="63" applyProtection="0">
      <alignment horizontal="right" wrapText="1"/>
    </xf>
    <xf numFmtId="5" fontId="84" fillId="71" borderId="63" applyProtection="0">
      <alignment horizontal="right" wrapText="1"/>
    </xf>
    <xf numFmtId="5" fontId="84" fillId="71" borderId="63" applyProtection="0">
      <alignment horizontal="right" wrapText="1"/>
    </xf>
    <xf numFmtId="5" fontId="84" fillId="72" borderId="63" applyProtection="0">
      <alignment horizontal="right" wrapText="1"/>
    </xf>
    <xf numFmtId="5" fontId="84" fillId="72" borderId="63" applyProtection="0">
      <alignment horizontal="right" wrapText="1"/>
    </xf>
    <xf numFmtId="5" fontId="84" fillId="72" borderId="63" applyProtection="0">
      <alignment horizontal="right" wrapText="1"/>
    </xf>
    <xf numFmtId="5" fontId="84" fillId="72" borderId="63" applyProtection="0">
      <alignment horizontal="right" wrapText="1"/>
    </xf>
    <xf numFmtId="5" fontId="84" fillId="72" borderId="63" applyProtection="0">
      <alignment horizontal="right" wrapText="1"/>
    </xf>
    <xf numFmtId="5" fontId="84" fillId="72" borderId="63" applyProtection="0">
      <alignment horizontal="right" wrapText="1"/>
    </xf>
    <xf numFmtId="5" fontId="84" fillId="72" borderId="63" applyProtection="0">
      <alignment horizontal="right" wrapText="1"/>
    </xf>
    <xf numFmtId="5" fontId="84" fillId="72" borderId="63" applyProtection="0">
      <alignment horizontal="right" wrapText="1"/>
    </xf>
    <xf numFmtId="5" fontId="84" fillId="72" borderId="63" applyProtection="0">
      <alignment horizontal="right" wrapText="1"/>
    </xf>
    <xf numFmtId="5" fontId="84" fillId="72" borderId="63" applyProtection="0">
      <alignment horizontal="right" wrapText="1"/>
    </xf>
    <xf numFmtId="5" fontId="84" fillId="72" borderId="63" applyProtection="0">
      <alignment horizontal="right" wrapText="1"/>
    </xf>
    <xf numFmtId="5" fontId="84" fillId="72" borderId="63" applyProtection="0">
      <alignment horizontal="right" wrapText="1"/>
    </xf>
    <xf numFmtId="5" fontId="84" fillId="72" borderId="63" applyProtection="0">
      <alignment horizontal="right" wrapText="1"/>
    </xf>
    <xf numFmtId="5" fontId="84" fillId="72" borderId="63" applyProtection="0">
      <alignment horizontal="right" wrapText="1"/>
    </xf>
    <xf numFmtId="5" fontId="84" fillId="72" borderId="63" applyProtection="0">
      <alignment horizontal="right" wrapText="1"/>
    </xf>
    <xf numFmtId="5" fontId="84" fillId="72" borderId="63" applyProtection="0">
      <alignment horizontal="right" wrapText="1"/>
    </xf>
    <xf numFmtId="5" fontId="84" fillId="72" borderId="63" applyProtection="0">
      <alignment horizontal="right" wrapText="1"/>
    </xf>
    <xf numFmtId="5" fontId="84" fillId="72" borderId="63" applyProtection="0">
      <alignment horizontal="right" wrapText="1"/>
    </xf>
    <xf numFmtId="5" fontId="84" fillId="72" borderId="63" applyProtection="0">
      <alignment horizontal="right" wrapText="1"/>
    </xf>
    <xf numFmtId="5" fontId="84" fillId="72" borderId="63" applyProtection="0">
      <alignment horizontal="right" wrapText="1"/>
    </xf>
    <xf numFmtId="5" fontId="84" fillId="72" borderId="63" applyProtection="0">
      <alignment horizontal="right" wrapText="1"/>
    </xf>
    <xf numFmtId="5" fontId="84" fillId="72" borderId="63" applyProtection="0">
      <alignment horizontal="right" wrapText="1"/>
    </xf>
    <xf numFmtId="5" fontId="84" fillId="73" borderId="63" applyProtection="0">
      <alignment horizontal="right" wrapText="1"/>
    </xf>
    <xf numFmtId="5" fontId="84" fillId="73" borderId="63" applyProtection="0">
      <alignment horizontal="right" wrapText="1"/>
    </xf>
    <xf numFmtId="5" fontId="84" fillId="73" borderId="63" applyProtection="0">
      <alignment horizontal="right" wrapText="1"/>
    </xf>
    <xf numFmtId="5" fontId="84" fillId="73" borderId="63" applyProtection="0">
      <alignment horizontal="right" wrapText="1"/>
    </xf>
    <xf numFmtId="5" fontId="84" fillId="73" borderId="63" applyProtection="0">
      <alignment horizontal="right" wrapText="1"/>
    </xf>
    <xf numFmtId="5" fontId="84" fillId="73" borderId="63" applyProtection="0">
      <alignment horizontal="right" wrapText="1"/>
    </xf>
    <xf numFmtId="5" fontId="84" fillId="73" borderId="63" applyProtection="0">
      <alignment horizontal="right" wrapText="1"/>
    </xf>
    <xf numFmtId="5" fontId="84" fillId="73" borderId="63" applyProtection="0">
      <alignment horizontal="right" wrapText="1"/>
    </xf>
    <xf numFmtId="5" fontId="84" fillId="73" borderId="63" applyProtection="0">
      <alignment horizontal="right" wrapText="1"/>
    </xf>
    <xf numFmtId="5" fontId="84" fillId="73" borderId="63" applyProtection="0">
      <alignment horizontal="right" wrapText="1"/>
    </xf>
    <xf numFmtId="5" fontId="84" fillId="73" borderId="63" applyProtection="0">
      <alignment horizontal="right" wrapText="1"/>
    </xf>
    <xf numFmtId="5" fontId="84" fillId="73" borderId="63" applyProtection="0">
      <alignment horizontal="right" wrapText="1"/>
    </xf>
    <xf numFmtId="5" fontId="84" fillId="73" borderId="63" applyProtection="0">
      <alignment horizontal="right" wrapText="1"/>
    </xf>
    <xf numFmtId="5" fontId="84" fillId="73" borderId="63" applyProtection="0">
      <alignment horizontal="right" wrapText="1"/>
    </xf>
    <xf numFmtId="5" fontId="84" fillId="73" borderId="63" applyProtection="0">
      <alignment horizontal="right" wrapText="1"/>
    </xf>
    <xf numFmtId="5" fontId="84" fillId="73" borderId="63" applyProtection="0">
      <alignment horizontal="right" wrapText="1"/>
    </xf>
    <xf numFmtId="5" fontId="84" fillId="73" borderId="63" applyProtection="0">
      <alignment horizontal="right" wrapText="1"/>
    </xf>
    <xf numFmtId="5" fontId="84" fillId="73" borderId="63" applyProtection="0">
      <alignment horizontal="right" wrapText="1"/>
    </xf>
    <xf numFmtId="5" fontId="84" fillId="73" borderId="63" applyProtection="0">
      <alignment horizontal="right" wrapText="1"/>
    </xf>
    <xf numFmtId="5" fontId="84" fillId="73" borderId="63" applyProtection="0">
      <alignment horizontal="right" wrapText="1"/>
    </xf>
    <xf numFmtId="5" fontId="84" fillId="73" borderId="63" applyProtection="0">
      <alignment horizontal="right" wrapText="1"/>
    </xf>
    <xf numFmtId="5" fontId="84" fillId="73" borderId="63" applyProtection="0">
      <alignment horizontal="right" wrapText="1"/>
    </xf>
    <xf numFmtId="5" fontId="84" fillId="74" borderId="63" applyProtection="0">
      <alignment horizontal="right" wrapText="1"/>
    </xf>
    <xf numFmtId="5" fontId="84" fillId="74" borderId="63" applyProtection="0">
      <alignment horizontal="right" wrapText="1"/>
    </xf>
    <xf numFmtId="5" fontId="84" fillId="74" borderId="63" applyProtection="0">
      <alignment horizontal="right" wrapText="1"/>
    </xf>
    <xf numFmtId="5" fontId="84" fillId="74" borderId="63" applyProtection="0">
      <alignment horizontal="right" wrapText="1"/>
    </xf>
    <xf numFmtId="5" fontId="84" fillId="74" borderId="63" applyProtection="0">
      <alignment horizontal="right" wrapText="1"/>
    </xf>
    <xf numFmtId="5" fontId="84" fillId="74" borderId="63" applyProtection="0">
      <alignment horizontal="right" wrapText="1"/>
    </xf>
    <xf numFmtId="5" fontId="84" fillId="74" borderId="63" applyProtection="0">
      <alignment horizontal="right" wrapText="1"/>
    </xf>
    <xf numFmtId="5" fontId="84" fillId="74" borderId="63" applyProtection="0">
      <alignment horizontal="right" wrapText="1"/>
    </xf>
    <xf numFmtId="5" fontId="84" fillId="74" borderId="63" applyProtection="0">
      <alignment horizontal="right" wrapText="1"/>
    </xf>
    <xf numFmtId="5" fontId="84" fillId="74" borderId="63" applyProtection="0">
      <alignment horizontal="right" wrapText="1"/>
    </xf>
    <xf numFmtId="5" fontId="84" fillId="74" borderId="63" applyProtection="0">
      <alignment horizontal="right" wrapText="1"/>
    </xf>
    <xf numFmtId="5" fontId="84" fillId="74" borderId="63" applyProtection="0">
      <alignment horizontal="right" wrapText="1"/>
    </xf>
    <xf numFmtId="5" fontId="84" fillId="74" borderId="63" applyProtection="0">
      <alignment horizontal="right" wrapText="1"/>
    </xf>
    <xf numFmtId="5" fontId="84" fillId="74" borderId="63" applyProtection="0">
      <alignment horizontal="right" wrapText="1"/>
    </xf>
    <xf numFmtId="5" fontId="84" fillId="74" borderId="63" applyProtection="0">
      <alignment horizontal="right" wrapText="1"/>
    </xf>
    <xf numFmtId="5" fontId="84" fillId="74" borderId="63" applyProtection="0">
      <alignment horizontal="right" wrapText="1"/>
    </xf>
    <xf numFmtId="5" fontId="84" fillId="74" borderId="63" applyProtection="0">
      <alignment horizontal="right" wrapText="1"/>
    </xf>
    <xf numFmtId="5" fontId="84" fillId="74" borderId="63" applyProtection="0">
      <alignment horizontal="right" wrapText="1"/>
    </xf>
    <xf numFmtId="5" fontId="84" fillId="74" borderId="63" applyProtection="0">
      <alignment horizontal="right" wrapText="1"/>
    </xf>
    <xf numFmtId="5" fontId="84" fillId="74" borderId="63" applyProtection="0">
      <alignment horizontal="right" wrapText="1"/>
    </xf>
    <xf numFmtId="5" fontId="84" fillId="74" borderId="63" applyProtection="0">
      <alignment horizontal="right" wrapText="1"/>
    </xf>
    <xf numFmtId="5" fontId="84" fillId="74" borderId="63" applyProtection="0">
      <alignment horizontal="right" wrapText="1"/>
    </xf>
    <xf numFmtId="170" fontId="83" fillId="75" borderId="63" applyNumberFormat="0" applyProtection="0">
      <alignment horizontal="center" vertical="center" wrapText="1"/>
    </xf>
    <xf numFmtId="168" fontId="83" fillId="75" borderId="63" applyNumberFormat="0" applyProtection="0">
      <alignment horizontal="center" vertical="center" wrapText="1"/>
    </xf>
    <xf numFmtId="168" fontId="83" fillId="75" borderId="63" applyNumberFormat="0" applyProtection="0">
      <alignment horizontal="center" vertical="center" wrapText="1"/>
    </xf>
    <xf numFmtId="168" fontId="83" fillId="75" borderId="63" applyNumberFormat="0" applyProtection="0">
      <alignment horizontal="center" vertical="center" wrapText="1"/>
    </xf>
    <xf numFmtId="168" fontId="83" fillId="75" borderId="63" applyNumberFormat="0" applyProtection="0">
      <alignment horizontal="center" vertical="center" wrapText="1"/>
    </xf>
    <xf numFmtId="168" fontId="83" fillId="75" borderId="63" applyNumberFormat="0" applyProtection="0">
      <alignment horizontal="center" vertical="center" wrapText="1"/>
    </xf>
    <xf numFmtId="168" fontId="83" fillId="75" borderId="63" applyNumberFormat="0" applyProtection="0">
      <alignment horizontal="center" vertical="center" wrapText="1"/>
    </xf>
    <xf numFmtId="168" fontId="83" fillId="75" borderId="63" applyNumberFormat="0" applyProtection="0">
      <alignment horizontal="center" vertical="center" wrapText="1"/>
    </xf>
    <xf numFmtId="168" fontId="83" fillId="75" borderId="63" applyNumberFormat="0" applyProtection="0">
      <alignment horizontal="center" vertical="center" wrapText="1"/>
    </xf>
    <xf numFmtId="168" fontId="83" fillId="75" borderId="63" applyNumberFormat="0" applyProtection="0">
      <alignment horizontal="center" vertical="center" wrapText="1"/>
    </xf>
    <xf numFmtId="168" fontId="83" fillId="75" borderId="63" applyNumberFormat="0" applyProtection="0">
      <alignment horizontal="center" vertical="center" wrapText="1"/>
    </xf>
    <xf numFmtId="168" fontId="83" fillId="75" borderId="63" applyNumberFormat="0" applyProtection="0">
      <alignment horizontal="center" vertical="center" wrapText="1"/>
    </xf>
    <xf numFmtId="170" fontId="83" fillId="75" borderId="63" applyNumberFormat="0" applyProtection="0">
      <alignment horizontal="center" vertical="center" wrapText="1"/>
    </xf>
    <xf numFmtId="170" fontId="83" fillId="75" borderId="63" applyNumberFormat="0" applyProtection="0">
      <alignment horizontal="center" vertical="center" wrapText="1"/>
    </xf>
    <xf numFmtId="170" fontId="83" fillId="75" borderId="63" applyNumberFormat="0" applyProtection="0">
      <alignment horizontal="center" vertical="center" wrapText="1"/>
    </xf>
    <xf numFmtId="170" fontId="83" fillId="75" borderId="63" applyNumberFormat="0" applyProtection="0">
      <alignment horizontal="center" vertical="center" wrapText="1"/>
    </xf>
    <xf numFmtId="170" fontId="83" fillId="75" borderId="63" applyNumberFormat="0" applyProtection="0">
      <alignment horizontal="center" vertical="center" wrapText="1"/>
    </xf>
    <xf numFmtId="170" fontId="83" fillId="75" borderId="63" applyNumberFormat="0" applyProtection="0">
      <alignment horizontal="center" vertical="center" wrapText="1"/>
    </xf>
    <xf numFmtId="170" fontId="83" fillId="75" borderId="63" applyNumberFormat="0" applyProtection="0">
      <alignment horizontal="center" vertical="center" wrapText="1"/>
    </xf>
    <xf numFmtId="170" fontId="83" fillId="75" borderId="63" applyNumberFormat="0" applyProtection="0">
      <alignment horizontal="center" vertical="center" wrapText="1"/>
    </xf>
    <xf numFmtId="170" fontId="83" fillId="75" borderId="63" applyNumberFormat="0" applyProtection="0">
      <alignment horizontal="center" vertical="center" wrapText="1"/>
    </xf>
    <xf numFmtId="170" fontId="83" fillId="75" borderId="63" applyNumberFormat="0" applyProtection="0">
      <alignment horizontal="center" vertical="center" wrapText="1"/>
    </xf>
    <xf numFmtId="170" fontId="74" fillId="0" borderId="63" applyNumberFormat="0" applyFill="0" applyProtection="0">
      <alignment horizontal="center" vertical="center" wrapText="1"/>
    </xf>
    <xf numFmtId="170" fontId="74" fillId="0" borderId="63" applyNumberFormat="0" applyFill="0" applyProtection="0">
      <alignment horizontal="center" vertical="center" wrapText="1"/>
    </xf>
    <xf numFmtId="168" fontId="74" fillId="0" borderId="63" applyNumberFormat="0" applyFill="0" applyProtection="0">
      <alignment horizontal="center" vertical="center" wrapText="1"/>
    </xf>
    <xf numFmtId="168" fontId="74" fillId="0" borderId="63" applyNumberFormat="0" applyFill="0" applyProtection="0">
      <alignment horizontal="center" vertical="center" wrapText="1"/>
    </xf>
    <xf numFmtId="168" fontId="74" fillId="0" borderId="63" applyNumberFormat="0" applyFill="0" applyProtection="0">
      <alignment horizontal="center" vertical="center" wrapText="1"/>
    </xf>
    <xf numFmtId="168" fontId="74" fillId="0" borderId="63" applyNumberFormat="0" applyFill="0" applyProtection="0">
      <alignment horizontal="center" vertical="center" wrapText="1"/>
    </xf>
    <xf numFmtId="168" fontId="74" fillId="0" borderId="63" applyNumberFormat="0" applyFill="0" applyProtection="0">
      <alignment horizontal="center" vertical="center" wrapText="1"/>
    </xf>
    <xf numFmtId="168" fontId="74" fillId="0" borderId="63" applyNumberFormat="0" applyFill="0" applyProtection="0">
      <alignment horizontal="center" vertical="center" wrapText="1"/>
    </xf>
    <xf numFmtId="168" fontId="74" fillId="0" borderId="63" applyNumberFormat="0" applyFill="0" applyProtection="0">
      <alignment horizontal="center" vertical="center" wrapText="1"/>
    </xf>
    <xf numFmtId="168" fontId="74" fillId="0" borderId="63" applyNumberFormat="0" applyFill="0" applyProtection="0">
      <alignment horizontal="center" vertical="center" wrapText="1"/>
    </xf>
    <xf numFmtId="168" fontId="74" fillId="0" borderId="63" applyNumberFormat="0" applyFill="0" applyProtection="0">
      <alignment horizontal="center" vertical="center" wrapText="1"/>
    </xf>
    <xf numFmtId="168" fontId="74" fillId="0" borderId="63" applyNumberFormat="0" applyFill="0" applyProtection="0">
      <alignment horizontal="center" vertical="center" wrapText="1"/>
    </xf>
    <xf numFmtId="168" fontId="74" fillId="0" borderId="63" applyNumberFormat="0" applyFill="0" applyProtection="0">
      <alignment horizontal="center" vertical="center" wrapText="1"/>
    </xf>
    <xf numFmtId="170" fontId="74" fillId="0" borderId="63" applyNumberFormat="0" applyFill="0" applyProtection="0">
      <alignment horizontal="center" vertical="center" wrapText="1"/>
    </xf>
    <xf numFmtId="170" fontId="74" fillId="0" borderId="63" applyNumberFormat="0" applyFill="0" applyProtection="0">
      <alignment horizontal="center" vertical="center" wrapText="1"/>
    </xf>
    <xf numFmtId="170" fontId="74" fillId="0" borderId="63" applyNumberFormat="0" applyFill="0" applyProtection="0">
      <alignment horizontal="center" vertical="center" wrapText="1"/>
    </xf>
    <xf numFmtId="170" fontId="74" fillId="0" borderId="63" applyNumberFormat="0" applyFill="0" applyProtection="0">
      <alignment horizontal="center" vertical="center" wrapText="1"/>
    </xf>
    <xf numFmtId="170" fontId="74" fillId="0" borderId="63" applyNumberFormat="0" applyFill="0" applyProtection="0">
      <alignment horizontal="center" vertical="center" wrapText="1"/>
    </xf>
    <xf numFmtId="170" fontId="74" fillId="0" borderId="63" applyNumberFormat="0" applyFill="0" applyProtection="0">
      <alignment horizontal="center" vertical="center" wrapText="1"/>
    </xf>
    <xf numFmtId="170" fontId="74" fillId="0" borderId="63" applyNumberFormat="0" applyFill="0" applyProtection="0">
      <alignment horizontal="center" vertical="center" wrapText="1"/>
    </xf>
    <xf numFmtId="170" fontId="74" fillId="0" borderId="63" applyNumberFormat="0" applyFill="0" applyProtection="0">
      <alignment horizontal="center" vertical="center" wrapText="1"/>
    </xf>
    <xf numFmtId="170" fontId="74" fillId="0" borderId="63" applyNumberFormat="0" applyFill="0" applyProtection="0">
      <alignment horizontal="center" vertical="center" wrapText="1"/>
    </xf>
    <xf numFmtId="170" fontId="74" fillId="0" borderId="63" applyNumberFormat="0" applyFill="0" applyProtection="0">
      <alignment horizontal="center" vertical="center" wrapText="1"/>
    </xf>
    <xf numFmtId="168" fontId="74" fillId="0" borderId="63" applyNumberFormat="0" applyFill="0" applyProtection="0">
      <alignment horizontal="center" vertical="center" wrapText="1"/>
    </xf>
    <xf numFmtId="168" fontId="74" fillId="0" borderId="63" applyNumberFormat="0" applyFill="0" applyProtection="0">
      <alignment horizontal="center" vertical="center" wrapText="1"/>
    </xf>
    <xf numFmtId="168" fontId="74" fillId="0" borderId="63" applyNumberFormat="0" applyFill="0" applyProtection="0">
      <alignment horizontal="center" vertical="center" wrapText="1"/>
    </xf>
    <xf numFmtId="168" fontId="74" fillId="0" borderId="63" applyNumberFormat="0" applyFill="0" applyProtection="0">
      <alignment horizontal="center" vertical="center" wrapText="1"/>
    </xf>
    <xf numFmtId="168" fontId="74" fillId="0" borderId="63" applyNumberFormat="0" applyFill="0" applyProtection="0">
      <alignment horizontal="center" vertical="center" wrapText="1"/>
    </xf>
    <xf numFmtId="168" fontId="74" fillId="0" borderId="63" applyNumberFormat="0" applyFill="0" applyProtection="0">
      <alignment horizontal="center" vertical="center" wrapText="1"/>
    </xf>
    <xf numFmtId="168" fontId="74" fillId="0" borderId="63" applyNumberFormat="0" applyFill="0" applyProtection="0">
      <alignment horizontal="center" vertical="center" wrapText="1"/>
    </xf>
    <xf numFmtId="168" fontId="74" fillId="0" borderId="63" applyNumberFormat="0" applyFill="0" applyProtection="0">
      <alignment horizontal="center" vertical="center" wrapText="1"/>
    </xf>
    <xf numFmtId="168" fontId="74" fillId="0" borderId="63" applyNumberFormat="0" applyFill="0" applyProtection="0">
      <alignment horizontal="center" vertical="center" wrapText="1"/>
    </xf>
    <xf numFmtId="168" fontId="74" fillId="0" borderId="63" applyNumberFormat="0" applyFill="0" applyProtection="0">
      <alignment horizontal="center" vertical="center" wrapText="1"/>
    </xf>
    <xf numFmtId="168" fontId="74" fillId="0" borderId="63" applyNumberFormat="0" applyFill="0" applyProtection="0">
      <alignment horizontal="center" vertical="center" wrapText="1"/>
    </xf>
    <xf numFmtId="170" fontId="74" fillId="0" borderId="63" applyNumberFormat="0" applyFill="0" applyProtection="0">
      <alignment horizontal="center" vertical="center" wrapText="1"/>
    </xf>
    <xf numFmtId="170" fontId="74" fillId="0" borderId="63" applyNumberFormat="0" applyFill="0" applyProtection="0">
      <alignment horizontal="center" vertical="center" wrapText="1"/>
    </xf>
    <xf numFmtId="170" fontId="74" fillId="0" borderId="63" applyNumberFormat="0" applyFill="0" applyProtection="0">
      <alignment horizontal="center" vertical="center" wrapText="1"/>
    </xf>
    <xf numFmtId="170" fontId="74" fillId="0" borderId="63" applyNumberFormat="0" applyFill="0" applyProtection="0">
      <alignment horizontal="center" vertical="center" wrapText="1"/>
    </xf>
    <xf numFmtId="170" fontId="74" fillId="0" borderId="63" applyNumberFormat="0" applyFill="0" applyProtection="0">
      <alignment horizontal="center" vertical="center" wrapText="1"/>
    </xf>
    <xf numFmtId="170" fontId="74" fillId="0" borderId="63" applyNumberFormat="0" applyFill="0" applyProtection="0">
      <alignment horizontal="center" vertical="center" wrapText="1"/>
    </xf>
    <xf numFmtId="170" fontId="74" fillId="0" borderId="63" applyNumberFormat="0" applyFill="0" applyProtection="0">
      <alignment horizontal="center" vertical="center" wrapText="1"/>
    </xf>
    <xf numFmtId="170" fontId="74" fillId="0" borderId="63" applyNumberFormat="0" applyFill="0" applyProtection="0">
      <alignment horizontal="center" vertical="center" wrapText="1"/>
    </xf>
    <xf numFmtId="170" fontId="74" fillId="0" borderId="63" applyNumberFormat="0" applyFill="0" applyProtection="0">
      <alignment horizontal="center" vertical="center" wrapText="1"/>
    </xf>
    <xf numFmtId="170" fontId="74" fillId="0" borderId="63" applyNumberFormat="0" applyFill="0" applyProtection="0">
      <alignment horizontal="center" vertical="center" wrapText="1"/>
    </xf>
    <xf numFmtId="0" fontId="7" fillId="0" borderId="0"/>
    <xf numFmtId="170" fontId="63" fillId="0" borderId="0" applyNumberFormat="0" applyFill="0" applyProtection="0">
      <alignment horizontal="center" vertical="center" wrapText="1"/>
    </xf>
    <xf numFmtId="170" fontId="63" fillId="0" borderId="0" applyNumberFormat="0" applyFill="0" applyProtection="0">
      <alignment horizontal="center" vertical="center" wrapText="1"/>
    </xf>
    <xf numFmtId="168" fontId="63" fillId="0" borderId="0" applyNumberFormat="0" applyFill="0" applyProtection="0">
      <alignment horizontal="center" vertical="center" wrapText="1"/>
    </xf>
    <xf numFmtId="168" fontId="63" fillId="0" borderId="0" applyNumberFormat="0" applyFill="0" applyProtection="0">
      <alignment horizontal="center" vertical="center" wrapText="1"/>
    </xf>
    <xf numFmtId="0" fontId="7" fillId="0" borderId="0"/>
    <xf numFmtId="170" fontId="63" fillId="0" borderId="0"/>
    <xf numFmtId="170" fontId="63" fillId="0" borderId="0"/>
    <xf numFmtId="168" fontId="63" fillId="0" borderId="0"/>
    <xf numFmtId="0" fontId="63" fillId="0" borderId="0"/>
    <xf numFmtId="168" fontId="63" fillId="0" borderId="0"/>
    <xf numFmtId="168" fontId="63" fillId="0" borderId="0"/>
    <xf numFmtId="0" fontId="63" fillId="0" borderId="0"/>
    <xf numFmtId="170" fontId="63" fillId="0" borderId="0"/>
    <xf numFmtId="170" fontId="63" fillId="0" borderId="0"/>
    <xf numFmtId="168" fontId="63" fillId="0" borderId="0"/>
    <xf numFmtId="0" fontId="63" fillId="0" borderId="0"/>
    <xf numFmtId="168" fontId="63" fillId="0" borderId="0"/>
    <xf numFmtId="168" fontId="63" fillId="0" borderId="0"/>
    <xf numFmtId="0" fontId="63" fillId="0" borderId="0"/>
    <xf numFmtId="0" fontId="66" fillId="68" borderId="62"/>
    <xf numFmtId="0" fontId="66" fillId="68" borderId="62"/>
    <xf numFmtId="0" fontId="66" fillId="68" borderId="62"/>
    <xf numFmtId="0" fontId="66" fillId="68" borderId="62"/>
    <xf numFmtId="0" fontId="66" fillId="68" borderId="62"/>
    <xf numFmtId="0" fontId="66" fillId="68" borderId="62"/>
    <xf numFmtId="0" fontId="66" fillId="68" borderId="62"/>
    <xf numFmtId="0" fontId="66" fillId="68" borderId="62"/>
    <xf numFmtId="0" fontId="86" fillId="0" borderId="0"/>
    <xf numFmtId="170" fontId="63" fillId="72" borderId="41" applyBorder="0">
      <alignment horizontal="left"/>
    </xf>
    <xf numFmtId="170" fontId="63" fillId="72" borderId="41" applyBorder="0">
      <alignment horizontal="left"/>
    </xf>
    <xf numFmtId="170" fontId="63" fillId="72" borderId="41" applyBorder="0">
      <alignment horizontal="left"/>
    </xf>
    <xf numFmtId="168" fontId="63" fillId="72" borderId="41" applyBorder="0">
      <alignment horizontal="left"/>
    </xf>
    <xf numFmtId="168" fontId="63" fillId="72" borderId="41" applyBorder="0">
      <alignment horizontal="left"/>
    </xf>
    <xf numFmtId="0" fontId="7" fillId="0" borderId="0"/>
    <xf numFmtId="0" fontId="63" fillId="72" borderId="41" applyBorder="0">
      <alignment horizontal="left"/>
    </xf>
    <xf numFmtId="0" fontId="63" fillId="72" borderId="41" applyBorder="0">
      <alignment horizontal="left"/>
    </xf>
    <xf numFmtId="168" fontId="63" fillId="72" borderId="41" applyBorder="0">
      <alignment horizontal="left"/>
    </xf>
    <xf numFmtId="168" fontId="63" fillId="72" borderId="41" applyBorder="0">
      <alignment horizontal="left"/>
    </xf>
    <xf numFmtId="0" fontId="7" fillId="0" borderId="0"/>
    <xf numFmtId="170" fontId="63" fillId="72" borderId="41" applyBorder="0">
      <alignment horizontal="left"/>
    </xf>
    <xf numFmtId="168" fontId="63" fillId="72" borderId="41" applyBorder="0">
      <alignment horizontal="left"/>
    </xf>
    <xf numFmtId="168" fontId="63" fillId="72" borderId="41" applyBorder="0">
      <alignment horizontal="left"/>
    </xf>
    <xf numFmtId="0" fontId="63" fillId="72" borderId="41" applyBorder="0">
      <alignment horizontal="left"/>
    </xf>
    <xf numFmtId="171" fontId="71" fillId="0" borderId="0">
      <alignment horizontal="left"/>
    </xf>
    <xf numFmtId="17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170" fontId="20" fillId="68" borderId="67">
      <alignment horizontal="left" vertical="top" wrapText="1"/>
      <protection locked="0"/>
    </xf>
    <xf numFmtId="170" fontId="20" fillId="68" borderId="67">
      <alignment horizontal="left" vertical="top" wrapText="1"/>
      <protection locked="0"/>
    </xf>
    <xf numFmtId="170" fontId="20" fillId="68" borderId="67">
      <alignment horizontal="left" vertical="top" wrapText="1"/>
      <protection locked="0"/>
    </xf>
    <xf numFmtId="170" fontId="20" fillId="68" borderId="67">
      <alignment horizontal="left" vertical="top" wrapText="1"/>
      <protection locked="0"/>
    </xf>
    <xf numFmtId="170" fontId="20" fillId="68" borderId="67">
      <alignment horizontal="left" vertical="top" wrapText="1"/>
      <protection locked="0"/>
    </xf>
    <xf numFmtId="170" fontId="20" fillId="68" borderId="67">
      <alignment horizontal="left" vertical="top" wrapText="1"/>
      <protection locked="0"/>
    </xf>
    <xf numFmtId="170" fontId="20" fillId="68" borderId="67">
      <alignment horizontal="left" vertical="top" wrapText="1"/>
      <protection locked="0"/>
    </xf>
    <xf numFmtId="170" fontId="20" fillId="68" borderId="67">
      <alignment horizontal="left" vertical="top" wrapText="1"/>
      <protection locked="0"/>
    </xf>
    <xf numFmtId="170" fontId="20" fillId="68" borderId="67">
      <alignment horizontal="left" vertical="top" wrapText="1"/>
      <protection locked="0"/>
    </xf>
    <xf numFmtId="170" fontId="20" fillId="68" borderId="67">
      <alignment horizontal="left" vertical="top" wrapText="1"/>
      <protection locked="0"/>
    </xf>
    <xf numFmtId="170" fontId="20" fillId="68" borderId="67">
      <alignment horizontal="left" vertical="top" wrapText="1"/>
      <protection locked="0"/>
    </xf>
    <xf numFmtId="170" fontId="20" fillId="68" borderId="67">
      <alignment horizontal="left" vertical="top" wrapText="1"/>
      <protection locked="0"/>
    </xf>
    <xf numFmtId="170" fontId="20" fillId="68" borderId="67">
      <alignment horizontal="left" vertical="top" wrapText="1"/>
      <protection locked="0"/>
    </xf>
    <xf numFmtId="170" fontId="20" fillId="68" borderId="67">
      <alignment horizontal="left" vertical="top" wrapText="1"/>
      <protection locked="0"/>
    </xf>
    <xf numFmtId="168" fontId="20" fillId="68" borderId="67">
      <alignment horizontal="left" vertical="top" wrapText="1"/>
      <protection locked="0"/>
    </xf>
    <xf numFmtId="168" fontId="20" fillId="68" borderId="67">
      <alignment horizontal="left" vertical="top" wrapText="1"/>
      <protection locked="0"/>
    </xf>
    <xf numFmtId="168" fontId="20" fillId="68" borderId="67">
      <alignment horizontal="left" vertical="top" wrapText="1"/>
      <protection locked="0"/>
    </xf>
    <xf numFmtId="168" fontId="20" fillId="68" borderId="67">
      <alignment horizontal="left" vertical="top" wrapText="1"/>
      <protection locked="0"/>
    </xf>
    <xf numFmtId="168" fontId="20" fillId="68" borderId="67">
      <alignment horizontal="left" vertical="top" wrapText="1"/>
      <protection locked="0"/>
    </xf>
    <xf numFmtId="168" fontId="20" fillId="68" borderId="67">
      <alignment horizontal="left" vertical="top" wrapText="1"/>
      <protection locked="0"/>
    </xf>
    <xf numFmtId="168" fontId="20" fillId="68" borderId="67">
      <alignment horizontal="left" vertical="top" wrapText="1"/>
      <protection locked="0"/>
    </xf>
    <xf numFmtId="170" fontId="20" fillId="68" borderId="67">
      <alignment horizontal="left" vertical="top" wrapText="1"/>
      <protection locked="0"/>
    </xf>
    <xf numFmtId="170" fontId="20" fillId="68" borderId="67">
      <alignment horizontal="left" vertical="top" wrapText="1"/>
      <protection locked="0"/>
    </xf>
    <xf numFmtId="170" fontId="20" fillId="68" borderId="67">
      <alignment horizontal="left" vertical="top" wrapText="1"/>
      <protection locked="0"/>
    </xf>
    <xf numFmtId="170" fontId="20" fillId="68" borderId="67">
      <alignment horizontal="left" vertical="top" wrapText="1"/>
      <protection locked="0"/>
    </xf>
    <xf numFmtId="170" fontId="20" fillId="68" borderId="67">
      <alignment horizontal="left" vertical="top" wrapText="1"/>
      <protection locked="0"/>
    </xf>
    <xf numFmtId="170" fontId="20" fillId="68" borderId="67">
      <alignment horizontal="left" vertical="top" wrapText="1"/>
      <protection locked="0"/>
    </xf>
    <xf numFmtId="0" fontId="7" fillId="0" borderId="0"/>
    <xf numFmtId="170" fontId="20" fillId="68" borderId="67">
      <alignment horizontal="left" vertical="top" wrapText="1"/>
      <protection locked="0"/>
    </xf>
    <xf numFmtId="170" fontId="20" fillId="68" borderId="67">
      <alignment horizontal="left" vertical="top" wrapText="1"/>
      <protection locked="0"/>
    </xf>
    <xf numFmtId="170" fontId="20" fillId="68" borderId="67">
      <alignment horizontal="left" vertical="top" wrapText="1"/>
      <protection locked="0"/>
    </xf>
    <xf numFmtId="170" fontId="20" fillId="68" borderId="67">
      <alignment horizontal="left" vertical="top" wrapText="1"/>
      <protection locked="0"/>
    </xf>
    <xf numFmtId="170" fontId="20" fillId="68" borderId="67">
      <alignment horizontal="left" vertical="top" wrapText="1"/>
      <protection locked="0"/>
    </xf>
    <xf numFmtId="170" fontId="20" fillId="68" borderId="67">
      <alignment horizontal="left" vertical="top" wrapText="1"/>
      <protection locked="0"/>
    </xf>
    <xf numFmtId="17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0" fontId="7" fillId="0" borderId="0"/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173" fontId="20" fillId="68" borderId="67">
      <alignment horizontal="left" vertical="top" wrapText="1"/>
      <protection locked="0"/>
    </xf>
    <xf numFmtId="0" fontId="20" fillId="68" borderId="67">
      <alignment horizontal="left" vertical="top" wrapText="1"/>
      <protection locked="0"/>
    </xf>
    <xf numFmtId="0" fontId="76" fillId="76" borderId="68">
      <alignment horizontal="left" vertical="center"/>
    </xf>
    <xf numFmtId="0" fontId="76" fillId="76" borderId="68">
      <alignment horizontal="left" vertical="center"/>
    </xf>
    <xf numFmtId="0" fontId="76" fillId="76" borderId="68">
      <alignment horizontal="left" vertical="center"/>
    </xf>
    <xf numFmtId="0" fontId="76" fillId="76" borderId="68">
      <alignment horizontal="left" vertical="center"/>
    </xf>
    <xf numFmtId="0" fontId="76" fillId="76" borderId="68">
      <alignment horizontal="left" vertical="center"/>
    </xf>
    <xf numFmtId="0" fontId="76" fillId="76" borderId="68">
      <alignment horizontal="left" vertical="center"/>
    </xf>
    <xf numFmtId="0" fontId="76" fillId="76" borderId="68">
      <alignment horizontal="left" vertical="center"/>
    </xf>
    <xf numFmtId="0" fontId="76" fillId="76" borderId="68">
      <alignment horizontal="left" vertical="center"/>
    </xf>
    <xf numFmtId="0" fontId="76" fillId="76" borderId="68">
      <alignment horizontal="left" vertical="center"/>
    </xf>
    <xf numFmtId="0" fontId="76" fillId="76" borderId="68">
      <alignment horizontal="left" vertical="center"/>
    </xf>
    <xf numFmtId="168" fontId="87" fillId="68" borderId="69">
      <alignment horizontal="left"/>
    </xf>
    <xf numFmtId="0" fontId="87" fillId="68" borderId="69">
      <alignment horizontal="left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0" fontId="7" fillId="0" borderId="0"/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1" fontId="20" fillId="77" borderId="63">
      <alignment horizontal="center" vertical="center"/>
    </xf>
    <xf numFmtId="0" fontId="7" fillId="0" borderId="0"/>
    <xf numFmtId="168" fontId="23" fillId="0" borderId="9" applyNumberFormat="0" applyFill="0" applyAlignment="0" applyProtection="0"/>
    <xf numFmtId="168" fontId="23" fillId="0" borderId="9" applyNumberFormat="0" applyFill="0" applyAlignment="0" applyProtection="0"/>
    <xf numFmtId="168" fontId="23" fillId="0" borderId="9" applyNumberFormat="0" applyFill="0" applyAlignment="0" applyProtection="0"/>
    <xf numFmtId="168" fontId="23" fillId="0" borderId="9" applyNumberFormat="0" applyFill="0" applyAlignment="0" applyProtection="0"/>
    <xf numFmtId="168" fontId="23" fillId="0" borderId="9" applyNumberFormat="0" applyFill="0" applyAlignment="0" applyProtection="0"/>
    <xf numFmtId="168" fontId="23" fillId="0" borderId="9" applyNumberFormat="0" applyFill="0" applyAlignment="0" applyProtection="0"/>
    <xf numFmtId="168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191" fontId="77" fillId="0" borderId="63">
      <alignment horizontal="center" vertical="center"/>
    </xf>
    <xf numFmtId="191" fontId="77" fillId="0" borderId="63">
      <alignment horizontal="center" vertical="center"/>
    </xf>
    <xf numFmtId="191" fontId="77" fillId="0" borderId="63">
      <alignment horizontal="center" vertical="center"/>
    </xf>
    <xf numFmtId="191" fontId="77" fillId="0" borderId="63">
      <alignment horizontal="center" vertical="center"/>
    </xf>
    <xf numFmtId="191" fontId="77" fillId="0" borderId="63">
      <alignment horizontal="center" vertical="center"/>
    </xf>
    <xf numFmtId="191" fontId="77" fillId="0" borderId="63">
      <alignment horizontal="center" vertical="center"/>
    </xf>
    <xf numFmtId="191" fontId="77" fillId="0" borderId="63">
      <alignment horizontal="center" vertical="center"/>
    </xf>
    <xf numFmtId="191" fontId="77" fillId="0" borderId="63">
      <alignment horizontal="center" vertical="center"/>
    </xf>
    <xf numFmtId="191" fontId="77" fillId="0" borderId="63">
      <alignment horizontal="center" vertical="center"/>
    </xf>
    <xf numFmtId="191" fontId="77" fillId="0" borderId="63">
      <alignment horizontal="center" vertical="center"/>
    </xf>
    <xf numFmtId="191" fontId="77" fillId="0" borderId="63">
      <alignment horizontal="center" vertical="center"/>
    </xf>
    <xf numFmtId="191" fontId="77" fillId="0" borderId="63">
      <alignment horizontal="center" vertical="center"/>
    </xf>
    <xf numFmtId="191" fontId="77" fillId="0" borderId="63">
      <alignment horizontal="center" vertical="center"/>
    </xf>
    <xf numFmtId="191" fontId="77" fillId="0" borderId="63">
      <alignment horizontal="center" vertical="center"/>
    </xf>
    <xf numFmtId="191" fontId="77" fillId="0" borderId="63">
      <alignment horizontal="center" vertical="center"/>
    </xf>
    <xf numFmtId="191" fontId="77" fillId="0" borderId="63">
      <alignment horizontal="center" vertical="center"/>
    </xf>
    <xf numFmtId="191" fontId="77" fillId="0" borderId="63">
      <alignment horizontal="center" vertical="center"/>
    </xf>
    <xf numFmtId="191" fontId="77" fillId="0" borderId="63">
      <alignment horizontal="center" vertical="center"/>
    </xf>
    <xf numFmtId="191" fontId="77" fillId="0" borderId="63">
      <alignment horizontal="center" vertical="center"/>
    </xf>
    <xf numFmtId="191" fontId="77" fillId="0" borderId="63">
      <alignment horizontal="center" vertical="center"/>
    </xf>
    <xf numFmtId="191" fontId="77" fillId="0" borderId="63">
      <alignment horizontal="center" vertical="center"/>
    </xf>
    <xf numFmtId="191" fontId="77" fillId="0" borderId="63">
      <alignment horizontal="center" vertical="center"/>
    </xf>
    <xf numFmtId="179" fontId="84" fillId="0" borderId="0" applyBorder="0">
      <alignment horizontal="right"/>
    </xf>
    <xf numFmtId="171" fontId="71" fillId="0" borderId="0">
      <alignment horizontal="center"/>
    </xf>
    <xf numFmtId="168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77" fontId="88" fillId="0" borderId="50" applyBorder="0">
      <alignment horizontal="center"/>
    </xf>
    <xf numFmtId="177" fontId="88" fillId="0" borderId="50" applyBorder="0">
      <alignment horizontal="center"/>
    </xf>
    <xf numFmtId="0" fontId="7" fillId="0" borderId="0"/>
    <xf numFmtId="49" fontId="89" fillId="78" borderId="0" applyBorder="0" applyProtection="0">
      <alignment horizontal="left" vertical="top" wrapText="1"/>
    </xf>
    <xf numFmtId="182" fontId="70" fillId="0" borderId="44" applyFill="0" applyBorder="0">
      <alignment horizontal="center" vertical="center"/>
    </xf>
    <xf numFmtId="182" fontId="70" fillId="0" borderId="44" applyFill="0" applyBorder="0">
      <alignment horizontal="center" vertical="center"/>
    </xf>
    <xf numFmtId="0" fontId="7" fillId="0" borderId="0"/>
    <xf numFmtId="185" fontId="1" fillId="0" borderId="0"/>
  </cellStyleXfs>
  <cellXfs count="417">
    <xf numFmtId="165" fontId="0" fillId="0" borderId="0" xfId="0"/>
    <xf numFmtId="165" fontId="26" fillId="25" borderId="0" xfId="0" applyFont="1" applyFill="1"/>
    <xf numFmtId="165" fontId="26" fillId="0" borderId="0" xfId="0" applyFont="1"/>
    <xf numFmtId="165" fontId="29" fillId="0" borderId="0" xfId="0" applyFont="1" applyAlignment="1">
      <alignment wrapText="1"/>
    </xf>
    <xf numFmtId="14" fontId="26" fillId="25" borderId="0" xfId="0" applyNumberFormat="1" applyFont="1" applyFill="1"/>
    <xf numFmtId="14" fontId="26" fillId="0" borderId="0" xfId="0" applyNumberFormat="1" applyFont="1"/>
    <xf numFmtId="165" fontId="26" fillId="0" borderId="0" xfId="0" applyNumberFormat="1" applyFont="1"/>
    <xf numFmtId="165" fontId="29" fillId="25" borderId="0" xfId="0" applyNumberFormat="1" applyFont="1" applyFill="1" applyBorder="1" applyAlignment="1">
      <alignment vertical="top"/>
    </xf>
    <xf numFmtId="165" fontId="32" fillId="25" borderId="0" xfId="0" applyNumberFormat="1" applyFont="1" applyFill="1" applyBorder="1" applyAlignment="1">
      <alignment vertical="top"/>
    </xf>
    <xf numFmtId="165" fontId="28" fillId="25" borderId="0" xfId="0" applyNumberFormat="1" applyFont="1" applyFill="1" applyBorder="1" applyAlignment="1">
      <alignment horizontal="center" vertical="top"/>
    </xf>
    <xf numFmtId="165" fontId="29" fillId="25" borderId="0" xfId="0" applyNumberFormat="1" applyFont="1" applyFill="1" applyBorder="1" applyAlignment="1">
      <alignment horizontal="left" vertical="top"/>
    </xf>
    <xf numFmtId="165" fontId="29" fillId="25" borderId="0" xfId="0" applyNumberFormat="1" applyFont="1" applyFill="1" applyBorder="1" applyAlignment="1">
      <alignment vertical="center"/>
    </xf>
    <xf numFmtId="165" fontId="32" fillId="25" borderId="0" xfId="0" applyNumberFormat="1" applyFont="1" applyFill="1" applyBorder="1" applyAlignment="1">
      <alignment horizontal="left" vertical="top"/>
    </xf>
    <xf numFmtId="165" fontId="26" fillId="25" borderId="0" xfId="0" applyNumberFormat="1" applyFont="1" applyFill="1" applyBorder="1" applyAlignment="1">
      <alignment vertical="top"/>
    </xf>
    <xf numFmtId="165" fontId="29" fillId="25" borderId="0" xfId="0" applyNumberFormat="1" applyFont="1" applyFill="1" applyBorder="1" applyAlignment="1">
      <alignment horizontal="left" vertical="center" indent="1"/>
    </xf>
    <xf numFmtId="165" fontId="29" fillId="25" borderId="0" xfId="0" applyNumberFormat="1" applyFont="1" applyFill="1" applyBorder="1" applyAlignment="1">
      <alignment horizontal="center" vertical="center"/>
    </xf>
    <xf numFmtId="165" fontId="30" fillId="25" borderId="0" xfId="0" applyNumberFormat="1" applyFont="1" applyFill="1" applyBorder="1" applyAlignment="1">
      <alignment horizontal="left" indent="1"/>
    </xf>
    <xf numFmtId="165" fontId="29" fillId="25" borderId="0" xfId="0" applyNumberFormat="1" applyFont="1" applyFill="1" applyBorder="1" applyAlignment="1">
      <alignment horizontal="center"/>
    </xf>
    <xf numFmtId="165" fontId="29" fillId="0" borderId="0" xfId="0" applyNumberFormat="1" applyFont="1" applyAlignment="1">
      <alignment wrapText="1"/>
    </xf>
    <xf numFmtId="165" fontId="29" fillId="0" borderId="0" xfId="0" applyNumberFormat="1" applyFont="1" applyAlignment="1">
      <alignment horizontal="left" vertical="center" wrapText="1"/>
    </xf>
    <xf numFmtId="165" fontId="29" fillId="0" borderId="0" xfId="0" applyNumberFormat="1" applyFont="1" applyAlignment="1">
      <alignment vertical="center" wrapText="1"/>
    </xf>
    <xf numFmtId="165" fontId="29" fillId="0" borderId="0" xfId="0" applyNumberFormat="1" applyFont="1" applyAlignment="1">
      <alignment horizontal="center" vertical="center" wrapText="1"/>
    </xf>
    <xf numFmtId="1" fontId="26" fillId="0" borderId="0" xfId="0" applyNumberFormat="1" applyFont="1"/>
    <xf numFmtId="1" fontId="26" fillId="25" borderId="0" xfId="0" applyNumberFormat="1" applyFont="1" applyFill="1" applyAlignment="1">
      <alignment horizontal="center"/>
    </xf>
    <xf numFmtId="1" fontId="26" fillId="0" borderId="0" xfId="0" applyNumberFormat="1" applyFont="1" applyAlignment="1">
      <alignment horizontal="center"/>
    </xf>
    <xf numFmtId="165" fontId="26" fillId="25" borderId="0" xfId="0" applyNumberFormat="1" applyFont="1" applyFill="1" applyBorder="1"/>
    <xf numFmtId="165" fontId="26" fillId="0" borderId="0" xfId="0" applyNumberFormat="1" applyFont="1"/>
    <xf numFmtId="165" fontId="32" fillId="25" borderId="0" xfId="0" applyNumberFormat="1" applyFont="1" applyFill="1" applyBorder="1" applyAlignment="1">
      <alignment horizontal="right" vertical="center"/>
    </xf>
    <xf numFmtId="166" fontId="26" fillId="25" borderId="0" xfId="0" applyNumberFormat="1" applyFont="1" applyFill="1" applyAlignment="1">
      <alignment horizontal="center"/>
    </xf>
    <xf numFmtId="166" fontId="26" fillId="0" borderId="0" xfId="0" applyNumberFormat="1" applyFont="1" applyAlignment="1">
      <alignment horizontal="center"/>
    </xf>
    <xf numFmtId="0" fontId="29" fillId="0" borderId="0" xfId="0" applyNumberFormat="1" applyFont="1" applyAlignment="1">
      <alignment wrapText="1"/>
    </xf>
    <xf numFmtId="1" fontId="26" fillId="25" borderId="10" xfId="0" applyNumberFormat="1" applyFont="1" applyFill="1" applyBorder="1" applyAlignment="1">
      <alignment horizontal="left" vertical="center"/>
    </xf>
    <xf numFmtId="0" fontId="29" fillId="0" borderId="0" xfId="0" applyNumberFormat="1" applyFont="1" applyAlignment="1">
      <alignment vertical="center" wrapText="1"/>
    </xf>
    <xf numFmtId="165" fontId="29" fillId="0" borderId="0" xfId="0" applyFont="1" applyAlignment="1">
      <alignment vertical="center" wrapText="1"/>
    </xf>
    <xf numFmtId="167" fontId="32" fillId="25" borderId="10" xfId="0" applyNumberFormat="1" applyFont="1" applyFill="1" applyBorder="1" applyAlignment="1">
      <alignment horizontal="right" vertical="center"/>
    </xf>
    <xf numFmtId="167" fontId="0" fillId="0" borderId="0" xfId="0" applyNumberFormat="1"/>
    <xf numFmtId="0" fontId="0" fillId="0" borderId="0" xfId="0" applyNumberFormat="1"/>
    <xf numFmtId="165" fontId="0" fillId="25" borderId="0" xfId="0" applyFill="1"/>
    <xf numFmtId="167" fontId="0" fillId="25" borderId="0" xfId="0" applyNumberFormat="1" applyFill="1"/>
    <xf numFmtId="0" fontId="0" fillId="25" borderId="0" xfId="0" applyNumberFormat="1" applyFill="1"/>
    <xf numFmtId="164" fontId="25" fillId="25" borderId="10" xfId="0" applyNumberFormat="1" applyFont="1" applyFill="1" applyBorder="1" applyAlignment="1">
      <alignment wrapText="1"/>
    </xf>
    <xf numFmtId="165" fontId="0" fillId="25" borderId="10" xfId="0" applyFill="1" applyBorder="1"/>
    <xf numFmtId="165" fontId="0" fillId="63" borderId="18" xfId="0" applyFill="1" applyBorder="1"/>
    <xf numFmtId="165" fontId="0" fillId="63" borderId="20" xfId="0" applyFill="1" applyBorder="1"/>
    <xf numFmtId="167" fontId="0" fillId="63" borderId="20" xfId="0" applyNumberFormat="1" applyFill="1" applyBorder="1"/>
    <xf numFmtId="0" fontId="0" fillId="63" borderId="20" xfId="0" applyNumberFormat="1" applyFill="1" applyBorder="1"/>
    <xf numFmtId="165" fontId="0" fillId="63" borderId="16" xfId="0" applyFill="1" applyBorder="1"/>
    <xf numFmtId="165" fontId="0" fillId="63" borderId="0" xfId="0" applyFill="1" applyBorder="1"/>
    <xf numFmtId="0" fontId="0" fillId="63" borderId="0" xfId="0" applyNumberFormat="1" applyFill="1" applyBorder="1"/>
    <xf numFmtId="167" fontId="0" fillId="63" borderId="0" xfId="0" applyNumberFormat="1" applyFill="1" applyBorder="1"/>
    <xf numFmtId="165" fontId="0" fillId="63" borderId="21" xfId="0" applyFill="1" applyBorder="1"/>
    <xf numFmtId="165" fontId="0" fillId="63" borderId="23" xfId="0" applyFill="1" applyBorder="1"/>
    <xf numFmtId="167" fontId="0" fillId="63" borderId="23" xfId="0" applyNumberFormat="1" applyFill="1" applyBorder="1"/>
    <xf numFmtId="0" fontId="0" fillId="63" borderId="23" xfId="0" applyNumberFormat="1" applyFill="1" applyBorder="1"/>
    <xf numFmtId="0" fontId="0" fillId="63" borderId="19" xfId="0" applyNumberFormat="1" applyFill="1" applyBorder="1"/>
    <xf numFmtId="0" fontId="0" fillId="63" borderId="17" xfId="0" applyNumberFormat="1" applyFill="1" applyBorder="1"/>
    <xf numFmtId="0" fontId="0" fillId="63" borderId="22" xfId="0" applyNumberFormat="1" applyFill="1" applyBorder="1"/>
    <xf numFmtId="165" fontId="27" fillId="63" borderId="0" xfId="0" applyFont="1" applyFill="1" applyBorder="1" applyAlignment="1">
      <alignment horizontal="right" vertical="center" indent="1"/>
    </xf>
    <xf numFmtId="0" fontId="29" fillId="63" borderId="0" xfId="0" applyNumberFormat="1" applyFont="1" applyFill="1" applyBorder="1" applyAlignment="1">
      <alignment horizontal="right" vertical="center" indent="1"/>
    </xf>
    <xf numFmtId="165" fontId="31" fillId="25" borderId="0" xfId="0" applyNumberFormat="1" applyFont="1" applyFill="1" applyBorder="1" applyAlignment="1">
      <alignment horizontal="left" vertical="top"/>
    </xf>
    <xf numFmtId="165" fontId="31" fillId="25" borderId="0" xfId="0" applyNumberFormat="1" applyFont="1" applyFill="1" applyBorder="1" applyAlignment="1">
      <alignment horizontal="center" vertical="top"/>
    </xf>
    <xf numFmtId="166" fontId="26" fillId="0" borderId="0" xfId="0" applyNumberFormat="1" applyFont="1" applyAlignment="1">
      <alignment vertical="center"/>
    </xf>
    <xf numFmtId="165" fontId="25" fillId="0" borderId="24" xfId="0" applyFont="1" applyBorder="1" applyAlignment="1">
      <alignment wrapText="1"/>
    </xf>
    <xf numFmtId="164" fontId="25" fillId="25" borderId="24" xfId="0" applyNumberFormat="1" applyFont="1" applyFill="1" applyBorder="1" applyAlignment="1">
      <alignment horizontal="center" wrapText="1"/>
    </xf>
    <xf numFmtId="164" fontId="29" fillId="0" borderId="0" xfId="0" applyNumberFormat="1" applyFont="1" applyAlignment="1">
      <alignment horizontal="center" wrapText="1"/>
    </xf>
    <xf numFmtId="165" fontId="26" fillId="25" borderId="0" xfId="0" applyNumberFormat="1" applyFont="1" applyFill="1" applyBorder="1" applyAlignment="1">
      <alignment horizontal="center" vertical="center"/>
    </xf>
    <xf numFmtId="165" fontId="26" fillId="0" borderId="0" xfId="0" applyFont="1" applyFill="1"/>
    <xf numFmtId="165" fontId="26" fillId="0" borderId="0" xfId="0" applyNumberFormat="1" applyFont="1" applyFill="1"/>
    <xf numFmtId="165" fontId="26" fillId="0" borderId="0" xfId="0" applyFont="1" applyFill="1" applyBorder="1"/>
    <xf numFmtId="165" fontId="26" fillId="25" borderId="55" xfId="0" applyFont="1" applyFill="1" applyBorder="1"/>
    <xf numFmtId="165" fontId="26" fillId="25" borderId="58" xfId="0" applyNumberFormat="1" applyFont="1" applyFill="1" applyBorder="1"/>
    <xf numFmtId="165" fontId="58" fillId="25" borderId="0" xfId="0" applyNumberFormat="1" applyFont="1" applyFill="1" applyBorder="1" applyAlignment="1">
      <alignment horizontal="center" vertical="center"/>
    </xf>
    <xf numFmtId="9" fontId="32" fillId="25" borderId="0" xfId="0" applyNumberFormat="1" applyFont="1" applyFill="1" applyBorder="1" applyAlignment="1">
      <alignment horizontal="center" vertical="center"/>
    </xf>
    <xf numFmtId="9" fontId="26" fillId="25" borderId="0" xfId="0" applyNumberFormat="1" applyFont="1" applyFill="1" applyBorder="1"/>
    <xf numFmtId="165" fontId="32" fillId="25" borderId="18" xfId="0" applyNumberFormat="1" applyFont="1" applyFill="1" applyBorder="1" applyAlignment="1">
      <alignment vertical="top"/>
    </xf>
    <xf numFmtId="165" fontId="32" fillId="25" borderId="20" xfId="0" applyNumberFormat="1" applyFont="1" applyFill="1" applyBorder="1" applyAlignment="1">
      <alignment vertical="top"/>
    </xf>
    <xf numFmtId="165" fontId="32" fillId="25" borderId="19" xfId="0" applyNumberFormat="1" applyFont="1" applyFill="1" applyBorder="1" applyAlignment="1">
      <alignment horizontal="right" vertical="center"/>
    </xf>
    <xf numFmtId="165" fontId="32" fillId="25" borderId="16" xfId="0" applyNumberFormat="1" applyFont="1" applyFill="1" applyBorder="1" applyAlignment="1">
      <alignment vertical="top"/>
    </xf>
    <xf numFmtId="165" fontId="32" fillId="25" borderId="17" xfId="0" applyNumberFormat="1" applyFont="1" applyFill="1" applyBorder="1" applyAlignment="1">
      <alignment horizontal="right" vertical="center"/>
    </xf>
    <xf numFmtId="165" fontId="32" fillId="25" borderId="21" xfId="0" applyNumberFormat="1" applyFont="1" applyFill="1" applyBorder="1" applyAlignment="1">
      <alignment vertical="top"/>
    </xf>
    <xf numFmtId="165" fontId="32" fillId="25" borderId="23" xfId="0" applyNumberFormat="1" applyFont="1" applyFill="1" applyBorder="1" applyAlignment="1">
      <alignment vertical="top"/>
    </xf>
    <xf numFmtId="165" fontId="32" fillId="25" borderId="22" xfId="0" applyNumberFormat="1" applyFont="1" applyFill="1" applyBorder="1" applyAlignment="1">
      <alignment horizontal="right" vertical="top"/>
    </xf>
    <xf numFmtId="9" fontId="32" fillId="25" borderId="19" xfId="0" applyNumberFormat="1" applyFont="1" applyFill="1" applyBorder="1" applyAlignment="1">
      <alignment horizontal="center" vertical="center"/>
    </xf>
    <xf numFmtId="9" fontId="32" fillId="25" borderId="22" xfId="0" applyNumberFormat="1" applyFont="1" applyFill="1" applyBorder="1" applyAlignment="1">
      <alignment horizontal="center" vertical="center"/>
    </xf>
    <xf numFmtId="165" fontId="27" fillId="25" borderId="0" xfId="0" applyNumberFormat="1" applyFont="1" applyFill="1" applyBorder="1" applyAlignment="1"/>
    <xf numFmtId="165" fontId="58" fillId="66" borderId="10" xfId="0" applyNumberFormat="1" applyFont="1" applyFill="1" applyBorder="1" applyAlignment="1">
      <alignment horizontal="left" vertical="center"/>
    </xf>
    <xf numFmtId="165" fontId="58" fillId="26" borderId="10" xfId="0" applyNumberFormat="1" applyFont="1" applyFill="1" applyBorder="1" applyAlignment="1">
      <alignment horizontal="left" vertical="center"/>
    </xf>
    <xf numFmtId="165" fontId="59" fillId="25" borderId="0" xfId="0" applyNumberFormat="1" applyFont="1" applyFill="1" applyBorder="1"/>
    <xf numFmtId="165" fontId="60" fillId="25" borderId="0" xfId="0" applyNumberFormat="1" applyFont="1" applyFill="1" applyBorder="1"/>
    <xf numFmtId="165" fontId="62" fillId="65" borderId="10" xfId="0" applyNumberFormat="1" applyFont="1" applyFill="1" applyBorder="1" applyAlignment="1">
      <alignment horizontal="left" vertical="center"/>
    </xf>
    <xf numFmtId="9" fontId="54" fillId="25" borderId="0" xfId="0" applyNumberFormat="1" applyFont="1" applyFill="1" applyBorder="1" applyAlignment="1">
      <alignment horizontal="right" vertical="center"/>
    </xf>
    <xf numFmtId="165" fontId="29" fillId="25" borderId="20" xfId="0" quotePrefix="1" applyNumberFormat="1" applyFont="1" applyFill="1" applyBorder="1" applyAlignment="1">
      <alignment horizontal="left" vertical="center"/>
    </xf>
    <xf numFmtId="165" fontId="29" fillId="25" borderId="0" xfId="0" quotePrefix="1" applyNumberFormat="1" applyFont="1" applyFill="1" applyBorder="1" applyAlignment="1">
      <alignment horizontal="left" vertical="center"/>
    </xf>
    <xf numFmtId="165" fontId="29" fillId="25" borderId="23" xfId="0" quotePrefix="1" applyNumberFormat="1" applyFont="1" applyFill="1" applyBorder="1" applyAlignment="1">
      <alignment horizontal="left" vertical="center"/>
    </xf>
    <xf numFmtId="9" fontId="32" fillId="25" borderId="20" xfId="0" applyNumberFormat="1" applyFont="1" applyFill="1" applyBorder="1" applyAlignment="1">
      <alignment horizontal="left" vertical="center"/>
    </xf>
    <xf numFmtId="165" fontId="29" fillId="25" borderId="23" xfId="0" quotePrefix="1" applyNumberFormat="1" applyFont="1" applyFill="1" applyBorder="1" applyAlignment="1">
      <alignment horizontal="right" vertical="center"/>
    </xf>
    <xf numFmtId="165" fontId="29" fillId="25" borderId="20" xfId="0" quotePrefix="1" applyNumberFormat="1" applyFont="1" applyFill="1" applyBorder="1" applyAlignment="1">
      <alignment horizontal="right" vertical="center"/>
    </xf>
    <xf numFmtId="9" fontId="32" fillId="25" borderId="22" xfId="0" applyNumberFormat="1" applyFont="1" applyFill="1" applyBorder="1" applyAlignment="1">
      <alignment horizontal="left" vertical="center"/>
    </xf>
    <xf numFmtId="9" fontId="32" fillId="25" borderId="17" xfId="0" applyNumberFormat="1" applyFont="1" applyFill="1" applyBorder="1" applyAlignment="1">
      <alignment horizontal="left" vertical="center"/>
    </xf>
    <xf numFmtId="9" fontId="32" fillId="25" borderId="0" xfId="0" applyNumberFormat="1" applyFont="1" applyFill="1" applyBorder="1" applyAlignment="1">
      <alignment vertical="center"/>
    </xf>
    <xf numFmtId="165" fontId="29" fillId="0" borderId="0" xfId="0" applyFont="1" applyAlignment="1">
      <alignment horizontal="left" vertical="top" wrapText="1"/>
    </xf>
    <xf numFmtId="165" fontId="27" fillId="81" borderId="10" xfId="0" applyNumberFormat="1" applyFont="1" applyFill="1" applyBorder="1" applyAlignment="1">
      <alignment vertical="center" wrapText="1"/>
    </xf>
    <xf numFmtId="165" fontId="27" fillId="81" borderId="10" xfId="0" applyNumberFormat="1" applyFont="1" applyFill="1" applyBorder="1" applyAlignment="1">
      <alignment horizontal="left" vertical="center" wrapText="1"/>
    </xf>
    <xf numFmtId="165" fontId="55" fillId="81" borderId="10" xfId="0" applyNumberFormat="1" applyFont="1" applyFill="1" applyBorder="1" applyAlignment="1">
      <alignment vertical="center" wrapText="1"/>
    </xf>
    <xf numFmtId="165" fontId="26" fillId="0" borderId="10" xfId="86" applyFont="1" applyBorder="1" applyAlignment="1">
      <alignment horizontal="left" vertical="top" wrapText="1"/>
    </xf>
    <xf numFmtId="165" fontId="26" fillId="25" borderId="10" xfId="86" applyFont="1" applyFill="1" applyBorder="1" applyAlignment="1">
      <alignment horizontal="left" vertical="top" wrapText="1"/>
    </xf>
    <xf numFmtId="165" fontId="27" fillId="0" borderId="10" xfId="86" applyFont="1" applyBorder="1" applyAlignment="1">
      <alignment horizontal="left" vertical="top" wrapText="1"/>
    </xf>
    <xf numFmtId="165" fontId="93" fillId="0" borderId="10" xfId="86" applyFont="1" applyBorder="1" applyAlignment="1">
      <alignment horizontal="left" vertical="top" wrapText="1"/>
    </xf>
    <xf numFmtId="165" fontId="26" fillId="0" borderId="10" xfId="86" applyFont="1" applyFill="1" applyBorder="1" applyAlignment="1">
      <alignment horizontal="left" vertical="top" wrapText="1"/>
    </xf>
    <xf numFmtId="49" fontId="26" fillId="0" borderId="10" xfId="0" applyNumberFormat="1" applyFont="1" applyFill="1" applyBorder="1" applyAlignment="1" applyProtection="1">
      <alignment horizontal="left" vertical="top" wrapText="1"/>
      <protection locked="0"/>
    </xf>
    <xf numFmtId="165" fontId="27" fillId="0" borderId="10" xfId="86" applyFont="1" applyFill="1" applyBorder="1" applyAlignment="1">
      <alignment horizontal="left" vertical="top" wrapText="1"/>
    </xf>
    <xf numFmtId="165" fontId="26" fillId="25" borderId="10" xfId="86" applyFont="1" applyFill="1" applyBorder="1" applyAlignment="1" applyProtection="1">
      <alignment horizontal="left" vertical="top" wrapText="1"/>
    </xf>
    <xf numFmtId="165" fontId="26" fillId="0" borderId="10" xfId="86" applyFont="1" applyFill="1" applyBorder="1" applyAlignment="1" applyProtection="1">
      <alignment horizontal="left" vertical="top" wrapText="1"/>
    </xf>
    <xf numFmtId="165" fontId="26" fillId="0" borderId="10" xfId="0" applyFont="1" applyBorder="1" applyAlignment="1">
      <alignment vertical="top" wrapText="1"/>
    </xf>
    <xf numFmtId="165" fontId="94" fillId="0" borderId="10" xfId="86" applyFont="1" applyFill="1" applyBorder="1" applyAlignment="1">
      <alignment horizontal="left" vertical="top" wrapText="1"/>
    </xf>
    <xf numFmtId="165" fontId="27" fillId="25" borderId="10" xfId="86" applyFont="1" applyFill="1" applyBorder="1" applyAlignment="1">
      <alignment horizontal="left" vertical="top" wrapText="1"/>
    </xf>
    <xf numFmtId="49" fontId="26" fillId="0" borderId="10" xfId="20472" applyNumberFormat="1" applyFont="1" applyFill="1" applyBorder="1" applyAlignment="1" applyProtection="1">
      <alignment horizontal="left" vertical="top" wrapText="1"/>
      <protection locked="0"/>
    </xf>
    <xf numFmtId="0" fontId="97" fillId="25" borderId="0" xfId="21720" applyNumberFormat="1" applyFont="1" applyFill="1" applyAlignment="1">
      <alignment horizontal="left" vertical="top" wrapText="1"/>
    </xf>
    <xf numFmtId="0" fontId="97" fillId="25" borderId="0" xfId="21720" applyNumberFormat="1" applyFont="1" applyFill="1" applyAlignment="1">
      <alignment wrapText="1"/>
    </xf>
    <xf numFmtId="0" fontId="97" fillId="0" borderId="0" xfId="21720" applyNumberFormat="1" applyFont="1" applyFill="1" applyAlignment="1">
      <alignment wrapText="1"/>
    </xf>
    <xf numFmtId="0" fontId="97" fillId="84" borderId="56" xfId="21720" applyNumberFormat="1" applyFont="1" applyFill="1" applyBorder="1" applyAlignment="1">
      <alignment wrapText="1"/>
    </xf>
    <xf numFmtId="0" fontId="97" fillId="84" borderId="57" xfId="21720" applyNumberFormat="1" applyFont="1" applyFill="1" applyBorder="1" applyAlignment="1">
      <alignment wrapText="1"/>
    </xf>
    <xf numFmtId="0" fontId="98" fillId="84" borderId="57" xfId="21720" applyNumberFormat="1" applyFont="1" applyFill="1" applyBorder="1" applyAlignment="1">
      <alignment vertical="top"/>
    </xf>
    <xf numFmtId="0" fontId="97" fillId="84" borderId="40" xfId="21720" applyNumberFormat="1" applyFont="1" applyFill="1" applyBorder="1" applyAlignment="1">
      <alignment horizontal="left" vertical="top" wrapText="1"/>
    </xf>
    <xf numFmtId="0" fontId="97" fillId="84" borderId="55" xfId="21720" applyNumberFormat="1" applyFont="1" applyFill="1" applyBorder="1" applyAlignment="1">
      <alignment wrapText="1"/>
    </xf>
    <xf numFmtId="0" fontId="99" fillId="85" borderId="56" xfId="21720" applyNumberFormat="1" applyFont="1" applyFill="1" applyBorder="1" applyAlignment="1">
      <alignment wrapText="1"/>
    </xf>
    <xf numFmtId="0" fontId="97" fillId="85" borderId="57" xfId="21720" applyNumberFormat="1" applyFont="1" applyFill="1" applyBorder="1" applyAlignment="1">
      <alignment wrapText="1"/>
    </xf>
    <xf numFmtId="0" fontId="97" fillId="85" borderId="40" xfId="21720" applyNumberFormat="1" applyFont="1" applyFill="1" applyBorder="1" applyAlignment="1">
      <alignment wrapText="1"/>
    </xf>
    <xf numFmtId="0" fontId="97" fillId="84" borderId="58" xfId="21720" applyNumberFormat="1" applyFont="1" applyFill="1" applyBorder="1" applyAlignment="1">
      <alignment horizontal="left" vertical="top" wrapText="1"/>
    </xf>
    <xf numFmtId="0" fontId="97" fillId="85" borderId="55" xfId="21720" applyNumberFormat="1" applyFont="1" applyFill="1" applyBorder="1" applyAlignment="1">
      <alignment wrapText="1"/>
    </xf>
    <xf numFmtId="0" fontId="97" fillId="85" borderId="0" xfId="21720" applyNumberFormat="1" applyFont="1" applyFill="1" applyBorder="1" applyAlignment="1">
      <alignment vertical="center" wrapText="1"/>
    </xf>
    <xf numFmtId="0" fontId="97" fillId="85" borderId="0" xfId="21720" applyNumberFormat="1" applyFont="1" applyFill="1" applyBorder="1" applyAlignment="1">
      <alignment wrapText="1"/>
    </xf>
    <xf numFmtId="0" fontId="97" fillId="85" borderId="58" xfId="21720" applyNumberFormat="1" applyFont="1" applyFill="1" applyBorder="1" applyAlignment="1">
      <alignment wrapText="1"/>
    </xf>
    <xf numFmtId="0" fontId="97" fillId="85" borderId="77" xfId="21720" applyNumberFormat="1" applyFont="1" applyFill="1" applyBorder="1" applyAlignment="1">
      <alignment wrapText="1"/>
    </xf>
    <xf numFmtId="0" fontId="97" fillId="85" borderId="75" xfId="21720" applyNumberFormat="1" applyFont="1" applyFill="1" applyBorder="1" applyAlignment="1">
      <alignment wrapText="1"/>
    </xf>
    <xf numFmtId="0" fontId="97" fillId="85" borderId="76" xfId="21720" applyNumberFormat="1" applyFont="1" applyFill="1" applyBorder="1" applyAlignment="1">
      <alignment wrapText="1"/>
    </xf>
    <xf numFmtId="0" fontId="97" fillId="84" borderId="0" xfId="21720" applyNumberFormat="1" applyFont="1" applyFill="1" applyBorder="1" applyAlignment="1">
      <alignment wrapText="1"/>
    </xf>
    <xf numFmtId="0" fontId="97" fillId="85" borderId="56" xfId="21720" applyNumberFormat="1" applyFont="1" applyFill="1" applyBorder="1" applyAlignment="1">
      <alignment wrapText="1"/>
    </xf>
    <xf numFmtId="0" fontId="99" fillId="85" borderId="55" xfId="21720" applyNumberFormat="1" applyFont="1" applyFill="1" applyBorder="1" applyAlignment="1">
      <alignment wrapText="1"/>
    </xf>
    <xf numFmtId="0" fontId="97" fillId="85" borderId="0" xfId="21720" applyNumberFormat="1" applyFont="1" applyFill="1" applyBorder="1" applyAlignment="1">
      <alignment horizontal="center" vertical="center" wrapText="1"/>
    </xf>
    <xf numFmtId="0" fontId="97" fillId="84" borderId="77" xfId="21720" applyNumberFormat="1" applyFont="1" applyFill="1" applyBorder="1" applyAlignment="1">
      <alignment wrapText="1"/>
    </xf>
    <xf numFmtId="0" fontId="97" fillId="84" borderId="75" xfId="21720" applyNumberFormat="1" applyFont="1" applyFill="1" applyBorder="1" applyAlignment="1">
      <alignment wrapText="1"/>
    </xf>
    <xf numFmtId="0" fontId="97" fillId="84" borderId="76" xfId="21720" applyNumberFormat="1" applyFont="1" applyFill="1" applyBorder="1" applyAlignment="1">
      <alignment horizontal="left" vertical="top" wrapText="1"/>
    </xf>
    <xf numFmtId="0" fontId="97" fillId="0" borderId="0" xfId="21720" applyNumberFormat="1" applyFont="1" applyFill="1" applyAlignment="1">
      <alignment horizontal="left" vertical="top" wrapText="1"/>
    </xf>
    <xf numFmtId="165" fontId="100" fillId="0" borderId="0" xfId="0" applyNumberFormat="1" applyFont="1" applyFill="1" applyAlignment="1">
      <alignment vertical="center"/>
    </xf>
    <xf numFmtId="14" fontId="32" fillId="24" borderId="10" xfId="0" applyNumberFormat="1" applyFont="1" applyFill="1" applyBorder="1" applyProtection="1">
      <protection hidden="1"/>
    </xf>
    <xf numFmtId="1" fontId="32" fillId="24" borderId="10" xfId="0" applyNumberFormat="1" applyFont="1" applyFill="1" applyBorder="1" applyAlignment="1" applyProtection="1">
      <alignment horizontal="center"/>
      <protection hidden="1"/>
    </xf>
    <xf numFmtId="166" fontId="32" fillId="24" borderId="10" xfId="0" applyNumberFormat="1" applyFont="1" applyFill="1" applyBorder="1" applyAlignment="1" applyProtection="1">
      <alignment horizontal="center"/>
      <protection hidden="1"/>
    </xf>
    <xf numFmtId="166" fontId="32" fillId="24" borderId="10" xfId="0" applyNumberFormat="1" applyFont="1" applyFill="1" applyBorder="1" applyAlignment="1" applyProtection="1">
      <alignment horizontal="center" vertical="center"/>
      <protection hidden="1"/>
    </xf>
    <xf numFmtId="1" fontId="26" fillId="24" borderId="10" xfId="0" applyNumberFormat="1" applyFont="1" applyFill="1" applyBorder="1" applyAlignment="1" applyProtection="1">
      <alignment horizontal="left"/>
      <protection hidden="1"/>
    </xf>
    <xf numFmtId="14" fontId="26" fillId="24" borderId="10" xfId="0" applyNumberFormat="1" applyFont="1" applyFill="1" applyBorder="1" applyAlignment="1" applyProtection="1">
      <alignment horizontal="center"/>
      <protection hidden="1"/>
    </xf>
    <xf numFmtId="1" fontId="26" fillId="25" borderId="0" xfId="0" applyNumberFormat="1" applyFont="1" applyFill="1" applyProtection="1">
      <protection hidden="1"/>
    </xf>
    <xf numFmtId="1" fontId="101" fillId="24" borderId="12" xfId="0" applyNumberFormat="1" applyFont="1" applyFill="1" applyBorder="1" applyAlignment="1" applyProtection="1">
      <alignment horizontal="center"/>
      <protection hidden="1"/>
    </xf>
    <xf numFmtId="1" fontId="101" fillId="24" borderId="10" xfId="0" applyNumberFormat="1" applyFont="1" applyFill="1" applyBorder="1" applyAlignment="1" applyProtection="1">
      <alignment horizontal="center"/>
      <protection hidden="1"/>
    </xf>
    <xf numFmtId="1" fontId="101" fillId="24" borderId="40" xfId="0" applyNumberFormat="1" applyFont="1" applyFill="1" applyBorder="1" applyAlignment="1" applyProtection="1">
      <alignment horizontal="center"/>
      <protection hidden="1"/>
    </xf>
    <xf numFmtId="1" fontId="26" fillId="24" borderId="12" xfId="0" applyNumberFormat="1" applyFont="1" applyFill="1" applyBorder="1" applyAlignment="1" applyProtection="1">
      <alignment horizontal="center"/>
      <protection hidden="1"/>
    </xf>
    <xf numFmtId="1" fontId="26" fillId="24" borderId="10" xfId="0" applyNumberFormat="1" applyFont="1" applyFill="1" applyBorder="1" applyAlignment="1" applyProtection="1">
      <alignment horizontal="center"/>
      <protection hidden="1"/>
    </xf>
    <xf numFmtId="1" fontId="26" fillId="24" borderId="41" xfId="0" applyNumberFormat="1" applyFont="1" applyFill="1" applyBorder="1" applyAlignment="1" applyProtection="1">
      <alignment horizontal="center"/>
      <protection hidden="1"/>
    </xf>
    <xf numFmtId="14" fontId="26" fillId="25" borderId="11" xfId="0" applyNumberFormat="1" applyFont="1" applyFill="1" applyBorder="1" applyProtection="1">
      <protection hidden="1"/>
    </xf>
    <xf numFmtId="1" fontId="26" fillId="25" borderId="17" xfId="0" applyNumberFormat="1" applyFont="1" applyFill="1" applyBorder="1" applyAlignment="1" applyProtection="1">
      <alignment horizontal="center"/>
      <protection hidden="1"/>
    </xf>
    <xf numFmtId="166" fontId="26" fillId="25" borderId="17" xfId="0" applyNumberFormat="1" applyFont="1" applyFill="1" applyBorder="1" applyAlignment="1" applyProtection="1">
      <alignment horizontal="center"/>
      <protection hidden="1"/>
    </xf>
    <xf numFmtId="166" fontId="26" fillId="25" borderId="11" xfId="0" applyNumberFormat="1" applyFont="1" applyFill="1" applyBorder="1" applyAlignment="1" applyProtection="1">
      <alignment horizontal="center"/>
      <protection hidden="1"/>
    </xf>
    <xf numFmtId="166" fontId="26" fillId="25" borderId="16" xfId="0" applyNumberFormat="1" applyFont="1" applyFill="1" applyBorder="1" applyAlignment="1" applyProtection="1">
      <alignment horizontal="center"/>
      <protection hidden="1"/>
    </xf>
    <xf numFmtId="9" fontId="26" fillId="25" borderId="16" xfId="0" applyNumberFormat="1" applyFont="1" applyFill="1" applyBorder="1" applyAlignment="1" applyProtection="1">
      <alignment horizontal="center"/>
      <protection hidden="1"/>
    </xf>
    <xf numFmtId="166" fontId="26" fillId="25" borderId="11" xfId="0" applyNumberFormat="1" applyFont="1" applyFill="1" applyBorder="1" applyAlignment="1" applyProtection="1">
      <alignment horizontal="center" vertical="center"/>
      <protection hidden="1"/>
    </xf>
    <xf numFmtId="166" fontId="26" fillId="25" borderId="0" xfId="0" applyNumberFormat="1" applyFont="1" applyFill="1" applyBorder="1" applyAlignment="1" applyProtection="1">
      <alignment horizontal="center" vertical="center"/>
      <protection hidden="1"/>
    </xf>
    <xf numFmtId="1" fontId="26" fillId="25" borderId="18" xfId="0" applyNumberFormat="1" applyFont="1" applyFill="1" applyBorder="1" applyProtection="1">
      <protection hidden="1"/>
    </xf>
    <xf numFmtId="1" fontId="26" fillId="29" borderId="10" xfId="0" applyNumberFormat="1" applyFont="1" applyFill="1" applyBorder="1" applyAlignment="1" applyProtection="1">
      <alignment horizontal="center"/>
      <protection hidden="1"/>
    </xf>
    <xf numFmtId="1" fontId="101" fillId="25" borderId="12" xfId="0" applyNumberFormat="1" applyFont="1" applyFill="1" applyBorder="1" applyProtection="1">
      <protection hidden="1"/>
    </xf>
    <xf numFmtId="1" fontId="101" fillId="25" borderId="10" xfId="0" applyNumberFormat="1" applyFont="1" applyFill="1" applyBorder="1" applyAlignment="1" applyProtection="1">
      <alignment horizontal="center"/>
      <protection hidden="1"/>
    </xf>
    <xf numFmtId="1" fontId="101" fillId="25" borderId="14" xfId="0" applyNumberFormat="1" applyFont="1" applyFill="1" applyBorder="1" applyAlignment="1" applyProtection="1">
      <alignment horizontal="center"/>
      <protection hidden="1"/>
    </xf>
    <xf numFmtId="1" fontId="101" fillId="25" borderId="26" xfId="0" applyNumberFormat="1" applyFont="1" applyFill="1" applyBorder="1" applyAlignment="1" applyProtection="1">
      <alignment horizontal="center"/>
      <protection hidden="1"/>
    </xf>
    <xf numFmtId="1" fontId="26" fillId="25" borderId="10" xfId="0" applyNumberFormat="1" applyFont="1" applyFill="1" applyBorder="1" applyProtection="1">
      <protection hidden="1"/>
    </xf>
    <xf numFmtId="1" fontId="26" fillId="25" borderId="10" xfId="0" applyNumberFormat="1" applyFont="1" applyFill="1" applyBorder="1" applyAlignment="1" applyProtection="1">
      <alignment horizontal="center"/>
      <protection hidden="1"/>
    </xf>
    <xf numFmtId="1" fontId="26" fillId="25" borderId="26" xfId="0" applyNumberFormat="1" applyFont="1" applyFill="1" applyBorder="1" applyAlignment="1" applyProtection="1">
      <alignment horizontal="center"/>
      <protection hidden="1"/>
    </xf>
    <xf numFmtId="1" fontId="26" fillId="25" borderId="16" xfId="0" applyNumberFormat="1" applyFont="1" applyFill="1" applyBorder="1" applyProtection="1">
      <protection hidden="1"/>
    </xf>
    <xf numFmtId="166" fontId="26" fillId="25" borderId="10" xfId="0" applyNumberFormat="1" applyFont="1" applyFill="1" applyBorder="1" applyAlignment="1" applyProtection="1">
      <alignment horizontal="center"/>
      <protection hidden="1"/>
    </xf>
    <xf numFmtId="1" fontId="101" fillId="25" borderId="10" xfId="0" applyNumberFormat="1" applyFont="1" applyFill="1" applyBorder="1" applyProtection="1">
      <protection hidden="1"/>
    </xf>
    <xf numFmtId="1" fontId="26" fillId="25" borderId="12" xfId="0" applyNumberFormat="1" applyFont="1" applyFill="1" applyBorder="1" applyProtection="1">
      <protection hidden="1"/>
    </xf>
    <xf numFmtId="166" fontId="26" fillId="25" borderId="15" xfId="0" applyNumberFormat="1" applyFont="1" applyFill="1" applyBorder="1" applyAlignment="1" applyProtection="1">
      <alignment horizontal="center"/>
      <protection hidden="1"/>
    </xf>
    <xf numFmtId="1" fontId="101" fillId="25" borderId="19" xfId="0" applyNumberFormat="1" applyFont="1" applyFill="1" applyBorder="1" applyAlignment="1" applyProtection="1">
      <alignment horizontal="center"/>
      <protection hidden="1"/>
    </xf>
    <xf numFmtId="1" fontId="101" fillId="25" borderId="12" xfId="0" applyNumberFormat="1" applyFont="1" applyFill="1" applyBorder="1" applyAlignment="1" applyProtection="1">
      <alignment horizontal="center"/>
      <protection hidden="1"/>
    </xf>
    <xf numFmtId="1" fontId="101" fillId="25" borderId="18" xfId="0" applyNumberFormat="1" applyFont="1" applyFill="1" applyBorder="1" applyAlignment="1" applyProtection="1">
      <alignment horizontal="center"/>
      <protection hidden="1"/>
    </xf>
    <xf numFmtId="1" fontId="26" fillId="25" borderId="24" xfId="0" applyNumberFormat="1" applyFont="1" applyFill="1" applyBorder="1" applyProtection="1">
      <protection hidden="1"/>
    </xf>
    <xf numFmtId="1" fontId="101" fillId="27" borderId="27" xfId="0" applyNumberFormat="1" applyFont="1" applyFill="1" applyBorder="1" applyProtection="1">
      <protection hidden="1"/>
    </xf>
    <xf numFmtId="1" fontId="101" fillId="27" borderId="28" xfId="0" applyNumberFormat="1" applyFont="1" applyFill="1" applyBorder="1" applyAlignment="1" applyProtection="1">
      <alignment horizontal="center"/>
      <protection hidden="1"/>
    </xf>
    <xf numFmtId="1" fontId="101" fillId="27" borderId="29" xfId="0" applyNumberFormat="1" applyFont="1" applyFill="1" applyBorder="1" applyAlignment="1" applyProtection="1">
      <alignment horizontal="center"/>
      <protection hidden="1"/>
    </xf>
    <xf numFmtId="1" fontId="101" fillId="27" borderId="30" xfId="0" applyNumberFormat="1" applyFont="1" applyFill="1" applyBorder="1" applyAlignment="1" applyProtection="1">
      <alignment horizontal="center"/>
      <protection hidden="1"/>
    </xf>
    <xf numFmtId="1" fontId="101" fillId="28" borderId="25" xfId="0" applyNumberFormat="1" applyFont="1" applyFill="1" applyBorder="1" applyAlignment="1" applyProtection="1">
      <alignment horizontal="center"/>
      <protection hidden="1"/>
    </xf>
    <xf numFmtId="1" fontId="26" fillId="0" borderId="0" xfId="0" applyNumberFormat="1" applyFont="1" applyProtection="1">
      <protection hidden="1"/>
    </xf>
    <xf numFmtId="1" fontId="26" fillId="24" borderId="40" xfId="0" applyNumberFormat="1" applyFont="1" applyFill="1" applyBorder="1" applyAlignment="1" applyProtection="1">
      <alignment horizontal="center"/>
      <protection hidden="1"/>
    </xf>
    <xf numFmtId="1" fontId="26" fillId="25" borderId="42" xfId="0" applyNumberFormat="1" applyFont="1" applyFill="1" applyBorder="1" applyAlignment="1" applyProtection="1">
      <alignment horizontal="center"/>
      <protection hidden="1"/>
    </xf>
    <xf numFmtId="1" fontId="26" fillId="27" borderId="27" xfId="0" applyNumberFormat="1" applyFont="1" applyFill="1" applyBorder="1" applyProtection="1">
      <protection hidden="1"/>
    </xf>
    <xf numFmtId="1" fontId="26" fillId="27" borderId="28" xfId="0" applyNumberFormat="1" applyFont="1" applyFill="1" applyBorder="1" applyAlignment="1" applyProtection="1">
      <alignment horizontal="center"/>
      <protection hidden="1"/>
    </xf>
    <xf numFmtId="1" fontId="26" fillId="28" borderId="25" xfId="0" applyNumberFormat="1" applyFont="1" applyFill="1" applyBorder="1" applyAlignment="1" applyProtection="1">
      <alignment horizontal="center"/>
      <protection hidden="1"/>
    </xf>
    <xf numFmtId="165" fontId="26" fillId="25" borderId="27" xfId="0" applyNumberFormat="1" applyFont="1" applyFill="1" applyBorder="1" applyProtection="1">
      <protection hidden="1"/>
    </xf>
    <xf numFmtId="1" fontId="26" fillId="25" borderId="29" xfId="0" applyNumberFormat="1" applyFont="1" applyFill="1" applyBorder="1" applyAlignment="1" applyProtection="1">
      <alignment horizontal="center"/>
      <protection hidden="1"/>
    </xf>
    <xf numFmtId="1" fontId="26" fillId="64" borderId="25" xfId="0" applyNumberFormat="1" applyFont="1" applyFill="1" applyBorder="1" applyAlignment="1" applyProtection="1">
      <alignment horizontal="center"/>
      <protection hidden="1"/>
    </xf>
    <xf numFmtId="165" fontId="26" fillId="25" borderId="0" xfId="0" applyNumberFormat="1" applyFont="1" applyFill="1" applyProtection="1">
      <protection hidden="1"/>
    </xf>
    <xf numFmtId="165" fontId="26" fillId="25" borderId="0" xfId="0" applyFont="1" applyFill="1" applyProtection="1">
      <protection hidden="1"/>
    </xf>
    <xf numFmtId="1" fontId="26" fillId="25" borderId="21" xfId="0" applyNumberFormat="1" applyFont="1" applyFill="1" applyBorder="1" applyProtection="1">
      <protection hidden="1"/>
    </xf>
    <xf numFmtId="0" fontId="26" fillId="25" borderId="10" xfId="0" applyNumberFormat="1" applyFont="1" applyFill="1" applyBorder="1" applyAlignment="1" applyProtection="1">
      <alignment horizontal="center"/>
      <protection hidden="1"/>
    </xf>
    <xf numFmtId="1" fontId="26" fillId="25" borderId="10" xfId="0" applyNumberFormat="1" applyFont="1" applyFill="1" applyBorder="1" applyAlignment="1" applyProtection="1">
      <alignment horizontal="center" vertical="center"/>
      <protection hidden="1"/>
    </xf>
    <xf numFmtId="1" fontId="95" fillId="67" borderId="0" xfId="0" applyNumberFormat="1" applyFont="1" applyFill="1" applyProtection="1">
      <protection hidden="1"/>
    </xf>
    <xf numFmtId="1" fontId="27" fillId="24" borderId="53" xfId="0" applyNumberFormat="1" applyFont="1" applyFill="1" applyBorder="1" applyAlignment="1" applyProtection="1">
      <alignment horizontal="center"/>
      <protection hidden="1"/>
    </xf>
    <xf numFmtId="1" fontId="26" fillId="24" borderId="54" xfId="0" applyNumberFormat="1" applyFont="1" applyFill="1" applyBorder="1" applyAlignment="1" applyProtection="1">
      <alignment horizontal="center"/>
      <protection hidden="1"/>
    </xf>
    <xf numFmtId="0" fontId="26" fillId="25" borderId="0" xfId="0" applyNumberFormat="1" applyFont="1" applyFill="1" applyProtection="1">
      <protection hidden="1"/>
    </xf>
    <xf numFmtId="1" fontId="26" fillId="0" borderId="43" xfId="0" applyNumberFormat="1" applyFont="1" applyFill="1" applyBorder="1" applyAlignment="1" applyProtection="1">
      <alignment horizontal="left"/>
      <protection hidden="1"/>
    </xf>
    <xf numFmtId="1" fontId="26" fillId="26" borderId="0" xfId="0" applyNumberFormat="1" applyFont="1" applyFill="1" applyProtection="1">
      <protection hidden="1"/>
    </xf>
    <xf numFmtId="165" fontId="26" fillId="0" borderId="0" xfId="0" applyFont="1" applyProtection="1">
      <protection hidden="1"/>
    </xf>
    <xf numFmtId="165" fontId="26" fillId="25" borderId="43" xfId="0" applyNumberFormat="1" applyFont="1" applyFill="1" applyBorder="1" applyAlignment="1" applyProtection="1">
      <alignment horizontal="left"/>
      <protection hidden="1"/>
    </xf>
    <xf numFmtId="1" fontId="27" fillId="24" borderId="14" xfId="0" applyNumberFormat="1" applyFont="1" applyFill="1" applyBorder="1" applyAlignment="1" applyProtection="1">
      <protection hidden="1"/>
    </xf>
    <xf numFmtId="1" fontId="27" fillId="24" borderId="13" xfId="0" applyNumberFormat="1" applyFont="1" applyFill="1" applyBorder="1" applyAlignment="1" applyProtection="1">
      <protection hidden="1"/>
    </xf>
    <xf numFmtId="1" fontId="27" fillId="24" borderId="15" xfId="0" applyNumberFormat="1" applyFont="1" applyFill="1" applyBorder="1" applyAlignment="1" applyProtection="1">
      <alignment horizontal="left"/>
      <protection hidden="1"/>
    </xf>
    <xf numFmtId="1" fontId="26" fillId="0" borderId="45" xfId="0" applyNumberFormat="1" applyFont="1" applyFill="1" applyBorder="1" applyAlignment="1" applyProtection="1">
      <alignment horizontal="left"/>
      <protection hidden="1"/>
    </xf>
    <xf numFmtId="165" fontId="26" fillId="25" borderId="45" xfId="0" applyNumberFormat="1" applyFont="1" applyFill="1" applyBorder="1" applyAlignment="1" applyProtection="1">
      <alignment horizontal="left"/>
      <protection hidden="1"/>
    </xf>
    <xf numFmtId="1" fontId="26" fillId="0" borderId="24" xfId="0" applyNumberFormat="1" applyFont="1" applyFill="1" applyBorder="1" applyProtection="1">
      <protection hidden="1"/>
    </xf>
    <xf numFmtId="1" fontId="26" fillId="0" borderId="24" xfId="0" applyNumberFormat="1" applyFont="1" applyFill="1" applyBorder="1" applyAlignment="1" applyProtection="1">
      <alignment horizontal="center" vertical="center"/>
      <protection hidden="1"/>
    </xf>
    <xf numFmtId="1" fontId="26" fillId="0" borderId="16" xfId="0" applyNumberFormat="1" applyFont="1" applyFill="1" applyBorder="1" applyProtection="1">
      <protection hidden="1"/>
    </xf>
    <xf numFmtId="1" fontId="26" fillId="0" borderId="17" xfId="0" applyNumberFormat="1" applyFont="1" applyFill="1" applyBorder="1" applyProtection="1">
      <protection hidden="1"/>
    </xf>
    <xf numFmtId="1" fontId="26" fillId="25" borderId="0" xfId="0" applyNumberFormat="1" applyFont="1" applyFill="1" applyBorder="1" applyProtection="1">
      <protection hidden="1"/>
    </xf>
    <xf numFmtId="1" fontId="26" fillId="28" borderId="10" xfId="0" applyNumberFormat="1" applyFont="1" applyFill="1" applyBorder="1" applyAlignment="1" applyProtection="1">
      <alignment horizontal="center"/>
      <protection hidden="1"/>
    </xf>
    <xf numFmtId="1" fontId="26" fillId="0" borderId="10" xfId="0" applyNumberFormat="1" applyFont="1" applyFill="1" applyBorder="1" applyProtection="1">
      <protection hidden="1"/>
    </xf>
    <xf numFmtId="1" fontId="26" fillId="0" borderId="10" xfId="0" applyNumberFormat="1" applyFont="1" applyFill="1" applyBorder="1" applyAlignment="1" applyProtection="1">
      <alignment horizontal="center" vertical="center"/>
      <protection hidden="1"/>
    </xf>
    <xf numFmtId="1" fontId="26" fillId="0" borderId="14" xfId="0" applyNumberFormat="1" applyFont="1" applyFill="1" applyBorder="1" applyProtection="1">
      <protection hidden="1"/>
    </xf>
    <xf numFmtId="1" fontId="26" fillId="0" borderId="15" xfId="0" applyNumberFormat="1" applyFont="1" applyFill="1" applyBorder="1" applyProtection="1">
      <protection hidden="1"/>
    </xf>
    <xf numFmtId="1" fontId="26" fillId="31" borderId="10" xfId="0" applyNumberFormat="1" applyFont="1" applyFill="1" applyBorder="1" applyAlignment="1" applyProtection="1">
      <alignment horizontal="center"/>
      <protection hidden="1"/>
    </xf>
    <xf numFmtId="1" fontId="101" fillId="0" borderId="10" xfId="0" applyNumberFormat="1" applyFont="1" applyFill="1" applyBorder="1" applyAlignment="1" applyProtection="1">
      <alignment horizontal="center" vertical="center"/>
      <protection hidden="1"/>
    </xf>
    <xf numFmtId="1" fontId="26" fillId="25" borderId="14" xfId="0" applyNumberFormat="1" applyFont="1" applyFill="1" applyBorder="1" applyProtection="1">
      <protection hidden="1"/>
    </xf>
    <xf numFmtId="1" fontId="26" fillId="30" borderId="10" xfId="0" applyNumberFormat="1" applyFont="1" applyFill="1" applyBorder="1" applyAlignment="1" applyProtection="1">
      <alignment horizontal="center"/>
      <protection hidden="1"/>
    </xf>
    <xf numFmtId="1" fontId="26" fillId="0" borderId="21" xfId="0" applyNumberFormat="1" applyFont="1" applyFill="1" applyBorder="1" applyProtection="1">
      <protection hidden="1"/>
    </xf>
    <xf numFmtId="1" fontId="26" fillId="0" borderId="22" xfId="0" applyNumberFormat="1" applyFont="1" applyFill="1" applyBorder="1" applyProtection="1">
      <protection hidden="1"/>
    </xf>
    <xf numFmtId="1" fontId="26" fillId="64" borderId="10" xfId="0" applyNumberFormat="1" applyFont="1" applyFill="1" applyBorder="1" applyAlignment="1" applyProtection="1">
      <alignment horizontal="center"/>
      <protection hidden="1"/>
    </xf>
    <xf numFmtId="165" fontId="27" fillId="0" borderId="47" xfId="0" applyNumberFormat="1" applyFont="1" applyBorder="1" applyAlignment="1" applyProtection="1">
      <alignment horizontal="left"/>
      <protection hidden="1"/>
    </xf>
    <xf numFmtId="0" fontId="27" fillId="25" borderId="48" xfId="0" applyNumberFormat="1" applyFont="1" applyFill="1" applyBorder="1" applyAlignment="1" applyProtection="1">
      <alignment horizontal="center"/>
      <protection hidden="1"/>
    </xf>
    <xf numFmtId="165" fontId="26" fillId="25" borderId="47" xfId="0" applyNumberFormat="1" applyFont="1" applyFill="1" applyBorder="1" applyAlignment="1" applyProtection="1">
      <alignment horizontal="left"/>
      <protection hidden="1"/>
    </xf>
    <xf numFmtId="1" fontId="27" fillId="25" borderId="14" xfId="0" applyNumberFormat="1" applyFont="1" applyFill="1" applyBorder="1" applyAlignment="1" applyProtection="1">
      <alignment horizontal="left"/>
      <protection hidden="1"/>
    </xf>
    <xf numFmtId="1" fontId="27" fillId="25" borderId="10" xfId="0" applyNumberFormat="1" applyFont="1" applyFill="1" applyBorder="1" applyAlignment="1" applyProtection="1">
      <alignment horizontal="center"/>
      <protection hidden="1"/>
    </xf>
    <xf numFmtId="1" fontId="26" fillId="24" borderId="19" xfId="0" applyNumberFormat="1" applyFont="1" applyFill="1" applyBorder="1" applyAlignment="1" applyProtection="1">
      <alignment horizontal="center"/>
      <protection hidden="1"/>
    </xf>
    <xf numFmtId="1" fontId="26" fillId="25" borderId="10" xfId="0" applyNumberFormat="1" applyFont="1" applyFill="1" applyBorder="1" applyAlignment="1" applyProtection="1">
      <alignment horizontal="left" vertical="center"/>
      <protection hidden="1"/>
    </xf>
    <xf numFmtId="1" fontId="26" fillId="25" borderId="19" xfId="0" applyNumberFormat="1" applyFont="1" applyFill="1" applyBorder="1" applyAlignment="1" applyProtection="1">
      <alignment horizontal="center"/>
      <protection hidden="1"/>
    </xf>
    <xf numFmtId="1" fontId="26" fillId="25" borderId="20" xfId="0" applyNumberFormat="1" applyFont="1" applyFill="1" applyBorder="1" applyAlignment="1" applyProtection="1">
      <alignment horizontal="center"/>
      <protection hidden="1"/>
    </xf>
    <xf numFmtId="1" fontId="26" fillId="25" borderId="12" xfId="0" applyNumberFormat="1" applyFont="1" applyFill="1" applyBorder="1" applyAlignment="1" applyProtection="1">
      <alignment horizontal="center"/>
      <protection hidden="1"/>
    </xf>
    <xf numFmtId="0" fontId="29" fillId="25" borderId="0" xfId="0" applyNumberFormat="1" applyFont="1" applyFill="1" applyBorder="1" applyAlignment="1" applyProtection="1">
      <alignment horizontal="left" vertical="top"/>
      <protection hidden="1"/>
    </xf>
    <xf numFmtId="1" fontId="26" fillId="25" borderId="43" xfId="0" applyNumberFormat="1" applyFont="1" applyFill="1" applyBorder="1" applyProtection="1">
      <protection hidden="1"/>
    </xf>
    <xf numFmtId="1" fontId="26" fillId="25" borderId="45" xfId="0" applyNumberFormat="1" applyFont="1" applyFill="1" applyBorder="1" applyProtection="1">
      <protection hidden="1"/>
    </xf>
    <xf numFmtId="165" fontId="26" fillId="25" borderId="0" xfId="0" applyFont="1" applyFill="1" applyBorder="1" applyAlignment="1" applyProtection="1">
      <alignment vertical="center" textRotation="90"/>
      <protection hidden="1"/>
    </xf>
    <xf numFmtId="165" fontId="27" fillId="25" borderId="47" xfId="0" applyNumberFormat="1" applyFont="1" applyFill="1" applyBorder="1" applyAlignment="1" applyProtection="1">
      <alignment horizontal="left"/>
      <protection hidden="1"/>
    </xf>
    <xf numFmtId="0" fontId="93" fillId="25" borderId="48" xfId="0" applyNumberFormat="1" applyFont="1" applyFill="1" applyBorder="1" applyAlignment="1" applyProtection="1">
      <alignment horizontal="center"/>
      <protection hidden="1"/>
    </xf>
    <xf numFmtId="0" fontId="93" fillId="25" borderId="52" xfId="0" applyNumberFormat="1" applyFont="1" applyFill="1" applyBorder="1" applyAlignment="1" applyProtection="1">
      <alignment horizontal="center"/>
      <protection hidden="1"/>
    </xf>
    <xf numFmtId="165" fontId="26" fillId="0" borderId="0" xfId="0" applyNumberFormat="1" applyFont="1" applyProtection="1">
      <protection hidden="1"/>
    </xf>
    <xf numFmtId="1" fontId="27" fillId="25" borderId="10" xfId="0" applyNumberFormat="1" applyFont="1" applyFill="1" applyBorder="1" applyAlignment="1" applyProtection="1">
      <alignment horizontal="left"/>
      <protection hidden="1"/>
    </xf>
    <xf numFmtId="1" fontId="27" fillId="25" borderId="15" xfId="0" applyNumberFormat="1" applyFont="1" applyFill="1" applyBorder="1" applyAlignment="1" applyProtection="1">
      <alignment horizontal="center"/>
      <protection hidden="1"/>
    </xf>
    <xf numFmtId="1" fontId="27" fillId="25" borderId="13" xfId="0" applyNumberFormat="1" applyFont="1" applyFill="1" applyBorder="1" applyAlignment="1" applyProtection="1">
      <alignment horizontal="center"/>
      <protection hidden="1"/>
    </xf>
    <xf numFmtId="1" fontId="27" fillId="30" borderId="10" xfId="0" applyNumberFormat="1" applyFont="1" applyFill="1" applyBorder="1" applyAlignment="1" applyProtection="1">
      <alignment horizontal="center"/>
      <protection hidden="1"/>
    </xf>
    <xf numFmtId="1" fontId="26" fillId="25" borderId="0" xfId="0" applyNumberFormat="1" applyFont="1" applyFill="1" applyBorder="1" applyAlignment="1" applyProtection="1">
      <alignment horizontal="left"/>
      <protection hidden="1"/>
    </xf>
    <xf numFmtId="165" fontId="0" fillId="0" borderId="0" xfId="0" applyAlignment="1" applyProtection="1">
      <alignment horizontal="left"/>
      <protection hidden="1"/>
    </xf>
    <xf numFmtId="1" fontId="0" fillId="0" borderId="0" xfId="0" applyNumberFormat="1" applyProtection="1">
      <protection hidden="1"/>
    </xf>
    <xf numFmtId="1" fontId="26" fillId="25" borderId="0" xfId="0" applyNumberFormat="1" applyFont="1" applyFill="1" applyBorder="1" applyAlignment="1" applyProtection="1">
      <alignment horizontal="right"/>
      <protection hidden="1"/>
    </xf>
    <xf numFmtId="1" fontId="26" fillId="25" borderId="0" xfId="0" applyNumberFormat="1" applyFont="1" applyFill="1" applyBorder="1" applyAlignment="1" applyProtection="1">
      <alignment horizontal="left" wrapText="1"/>
      <protection hidden="1"/>
    </xf>
    <xf numFmtId="1" fontId="26" fillId="24" borderId="14" xfId="0" applyNumberFormat="1" applyFont="1" applyFill="1" applyBorder="1" applyAlignment="1" applyProtection="1">
      <alignment horizontal="center"/>
      <protection hidden="1"/>
    </xf>
    <xf numFmtId="1" fontId="27" fillId="24" borderId="13" xfId="0" applyNumberFormat="1" applyFont="1" applyFill="1" applyBorder="1" applyAlignment="1" applyProtection="1">
      <alignment horizontal="center"/>
      <protection hidden="1"/>
    </xf>
    <xf numFmtId="1" fontId="27" fillId="24" borderId="15" xfId="0" applyNumberFormat="1" applyFont="1" applyFill="1" applyBorder="1" applyAlignment="1" applyProtection="1">
      <alignment horizontal="center"/>
      <protection hidden="1"/>
    </xf>
    <xf numFmtId="1" fontId="26" fillId="25" borderId="18" xfId="0" applyNumberFormat="1" applyFont="1" applyFill="1" applyBorder="1" applyAlignment="1" applyProtection="1">
      <alignment horizontal="left"/>
      <protection hidden="1"/>
    </xf>
    <xf numFmtId="1" fontId="26" fillId="25" borderId="20" xfId="0" applyNumberFormat="1" applyFont="1" applyFill="1" applyBorder="1" applyAlignment="1" applyProtection="1">
      <alignment horizontal="left"/>
      <protection hidden="1"/>
    </xf>
    <xf numFmtId="1" fontId="26" fillId="25" borderId="20" xfId="0" applyNumberFormat="1" applyFont="1" applyFill="1" applyBorder="1" applyProtection="1">
      <protection hidden="1"/>
    </xf>
    <xf numFmtId="1" fontId="26" fillId="25" borderId="19" xfId="0" applyNumberFormat="1" applyFont="1" applyFill="1" applyBorder="1" applyProtection="1">
      <protection hidden="1"/>
    </xf>
    <xf numFmtId="1" fontId="26" fillId="25" borderId="16" xfId="0" applyNumberFormat="1" applyFont="1" applyFill="1" applyBorder="1" applyAlignment="1" applyProtection="1">
      <alignment horizontal="right"/>
      <protection hidden="1"/>
    </xf>
    <xf numFmtId="1" fontId="26" fillId="25" borderId="10" xfId="0" applyNumberFormat="1" applyFont="1" applyFill="1" applyBorder="1" applyAlignment="1" applyProtection="1">
      <alignment horizontal="left" vertical="center" wrapText="1"/>
      <protection hidden="1"/>
    </xf>
    <xf numFmtId="1" fontId="26" fillId="25" borderId="17" xfId="0" applyNumberFormat="1" applyFont="1" applyFill="1" applyBorder="1" applyProtection="1">
      <protection hidden="1"/>
    </xf>
    <xf numFmtId="1" fontId="26" fillId="25" borderId="0" xfId="0" applyNumberFormat="1" applyFont="1" applyFill="1" applyBorder="1" applyAlignment="1" applyProtection="1">
      <alignment vertical="center"/>
      <protection hidden="1"/>
    </xf>
    <xf numFmtId="1" fontId="26" fillId="25" borderId="10" xfId="0" applyNumberFormat="1" applyFont="1" applyFill="1" applyBorder="1" applyAlignment="1" applyProtection="1">
      <alignment vertical="center"/>
      <protection hidden="1"/>
    </xf>
    <xf numFmtId="1" fontId="27" fillId="25" borderId="16" xfId="0" applyNumberFormat="1" applyFont="1" applyFill="1" applyBorder="1" applyProtection="1">
      <protection hidden="1"/>
    </xf>
    <xf numFmtId="49" fontId="26" fillId="25" borderId="0" xfId="0" applyNumberFormat="1" applyFont="1" applyFill="1" applyBorder="1" applyProtection="1">
      <protection hidden="1"/>
    </xf>
    <xf numFmtId="49" fontId="26" fillId="25" borderId="0" xfId="0" applyNumberFormat="1" applyFont="1" applyFill="1" applyProtection="1">
      <protection hidden="1"/>
    </xf>
    <xf numFmtId="14" fontId="26" fillId="25" borderId="0" xfId="0" applyNumberFormat="1" applyFont="1" applyFill="1" applyProtection="1">
      <protection hidden="1"/>
    </xf>
    <xf numFmtId="1" fontId="26" fillId="25" borderId="0" xfId="0" applyNumberFormat="1" applyFont="1" applyFill="1" applyAlignment="1" applyProtection="1">
      <alignment horizontal="center"/>
      <protection hidden="1"/>
    </xf>
    <xf numFmtId="166" fontId="26" fillId="25" borderId="0" xfId="0" applyNumberFormat="1" applyFont="1" applyFill="1" applyAlignment="1" applyProtection="1">
      <alignment horizontal="center"/>
      <protection hidden="1"/>
    </xf>
    <xf numFmtId="165" fontId="20" fillId="0" borderId="10" xfId="0" applyFont="1" applyBorder="1" applyAlignment="1" applyProtection="1">
      <alignment horizontal="left" vertical="center"/>
      <protection hidden="1"/>
    </xf>
    <xf numFmtId="0" fontId="76" fillId="82" borderId="10" xfId="0" applyNumberFormat="1" applyFont="1" applyFill="1" applyBorder="1" applyProtection="1">
      <protection locked="0" hidden="1"/>
    </xf>
    <xf numFmtId="0" fontId="0" fillId="0" borderId="10" xfId="0" applyNumberFormat="1" applyBorder="1" applyProtection="1">
      <protection locked="0" hidden="1"/>
    </xf>
    <xf numFmtId="0" fontId="20" fillId="0" borderId="0" xfId="19827" applyProtection="1">
      <protection locked="0" hidden="1"/>
    </xf>
    <xf numFmtId="14" fontId="20" fillId="0" borderId="0" xfId="19827" applyNumberFormat="1" applyProtection="1">
      <protection locked="0" hidden="1"/>
    </xf>
    <xf numFmtId="1" fontId="20" fillId="0" borderId="0" xfId="19827" applyNumberFormat="1" applyProtection="1">
      <protection locked="0" hidden="1"/>
    </xf>
    <xf numFmtId="0" fontId="20" fillId="0" borderId="0" xfId="19827" applyAlignment="1" applyProtection="1">
      <alignment horizontal="center"/>
      <protection locked="0" hidden="1"/>
    </xf>
    <xf numFmtId="0" fontId="20" fillId="67" borderId="0" xfId="19827" applyFill="1" applyProtection="1">
      <protection locked="0" hidden="1"/>
    </xf>
    <xf numFmtId="14" fontId="20" fillId="67" borderId="0" xfId="19827" applyNumberFormat="1" applyFill="1" applyProtection="1">
      <protection locked="0" hidden="1"/>
    </xf>
    <xf numFmtId="1" fontId="20" fillId="67" borderId="0" xfId="19827" applyNumberFormat="1" applyFill="1" applyProtection="1">
      <protection locked="0" hidden="1"/>
    </xf>
    <xf numFmtId="0" fontId="20" fillId="67" borderId="0" xfId="19827" applyFill="1" applyAlignment="1" applyProtection="1">
      <alignment horizontal="center"/>
      <protection locked="0" hidden="1"/>
    </xf>
    <xf numFmtId="14" fontId="90" fillId="79" borderId="10" xfId="0" applyNumberFormat="1" applyFont="1" applyFill="1" applyBorder="1" applyAlignment="1" applyProtection="1">
      <alignment vertical="center" wrapText="1"/>
      <protection locked="0" hidden="1"/>
    </xf>
    <xf numFmtId="165" fontId="90" fillId="79" borderId="10" xfId="0" applyFont="1" applyFill="1" applyBorder="1" applyAlignment="1" applyProtection="1">
      <alignment horizontal="center" vertical="center" wrapText="1"/>
      <protection locked="0" hidden="1"/>
    </xf>
    <xf numFmtId="1" fontId="90" fillId="79" borderId="10" xfId="0" applyNumberFormat="1" applyFont="1" applyFill="1" applyBorder="1" applyAlignment="1" applyProtection="1">
      <alignment horizontal="center" vertical="center" wrapText="1"/>
      <protection locked="0" hidden="1"/>
    </xf>
    <xf numFmtId="165" fontId="90" fillId="80" borderId="10" xfId="0" applyFont="1" applyFill="1" applyBorder="1" applyAlignment="1" applyProtection="1">
      <alignment horizontal="center" vertical="center" wrapText="1"/>
      <protection locked="0" hidden="1"/>
    </xf>
    <xf numFmtId="169" fontId="90" fillId="79" borderId="10" xfId="0" applyNumberFormat="1" applyFont="1" applyFill="1" applyBorder="1" applyAlignment="1" applyProtection="1">
      <alignment horizontal="center" vertical="center" wrapText="1"/>
      <protection locked="0" hidden="1"/>
    </xf>
    <xf numFmtId="165" fontId="90" fillId="0" borderId="10" xfId="0" applyFont="1" applyBorder="1" applyAlignment="1" applyProtection="1">
      <alignment horizontal="center" vertical="center" wrapText="1"/>
      <protection locked="0" hidden="1"/>
    </xf>
    <xf numFmtId="165" fontId="90" fillId="0" borderId="10" xfId="0" applyFont="1" applyFill="1" applyBorder="1" applyAlignment="1" applyProtection="1">
      <alignment horizontal="center" vertical="center" wrapText="1"/>
      <protection locked="0" hidden="1"/>
    </xf>
    <xf numFmtId="0" fontId="91" fillId="0" borderId="0" xfId="19827" applyFont="1" applyProtection="1">
      <protection locked="0" hidden="1"/>
    </xf>
    <xf numFmtId="14" fontId="91" fillId="0" borderId="10" xfId="0" applyNumberFormat="1" applyFont="1" applyBorder="1" applyProtection="1">
      <protection locked="0" hidden="1"/>
    </xf>
    <xf numFmtId="1" fontId="91" fillId="0" borderId="10" xfId="0" applyNumberFormat="1" applyFont="1" applyBorder="1" applyProtection="1">
      <protection locked="0" hidden="1"/>
    </xf>
    <xf numFmtId="165" fontId="91" fillId="0" borderId="10" xfId="0" applyFont="1" applyBorder="1" applyProtection="1">
      <protection locked="0" hidden="1"/>
    </xf>
    <xf numFmtId="1" fontId="91" fillId="0" borderId="10" xfId="0" applyNumberFormat="1" applyFont="1" applyBorder="1" applyAlignment="1" applyProtection="1">
      <alignment horizontal="center"/>
      <protection locked="0" hidden="1"/>
    </xf>
    <xf numFmtId="1" fontId="95" fillId="67" borderId="45" xfId="0" applyNumberFormat="1" applyFont="1" applyFill="1" applyBorder="1" applyProtection="1">
      <protection hidden="1"/>
    </xf>
    <xf numFmtId="0" fontId="20" fillId="0" borderId="0" xfId="89" applyFont="1" applyProtection="1">
      <protection locked="0"/>
    </xf>
    <xf numFmtId="0" fontId="20" fillId="0" borderId="0" xfId="89" applyFont="1" applyAlignment="1" applyProtection="1">
      <alignment wrapText="1"/>
      <protection locked="0"/>
    </xf>
    <xf numFmtId="14" fontId="20" fillId="0" borderId="0" xfId="89" applyNumberFormat="1" applyFont="1" applyProtection="1">
      <protection locked="0"/>
    </xf>
    <xf numFmtId="168" fontId="20" fillId="0" borderId="0" xfId="89" applyNumberFormat="1" applyFont="1" applyBorder="1" applyProtection="1">
      <protection locked="0"/>
    </xf>
    <xf numFmtId="169" fontId="20" fillId="0" borderId="0" xfId="89" applyNumberFormat="1" applyFont="1" applyProtection="1">
      <protection locked="0"/>
    </xf>
    <xf numFmtId="1" fontId="20" fillId="0" borderId="0" xfId="89" applyNumberFormat="1" applyFont="1" applyProtection="1">
      <protection locked="0"/>
    </xf>
    <xf numFmtId="0" fontId="26" fillId="0" borderId="0" xfId="89" applyFont="1" applyProtection="1">
      <protection locked="0"/>
    </xf>
    <xf numFmtId="0" fontId="104" fillId="26" borderId="74" xfId="89" applyFont="1" applyFill="1" applyBorder="1" applyAlignment="1" applyProtection="1">
      <alignment horizontal="center" vertical="top" wrapText="1"/>
      <protection locked="0"/>
    </xf>
    <xf numFmtId="0" fontId="104" fillId="26" borderId="10" xfId="89" applyFont="1" applyFill="1" applyBorder="1" applyAlignment="1" applyProtection="1">
      <alignment horizontal="center" vertical="top" wrapText="1"/>
      <protection locked="0"/>
    </xf>
    <xf numFmtId="14" fontId="104" fillId="26" borderId="10" xfId="89" applyNumberFormat="1" applyFont="1" applyFill="1" applyBorder="1" applyAlignment="1" applyProtection="1">
      <alignment horizontal="center" vertical="top" wrapText="1"/>
      <protection locked="0"/>
    </xf>
    <xf numFmtId="165" fontId="104" fillId="26" borderId="80" xfId="0" applyFont="1" applyFill="1" applyBorder="1" applyAlignment="1" applyProtection="1">
      <alignment horizontal="center" vertical="top" wrapText="1"/>
      <protection locked="0"/>
    </xf>
    <xf numFmtId="1" fontId="104" fillId="26" borderId="74" xfId="0" applyNumberFormat="1" applyFont="1" applyFill="1" applyBorder="1" applyAlignment="1" applyProtection="1">
      <alignment horizontal="center" vertical="top" wrapText="1"/>
      <protection locked="0"/>
    </xf>
    <xf numFmtId="1" fontId="26" fillId="0" borderId="0" xfId="89" applyNumberFormat="1" applyFont="1" applyProtection="1">
      <protection locked="0"/>
    </xf>
    <xf numFmtId="0" fontId="56" fillId="0" borderId="0" xfId="89" applyFont="1" applyProtection="1">
      <protection locked="0"/>
    </xf>
    <xf numFmtId="168" fontId="20" fillId="0" borderId="0" xfId="89" applyNumberFormat="1" applyFont="1" applyProtection="1">
      <protection locked="0"/>
    </xf>
    <xf numFmtId="1" fontId="102" fillId="67" borderId="0" xfId="89" applyNumberFormat="1" applyFont="1" applyFill="1" applyProtection="1">
      <protection locked="0" hidden="1"/>
    </xf>
    <xf numFmtId="14" fontId="102" fillId="67" borderId="0" xfId="89" applyNumberFormat="1" applyFont="1" applyFill="1" applyProtection="1">
      <protection locked="0" hidden="1"/>
    </xf>
    <xf numFmtId="1" fontId="105" fillId="67" borderId="10" xfId="89" applyNumberFormat="1" applyFont="1" applyFill="1" applyBorder="1" applyAlignment="1" applyProtection="1">
      <alignment horizontal="center" vertical="top" wrapText="1"/>
      <protection locked="0" hidden="1"/>
    </xf>
    <xf numFmtId="1" fontId="105" fillId="67" borderId="74" xfId="0" applyNumberFormat="1" applyFont="1" applyFill="1" applyBorder="1" applyAlignment="1" applyProtection="1">
      <alignment horizontal="center" vertical="top" wrapText="1"/>
      <protection locked="0" hidden="1"/>
    </xf>
    <xf numFmtId="1" fontId="103" fillId="67" borderId="10" xfId="89" applyNumberFormat="1" applyFont="1" applyFill="1" applyBorder="1" applyAlignment="1" applyProtection="1">
      <alignment horizontal="center" vertical="center"/>
      <protection locked="0" hidden="1"/>
    </xf>
    <xf numFmtId="1" fontId="106" fillId="26" borderId="0" xfId="19827" applyNumberFormat="1" applyFont="1" applyFill="1" applyAlignment="1" applyProtection="1">
      <alignment horizontal="center" vertical="center"/>
      <protection locked="0" hidden="1"/>
    </xf>
    <xf numFmtId="0" fontId="0" fillId="0" borderId="10" xfId="0" applyNumberFormat="1" applyBorder="1" applyAlignment="1" applyProtection="1">
      <alignment horizontal="left"/>
      <protection locked="0" hidden="1"/>
    </xf>
    <xf numFmtId="165" fontId="0" fillId="0" borderId="0" xfId="0" applyBorder="1"/>
    <xf numFmtId="165" fontId="20" fillId="0" borderId="0" xfId="0" applyFont="1" applyBorder="1"/>
    <xf numFmtId="192" fontId="26" fillId="25" borderId="46" xfId="0" applyNumberFormat="1" applyFont="1" applyFill="1" applyBorder="1" applyAlignment="1" applyProtection="1">
      <alignment horizontal="center"/>
      <protection hidden="1"/>
    </xf>
    <xf numFmtId="192" fontId="26" fillId="25" borderId="44" xfId="0" applyNumberFormat="1" applyFont="1" applyFill="1" applyBorder="1" applyAlignment="1" applyProtection="1">
      <alignment horizontal="center"/>
      <protection hidden="1"/>
    </xf>
    <xf numFmtId="192" fontId="26" fillId="25" borderId="48" xfId="0" applyNumberFormat="1" applyFont="1" applyFill="1" applyBorder="1" applyAlignment="1" applyProtection="1">
      <alignment horizontal="center"/>
      <protection hidden="1"/>
    </xf>
    <xf numFmtId="192" fontId="26" fillId="25" borderId="51" xfId="0" applyNumberFormat="1" applyFont="1" applyFill="1" applyBorder="1" applyAlignment="1" applyProtection="1">
      <alignment horizontal="center"/>
      <protection hidden="1"/>
    </xf>
    <xf numFmtId="192" fontId="26" fillId="25" borderId="26" xfId="0" applyNumberFormat="1" applyFont="1" applyFill="1" applyBorder="1" applyAlignment="1" applyProtection="1">
      <alignment horizontal="center"/>
      <protection hidden="1"/>
    </xf>
    <xf numFmtId="192" fontId="95" fillId="67" borderId="46" xfId="0" applyNumberFormat="1" applyFont="1" applyFill="1" applyBorder="1" applyAlignment="1" applyProtection="1">
      <alignment horizontal="center"/>
      <protection hidden="1"/>
    </xf>
    <xf numFmtId="192" fontId="95" fillId="67" borderId="26" xfId="0" applyNumberFormat="1" applyFont="1" applyFill="1" applyBorder="1" applyAlignment="1" applyProtection="1">
      <alignment horizontal="center"/>
      <protection hidden="1"/>
    </xf>
    <xf numFmtId="192" fontId="26" fillId="25" borderId="10" xfId="0" applyNumberFormat="1" applyFont="1" applyFill="1" applyBorder="1" applyAlignment="1" applyProtection="1">
      <alignment horizontal="center"/>
      <protection hidden="1"/>
    </xf>
    <xf numFmtId="165" fontId="26" fillId="25" borderId="43" xfId="0" applyNumberFormat="1" applyFont="1" applyFill="1" applyBorder="1" applyProtection="1">
      <protection hidden="1"/>
    </xf>
    <xf numFmtId="165" fontId="26" fillId="25" borderId="45" xfId="0" applyNumberFormat="1" applyFont="1" applyFill="1" applyBorder="1" applyProtection="1">
      <protection hidden="1"/>
    </xf>
    <xf numFmtId="165" fontId="26" fillId="25" borderId="47" xfId="0" applyNumberFormat="1" applyFont="1" applyFill="1" applyBorder="1" applyProtection="1">
      <protection hidden="1"/>
    </xf>
    <xf numFmtId="165" fontId="26" fillId="24" borderId="0" xfId="0" applyNumberFormat="1" applyFont="1" applyFill="1"/>
    <xf numFmtId="165" fontId="26" fillId="24" borderId="0" xfId="0" applyFont="1" applyFill="1"/>
    <xf numFmtId="49" fontId="92" fillId="0" borderId="63" xfId="0" applyNumberFormat="1" applyFont="1" applyBorder="1" applyAlignment="1" applyProtection="1">
      <alignment horizontal="left" vertical="top" wrapText="1"/>
      <protection locked="0"/>
    </xf>
    <xf numFmtId="165" fontId="0" fillId="0" borderId="63" xfId="0" applyBorder="1"/>
    <xf numFmtId="165" fontId="92" fillId="0" borderId="63" xfId="0" applyFont="1" applyBorder="1" applyAlignment="1" applyProtection="1">
      <alignment vertical="top" wrapText="1"/>
      <protection locked="0"/>
    </xf>
    <xf numFmtId="168" fontId="56" fillId="0" borderId="0" xfId="89" applyNumberFormat="1" applyFont="1" applyProtection="1">
      <protection locked="0"/>
    </xf>
    <xf numFmtId="168" fontId="92" fillId="0" borderId="63" xfId="0" applyNumberFormat="1" applyFont="1" applyBorder="1" applyAlignment="1" applyProtection="1">
      <alignment vertical="top" wrapText="1"/>
      <protection locked="0"/>
    </xf>
    <xf numFmtId="1" fontId="92" fillId="0" borderId="63" xfId="0" applyNumberFormat="1" applyFont="1" applyBorder="1" applyAlignment="1" applyProtection="1">
      <alignment vertical="top" wrapText="1"/>
      <protection locked="0"/>
    </xf>
    <xf numFmtId="0" fontId="20" fillId="0" borderId="63" xfId="89" applyFont="1" applyBorder="1" applyProtection="1">
      <protection locked="0"/>
    </xf>
    <xf numFmtId="0" fontId="20" fillId="0" borderId="63" xfId="89" applyFont="1" applyBorder="1" applyAlignment="1" applyProtection="1">
      <alignment wrapText="1"/>
      <protection locked="0"/>
    </xf>
    <xf numFmtId="168" fontId="20" fillId="0" borderId="63" xfId="89" applyNumberFormat="1" applyFont="1" applyBorder="1" applyProtection="1">
      <protection locked="0"/>
    </xf>
    <xf numFmtId="169" fontId="20" fillId="0" borderId="63" xfId="89" applyNumberFormat="1" applyFont="1" applyBorder="1" applyProtection="1">
      <protection locked="0"/>
    </xf>
    <xf numFmtId="1" fontId="20" fillId="0" borderId="63" xfId="89" applyNumberFormat="1" applyFont="1" applyBorder="1" applyProtection="1">
      <protection locked="0"/>
    </xf>
    <xf numFmtId="165" fontId="20" fillId="63" borderId="0" xfId="0" applyFont="1" applyFill="1" applyBorder="1" applyAlignment="1">
      <alignment horizontal="right"/>
    </xf>
    <xf numFmtId="165" fontId="109" fillId="25" borderId="63" xfId="0" applyFont="1" applyFill="1" applyBorder="1" applyAlignment="1">
      <alignment horizontal="right"/>
    </xf>
    <xf numFmtId="1" fontId="109" fillId="25" borderId="63" xfId="0" applyNumberFormat="1" applyFont="1" applyFill="1" applyBorder="1" applyAlignment="1">
      <alignment horizontal="center"/>
    </xf>
    <xf numFmtId="165" fontId="26" fillId="25" borderId="0" xfId="0" applyFont="1" applyFill="1" applyBorder="1" applyAlignment="1" applyProtection="1">
      <alignment horizontal="center" vertical="center"/>
      <protection hidden="1"/>
    </xf>
    <xf numFmtId="165" fontId="100" fillId="89" borderId="0" xfId="0" applyNumberFormat="1" applyFont="1" applyFill="1" applyAlignment="1">
      <alignment horizontal="center" vertical="center"/>
    </xf>
    <xf numFmtId="165" fontId="95" fillId="89" borderId="0" xfId="0" applyNumberFormat="1" applyFont="1" applyFill="1" applyAlignment="1">
      <alignment horizontal="center" vertical="center"/>
    </xf>
    <xf numFmtId="165" fontId="26" fillId="25" borderId="0" xfId="0" applyNumberFormat="1" applyFont="1" applyFill="1" applyBorder="1" applyAlignment="1">
      <alignment horizontal="center" vertical="center"/>
    </xf>
    <xf numFmtId="165" fontId="26" fillId="25" borderId="23" xfId="0" applyNumberFormat="1" applyFont="1" applyFill="1" applyBorder="1" applyAlignment="1">
      <alignment horizontal="left" vertical="center" wrapText="1"/>
    </xf>
    <xf numFmtId="165" fontId="26" fillId="25" borderId="23" xfId="0" applyNumberFormat="1" applyFont="1" applyFill="1" applyBorder="1" applyAlignment="1">
      <alignment horizontal="left" vertical="center"/>
    </xf>
    <xf numFmtId="165" fontId="29" fillId="25" borderId="23" xfId="0" applyNumberFormat="1" applyFont="1" applyFill="1" applyBorder="1" applyAlignment="1">
      <alignment horizontal="left" vertical="center" wrapText="1"/>
    </xf>
    <xf numFmtId="165" fontId="29" fillId="25" borderId="23" xfId="0" applyNumberFormat="1" applyFont="1" applyFill="1" applyBorder="1" applyAlignment="1">
      <alignment horizontal="left" vertical="center"/>
    </xf>
    <xf numFmtId="165" fontId="61" fillId="25" borderId="18" xfId="0" applyNumberFormat="1" applyFont="1" applyFill="1" applyBorder="1" applyAlignment="1">
      <alignment horizontal="center" vertical="center"/>
    </xf>
    <xf numFmtId="165" fontId="61" fillId="25" borderId="19" xfId="0" applyNumberFormat="1" applyFont="1" applyFill="1" applyBorder="1" applyAlignment="1">
      <alignment horizontal="center" vertical="center"/>
    </xf>
    <xf numFmtId="165" fontId="61" fillId="25" borderId="16" xfId="0" applyNumberFormat="1" applyFont="1" applyFill="1" applyBorder="1" applyAlignment="1">
      <alignment horizontal="center" vertical="center"/>
    </xf>
    <xf numFmtId="165" fontId="61" fillId="25" borderId="17" xfId="0" applyNumberFormat="1" applyFont="1" applyFill="1" applyBorder="1" applyAlignment="1">
      <alignment horizontal="center" vertical="center"/>
    </xf>
    <xf numFmtId="165" fontId="61" fillId="25" borderId="21" xfId="0" applyNumberFormat="1" applyFont="1" applyFill="1" applyBorder="1" applyAlignment="1">
      <alignment horizontal="center" vertical="center"/>
    </xf>
    <xf numFmtId="165" fontId="61" fillId="25" borderId="22" xfId="0" applyNumberFormat="1" applyFont="1" applyFill="1" applyBorder="1" applyAlignment="1">
      <alignment horizontal="center" vertical="center"/>
    </xf>
    <xf numFmtId="0" fontId="97" fillId="0" borderId="78" xfId="21720" applyNumberFormat="1" applyFont="1" applyFill="1" applyBorder="1" applyAlignment="1">
      <alignment horizontal="center" vertical="center" wrapText="1"/>
    </xf>
    <xf numFmtId="0" fontId="97" fillId="83" borderId="61" xfId="21720" applyNumberFormat="1" applyFont="1" applyFill="1" applyBorder="1" applyAlignment="1">
      <alignment horizontal="center" vertical="center" wrapText="1"/>
    </xf>
    <xf numFmtId="0" fontId="97" fillId="83" borderId="79" xfId="21720" applyNumberFormat="1" applyFont="1" applyFill="1" applyBorder="1" applyAlignment="1">
      <alignment horizontal="center" vertical="center" wrapText="1"/>
    </xf>
    <xf numFmtId="0" fontId="97" fillId="88" borderId="61" xfId="21720" applyNumberFormat="1" applyFont="1" applyFill="1" applyBorder="1" applyAlignment="1">
      <alignment horizontal="center" vertical="center" wrapText="1"/>
    </xf>
    <xf numFmtId="0" fontId="97" fillId="88" borderId="79" xfId="21720" applyNumberFormat="1" applyFont="1" applyFill="1" applyBorder="1" applyAlignment="1">
      <alignment horizontal="center" vertical="center" wrapText="1"/>
    </xf>
    <xf numFmtId="0" fontId="97" fillId="86" borderId="61" xfId="21720" applyNumberFormat="1" applyFont="1" applyFill="1" applyBorder="1" applyAlignment="1">
      <alignment horizontal="center" vertical="center" wrapText="1"/>
    </xf>
    <xf numFmtId="0" fontId="97" fillId="86" borderId="79" xfId="21720" applyNumberFormat="1" applyFont="1" applyFill="1" applyBorder="1" applyAlignment="1">
      <alignment horizontal="center" vertical="center" wrapText="1"/>
    </xf>
    <xf numFmtId="0" fontId="97" fillId="0" borderId="56" xfId="21720" applyNumberFormat="1" applyFont="1" applyFill="1" applyBorder="1" applyAlignment="1">
      <alignment horizontal="center" vertical="center" wrapText="1"/>
    </xf>
    <xf numFmtId="0" fontId="97" fillId="0" borderId="57" xfId="21720" applyNumberFormat="1" applyFont="1" applyFill="1" applyBorder="1" applyAlignment="1">
      <alignment horizontal="center" vertical="center" wrapText="1"/>
    </xf>
    <xf numFmtId="0" fontId="97" fillId="0" borderId="40" xfId="21720" applyNumberFormat="1" applyFont="1" applyFill="1" applyBorder="1" applyAlignment="1">
      <alignment horizontal="center" vertical="center" wrapText="1"/>
    </xf>
    <xf numFmtId="0" fontId="97" fillId="0" borderId="70" xfId="21720" applyNumberFormat="1" applyFont="1" applyFill="1" applyBorder="1" applyAlignment="1">
      <alignment horizontal="center" vertical="center" wrapText="1"/>
    </xf>
    <xf numFmtId="0" fontId="97" fillId="0" borderId="75" xfId="21720" applyNumberFormat="1" applyFont="1" applyFill="1" applyBorder="1" applyAlignment="1">
      <alignment horizontal="center" vertical="center" wrapText="1"/>
    </xf>
    <xf numFmtId="0" fontId="97" fillId="0" borderId="76" xfId="21720" applyNumberFormat="1" applyFont="1" applyFill="1" applyBorder="1" applyAlignment="1">
      <alignment horizontal="center" vertical="center" wrapText="1"/>
    </xf>
    <xf numFmtId="0" fontId="97" fillId="0" borderId="77" xfId="21720" applyNumberFormat="1" applyFont="1" applyFill="1" applyBorder="1" applyAlignment="1">
      <alignment horizontal="center" vertical="center" wrapText="1"/>
    </xf>
    <xf numFmtId="0" fontId="97" fillId="0" borderId="78" xfId="21720" applyNumberFormat="1" applyFont="1" applyFill="1" applyBorder="1" applyAlignment="1">
      <alignment horizontal="center" wrapText="1"/>
    </xf>
    <xf numFmtId="0" fontId="97" fillId="0" borderId="61" xfId="21720" applyNumberFormat="1" applyFont="1" applyFill="1" applyBorder="1" applyAlignment="1">
      <alignment horizontal="center" wrapText="1"/>
    </xf>
    <xf numFmtId="0" fontId="97" fillId="0" borderId="79" xfId="21720" applyNumberFormat="1" applyFont="1" applyFill="1" applyBorder="1" applyAlignment="1">
      <alignment horizontal="center" wrapText="1"/>
    </xf>
    <xf numFmtId="0" fontId="97" fillId="86" borderId="78" xfId="21720" applyNumberFormat="1" applyFont="1" applyFill="1" applyBorder="1" applyAlignment="1">
      <alignment horizontal="center" vertical="center" wrapText="1"/>
    </xf>
    <xf numFmtId="0" fontId="97" fillId="66" borderId="61" xfId="21720" applyNumberFormat="1" applyFont="1" applyFill="1" applyBorder="1" applyAlignment="1">
      <alignment horizontal="center" vertical="center" wrapText="1"/>
    </xf>
    <xf numFmtId="0" fontId="97" fillId="66" borderId="79" xfId="21720" applyNumberFormat="1" applyFont="1" applyFill="1" applyBorder="1" applyAlignment="1">
      <alignment horizontal="center" vertical="center" wrapText="1"/>
    </xf>
    <xf numFmtId="0" fontId="97" fillId="65" borderId="61" xfId="21720" applyNumberFormat="1" applyFont="1" applyFill="1" applyBorder="1" applyAlignment="1">
      <alignment horizontal="center" vertical="center" wrapText="1"/>
    </xf>
    <xf numFmtId="0" fontId="97" fillId="65" borderId="79" xfId="21720" applyNumberFormat="1" applyFont="1" applyFill="1" applyBorder="1" applyAlignment="1">
      <alignment horizontal="center" vertical="center" wrapText="1"/>
    </xf>
    <xf numFmtId="0" fontId="97" fillId="81" borderId="61" xfId="21720" applyNumberFormat="1" applyFont="1" applyFill="1" applyBorder="1" applyAlignment="1">
      <alignment horizontal="center" vertical="center" wrapText="1"/>
    </xf>
    <xf numFmtId="0" fontId="97" fillId="81" borderId="79" xfId="21720" applyNumberFormat="1" applyFont="1" applyFill="1" applyBorder="1" applyAlignment="1">
      <alignment horizontal="center" vertical="center" wrapText="1"/>
    </xf>
    <xf numFmtId="0" fontId="97" fillId="0" borderId="61" xfId="21720" applyNumberFormat="1" applyFont="1" applyFill="1" applyBorder="1" applyAlignment="1">
      <alignment horizontal="center" vertical="center" wrapText="1"/>
    </xf>
    <xf numFmtId="0" fontId="97" fillId="0" borderId="79" xfId="21720" applyNumberFormat="1" applyFont="1" applyFill="1" applyBorder="1" applyAlignment="1">
      <alignment horizontal="center" vertical="center" wrapText="1"/>
    </xf>
    <xf numFmtId="0" fontId="97" fillId="86" borderId="56" xfId="21720" applyNumberFormat="1" applyFont="1" applyFill="1" applyBorder="1" applyAlignment="1">
      <alignment horizontal="center" vertical="center" wrapText="1"/>
    </xf>
    <xf numFmtId="0" fontId="97" fillId="87" borderId="56" xfId="21720" applyNumberFormat="1" applyFont="1" applyFill="1" applyBorder="1" applyAlignment="1">
      <alignment horizontal="center" vertical="center" wrapText="1"/>
    </xf>
    <xf numFmtId="165" fontId="90" fillId="79" borderId="56" xfId="0" applyFont="1" applyFill="1" applyBorder="1" applyAlignment="1" applyProtection="1">
      <alignment horizontal="center" vertical="center" wrapText="1"/>
      <protection locked="0" hidden="1"/>
    </xf>
    <xf numFmtId="165" fontId="90" fillId="79" borderId="57" xfId="0" applyFont="1" applyFill="1" applyBorder="1" applyAlignment="1" applyProtection="1">
      <alignment horizontal="center" vertical="center" wrapText="1"/>
      <protection locked="0" hidden="1"/>
    </xf>
    <xf numFmtId="165" fontId="90" fillId="79" borderId="40" xfId="0" applyFont="1" applyFill="1" applyBorder="1" applyAlignment="1" applyProtection="1">
      <alignment horizontal="center" vertical="center" wrapText="1"/>
      <protection locked="0" hidden="1"/>
    </xf>
    <xf numFmtId="1" fontId="26" fillId="25" borderId="56" xfId="0" applyNumberFormat="1" applyFont="1" applyFill="1" applyBorder="1" applyAlignment="1" applyProtection="1">
      <alignment horizontal="center" vertical="center" textRotation="90"/>
      <protection hidden="1"/>
    </xf>
    <xf numFmtId="1" fontId="26" fillId="25" borderId="55" xfId="0" applyNumberFormat="1" applyFont="1" applyFill="1" applyBorder="1" applyAlignment="1" applyProtection="1">
      <alignment horizontal="center" vertical="center" textRotation="90"/>
      <protection hidden="1"/>
    </xf>
    <xf numFmtId="1" fontId="26" fillId="25" borderId="77" xfId="0" applyNumberFormat="1" applyFont="1" applyFill="1" applyBorder="1" applyAlignment="1" applyProtection="1">
      <alignment horizontal="center" vertical="center" textRotation="90"/>
      <protection hidden="1"/>
    </xf>
    <xf numFmtId="165" fontId="26" fillId="25" borderId="81" xfId="0" applyFont="1" applyFill="1" applyBorder="1" applyAlignment="1" applyProtection="1">
      <alignment horizontal="center" textRotation="90" wrapText="1"/>
      <protection hidden="1"/>
    </xf>
    <xf numFmtId="165" fontId="26" fillId="25" borderId="11" xfId="0" applyFont="1" applyFill="1" applyBorder="1" applyAlignment="1" applyProtection="1">
      <alignment horizontal="center" textRotation="90"/>
      <protection hidden="1"/>
    </xf>
    <xf numFmtId="165" fontId="26" fillId="25" borderId="24" xfId="0" applyFont="1" applyFill="1" applyBorder="1" applyAlignment="1" applyProtection="1">
      <alignment horizontal="center" textRotation="90"/>
      <protection hidden="1"/>
    </xf>
    <xf numFmtId="1" fontId="27" fillId="24" borderId="14" xfId="0" applyNumberFormat="1" applyFont="1" applyFill="1" applyBorder="1" applyAlignment="1" applyProtection="1">
      <alignment horizontal="left"/>
      <protection hidden="1"/>
    </xf>
    <xf numFmtId="1" fontId="27" fillId="24" borderId="15" xfId="0" applyNumberFormat="1" applyFont="1" applyFill="1" applyBorder="1" applyAlignment="1" applyProtection="1">
      <alignment horizontal="left"/>
      <protection hidden="1"/>
    </xf>
    <xf numFmtId="1" fontId="26" fillId="25" borderId="41" xfId="0" applyNumberFormat="1" applyFont="1" applyFill="1" applyBorder="1" applyAlignment="1" applyProtection="1">
      <alignment horizontal="right" vertical="center" textRotation="90" wrapText="1"/>
      <protection hidden="1"/>
    </xf>
    <xf numFmtId="1" fontId="26" fillId="25" borderId="72" xfId="0" applyNumberFormat="1" applyFont="1" applyFill="1" applyBorder="1" applyAlignment="1" applyProtection="1">
      <alignment horizontal="right" vertical="center" textRotation="90" wrapText="1"/>
      <protection hidden="1"/>
    </xf>
    <xf numFmtId="1" fontId="26" fillId="25" borderId="73" xfId="0" applyNumberFormat="1" applyFont="1" applyFill="1" applyBorder="1" applyAlignment="1" applyProtection="1">
      <alignment horizontal="right" vertical="center" textRotation="90" wrapText="1"/>
      <protection hidden="1"/>
    </xf>
    <xf numFmtId="1" fontId="26" fillId="25" borderId="70" xfId="0" applyNumberFormat="1" applyFont="1" applyFill="1" applyBorder="1" applyAlignment="1" applyProtection="1">
      <alignment horizontal="center" vertical="center" textRotation="90"/>
      <protection hidden="1"/>
    </xf>
    <xf numFmtId="1" fontId="26" fillId="25" borderId="71" xfId="0" applyNumberFormat="1" applyFont="1" applyFill="1" applyBorder="1" applyAlignment="1" applyProtection="1">
      <alignment horizontal="center" vertical="center" textRotation="90"/>
      <protection hidden="1"/>
    </xf>
    <xf numFmtId="1" fontId="26" fillId="25" borderId="59" xfId="0" applyNumberFormat="1" applyFont="1" applyFill="1" applyBorder="1" applyAlignment="1" applyProtection="1">
      <alignment horizontal="center" vertical="center" textRotation="90"/>
      <protection hidden="1"/>
    </xf>
    <xf numFmtId="1" fontId="26" fillId="25" borderId="60" xfId="0" applyNumberFormat="1" applyFont="1" applyFill="1" applyBorder="1" applyAlignment="1" applyProtection="1">
      <alignment horizontal="center" vertical="center" textRotation="90"/>
      <protection hidden="1"/>
    </xf>
    <xf numFmtId="1" fontId="26" fillId="0" borderId="81" xfId="0" applyNumberFormat="1" applyFont="1" applyBorder="1" applyAlignment="1">
      <alignment horizontal="center" vertical="center" textRotation="90"/>
    </xf>
    <xf numFmtId="1" fontId="26" fillId="0" borderId="11" xfId="0" applyNumberFormat="1" applyFont="1" applyBorder="1" applyAlignment="1">
      <alignment horizontal="center" vertical="center" textRotation="90"/>
    </xf>
    <xf numFmtId="1" fontId="26" fillId="0" borderId="24" xfId="0" applyNumberFormat="1" applyFont="1" applyBorder="1" applyAlignment="1">
      <alignment horizontal="center" vertical="center" textRotation="90"/>
    </xf>
    <xf numFmtId="165" fontId="76" fillId="63" borderId="0" xfId="0" applyFont="1" applyFill="1" applyBorder="1" applyAlignment="1">
      <alignment horizontal="center" vertical="center"/>
    </xf>
  </cellXfs>
  <cellStyles count="21721">
    <cellStyle name=" 1" xfId="90" xr:uid="{00000000-0005-0000-0000-000000000000}"/>
    <cellStyle name=" 1 2" xfId="91" xr:uid="{00000000-0005-0000-0000-000001000000}"/>
    <cellStyle name=" 1 2 2" xfId="92" xr:uid="{00000000-0005-0000-0000-000002000000}"/>
    <cellStyle name=" 1 2 3" xfId="93" xr:uid="{00000000-0005-0000-0000-000003000000}"/>
    <cellStyle name=" 1 3" xfId="94" xr:uid="{00000000-0005-0000-0000-000004000000}"/>
    <cellStyle name=" 1 4" xfId="95" xr:uid="{00000000-0005-0000-0000-000005000000}"/>
    <cellStyle name=" 2" xfId="96" xr:uid="{00000000-0005-0000-0000-000006000000}"/>
    <cellStyle name=" 2 2" xfId="97" xr:uid="{00000000-0005-0000-0000-000007000000}"/>
    <cellStyle name=" 2 2 2" xfId="98" xr:uid="{00000000-0005-0000-0000-000008000000}"/>
    <cellStyle name=" 2 3" xfId="99" xr:uid="{00000000-0005-0000-0000-000009000000}"/>
    <cellStyle name=" 3" xfId="100" xr:uid="{00000000-0005-0000-0000-00000A000000}"/>
    <cellStyle name=" 3 2" xfId="101" xr:uid="{00000000-0005-0000-0000-00000B000000}"/>
    <cellStyle name=" 3 2 2" xfId="102" xr:uid="{00000000-0005-0000-0000-00000C000000}"/>
    <cellStyle name=" 3 3" xfId="103" xr:uid="{00000000-0005-0000-0000-00000D000000}"/>
    <cellStyle name=" 3 3 2" xfId="104" xr:uid="{00000000-0005-0000-0000-00000E000000}"/>
    <cellStyle name=" 3 4" xfId="105" xr:uid="{00000000-0005-0000-0000-00000F000000}"/>
    <cellStyle name=" 3_Commissioning System Implementation_Project Workbook_06_10_2011" xfId="106" xr:uid="{00000000-0005-0000-0000-000010000000}"/>
    <cellStyle name=" 4" xfId="107" xr:uid="{00000000-0005-0000-0000-000011000000}"/>
    <cellStyle name=" 4 2" xfId="108" xr:uid="{00000000-0005-0000-0000-000012000000}"/>
    <cellStyle name=" 4 2 2" xfId="109" xr:uid="{00000000-0005-0000-0000-000013000000}"/>
    <cellStyle name=" 4 3" xfId="110" xr:uid="{00000000-0005-0000-0000-000014000000}"/>
    <cellStyle name=" 4 3 2" xfId="111" xr:uid="{00000000-0005-0000-0000-000015000000}"/>
    <cellStyle name=" 4 4" xfId="112" xr:uid="{00000000-0005-0000-0000-000016000000}"/>
    <cellStyle name=" 4_Commissioning System Implementation_Project Workbook_06_10_2011" xfId="113" xr:uid="{00000000-0005-0000-0000-000017000000}"/>
    <cellStyle name=" 5" xfId="114" xr:uid="{00000000-0005-0000-0000-000018000000}"/>
    <cellStyle name=" 5 2" xfId="115" xr:uid="{00000000-0005-0000-0000-000019000000}"/>
    <cellStyle name=" 5 2 2" xfId="116" xr:uid="{00000000-0005-0000-0000-00001A000000}"/>
    <cellStyle name=" 5 3" xfId="117" xr:uid="{00000000-0005-0000-0000-00001B000000}"/>
    <cellStyle name=" 5 3 2" xfId="118" xr:uid="{00000000-0005-0000-0000-00001C000000}"/>
    <cellStyle name=" 5 4" xfId="119" xr:uid="{00000000-0005-0000-0000-00001D000000}"/>
    <cellStyle name=" 5_Commissioning System Implementation_Project Workbook_06_10_2011" xfId="120" xr:uid="{00000000-0005-0000-0000-00001E000000}"/>
    <cellStyle name=" 6" xfId="121" xr:uid="{00000000-0005-0000-0000-00001F000000}"/>
    <cellStyle name=" 6 2" xfId="122" xr:uid="{00000000-0005-0000-0000-000020000000}"/>
    <cellStyle name=" 7" xfId="123" xr:uid="{00000000-0005-0000-0000-000021000000}"/>
    <cellStyle name=" 7 2" xfId="124" xr:uid="{00000000-0005-0000-0000-000022000000}"/>
    <cellStyle name=" 8" xfId="125" xr:uid="{00000000-0005-0000-0000-000023000000}"/>
    <cellStyle name=" 8 2" xfId="126" xr:uid="{00000000-0005-0000-0000-000024000000}"/>
    <cellStyle name=" _x0007_LÓ_x0018_ÄþÍN^NuNVþˆHÁ_x0001__x0018_(n" xfId="127" xr:uid="{00000000-0005-0000-0000-000025000000}"/>
    <cellStyle name="%" xfId="128" xr:uid="{00000000-0005-0000-0000-000026000000}"/>
    <cellStyle name="% 2" xfId="129" xr:uid="{00000000-0005-0000-0000-000027000000}"/>
    <cellStyle name="% 3" xfId="130" xr:uid="{00000000-0005-0000-0000-000028000000}"/>
    <cellStyle name="_20061027Holux" xfId="131" xr:uid="{00000000-0005-0000-0000-000029000000}"/>
    <cellStyle name="_20061027Holux 2" xfId="132" xr:uid="{00000000-0005-0000-0000-00002A000000}"/>
    <cellStyle name="_20061027Holux 2 2" xfId="133" xr:uid="{00000000-0005-0000-0000-00002B000000}"/>
    <cellStyle name="_20061027Holux 2 3" xfId="134" xr:uid="{00000000-0005-0000-0000-00002C000000}"/>
    <cellStyle name="_20061027Holux 3" xfId="135" xr:uid="{00000000-0005-0000-0000-00002D000000}"/>
    <cellStyle name="_20061027Holux 3 2" xfId="136" xr:uid="{00000000-0005-0000-0000-00002E000000}"/>
    <cellStyle name="_20061027Holux 3 3" xfId="137" xr:uid="{00000000-0005-0000-0000-00002F000000}"/>
    <cellStyle name="_20061027Holux 4" xfId="138" xr:uid="{00000000-0005-0000-0000-000030000000}"/>
    <cellStyle name="_20061027Holux 5" xfId="139" xr:uid="{00000000-0005-0000-0000-000031000000}"/>
    <cellStyle name="_20061027Holux_CMS_SOW_Deliverables_0430" xfId="140" xr:uid="{00000000-0005-0000-0000-000032000000}"/>
    <cellStyle name="_20061027Holux_CMS_SOW_Deliverables_0430 2" xfId="141" xr:uid="{00000000-0005-0000-0000-000033000000}"/>
    <cellStyle name="_20061027Holux_CMS_SOW_Deliverables_0430 2 2" xfId="142" xr:uid="{00000000-0005-0000-0000-000034000000}"/>
    <cellStyle name="_20061027Holux_CMS_SOW_Deliverables_0430 2 3" xfId="143" xr:uid="{00000000-0005-0000-0000-000035000000}"/>
    <cellStyle name="_20061027Holux_CMS_SOW_Deliverables_0430 3" xfId="144" xr:uid="{00000000-0005-0000-0000-000036000000}"/>
    <cellStyle name="_20061027Holux_CMS_SOW_Deliverables_0430 3 2" xfId="145" xr:uid="{00000000-0005-0000-0000-000037000000}"/>
    <cellStyle name="_20061027Holux_CMS_SOW_Deliverables_0430 3 3" xfId="146" xr:uid="{00000000-0005-0000-0000-000038000000}"/>
    <cellStyle name="_20061027Holux_CMS_SOW_Deliverables_0430 4" xfId="147" xr:uid="{00000000-0005-0000-0000-000039000000}"/>
    <cellStyle name="_20061027Holux_CMS_SOW_Deliverables_0430 5" xfId="148" xr:uid="{00000000-0005-0000-0000-00003A000000}"/>
    <cellStyle name="_20061027Holux_CMS_SOW_Deliverables_0430_Commissioning System Implementation_Project Workbook_06_10_2011" xfId="149" xr:uid="{00000000-0005-0000-0000-00003B000000}"/>
    <cellStyle name="_20061027Holux_CMS_SOW_Deliverables_0430_Commissioning System Implementation_Project Workbook_06_10_2011 2" xfId="150" xr:uid="{00000000-0005-0000-0000-00003C000000}"/>
    <cellStyle name="_20061027Holux_CMS_SOW_Deliverables_0430_Commissioning System Implementation_Project Workbook_06_10_2011 3" xfId="151" xr:uid="{00000000-0005-0000-0000-00003D000000}"/>
    <cellStyle name="_20061027Holux_CMS_SOW_Deliverables_0430_FairPoint_CampReport" xfId="152" xr:uid="{00000000-0005-0000-0000-00003E000000}"/>
    <cellStyle name="_20061027Holux_CMS_SOW_Deliverables_0430_FairPoint_CampReport 2" xfId="153" xr:uid="{00000000-0005-0000-0000-00003F000000}"/>
    <cellStyle name="_20061027Holux_CMS_SOW_Deliverables_0430_FairPoint_CampReport 3" xfId="154" xr:uid="{00000000-0005-0000-0000-000040000000}"/>
    <cellStyle name="_20061027Holux_CMS_SOW_Deliverables_0430_FairPoint_FP comTechOps_ProgramWorkbook" xfId="155" xr:uid="{00000000-0005-0000-0000-000041000000}"/>
    <cellStyle name="_20061027Holux_CMS_SOW_Deliverables_0430_FairPoint_FP comTechOps_ProgramWorkbook 2" xfId="156" xr:uid="{00000000-0005-0000-0000-000042000000}"/>
    <cellStyle name="_20061027Holux_CMS_SOW_Deliverables_0430_FairPoint_FP comTechOps_ProgramWorkbook 3" xfId="157" xr:uid="{00000000-0005-0000-0000-000043000000}"/>
    <cellStyle name="_20061027Holux_CMS_SOW_Deliverables_0430_FairPoint_FP comTechOps_ProgramWorkbook_sachin" xfId="158" xr:uid="{00000000-0005-0000-0000-000044000000}"/>
    <cellStyle name="_20061027Holux_CMS_SOW_Deliverables_0430_FairPoint_FP comTechOps_ProgramWorkbook_sachin 2" xfId="159" xr:uid="{00000000-0005-0000-0000-000045000000}"/>
    <cellStyle name="_20061027Holux_CMS_SOW_Deliverables_0430_FairPoint_FP comTechOps_ProgramWorkbook_sachin 3" xfId="160" xr:uid="{00000000-0005-0000-0000-000046000000}"/>
    <cellStyle name="_20061027Holux_CMS_SOW_Deliverables_0430_FairPoint_FP comTechOps_ProgramWorkbook_sachin_v1" xfId="161" xr:uid="{00000000-0005-0000-0000-000047000000}"/>
    <cellStyle name="_20061027Holux_CMS_SOW_Deliverables_0430_FairPoint_FP comTechOps_ProgramWorkbook_sachin_v1 2" xfId="162" xr:uid="{00000000-0005-0000-0000-000048000000}"/>
    <cellStyle name="_20061027Holux_CMS_SOW_Deliverables_0430_FairPoint_FP comTechOps_ProgramWorkbook_sachin_v1 3" xfId="163" xr:uid="{00000000-0005-0000-0000-000049000000}"/>
    <cellStyle name="_20061027Holux_CMS_SOW_Deliverables_0430_FP_CAMP&amp;ITReporting_Maintenance_Dashboard" xfId="164" xr:uid="{00000000-0005-0000-0000-00004A000000}"/>
    <cellStyle name="_20061027Holux_CMS_SOW_Deliverables_0430_FP_CAMP&amp;ITReporting_Maintenance_Dashboard 2" xfId="165" xr:uid="{00000000-0005-0000-0000-00004B000000}"/>
    <cellStyle name="_20061027Holux_CMS_SOW_Deliverables_0430_FP_CAMP&amp;ITReporting_Maintenance_Dashboard 3" xfId="166" xr:uid="{00000000-0005-0000-0000-00004C000000}"/>
    <cellStyle name="_20061027Holux_CMS_SOW_Deliverables_0430_FP_CAMPITReporting_Maintenance_Dashboard" xfId="167" xr:uid="{00000000-0005-0000-0000-00004D000000}"/>
    <cellStyle name="_20061027Holux_CMS_SOW_Deliverables_0430_FP_CAMPITReporting_Maintenance_Dashboard 2" xfId="168" xr:uid="{00000000-0005-0000-0000-00004E000000}"/>
    <cellStyle name="_20061027Holux_CMS_SOW_Deliverables_0430_FP_CAMPITReporting_Maintenance_Dashboard 3" xfId="169" xr:uid="{00000000-0005-0000-0000-00004F000000}"/>
    <cellStyle name="_20061027Holux_CMS_SOW_Deliverables_0430_FP_Commissions_Req_Dn_ProgramWorkBook_10-Dec-2010" xfId="170" xr:uid="{00000000-0005-0000-0000-000050000000}"/>
    <cellStyle name="_20061027Holux_CMS_SOW_Deliverables_0430_FP_Commissions_Req_Dn_ProgramWorkBook_10-Dec-2010 2" xfId="171" xr:uid="{00000000-0005-0000-0000-000051000000}"/>
    <cellStyle name="_20061027Holux_CMS_SOW_Deliverables_0430_FP_Commissions_Req_Dn_ProgramWorkBook_10-Dec-2010 3" xfId="172" xr:uid="{00000000-0005-0000-0000-000052000000}"/>
    <cellStyle name="_20061027Holux_CMS_SOW_Deliverables_0430_FP_DW_Impl_ProgramWorkBook_07-Jan-2011" xfId="173" xr:uid="{00000000-0005-0000-0000-000053000000}"/>
    <cellStyle name="_20061027Holux_CMS_SOW_Deliverables_0430_FP_DW_Impl_ProgramWorkBook_07-Jan-2011 2" xfId="174" xr:uid="{00000000-0005-0000-0000-000054000000}"/>
    <cellStyle name="_20061027Holux_CMS_SOW_Deliverables_0430_FP_DW_Impl_ProgramWorkBook_07-Jan-2011 2 2" xfId="175" xr:uid="{00000000-0005-0000-0000-000055000000}"/>
    <cellStyle name="_20061027Holux_CMS_SOW_Deliverables_0430_FP_DW_Impl_ProgramWorkBook_07-Jan-2011 2 3" xfId="176" xr:uid="{00000000-0005-0000-0000-000056000000}"/>
    <cellStyle name="_20061027Holux_CMS_SOW_Deliverables_0430_FP_DW_Impl_ProgramWorkBook_07-Jan-2011 3" xfId="177" xr:uid="{00000000-0005-0000-0000-000057000000}"/>
    <cellStyle name="_20061027Holux_CMS_SOW_Deliverables_0430_FP_DW_Impl_ProgramWorkBook_07-Jan-2011 4" xfId="178" xr:uid="{00000000-0005-0000-0000-000058000000}"/>
    <cellStyle name="_20061027Holux_CMS_SOW_Deliverables_0430_FP_DW_Impl_ProgramWorkBook_11-Feb-2011" xfId="179" xr:uid="{00000000-0005-0000-0000-000059000000}"/>
    <cellStyle name="_20061027Holux_CMS_SOW_Deliverables_0430_FP_DW_Impl_ProgramWorkBook_11-Feb-2011 2" xfId="180" xr:uid="{00000000-0005-0000-0000-00005A000000}"/>
    <cellStyle name="_20061027Holux_CMS_SOW_Deliverables_0430_FP_DW_Impl_ProgramWorkBook_11-Feb-2011 3" xfId="181" xr:uid="{00000000-0005-0000-0000-00005B000000}"/>
    <cellStyle name="_20061027Holux_CMS_SOW_Deliverables_0430_FP_DW_Impl_ProgramWorkBook_18-Feb-2011 - Working" xfId="182" xr:uid="{00000000-0005-0000-0000-00005C000000}"/>
    <cellStyle name="_20061027Holux_CMS_SOW_Deliverables_0430_FP_DW_Impl_ProgramWorkBook_18-Feb-2011 - Working 2" xfId="183" xr:uid="{00000000-0005-0000-0000-00005D000000}"/>
    <cellStyle name="_20061027Holux_CMS_SOW_Deliverables_0430_FP_DW_Impl_ProgramWorkBook_18-Feb-2011 - Working 3" xfId="184" xr:uid="{00000000-0005-0000-0000-00005E000000}"/>
    <cellStyle name="_20061027Holux_CMS_SOW_Deliverables_0430_FP_EnterprisePortal_ProgramWorkbook" xfId="185" xr:uid="{00000000-0005-0000-0000-00005F000000}"/>
    <cellStyle name="_20061027Holux_CMS_SOW_Deliverables_0430_FP_EnterprisePortal_ProgramWorkbook 2" xfId="186" xr:uid="{00000000-0005-0000-0000-000060000000}"/>
    <cellStyle name="_20061027Holux_CMS_SOW_Deliverables_0430_FP_EnterprisePortal_ProgramWorkbook 3" xfId="187" xr:uid="{00000000-0005-0000-0000-000061000000}"/>
    <cellStyle name="_20061027Holux_CMS_SOW_Deliverables_0430_FP_SAP_MLP v2" xfId="188" xr:uid="{00000000-0005-0000-0000-000062000000}"/>
    <cellStyle name="_20061027Holux_CMS_SOW_Deliverables_0430_FP_SAP_MLP v2 2" xfId="189" xr:uid="{00000000-0005-0000-0000-000063000000}"/>
    <cellStyle name="_20061027Holux_CMS_SOW_Deliverables_0430_FP_SAP_MLP v2 3" xfId="190" xr:uid="{00000000-0005-0000-0000-000064000000}"/>
    <cellStyle name="_20061027Holux_CMS_SOW_Deliverables_0430_KeyDecisions" xfId="191" xr:uid="{00000000-0005-0000-0000-000065000000}"/>
    <cellStyle name="_20061027Holux_CMS_SOW_Deliverables_0430_KeyDecisions 2" xfId="192" xr:uid="{00000000-0005-0000-0000-000066000000}"/>
    <cellStyle name="_20061027Holux_CMS_SOW_Deliverables_0430_KeyDecisions 3" xfId="193" xr:uid="{00000000-0005-0000-0000-000067000000}"/>
    <cellStyle name="_20061027Holux_CMS_SOW_Deliverables_0430_Sophia_Imp_ProjectWorkBook_02_18_2011" xfId="194" xr:uid="{00000000-0005-0000-0000-000068000000}"/>
    <cellStyle name="_20061027Holux_CMS_SOW_Deliverables_0430_Sophia_Imp_ProjectWorkBook_02_18_2011 2" xfId="195" xr:uid="{00000000-0005-0000-0000-000069000000}"/>
    <cellStyle name="_20061027Holux_CMS_SOW_Deliverables_0430_Sophia_Imp_ProjectWorkBook_02_18_2011 3" xfId="196" xr:uid="{00000000-0005-0000-0000-00006A000000}"/>
    <cellStyle name="_20061027Holux_CMS_SOW_Deliverables_0430_t" xfId="197" xr:uid="{00000000-0005-0000-0000-00006B000000}"/>
    <cellStyle name="_20061027Holux_CMS_SOW_Deliverables_0430_t 2" xfId="198" xr:uid="{00000000-0005-0000-0000-00006C000000}"/>
    <cellStyle name="_20061027Holux_CMS_SOW_Deliverables_0430_t 3" xfId="199" xr:uid="{00000000-0005-0000-0000-00006D000000}"/>
    <cellStyle name="_20061027Holux_CMS_Web_Design_Phase_Deliverables_0610" xfId="200" xr:uid="{00000000-0005-0000-0000-00006E000000}"/>
    <cellStyle name="_20061027Holux_CMS_Web_Design_Phase_Deliverables_0610 2" xfId="201" xr:uid="{00000000-0005-0000-0000-00006F000000}"/>
    <cellStyle name="_20061027Holux_CMS_Web_Design_Phase_Deliverables_0610 2 2" xfId="202" xr:uid="{00000000-0005-0000-0000-000070000000}"/>
    <cellStyle name="_20061027Holux_CMS_Web_Design_Phase_Deliverables_0610 2 3" xfId="203" xr:uid="{00000000-0005-0000-0000-000071000000}"/>
    <cellStyle name="_20061027Holux_CMS_Web_Design_Phase_Deliverables_0610 3" xfId="204" xr:uid="{00000000-0005-0000-0000-000072000000}"/>
    <cellStyle name="_20061027Holux_CMS_Web_Design_Phase_Deliverables_0610 3 2" xfId="205" xr:uid="{00000000-0005-0000-0000-000073000000}"/>
    <cellStyle name="_20061027Holux_CMS_Web_Design_Phase_Deliverables_0610 3 3" xfId="206" xr:uid="{00000000-0005-0000-0000-000074000000}"/>
    <cellStyle name="_20061027Holux_CMS_Web_Design_Phase_Deliverables_0610 4" xfId="207" xr:uid="{00000000-0005-0000-0000-000075000000}"/>
    <cellStyle name="_20061027Holux_CMS_Web_Design_Phase_Deliverables_0610 5" xfId="208" xr:uid="{00000000-0005-0000-0000-000076000000}"/>
    <cellStyle name="_20061027Holux_CMS_Web_Design_Phase_Deliverables_0610_Commissioning System Implementation_Project Workbook_06_10_2011" xfId="209" xr:uid="{00000000-0005-0000-0000-000077000000}"/>
    <cellStyle name="_20061027Holux_CMS_Web_Design_Phase_Deliverables_0610_Commissioning System Implementation_Project Workbook_06_10_2011 2" xfId="210" xr:uid="{00000000-0005-0000-0000-000078000000}"/>
    <cellStyle name="_20061027Holux_CMS_Web_Design_Phase_Deliverables_0610_Commissioning System Implementation_Project Workbook_06_10_2011 3" xfId="211" xr:uid="{00000000-0005-0000-0000-000079000000}"/>
    <cellStyle name="_20061027Holux_CMS_Web_Design_Phase_Deliverables_0610_FairPoint_CampReport" xfId="212" xr:uid="{00000000-0005-0000-0000-00007A000000}"/>
    <cellStyle name="_20061027Holux_CMS_Web_Design_Phase_Deliverables_0610_FairPoint_CampReport 2" xfId="213" xr:uid="{00000000-0005-0000-0000-00007B000000}"/>
    <cellStyle name="_20061027Holux_CMS_Web_Design_Phase_Deliverables_0610_FairPoint_CampReport 3" xfId="214" xr:uid="{00000000-0005-0000-0000-00007C000000}"/>
    <cellStyle name="_20061027Holux_CMS_Web_Design_Phase_Deliverables_0610_FairPoint_FP comTechOps_ProgramWorkbook" xfId="215" xr:uid="{00000000-0005-0000-0000-00007D000000}"/>
    <cellStyle name="_20061027Holux_CMS_Web_Design_Phase_Deliverables_0610_FairPoint_FP comTechOps_ProgramWorkbook 2" xfId="216" xr:uid="{00000000-0005-0000-0000-00007E000000}"/>
    <cellStyle name="_20061027Holux_CMS_Web_Design_Phase_Deliverables_0610_FairPoint_FP comTechOps_ProgramWorkbook 3" xfId="217" xr:uid="{00000000-0005-0000-0000-00007F000000}"/>
    <cellStyle name="_20061027Holux_CMS_Web_Design_Phase_Deliverables_0610_FairPoint_FP comTechOps_ProgramWorkbook_sachin" xfId="218" xr:uid="{00000000-0005-0000-0000-000080000000}"/>
    <cellStyle name="_20061027Holux_CMS_Web_Design_Phase_Deliverables_0610_FairPoint_FP comTechOps_ProgramWorkbook_sachin 2" xfId="219" xr:uid="{00000000-0005-0000-0000-000081000000}"/>
    <cellStyle name="_20061027Holux_CMS_Web_Design_Phase_Deliverables_0610_FairPoint_FP comTechOps_ProgramWorkbook_sachin 3" xfId="220" xr:uid="{00000000-0005-0000-0000-000082000000}"/>
    <cellStyle name="_20061027Holux_CMS_Web_Design_Phase_Deliverables_0610_FairPoint_FP comTechOps_ProgramWorkbook_sachin_v1" xfId="221" xr:uid="{00000000-0005-0000-0000-000083000000}"/>
    <cellStyle name="_20061027Holux_CMS_Web_Design_Phase_Deliverables_0610_FairPoint_FP comTechOps_ProgramWorkbook_sachin_v1 2" xfId="222" xr:uid="{00000000-0005-0000-0000-000084000000}"/>
    <cellStyle name="_20061027Holux_CMS_Web_Design_Phase_Deliverables_0610_FairPoint_FP comTechOps_ProgramWorkbook_sachin_v1 3" xfId="223" xr:uid="{00000000-0005-0000-0000-000085000000}"/>
    <cellStyle name="_20061027Holux_CMS_Web_Design_Phase_Deliverables_0610_FP_CAMP&amp;ITReporting_Maintenance_Dashboard" xfId="224" xr:uid="{00000000-0005-0000-0000-000086000000}"/>
    <cellStyle name="_20061027Holux_CMS_Web_Design_Phase_Deliverables_0610_FP_CAMP&amp;ITReporting_Maintenance_Dashboard 2" xfId="225" xr:uid="{00000000-0005-0000-0000-000087000000}"/>
    <cellStyle name="_20061027Holux_CMS_Web_Design_Phase_Deliverables_0610_FP_CAMP&amp;ITReporting_Maintenance_Dashboard 3" xfId="226" xr:uid="{00000000-0005-0000-0000-000088000000}"/>
    <cellStyle name="_20061027Holux_CMS_Web_Design_Phase_Deliverables_0610_FP_CAMPITReporting_Maintenance_Dashboard" xfId="227" xr:uid="{00000000-0005-0000-0000-000089000000}"/>
    <cellStyle name="_20061027Holux_CMS_Web_Design_Phase_Deliverables_0610_FP_CAMPITReporting_Maintenance_Dashboard 2" xfId="228" xr:uid="{00000000-0005-0000-0000-00008A000000}"/>
    <cellStyle name="_20061027Holux_CMS_Web_Design_Phase_Deliverables_0610_FP_CAMPITReporting_Maintenance_Dashboard 3" xfId="229" xr:uid="{00000000-0005-0000-0000-00008B000000}"/>
    <cellStyle name="_20061027Holux_CMS_Web_Design_Phase_Deliverables_0610_FP_Commissions_Req_Dn_ProgramWorkBook_10-Dec-2010" xfId="230" xr:uid="{00000000-0005-0000-0000-00008C000000}"/>
    <cellStyle name="_20061027Holux_CMS_Web_Design_Phase_Deliverables_0610_FP_Commissions_Req_Dn_ProgramWorkBook_10-Dec-2010 2" xfId="231" xr:uid="{00000000-0005-0000-0000-00008D000000}"/>
    <cellStyle name="_20061027Holux_CMS_Web_Design_Phase_Deliverables_0610_FP_Commissions_Req_Dn_ProgramWorkBook_10-Dec-2010 3" xfId="232" xr:uid="{00000000-0005-0000-0000-00008E000000}"/>
    <cellStyle name="_20061027Holux_CMS_Web_Design_Phase_Deliverables_0610_FP_DW_Impl_ProgramWorkBook_07-Jan-2011" xfId="233" xr:uid="{00000000-0005-0000-0000-00008F000000}"/>
    <cellStyle name="_20061027Holux_CMS_Web_Design_Phase_Deliverables_0610_FP_DW_Impl_ProgramWorkBook_07-Jan-2011 2" xfId="234" xr:uid="{00000000-0005-0000-0000-000090000000}"/>
    <cellStyle name="_20061027Holux_CMS_Web_Design_Phase_Deliverables_0610_FP_DW_Impl_ProgramWorkBook_07-Jan-2011 2 2" xfId="235" xr:uid="{00000000-0005-0000-0000-000091000000}"/>
    <cellStyle name="_20061027Holux_CMS_Web_Design_Phase_Deliverables_0610_FP_DW_Impl_ProgramWorkBook_07-Jan-2011 2 3" xfId="236" xr:uid="{00000000-0005-0000-0000-000092000000}"/>
    <cellStyle name="_20061027Holux_CMS_Web_Design_Phase_Deliverables_0610_FP_DW_Impl_ProgramWorkBook_07-Jan-2011 3" xfId="237" xr:uid="{00000000-0005-0000-0000-000093000000}"/>
    <cellStyle name="_20061027Holux_CMS_Web_Design_Phase_Deliverables_0610_FP_DW_Impl_ProgramWorkBook_07-Jan-2011 4" xfId="238" xr:uid="{00000000-0005-0000-0000-000094000000}"/>
    <cellStyle name="_20061027Holux_CMS_Web_Design_Phase_Deliverables_0610_FP_DW_Impl_ProgramWorkBook_11-Feb-2011" xfId="239" xr:uid="{00000000-0005-0000-0000-000095000000}"/>
    <cellStyle name="_20061027Holux_CMS_Web_Design_Phase_Deliverables_0610_FP_DW_Impl_ProgramWorkBook_11-Feb-2011 2" xfId="240" xr:uid="{00000000-0005-0000-0000-000096000000}"/>
    <cellStyle name="_20061027Holux_CMS_Web_Design_Phase_Deliverables_0610_FP_DW_Impl_ProgramWorkBook_11-Feb-2011 3" xfId="241" xr:uid="{00000000-0005-0000-0000-000097000000}"/>
    <cellStyle name="_20061027Holux_CMS_Web_Design_Phase_Deliverables_0610_FP_DW_Impl_ProgramWorkBook_18-Feb-2011 - Working" xfId="242" xr:uid="{00000000-0005-0000-0000-000098000000}"/>
    <cellStyle name="_20061027Holux_CMS_Web_Design_Phase_Deliverables_0610_FP_DW_Impl_ProgramWorkBook_18-Feb-2011 - Working 2" xfId="243" xr:uid="{00000000-0005-0000-0000-000099000000}"/>
    <cellStyle name="_20061027Holux_CMS_Web_Design_Phase_Deliverables_0610_FP_DW_Impl_ProgramWorkBook_18-Feb-2011 - Working 3" xfId="244" xr:uid="{00000000-0005-0000-0000-00009A000000}"/>
    <cellStyle name="_20061027Holux_CMS_Web_Design_Phase_Deliverables_0610_FP_EnterprisePortal_ProgramWorkbook" xfId="245" xr:uid="{00000000-0005-0000-0000-00009B000000}"/>
    <cellStyle name="_20061027Holux_CMS_Web_Design_Phase_Deliverables_0610_FP_EnterprisePortal_ProgramWorkbook 2" xfId="246" xr:uid="{00000000-0005-0000-0000-00009C000000}"/>
    <cellStyle name="_20061027Holux_CMS_Web_Design_Phase_Deliverables_0610_FP_EnterprisePortal_ProgramWorkbook 3" xfId="247" xr:uid="{00000000-0005-0000-0000-00009D000000}"/>
    <cellStyle name="_20061027Holux_CMS_Web_Design_Phase_Deliverables_0610_FP_SAP_MLP v2" xfId="248" xr:uid="{00000000-0005-0000-0000-00009E000000}"/>
    <cellStyle name="_20061027Holux_CMS_Web_Design_Phase_Deliverables_0610_FP_SAP_MLP v2 2" xfId="249" xr:uid="{00000000-0005-0000-0000-00009F000000}"/>
    <cellStyle name="_20061027Holux_CMS_Web_Design_Phase_Deliverables_0610_FP_SAP_MLP v2 3" xfId="250" xr:uid="{00000000-0005-0000-0000-0000A0000000}"/>
    <cellStyle name="_20061027Holux_CMS_Web_Design_Phase_Deliverables_0610_KeyDecisions" xfId="251" xr:uid="{00000000-0005-0000-0000-0000A1000000}"/>
    <cellStyle name="_20061027Holux_CMS_Web_Design_Phase_Deliverables_0610_KeyDecisions 2" xfId="252" xr:uid="{00000000-0005-0000-0000-0000A2000000}"/>
    <cellStyle name="_20061027Holux_CMS_Web_Design_Phase_Deliverables_0610_KeyDecisions 3" xfId="253" xr:uid="{00000000-0005-0000-0000-0000A3000000}"/>
    <cellStyle name="_20061027Holux_CMS_Web_Design_Phase_Deliverables_0610_Sophia_Imp_ProjectWorkBook_02_18_2011" xfId="254" xr:uid="{00000000-0005-0000-0000-0000A4000000}"/>
    <cellStyle name="_20061027Holux_CMS_Web_Design_Phase_Deliverables_0610_Sophia_Imp_ProjectWorkBook_02_18_2011 2" xfId="255" xr:uid="{00000000-0005-0000-0000-0000A5000000}"/>
    <cellStyle name="_20061027Holux_CMS_Web_Design_Phase_Deliverables_0610_Sophia_Imp_ProjectWorkBook_02_18_2011 3" xfId="256" xr:uid="{00000000-0005-0000-0000-0000A6000000}"/>
    <cellStyle name="_20061027Holux_CMS_Web_Design_Phase_Deliverables_0610_t" xfId="257" xr:uid="{00000000-0005-0000-0000-0000A7000000}"/>
    <cellStyle name="_20061027Holux_CMS_Web_Design_Phase_Deliverables_0610_t 2" xfId="258" xr:uid="{00000000-0005-0000-0000-0000A8000000}"/>
    <cellStyle name="_20061027Holux_CMS_Web_Design_Phase_Deliverables_0610_t 3" xfId="259" xr:uid="{00000000-0005-0000-0000-0000A9000000}"/>
    <cellStyle name="_20061027Holux_CMS_Web_Design_Phase_Deliverables_0618a" xfId="260" xr:uid="{00000000-0005-0000-0000-0000AA000000}"/>
    <cellStyle name="_20061027Holux_CMS_Web_Design_Phase_Deliverables_0618a 2" xfId="261" xr:uid="{00000000-0005-0000-0000-0000AB000000}"/>
    <cellStyle name="_20061027Holux_CMS_Web_Design_Phase_Deliverables_0618a 2 2" xfId="262" xr:uid="{00000000-0005-0000-0000-0000AC000000}"/>
    <cellStyle name="_20061027Holux_CMS_Web_Design_Phase_Deliverables_0618a 2 3" xfId="263" xr:uid="{00000000-0005-0000-0000-0000AD000000}"/>
    <cellStyle name="_20061027Holux_CMS_Web_Design_Phase_Deliverables_0618a 3" xfId="264" xr:uid="{00000000-0005-0000-0000-0000AE000000}"/>
    <cellStyle name="_20061027Holux_CMS_Web_Design_Phase_Deliverables_0618a 3 2" xfId="265" xr:uid="{00000000-0005-0000-0000-0000AF000000}"/>
    <cellStyle name="_20061027Holux_CMS_Web_Design_Phase_Deliverables_0618a 3 3" xfId="266" xr:uid="{00000000-0005-0000-0000-0000B0000000}"/>
    <cellStyle name="_20061027Holux_CMS_Web_Design_Phase_Deliverables_0618a 4" xfId="267" xr:uid="{00000000-0005-0000-0000-0000B1000000}"/>
    <cellStyle name="_20061027Holux_CMS_Web_Design_Phase_Deliverables_0618a 5" xfId="268" xr:uid="{00000000-0005-0000-0000-0000B2000000}"/>
    <cellStyle name="_20061027Holux_CMS_Web_Design_Phase_Deliverables_0618a_Commissioning System Implementation_Project Workbook_06_10_2011" xfId="269" xr:uid="{00000000-0005-0000-0000-0000B3000000}"/>
    <cellStyle name="_20061027Holux_CMS_Web_Design_Phase_Deliverables_0618a_Commissioning System Implementation_Project Workbook_06_10_2011 2" xfId="270" xr:uid="{00000000-0005-0000-0000-0000B4000000}"/>
    <cellStyle name="_20061027Holux_CMS_Web_Design_Phase_Deliverables_0618a_Commissioning System Implementation_Project Workbook_06_10_2011 3" xfId="271" xr:uid="{00000000-0005-0000-0000-0000B5000000}"/>
    <cellStyle name="_20061027Holux_CMS_Web_Design_Phase_Deliverables_0618a_FairPoint_CampReport" xfId="272" xr:uid="{00000000-0005-0000-0000-0000B6000000}"/>
    <cellStyle name="_20061027Holux_CMS_Web_Design_Phase_Deliverables_0618a_FairPoint_CampReport 2" xfId="273" xr:uid="{00000000-0005-0000-0000-0000B7000000}"/>
    <cellStyle name="_20061027Holux_CMS_Web_Design_Phase_Deliverables_0618a_FairPoint_CampReport 3" xfId="274" xr:uid="{00000000-0005-0000-0000-0000B8000000}"/>
    <cellStyle name="_20061027Holux_CMS_Web_Design_Phase_Deliverables_0618a_FairPoint_FP comTechOps_ProgramWorkbook" xfId="275" xr:uid="{00000000-0005-0000-0000-0000B9000000}"/>
    <cellStyle name="_20061027Holux_CMS_Web_Design_Phase_Deliverables_0618a_FairPoint_FP comTechOps_ProgramWorkbook 2" xfId="276" xr:uid="{00000000-0005-0000-0000-0000BA000000}"/>
    <cellStyle name="_20061027Holux_CMS_Web_Design_Phase_Deliverables_0618a_FairPoint_FP comTechOps_ProgramWorkbook 3" xfId="277" xr:uid="{00000000-0005-0000-0000-0000BB000000}"/>
    <cellStyle name="_20061027Holux_CMS_Web_Design_Phase_Deliverables_0618a_FairPoint_FP comTechOps_ProgramWorkbook_sachin" xfId="278" xr:uid="{00000000-0005-0000-0000-0000BC000000}"/>
    <cellStyle name="_20061027Holux_CMS_Web_Design_Phase_Deliverables_0618a_FairPoint_FP comTechOps_ProgramWorkbook_sachin 2" xfId="279" xr:uid="{00000000-0005-0000-0000-0000BD000000}"/>
    <cellStyle name="_20061027Holux_CMS_Web_Design_Phase_Deliverables_0618a_FairPoint_FP comTechOps_ProgramWorkbook_sachin 3" xfId="280" xr:uid="{00000000-0005-0000-0000-0000BE000000}"/>
    <cellStyle name="_20061027Holux_CMS_Web_Design_Phase_Deliverables_0618a_FairPoint_FP comTechOps_ProgramWorkbook_sachin_v1" xfId="281" xr:uid="{00000000-0005-0000-0000-0000BF000000}"/>
    <cellStyle name="_20061027Holux_CMS_Web_Design_Phase_Deliverables_0618a_FairPoint_FP comTechOps_ProgramWorkbook_sachin_v1 2" xfId="282" xr:uid="{00000000-0005-0000-0000-0000C0000000}"/>
    <cellStyle name="_20061027Holux_CMS_Web_Design_Phase_Deliverables_0618a_FairPoint_FP comTechOps_ProgramWorkbook_sachin_v1 3" xfId="283" xr:uid="{00000000-0005-0000-0000-0000C1000000}"/>
    <cellStyle name="_20061027Holux_CMS_Web_Design_Phase_Deliverables_0618a_FP_CAMP&amp;ITReporting_Maintenance_Dashboard" xfId="284" xr:uid="{00000000-0005-0000-0000-0000C2000000}"/>
    <cellStyle name="_20061027Holux_CMS_Web_Design_Phase_Deliverables_0618a_FP_CAMP&amp;ITReporting_Maintenance_Dashboard 2" xfId="285" xr:uid="{00000000-0005-0000-0000-0000C3000000}"/>
    <cellStyle name="_20061027Holux_CMS_Web_Design_Phase_Deliverables_0618a_FP_CAMP&amp;ITReporting_Maintenance_Dashboard 3" xfId="286" xr:uid="{00000000-0005-0000-0000-0000C4000000}"/>
    <cellStyle name="_20061027Holux_CMS_Web_Design_Phase_Deliverables_0618a_FP_CAMPITReporting_Maintenance_Dashboard" xfId="287" xr:uid="{00000000-0005-0000-0000-0000C5000000}"/>
    <cellStyle name="_20061027Holux_CMS_Web_Design_Phase_Deliverables_0618a_FP_CAMPITReporting_Maintenance_Dashboard 2" xfId="288" xr:uid="{00000000-0005-0000-0000-0000C6000000}"/>
    <cellStyle name="_20061027Holux_CMS_Web_Design_Phase_Deliverables_0618a_FP_CAMPITReporting_Maintenance_Dashboard 3" xfId="289" xr:uid="{00000000-0005-0000-0000-0000C7000000}"/>
    <cellStyle name="_20061027Holux_CMS_Web_Design_Phase_Deliverables_0618a_FP_Commissions_Req_Dn_ProgramWorkBook_10-Dec-2010" xfId="290" xr:uid="{00000000-0005-0000-0000-0000C8000000}"/>
    <cellStyle name="_20061027Holux_CMS_Web_Design_Phase_Deliverables_0618a_FP_Commissions_Req_Dn_ProgramWorkBook_10-Dec-2010 2" xfId="291" xr:uid="{00000000-0005-0000-0000-0000C9000000}"/>
    <cellStyle name="_20061027Holux_CMS_Web_Design_Phase_Deliverables_0618a_FP_Commissions_Req_Dn_ProgramWorkBook_10-Dec-2010 3" xfId="292" xr:uid="{00000000-0005-0000-0000-0000CA000000}"/>
    <cellStyle name="_20061027Holux_CMS_Web_Design_Phase_Deliverables_0618a_FP_DW_Impl_ProgramWorkBook_07-Jan-2011" xfId="293" xr:uid="{00000000-0005-0000-0000-0000CB000000}"/>
    <cellStyle name="_20061027Holux_CMS_Web_Design_Phase_Deliverables_0618a_FP_DW_Impl_ProgramWorkBook_07-Jan-2011 2" xfId="294" xr:uid="{00000000-0005-0000-0000-0000CC000000}"/>
    <cellStyle name="_20061027Holux_CMS_Web_Design_Phase_Deliverables_0618a_FP_DW_Impl_ProgramWorkBook_07-Jan-2011 2 2" xfId="295" xr:uid="{00000000-0005-0000-0000-0000CD000000}"/>
    <cellStyle name="_20061027Holux_CMS_Web_Design_Phase_Deliverables_0618a_FP_DW_Impl_ProgramWorkBook_07-Jan-2011 2 3" xfId="296" xr:uid="{00000000-0005-0000-0000-0000CE000000}"/>
    <cellStyle name="_20061027Holux_CMS_Web_Design_Phase_Deliverables_0618a_FP_DW_Impl_ProgramWorkBook_07-Jan-2011 3" xfId="297" xr:uid="{00000000-0005-0000-0000-0000CF000000}"/>
    <cellStyle name="_20061027Holux_CMS_Web_Design_Phase_Deliverables_0618a_FP_DW_Impl_ProgramWorkBook_07-Jan-2011 4" xfId="298" xr:uid="{00000000-0005-0000-0000-0000D0000000}"/>
    <cellStyle name="_20061027Holux_CMS_Web_Design_Phase_Deliverables_0618a_FP_DW_Impl_ProgramWorkBook_11-Feb-2011" xfId="299" xr:uid="{00000000-0005-0000-0000-0000D1000000}"/>
    <cellStyle name="_20061027Holux_CMS_Web_Design_Phase_Deliverables_0618a_FP_DW_Impl_ProgramWorkBook_11-Feb-2011 2" xfId="300" xr:uid="{00000000-0005-0000-0000-0000D2000000}"/>
    <cellStyle name="_20061027Holux_CMS_Web_Design_Phase_Deliverables_0618a_FP_DW_Impl_ProgramWorkBook_11-Feb-2011 3" xfId="301" xr:uid="{00000000-0005-0000-0000-0000D3000000}"/>
    <cellStyle name="_20061027Holux_CMS_Web_Design_Phase_Deliverables_0618a_FP_DW_Impl_ProgramWorkBook_18-Feb-2011 - Working" xfId="302" xr:uid="{00000000-0005-0000-0000-0000D4000000}"/>
    <cellStyle name="_20061027Holux_CMS_Web_Design_Phase_Deliverables_0618a_FP_DW_Impl_ProgramWorkBook_18-Feb-2011 - Working 2" xfId="303" xr:uid="{00000000-0005-0000-0000-0000D5000000}"/>
    <cellStyle name="_20061027Holux_CMS_Web_Design_Phase_Deliverables_0618a_FP_DW_Impl_ProgramWorkBook_18-Feb-2011 - Working 3" xfId="304" xr:uid="{00000000-0005-0000-0000-0000D6000000}"/>
    <cellStyle name="_20061027Holux_CMS_Web_Design_Phase_Deliverables_0618a_FP_EnterprisePortal_ProgramWorkbook" xfId="305" xr:uid="{00000000-0005-0000-0000-0000D7000000}"/>
    <cellStyle name="_20061027Holux_CMS_Web_Design_Phase_Deliverables_0618a_FP_EnterprisePortal_ProgramWorkbook 2" xfId="306" xr:uid="{00000000-0005-0000-0000-0000D8000000}"/>
    <cellStyle name="_20061027Holux_CMS_Web_Design_Phase_Deliverables_0618a_FP_EnterprisePortal_ProgramWorkbook 3" xfId="307" xr:uid="{00000000-0005-0000-0000-0000D9000000}"/>
    <cellStyle name="_20061027Holux_CMS_Web_Design_Phase_Deliverables_0618a_FP_SAP_MLP v2" xfId="308" xr:uid="{00000000-0005-0000-0000-0000DA000000}"/>
    <cellStyle name="_20061027Holux_CMS_Web_Design_Phase_Deliverables_0618a_FP_SAP_MLP v2 2" xfId="309" xr:uid="{00000000-0005-0000-0000-0000DB000000}"/>
    <cellStyle name="_20061027Holux_CMS_Web_Design_Phase_Deliverables_0618a_FP_SAP_MLP v2 3" xfId="310" xr:uid="{00000000-0005-0000-0000-0000DC000000}"/>
    <cellStyle name="_20061027Holux_CMS_Web_Design_Phase_Deliverables_0618a_KeyDecisions" xfId="311" xr:uid="{00000000-0005-0000-0000-0000DD000000}"/>
    <cellStyle name="_20061027Holux_CMS_Web_Design_Phase_Deliverables_0618a_KeyDecisions 2" xfId="312" xr:uid="{00000000-0005-0000-0000-0000DE000000}"/>
    <cellStyle name="_20061027Holux_CMS_Web_Design_Phase_Deliverables_0618a_KeyDecisions 3" xfId="313" xr:uid="{00000000-0005-0000-0000-0000DF000000}"/>
    <cellStyle name="_20061027Holux_CMS_Web_Design_Phase_Deliverables_0618a_Sophia_Imp_ProjectWorkBook_02_18_2011" xfId="314" xr:uid="{00000000-0005-0000-0000-0000E0000000}"/>
    <cellStyle name="_20061027Holux_CMS_Web_Design_Phase_Deliverables_0618a_Sophia_Imp_ProjectWorkBook_02_18_2011 2" xfId="315" xr:uid="{00000000-0005-0000-0000-0000E1000000}"/>
    <cellStyle name="_20061027Holux_CMS_Web_Design_Phase_Deliverables_0618a_Sophia_Imp_ProjectWorkBook_02_18_2011 3" xfId="316" xr:uid="{00000000-0005-0000-0000-0000E2000000}"/>
    <cellStyle name="_20061027Holux_CMS_Web_Design_Phase_Deliverables_0618a_t" xfId="317" xr:uid="{00000000-0005-0000-0000-0000E3000000}"/>
    <cellStyle name="_20061027Holux_CMS_Web_Design_Phase_Deliverables_0618a_t 2" xfId="318" xr:uid="{00000000-0005-0000-0000-0000E4000000}"/>
    <cellStyle name="_20061027Holux_CMS_Web_Design_Phase_Deliverables_0618a_t 3" xfId="319" xr:uid="{00000000-0005-0000-0000-0000E5000000}"/>
    <cellStyle name="_20061027Holux_CMS_Web_Design_Phase_Deliverables_0621" xfId="320" xr:uid="{00000000-0005-0000-0000-0000E6000000}"/>
    <cellStyle name="_20061027Holux_CMS_Web_Design_Phase_Deliverables_0621 2" xfId="321" xr:uid="{00000000-0005-0000-0000-0000E7000000}"/>
    <cellStyle name="_20061027Holux_CMS_Web_Design_Phase_Deliverables_0621 2 2" xfId="322" xr:uid="{00000000-0005-0000-0000-0000E8000000}"/>
    <cellStyle name="_20061027Holux_CMS_Web_Design_Phase_Deliverables_0621 2 3" xfId="323" xr:uid="{00000000-0005-0000-0000-0000E9000000}"/>
    <cellStyle name="_20061027Holux_CMS_Web_Design_Phase_Deliverables_0621 3" xfId="324" xr:uid="{00000000-0005-0000-0000-0000EA000000}"/>
    <cellStyle name="_20061027Holux_CMS_Web_Design_Phase_Deliverables_0621 3 2" xfId="325" xr:uid="{00000000-0005-0000-0000-0000EB000000}"/>
    <cellStyle name="_20061027Holux_CMS_Web_Design_Phase_Deliverables_0621 3 3" xfId="326" xr:uid="{00000000-0005-0000-0000-0000EC000000}"/>
    <cellStyle name="_20061027Holux_CMS_Web_Design_Phase_Deliverables_0621 4" xfId="327" xr:uid="{00000000-0005-0000-0000-0000ED000000}"/>
    <cellStyle name="_20061027Holux_CMS_Web_Design_Phase_Deliverables_0621 5" xfId="328" xr:uid="{00000000-0005-0000-0000-0000EE000000}"/>
    <cellStyle name="_20061027Holux_CMS_Web_Design_Phase_Deliverables_0621_Commissioning System Implementation_Project Workbook_06_10_2011" xfId="329" xr:uid="{00000000-0005-0000-0000-0000EF000000}"/>
    <cellStyle name="_20061027Holux_CMS_Web_Design_Phase_Deliverables_0621_Commissioning System Implementation_Project Workbook_06_10_2011 2" xfId="330" xr:uid="{00000000-0005-0000-0000-0000F0000000}"/>
    <cellStyle name="_20061027Holux_CMS_Web_Design_Phase_Deliverables_0621_Commissioning System Implementation_Project Workbook_06_10_2011 3" xfId="331" xr:uid="{00000000-0005-0000-0000-0000F1000000}"/>
    <cellStyle name="_20061027Holux_CMS_Web_Design_Phase_Deliverables_0621_FairPoint_CampReport" xfId="332" xr:uid="{00000000-0005-0000-0000-0000F2000000}"/>
    <cellStyle name="_20061027Holux_CMS_Web_Design_Phase_Deliverables_0621_FairPoint_CampReport 2" xfId="333" xr:uid="{00000000-0005-0000-0000-0000F3000000}"/>
    <cellStyle name="_20061027Holux_CMS_Web_Design_Phase_Deliverables_0621_FairPoint_CampReport 3" xfId="334" xr:uid="{00000000-0005-0000-0000-0000F4000000}"/>
    <cellStyle name="_20061027Holux_CMS_Web_Design_Phase_Deliverables_0621_FairPoint_FP comTechOps_ProgramWorkbook" xfId="335" xr:uid="{00000000-0005-0000-0000-0000F5000000}"/>
    <cellStyle name="_20061027Holux_CMS_Web_Design_Phase_Deliverables_0621_FairPoint_FP comTechOps_ProgramWorkbook 2" xfId="336" xr:uid="{00000000-0005-0000-0000-0000F6000000}"/>
    <cellStyle name="_20061027Holux_CMS_Web_Design_Phase_Deliverables_0621_FairPoint_FP comTechOps_ProgramWorkbook 3" xfId="337" xr:uid="{00000000-0005-0000-0000-0000F7000000}"/>
    <cellStyle name="_20061027Holux_CMS_Web_Design_Phase_Deliverables_0621_FairPoint_FP comTechOps_ProgramWorkbook_sachin" xfId="338" xr:uid="{00000000-0005-0000-0000-0000F8000000}"/>
    <cellStyle name="_20061027Holux_CMS_Web_Design_Phase_Deliverables_0621_FairPoint_FP comTechOps_ProgramWorkbook_sachin 2" xfId="339" xr:uid="{00000000-0005-0000-0000-0000F9000000}"/>
    <cellStyle name="_20061027Holux_CMS_Web_Design_Phase_Deliverables_0621_FairPoint_FP comTechOps_ProgramWorkbook_sachin 3" xfId="340" xr:uid="{00000000-0005-0000-0000-0000FA000000}"/>
    <cellStyle name="_20061027Holux_CMS_Web_Design_Phase_Deliverables_0621_FairPoint_FP comTechOps_ProgramWorkbook_sachin_v1" xfId="341" xr:uid="{00000000-0005-0000-0000-0000FB000000}"/>
    <cellStyle name="_20061027Holux_CMS_Web_Design_Phase_Deliverables_0621_FairPoint_FP comTechOps_ProgramWorkbook_sachin_v1 2" xfId="342" xr:uid="{00000000-0005-0000-0000-0000FC000000}"/>
    <cellStyle name="_20061027Holux_CMS_Web_Design_Phase_Deliverables_0621_FairPoint_FP comTechOps_ProgramWorkbook_sachin_v1 3" xfId="343" xr:uid="{00000000-0005-0000-0000-0000FD000000}"/>
    <cellStyle name="_20061027Holux_CMS_Web_Design_Phase_Deliverables_0621_FP_CAMP&amp;ITReporting_Maintenance_Dashboard" xfId="344" xr:uid="{00000000-0005-0000-0000-0000FE000000}"/>
    <cellStyle name="_20061027Holux_CMS_Web_Design_Phase_Deliverables_0621_FP_CAMP&amp;ITReporting_Maintenance_Dashboard 2" xfId="345" xr:uid="{00000000-0005-0000-0000-0000FF000000}"/>
    <cellStyle name="_20061027Holux_CMS_Web_Design_Phase_Deliverables_0621_FP_CAMP&amp;ITReporting_Maintenance_Dashboard 3" xfId="346" xr:uid="{00000000-0005-0000-0000-000000010000}"/>
    <cellStyle name="_20061027Holux_CMS_Web_Design_Phase_Deliverables_0621_FP_CAMPITReporting_Maintenance_Dashboard" xfId="347" xr:uid="{00000000-0005-0000-0000-000001010000}"/>
    <cellStyle name="_20061027Holux_CMS_Web_Design_Phase_Deliverables_0621_FP_CAMPITReporting_Maintenance_Dashboard 2" xfId="348" xr:uid="{00000000-0005-0000-0000-000002010000}"/>
    <cellStyle name="_20061027Holux_CMS_Web_Design_Phase_Deliverables_0621_FP_CAMPITReporting_Maintenance_Dashboard 3" xfId="349" xr:uid="{00000000-0005-0000-0000-000003010000}"/>
    <cellStyle name="_20061027Holux_CMS_Web_Design_Phase_Deliverables_0621_FP_Commissions_Req_Dn_ProgramWorkBook_10-Dec-2010" xfId="350" xr:uid="{00000000-0005-0000-0000-000004010000}"/>
    <cellStyle name="_20061027Holux_CMS_Web_Design_Phase_Deliverables_0621_FP_Commissions_Req_Dn_ProgramWorkBook_10-Dec-2010 2" xfId="351" xr:uid="{00000000-0005-0000-0000-000005010000}"/>
    <cellStyle name="_20061027Holux_CMS_Web_Design_Phase_Deliverables_0621_FP_Commissions_Req_Dn_ProgramWorkBook_10-Dec-2010 3" xfId="352" xr:uid="{00000000-0005-0000-0000-000006010000}"/>
    <cellStyle name="_20061027Holux_CMS_Web_Design_Phase_Deliverables_0621_FP_DW_Impl_ProgramWorkBook_07-Jan-2011" xfId="353" xr:uid="{00000000-0005-0000-0000-000007010000}"/>
    <cellStyle name="_20061027Holux_CMS_Web_Design_Phase_Deliverables_0621_FP_DW_Impl_ProgramWorkBook_07-Jan-2011 2" xfId="354" xr:uid="{00000000-0005-0000-0000-000008010000}"/>
    <cellStyle name="_20061027Holux_CMS_Web_Design_Phase_Deliverables_0621_FP_DW_Impl_ProgramWorkBook_07-Jan-2011 2 2" xfId="355" xr:uid="{00000000-0005-0000-0000-000009010000}"/>
    <cellStyle name="_20061027Holux_CMS_Web_Design_Phase_Deliverables_0621_FP_DW_Impl_ProgramWorkBook_07-Jan-2011 2 3" xfId="356" xr:uid="{00000000-0005-0000-0000-00000A010000}"/>
    <cellStyle name="_20061027Holux_CMS_Web_Design_Phase_Deliverables_0621_FP_DW_Impl_ProgramWorkBook_07-Jan-2011 3" xfId="357" xr:uid="{00000000-0005-0000-0000-00000B010000}"/>
    <cellStyle name="_20061027Holux_CMS_Web_Design_Phase_Deliverables_0621_FP_DW_Impl_ProgramWorkBook_07-Jan-2011 4" xfId="358" xr:uid="{00000000-0005-0000-0000-00000C010000}"/>
    <cellStyle name="_20061027Holux_CMS_Web_Design_Phase_Deliverables_0621_FP_DW_Impl_ProgramWorkBook_11-Feb-2011" xfId="359" xr:uid="{00000000-0005-0000-0000-00000D010000}"/>
    <cellStyle name="_20061027Holux_CMS_Web_Design_Phase_Deliverables_0621_FP_DW_Impl_ProgramWorkBook_11-Feb-2011 2" xfId="360" xr:uid="{00000000-0005-0000-0000-00000E010000}"/>
    <cellStyle name="_20061027Holux_CMS_Web_Design_Phase_Deliverables_0621_FP_DW_Impl_ProgramWorkBook_11-Feb-2011 3" xfId="361" xr:uid="{00000000-0005-0000-0000-00000F010000}"/>
    <cellStyle name="_20061027Holux_CMS_Web_Design_Phase_Deliverables_0621_FP_DW_Impl_ProgramWorkBook_18-Feb-2011 - Working" xfId="362" xr:uid="{00000000-0005-0000-0000-000010010000}"/>
    <cellStyle name="_20061027Holux_CMS_Web_Design_Phase_Deliverables_0621_FP_DW_Impl_ProgramWorkBook_18-Feb-2011 - Working 2" xfId="363" xr:uid="{00000000-0005-0000-0000-000011010000}"/>
    <cellStyle name="_20061027Holux_CMS_Web_Design_Phase_Deliverables_0621_FP_DW_Impl_ProgramWorkBook_18-Feb-2011 - Working 3" xfId="364" xr:uid="{00000000-0005-0000-0000-000012010000}"/>
    <cellStyle name="_20061027Holux_CMS_Web_Design_Phase_Deliverables_0621_FP_EnterprisePortal_ProgramWorkbook" xfId="365" xr:uid="{00000000-0005-0000-0000-000013010000}"/>
    <cellStyle name="_20061027Holux_CMS_Web_Design_Phase_Deliverables_0621_FP_EnterprisePortal_ProgramWorkbook 2" xfId="366" xr:uid="{00000000-0005-0000-0000-000014010000}"/>
    <cellStyle name="_20061027Holux_CMS_Web_Design_Phase_Deliverables_0621_FP_EnterprisePortal_ProgramWorkbook 3" xfId="367" xr:uid="{00000000-0005-0000-0000-000015010000}"/>
    <cellStyle name="_20061027Holux_CMS_Web_Design_Phase_Deliverables_0621_FP_SAP_MLP v2" xfId="368" xr:uid="{00000000-0005-0000-0000-000016010000}"/>
    <cellStyle name="_20061027Holux_CMS_Web_Design_Phase_Deliverables_0621_FP_SAP_MLP v2 2" xfId="369" xr:uid="{00000000-0005-0000-0000-000017010000}"/>
    <cellStyle name="_20061027Holux_CMS_Web_Design_Phase_Deliverables_0621_FP_SAP_MLP v2 3" xfId="370" xr:uid="{00000000-0005-0000-0000-000018010000}"/>
    <cellStyle name="_20061027Holux_CMS_Web_Design_Phase_Deliverables_0621_KeyDecisions" xfId="371" xr:uid="{00000000-0005-0000-0000-000019010000}"/>
    <cellStyle name="_20061027Holux_CMS_Web_Design_Phase_Deliverables_0621_KeyDecisions 2" xfId="372" xr:uid="{00000000-0005-0000-0000-00001A010000}"/>
    <cellStyle name="_20061027Holux_CMS_Web_Design_Phase_Deliverables_0621_KeyDecisions 3" xfId="373" xr:uid="{00000000-0005-0000-0000-00001B010000}"/>
    <cellStyle name="_20061027Holux_CMS_Web_Design_Phase_Deliverables_0621_Sophia_Imp_ProjectWorkBook_02_18_2011" xfId="374" xr:uid="{00000000-0005-0000-0000-00001C010000}"/>
    <cellStyle name="_20061027Holux_CMS_Web_Design_Phase_Deliverables_0621_Sophia_Imp_ProjectWorkBook_02_18_2011 2" xfId="375" xr:uid="{00000000-0005-0000-0000-00001D010000}"/>
    <cellStyle name="_20061027Holux_CMS_Web_Design_Phase_Deliverables_0621_Sophia_Imp_ProjectWorkBook_02_18_2011 3" xfId="376" xr:uid="{00000000-0005-0000-0000-00001E010000}"/>
    <cellStyle name="_20061027Holux_CMS_Web_Design_Phase_Deliverables_0621_t" xfId="377" xr:uid="{00000000-0005-0000-0000-00001F010000}"/>
    <cellStyle name="_20061027Holux_CMS_Web_Design_Phase_Deliverables_0621_t 2" xfId="378" xr:uid="{00000000-0005-0000-0000-000020010000}"/>
    <cellStyle name="_20061027Holux_CMS_Web_Design_Phase_Deliverables_0621_t 3" xfId="379" xr:uid="{00000000-0005-0000-0000-000021010000}"/>
    <cellStyle name="_20061027Holux_CMS_Web_Design_Phase_Deliverables_0625" xfId="380" xr:uid="{00000000-0005-0000-0000-000022010000}"/>
    <cellStyle name="_20061027Holux_CMS_Web_Design_Phase_Deliverables_0625 2" xfId="381" xr:uid="{00000000-0005-0000-0000-000023010000}"/>
    <cellStyle name="_20061027Holux_CMS_Web_Design_Phase_Deliverables_0625 2 2" xfId="382" xr:uid="{00000000-0005-0000-0000-000024010000}"/>
    <cellStyle name="_20061027Holux_CMS_Web_Design_Phase_Deliverables_0625 2 3" xfId="383" xr:uid="{00000000-0005-0000-0000-000025010000}"/>
    <cellStyle name="_20061027Holux_CMS_Web_Design_Phase_Deliverables_0625 3" xfId="384" xr:uid="{00000000-0005-0000-0000-000026010000}"/>
    <cellStyle name="_20061027Holux_CMS_Web_Design_Phase_Deliverables_0625 3 2" xfId="385" xr:uid="{00000000-0005-0000-0000-000027010000}"/>
    <cellStyle name="_20061027Holux_CMS_Web_Design_Phase_Deliverables_0625 3 3" xfId="386" xr:uid="{00000000-0005-0000-0000-000028010000}"/>
    <cellStyle name="_20061027Holux_CMS_Web_Design_Phase_Deliverables_0625 4" xfId="387" xr:uid="{00000000-0005-0000-0000-000029010000}"/>
    <cellStyle name="_20061027Holux_CMS_Web_Design_Phase_Deliverables_0625 5" xfId="388" xr:uid="{00000000-0005-0000-0000-00002A010000}"/>
    <cellStyle name="_20061027Holux_CMS_Web_Design_Phase_Deliverables_0625_Commissioning System Implementation_Project Workbook_06_10_2011" xfId="389" xr:uid="{00000000-0005-0000-0000-00002B010000}"/>
    <cellStyle name="_20061027Holux_CMS_Web_Design_Phase_Deliverables_0625_Commissioning System Implementation_Project Workbook_06_10_2011 2" xfId="390" xr:uid="{00000000-0005-0000-0000-00002C010000}"/>
    <cellStyle name="_20061027Holux_CMS_Web_Design_Phase_Deliverables_0625_Commissioning System Implementation_Project Workbook_06_10_2011 3" xfId="391" xr:uid="{00000000-0005-0000-0000-00002D010000}"/>
    <cellStyle name="_20061027Holux_CMS_Web_Design_Phase_Deliverables_0625_FairPoint_CampReport" xfId="392" xr:uid="{00000000-0005-0000-0000-00002E010000}"/>
    <cellStyle name="_20061027Holux_CMS_Web_Design_Phase_Deliverables_0625_FairPoint_CampReport 2" xfId="393" xr:uid="{00000000-0005-0000-0000-00002F010000}"/>
    <cellStyle name="_20061027Holux_CMS_Web_Design_Phase_Deliverables_0625_FairPoint_CampReport 3" xfId="394" xr:uid="{00000000-0005-0000-0000-000030010000}"/>
    <cellStyle name="_20061027Holux_CMS_Web_Design_Phase_Deliverables_0625_FairPoint_FP comTechOps_ProgramWorkbook" xfId="395" xr:uid="{00000000-0005-0000-0000-000031010000}"/>
    <cellStyle name="_20061027Holux_CMS_Web_Design_Phase_Deliverables_0625_FairPoint_FP comTechOps_ProgramWorkbook 2" xfId="396" xr:uid="{00000000-0005-0000-0000-000032010000}"/>
    <cellStyle name="_20061027Holux_CMS_Web_Design_Phase_Deliverables_0625_FairPoint_FP comTechOps_ProgramWorkbook 3" xfId="397" xr:uid="{00000000-0005-0000-0000-000033010000}"/>
    <cellStyle name="_20061027Holux_CMS_Web_Design_Phase_Deliverables_0625_FairPoint_FP comTechOps_ProgramWorkbook_sachin" xfId="398" xr:uid="{00000000-0005-0000-0000-000034010000}"/>
    <cellStyle name="_20061027Holux_CMS_Web_Design_Phase_Deliverables_0625_FairPoint_FP comTechOps_ProgramWorkbook_sachin 2" xfId="399" xr:uid="{00000000-0005-0000-0000-000035010000}"/>
    <cellStyle name="_20061027Holux_CMS_Web_Design_Phase_Deliverables_0625_FairPoint_FP comTechOps_ProgramWorkbook_sachin 3" xfId="400" xr:uid="{00000000-0005-0000-0000-000036010000}"/>
    <cellStyle name="_20061027Holux_CMS_Web_Design_Phase_Deliverables_0625_FairPoint_FP comTechOps_ProgramWorkbook_sachin_v1" xfId="401" xr:uid="{00000000-0005-0000-0000-000037010000}"/>
    <cellStyle name="_20061027Holux_CMS_Web_Design_Phase_Deliverables_0625_FairPoint_FP comTechOps_ProgramWorkbook_sachin_v1 2" xfId="402" xr:uid="{00000000-0005-0000-0000-000038010000}"/>
    <cellStyle name="_20061027Holux_CMS_Web_Design_Phase_Deliverables_0625_FairPoint_FP comTechOps_ProgramWorkbook_sachin_v1 3" xfId="403" xr:uid="{00000000-0005-0000-0000-000039010000}"/>
    <cellStyle name="_20061027Holux_CMS_Web_Design_Phase_Deliverables_0625_FP_CAMP&amp;ITReporting_Maintenance_Dashboard" xfId="404" xr:uid="{00000000-0005-0000-0000-00003A010000}"/>
    <cellStyle name="_20061027Holux_CMS_Web_Design_Phase_Deliverables_0625_FP_CAMP&amp;ITReporting_Maintenance_Dashboard 2" xfId="405" xr:uid="{00000000-0005-0000-0000-00003B010000}"/>
    <cellStyle name="_20061027Holux_CMS_Web_Design_Phase_Deliverables_0625_FP_CAMP&amp;ITReporting_Maintenance_Dashboard 3" xfId="406" xr:uid="{00000000-0005-0000-0000-00003C010000}"/>
    <cellStyle name="_20061027Holux_CMS_Web_Design_Phase_Deliverables_0625_FP_CAMPITReporting_Maintenance_Dashboard" xfId="407" xr:uid="{00000000-0005-0000-0000-00003D010000}"/>
    <cellStyle name="_20061027Holux_CMS_Web_Design_Phase_Deliverables_0625_FP_CAMPITReporting_Maintenance_Dashboard 2" xfId="408" xr:uid="{00000000-0005-0000-0000-00003E010000}"/>
    <cellStyle name="_20061027Holux_CMS_Web_Design_Phase_Deliverables_0625_FP_CAMPITReporting_Maintenance_Dashboard 3" xfId="409" xr:uid="{00000000-0005-0000-0000-00003F010000}"/>
    <cellStyle name="_20061027Holux_CMS_Web_Design_Phase_Deliverables_0625_FP_Commissions_Req_Dn_ProgramWorkBook_10-Dec-2010" xfId="410" xr:uid="{00000000-0005-0000-0000-000040010000}"/>
    <cellStyle name="_20061027Holux_CMS_Web_Design_Phase_Deliverables_0625_FP_Commissions_Req_Dn_ProgramWorkBook_10-Dec-2010 2" xfId="411" xr:uid="{00000000-0005-0000-0000-000041010000}"/>
    <cellStyle name="_20061027Holux_CMS_Web_Design_Phase_Deliverables_0625_FP_Commissions_Req_Dn_ProgramWorkBook_10-Dec-2010 3" xfId="412" xr:uid="{00000000-0005-0000-0000-000042010000}"/>
    <cellStyle name="_20061027Holux_CMS_Web_Design_Phase_Deliverables_0625_FP_DW_Impl_ProgramWorkBook_07-Jan-2011" xfId="413" xr:uid="{00000000-0005-0000-0000-000043010000}"/>
    <cellStyle name="_20061027Holux_CMS_Web_Design_Phase_Deliverables_0625_FP_DW_Impl_ProgramWorkBook_07-Jan-2011 2" xfId="414" xr:uid="{00000000-0005-0000-0000-000044010000}"/>
    <cellStyle name="_20061027Holux_CMS_Web_Design_Phase_Deliverables_0625_FP_DW_Impl_ProgramWorkBook_07-Jan-2011 2 2" xfId="415" xr:uid="{00000000-0005-0000-0000-000045010000}"/>
    <cellStyle name="_20061027Holux_CMS_Web_Design_Phase_Deliverables_0625_FP_DW_Impl_ProgramWorkBook_07-Jan-2011 2 3" xfId="416" xr:uid="{00000000-0005-0000-0000-000046010000}"/>
    <cellStyle name="_20061027Holux_CMS_Web_Design_Phase_Deliverables_0625_FP_DW_Impl_ProgramWorkBook_07-Jan-2011 3" xfId="417" xr:uid="{00000000-0005-0000-0000-000047010000}"/>
    <cellStyle name="_20061027Holux_CMS_Web_Design_Phase_Deliverables_0625_FP_DW_Impl_ProgramWorkBook_07-Jan-2011 4" xfId="418" xr:uid="{00000000-0005-0000-0000-000048010000}"/>
    <cellStyle name="_20061027Holux_CMS_Web_Design_Phase_Deliverables_0625_FP_DW_Impl_ProgramWorkBook_11-Feb-2011" xfId="419" xr:uid="{00000000-0005-0000-0000-000049010000}"/>
    <cellStyle name="_20061027Holux_CMS_Web_Design_Phase_Deliverables_0625_FP_DW_Impl_ProgramWorkBook_11-Feb-2011 2" xfId="420" xr:uid="{00000000-0005-0000-0000-00004A010000}"/>
    <cellStyle name="_20061027Holux_CMS_Web_Design_Phase_Deliverables_0625_FP_DW_Impl_ProgramWorkBook_11-Feb-2011 3" xfId="421" xr:uid="{00000000-0005-0000-0000-00004B010000}"/>
    <cellStyle name="_20061027Holux_CMS_Web_Design_Phase_Deliverables_0625_FP_DW_Impl_ProgramWorkBook_18-Feb-2011 - Working" xfId="422" xr:uid="{00000000-0005-0000-0000-00004C010000}"/>
    <cellStyle name="_20061027Holux_CMS_Web_Design_Phase_Deliverables_0625_FP_DW_Impl_ProgramWorkBook_18-Feb-2011 - Working 2" xfId="423" xr:uid="{00000000-0005-0000-0000-00004D010000}"/>
    <cellStyle name="_20061027Holux_CMS_Web_Design_Phase_Deliverables_0625_FP_DW_Impl_ProgramWorkBook_18-Feb-2011 - Working 3" xfId="424" xr:uid="{00000000-0005-0000-0000-00004E010000}"/>
    <cellStyle name="_20061027Holux_CMS_Web_Design_Phase_Deliverables_0625_FP_EnterprisePortal_ProgramWorkbook" xfId="425" xr:uid="{00000000-0005-0000-0000-00004F010000}"/>
    <cellStyle name="_20061027Holux_CMS_Web_Design_Phase_Deliverables_0625_FP_EnterprisePortal_ProgramWorkbook 2" xfId="426" xr:uid="{00000000-0005-0000-0000-000050010000}"/>
    <cellStyle name="_20061027Holux_CMS_Web_Design_Phase_Deliverables_0625_FP_EnterprisePortal_ProgramWorkbook 3" xfId="427" xr:uid="{00000000-0005-0000-0000-000051010000}"/>
    <cellStyle name="_20061027Holux_CMS_Web_Design_Phase_Deliverables_0625_FP_SAP_MLP v2" xfId="428" xr:uid="{00000000-0005-0000-0000-000052010000}"/>
    <cellStyle name="_20061027Holux_CMS_Web_Design_Phase_Deliverables_0625_FP_SAP_MLP v2 2" xfId="429" xr:uid="{00000000-0005-0000-0000-000053010000}"/>
    <cellStyle name="_20061027Holux_CMS_Web_Design_Phase_Deliverables_0625_FP_SAP_MLP v2 3" xfId="430" xr:uid="{00000000-0005-0000-0000-000054010000}"/>
    <cellStyle name="_20061027Holux_CMS_Web_Design_Phase_Deliverables_0625_KeyDecisions" xfId="431" xr:uid="{00000000-0005-0000-0000-000055010000}"/>
    <cellStyle name="_20061027Holux_CMS_Web_Design_Phase_Deliverables_0625_KeyDecisions 2" xfId="432" xr:uid="{00000000-0005-0000-0000-000056010000}"/>
    <cellStyle name="_20061027Holux_CMS_Web_Design_Phase_Deliverables_0625_KeyDecisions 3" xfId="433" xr:uid="{00000000-0005-0000-0000-000057010000}"/>
    <cellStyle name="_20061027Holux_CMS_Web_Design_Phase_Deliverables_0625_Sophia_Imp_ProjectWorkBook_02_18_2011" xfId="434" xr:uid="{00000000-0005-0000-0000-000058010000}"/>
    <cellStyle name="_20061027Holux_CMS_Web_Design_Phase_Deliverables_0625_Sophia_Imp_ProjectWorkBook_02_18_2011 2" xfId="435" xr:uid="{00000000-0005-0000-0000-000059010000}"/>
    <cellStyle name="_20061027Holux_CMS_Web_Design_Phase_Deliverables_0625_Sophia_Imp_ProjectWorkBook_02_18_2011 3" xfId="436" xr:uid="{00000000-0005-0000-0000-00005A010000}"/>
    <cellStyle name="_20061027Holux_CMS_Web_Design_Phase_Deliverables_0625_t" xfId="437" xr:uid="{00000000-0005-0000-0000-00005B010000}"/>
    <cellStyle name="_20061027Holux_CMS_Web_Design_Phase_Deliverables_0625_t 2" xfId="438" xr:uid="{00000000-0005-0000-0000-00005C010000}"/>
    <cellStyle name="_20061027Holux_CMS_Web_Design_Phase_Deliverables_0625_t 3" xfId="439" xr:uid="{00000000-0005-0000-0000-00005D010000}"/>
    <cellStyle name="_20061027Holux_CMS_Web_Design_Phase_Deliverables_MLP_0627" xfId="440" xr:uid="{00000000-0005-0000-0000-00005E010000}"/>
    <cellStyle name="_20061027Holux_CMS_Web_Design_Phase_Deliverables_MLP_0627 2" xfId="441" xr:uid="{00000000-0005-0000-0000-00005F010000}"/>
    <cellStyle name="_20061027Holux_CMS_Web_Design_Phase_Deliverables_MLP_0627 2 2" xfId="442" xr:uid="{00000000-0005-0000-0000-000060010000}"/>
    <cellStyle name="_20061027Holux_CMS_Web_Design_Phase_Deliverables_MLP_0627 2 3" xfId="443" xr:uid="{00000000-0005-0000-0000-000061010000}"/>
    <cellStyle name="_20061027Holux_CMS_Web_Design_Phase_Deliverables_MLP_0627 3" xfId="444" xr:uid="{00000000-0005-0000-0000-000062010000}"/>
    <cellStyle name="_20061027Holux_CMS_Web_Design_Phase_Deliverables_MLP_0627 3 2" xfId="445" xr:uid="{00000000-0005-0000-0000-000063010000}"/>
    <cellStyle name="_20061027Holux_CMS_Web_Design_Phase_Deliverables_MLP_0627 3 3" xfId="446" xr:uid="{00000000-0005-0000-0000-000064010000}"/>
    <cellStyle name="_20061027Holux_CMS_Web_Design_Phase_Deliverables_MLP_0627 4" xfId="447" xr:uid="{00000000-0005-0000-0000-000065010000}"/>
    <cellStyle name="_20061027Holux_CMS_Web_Design_Phase_Deliverables_MLP_0627 5" xfId="448" xr:uid="{00000000-0005-0000-0000-000066010000}"/>
    <cellStyle name="_20061027Holux_CMS_Web_Design_Phase_Deliverables_MLP_0627_Commissioning System Implementation_Project Workbook_06_10_2011" xfId="449" xr:uid="{00000000-0005-0000-0000-000067010000}"/>
    <cellStyle name="_20061027Holux_CMS_Web_Design_Phase_Deliverables_MLP_0627_Commissioning System Implementation_Project Workbook_06_10_2011 2" xfId="450" xr:uid="{00000000-0005-0000-0000-000068010000}"/>
    <cellStyle name="_20061027Holux_CMS_Web_Design_Phase_Deliverables_MLP_0627_Commissioning System Implementation_Project Workbook_06_10_2011 3" xfId="451" xr:uid="{00000000-0005-0000-0000-000069010000}"/>
    <cellStyle name="_20061027Holux_CMS_Web_Design_Phase_Deliverables_MLP_0627_FairPoint_CampReport" xfId="452" xr:uid="{00000000-0005-0000-0000-00006A010000}"/>
    <cellStyle name="_20061027Holux_CMS_Web_Design_Phase_Deliverables_MLP_0627_FairPoint_CampReport 2" xfId="453" xr:uid="{00000000-0005-0000-0000-00006B010000}"/>
    <cellStyle name="_20061027Holux_CMS_Web_Design_Phase_Deliverables_MLP_0627_FairPoint_CampReport 3" xfId="454" xr:uid="{00000000-0005-0000-0000-00006C010000}"/>
    <cellStyle name="_20061027Holux_CMS_Web_Design_Phase_Deliverables_MLP_0627_FairPoint_FP comTechOps_ProgramWorkbook" xfId="455" xr:uid="{00000000-0005-0000-0000-00006D010000}"/>
    <cellStyle name="_20061027Holux_CMS_Web_Design_Phase_Deliverables_MLP_0627_FairPoint_FP comTechOps_ProgramWorkbook 2" xfId="456" xr:uid="{00000000-0005-0000-0000-00006E010000}"/>
    <cellStyle name="_20061027Holux_CMS_Web_Design_Phase_Deliverables_MLP_0627_FairPoint_FP comTechOps_ProgramWorkbook 3" xfId="457" xr:uid="{00000000-0005-0000-0000-00006F010000}"/>
    <cellStyle name="_20061027Holux_CMS_Web_Design_Phase_Deliverables_MLP_0627_FairPoint_FP comTechOps_ProgramWorkbook_sachin" xfId="458" xr:uid="{00000000-0005-0000-0000-000070010000}"/>
    <cellStyle name="_20061027Holux_CMS_Web_Design_Phase_Deliverables_MLP_0627_FairPoint_FP comTechOps_ProgramWorkbook_sachin 2" xfId="459" xr:uid="{00000000-0005-0000-0000-000071010000}"/>
    <cellStyle name="_20061027Holux_CMS_Web_Design_Phase_Deliverables_MLP_0627_FairPoint_FP comTechOps_ProgramWorkbook_sachin 3" xfId="460" xr:uid="{00000000-0005-0000-0000-000072010000}"/>
    <cellStyle name="_20061027Holux_CMS_Web_Design_Phase_Deliverables_MLP_0627_FairPoint_FP comTechOps_ProgramWorkbook_sachin_v1" xfId="461" xr:uid="{00000000-0005-0000-0000-000073010000}"/>
    <cellStyle name="_20061027Holux_CMS_Web_Design_Phase_Deliverables_MLP_0627_FairPoint_FP comTechOps_ProgramWorkbook_sachin_v1 2" xfId="462" xr:uid="{00000000-0005-0000-0000-000074010000}"/>
    <cellStyle name="_20061027Holux_CMS_Web_Design_Phase_Deliverables_MLP_0627_FairPoint_FP comTechOps_ProgramWorkbook_sachin_v1 3" xfId="463" xr:uid="{00000000-0005-0000-0000-000075010000}"/>
    <cellStyle name="_20061027Holux_CMS_Web_Design_Phase_Deliverables_MLP_0627_FP_CAMP&amp;ITReporting_Maintenance_Dashboard" xfId="464" xr:uid="{00000000-0005-0000-0000-000076010000}"/>
    <cellStyle name="_20061027Holux_CMS_Web_Design_Phase_Deliverables_MLP_0627_FP_CAMP&amp;ITReporting_Maintenance_Dashboard 2" xfId="465" xr:uid="{00000000-0005-0000-0000-000077010000}"/>
    <cellStyle name="_20061027Holux_CMS_Web_Design_Phase_Deliverables_MLP_0627_FP_CAMP&amp;ITReporting_Maintenance_Dashboard 3" xfId="466" xr:uid="{00000000-0005-0000-0000-000078010000}"/>
    <cellStyle name="_20061027Holux_CMS_Web_Design_Phase_Deliverables_MLP_0627_FP_CAMPITReporting_Maintenance_Dashboard" xfId="467" xr:uid="{00000000-0005-0000-0000-000079010000}"/>
    <cellStyle name="_20061027Holux_CMS_Web_Design_Phase_Deliverables_MLP_0627_FP_CAMPITReporting_Maintenance_Dashboard 2" xfId="468" xr:uid="{00000000-0005-0000-0000-00007A010000}"/>
    <cellStyle name="_20061027Holux_CMS_Web_Design_Phase_Deliverables_MLP_0627_FP_CAMPITReporting_Maintenance_Dashboard 3" xfId="469" xr:uid="{00000000-0005-0000-0000-00007B010000}"/>
    <cellStyle name="_20061027Holux_CMS_Web_Design_Phase_Deliverables_MLP_0627_FP_Commissions_Req_Dn_ProgramWorkBook_10-Dec-2010" xfId="470" xr:uid="{00000000-0005-0000-0000-00007C010000}"/>
    <cellStyle name="_20061027Holux_CMS_Web_Design_Phase_Deliverables_MLP_0627_FP_Commissions_Req_Dn_ProgramWorkBook_10-Dec-2010 2" xfId="471" xr:uid="{00000000-0005-0000-0000-00007D010000}"/>
    <cellStyle name="_20061027Holux_CMS_Web_Design_Phase_Deliverables_MLP_0627_FP_Commissions_Req_Dn_ProgramWorkBook_10-Dec-2010 3" xfId="472" xr:uid="{00000000-0005-0000-0000-00007E010000}"/>
    <cellStyle name="_20061027Holux_CMS_Web_Design_Phase_Deliverables_MLP_0627_FP_DW_Impl_ProgramWorkBook_07-Jan-2011" xfId="473" xr:uid="{00000000-0005-0000-0000-00007F010000}"/>
    <cellStyle name="_20061027Holux_CMS_Web_Design_Phase_Deliverables_MLP_0627_FP_DW_Impl_ProgramWorkBook_07-Jan-2011 2" xfId="474" xr:uid="{00000000-0005-0000-0000-000080010000}"/>
    <cellStyle name="_20061027Holux_CMS_Web_Design_Phase_Deliverables_MLP_0627_FP_DW_Impl_ProgramWorkBook_07-Jan-2011 2 2" xfId="475" xr:uid="{00000000-0005-0000-0000-000081010000}"/>
    <cellStyle name="_20061027Holux_CMS_Web_Design_Phase_Deliverables_MLP_0627_FP_DW_Impl_ProgramWorkBook_07-Jan-2011 2 3" xfId="476" xr:uid="{00000000-0005-0000-0000-000082010000}"/>
    <cellStyle name="_20061027Holux_CMS_Web_Design_Phase_Deliverables_MLP_0627_FP_DW_Impl_ProgramWorkBook_07-Jan-2011 3" xfId="477" xr:uid="{00000000-0005-0000-0000-000083010000}"/>
    <cellStyle name="_20061027Holux_CMS_Web_Design_Phase_Deliverables_MLP_0627_FP_DW_Impl_ProgramWorkBook_07-Jan-2011 4" xfId="478" xr:uid="{00000000-0005-0000-0000-000084010000}"/>
    <cellStyle name="_20061027Holux_CMS_Web_Design_Phase_Deliverables_MLP_0627_FP_DW_Impl_ProgramWorkBook_11-Feb-2011" xfId="479" xr:uid="{00000000-0005-0000-0000-000085010000}"/>
    <cellStyle name="_20061027Holux_CMS_Web_Design_Phase_Deliverables_MLP_0627_FP_DW_Impl_ProgramWorkBook_11-Feb-2011 2" xfId="480" xr:uid="{00000000-0005-0000-0000-000086010000}"/>
    <cellStyle name="_20061027Holux_CMS_Web_Design_Phase_Deliverables_MLP_0627_FP_DW_Impl_ProgramWorkBook_11-Feb-2011 3" xfId="481" xr:uid="{00000000-0005-0000-0000-000087010000}"/>
    <cellStyle name="_20061027Holux_CMS_Web_Design_Phase_Deliverables_MLP_0627_FP_DW_Impl_ProgramWorkBook_18-Feb-2011 - Working" xfId="482" xr:uid="{00000000-0005-0000-0000-000088010000}"/>
    <cellStyle name="_20061027Holux_CMS_Web_Design_Phase_Deliverables_MLP_0627_FP_DW_Impl_ProgramWorkBook_18-Feb-2011 - Working 2" xfId="483" xr:uid="{00000000-0005-0000-0000-000089010000}"/>
    <cellStyle name="_20061027Holux_CMS_Web_Design_Phase_Deliverables_MLP_0627_FP_DW_Impl_ProgramWorkBook_18-Feb-2011 - Working 3" xfId="484" xr:uid="{00000000-0005-0000-0000-00008A010000}"/>
    <cellStyle name="_20061027Holux_CMS_Web_Design_Phase_Deliverables_MLP_0627_FP_EnterprisePortal_ProgramWorkbook" xfId="485" xr:uid="{00000000-0005-0000-0000-00008B010000}"/>
    <cellStyle name="_20061027Holux_CMS_Web_Design_Phase_Deliverables_MLP_0627_FP_EnterprisePortal_ProgramWorkbook 2" xfId="486" xr:uid="{00000000-0005-0000-0000-00008C010000}"/>
    <cellStyle name="_20061027Holux_CMS_Web_Design_Phase_Deliverables_MLP_0627_FP_EnterprisePortal_ProgramWorkbook 3" xfId="487" xr:uid="{00000000-0005-0000-0000-00008D010000}"/>
    <cellStyle name="_20061027Holux_CMS_Web_Design_Phase_Deliverables_MLP_0627_FP_SAP_MLP v2" xfId="488" xr:uid="{00000000-0005-0000-0000-00008E010000}"/>
    <cellStyle name="_20061027Holux_CMS_Web_Design_Phase_Deliverables_MLP_0627_FP_SAP_MLP v2 2" xfId="489" xr:uid="{00000000-0005-0000-0000-00008F010000}"/>
    <cellStyle name="_20061027Holux_CMS_Web_Design_Phase_Deliverables_MLP_0627_FP_SAP_MLP v2 3" xfId="490" xr:uid="{00000000-0005-0000-0000-000090010000}"/>
    <cellStyle name="_20061027Holux_CMS_Web_Design_Phase_Deliverables_MLP_0627_KeyDecisions" xfId="491" xr:uid="{00000000-0005-0000-0000-000091010000}"/>
    <cellStyle name="_20061027Holux_CMS_Web_Design_Phase_Deliverables_MLP_0627_KeyDecisions 2" xfId="492" xr:uid="{00000000-0005-0000-0000-000092010000}"/>
    <cellStyle name="_20061027Holux_CMS_Web_Design_Phase_Deliverables_MLP_0627_KeyDecisions 3" xfId="493" xr:uid="{00000000-0005-0000-0000-000093010000}"/>
    <cellStyle name="_20061027Holux_CMS_Web_Design_Phase_Deliverables_MLP_0627_Sophia_Imp_ProjectWorkBook_02_18_2011" xfId="494" xr:uid="{00000000-0005-0000-0000-000094010000}"/>
    <cellStyle name="_20061027Holux_CMS_Web_Design_Phase_Deliverables_MLP_0627_Sophia_Imp_ProjectWorkBook_02_18_2011 2" xfId="495" xr:uid="{00000000-0005-0000-0000-000095010000}"/>
    <cellStyle name="_20061027Holux_CMS_Web_Design_Phase_Deliverables_MLP_0627_Sophia_Imp_ProjectWorkBook_02_18_2011 3" xfId="496" xr:uid="{00000000-0005-0000-0000-000096010000}"/>
    <cellStyle name="_20061027Holux_CMS_Web_Design_Phase_Deliverables_MLP_0627_t" xfId="497" xr:uid="{00000000-0005-0000-0000-000097010000}"/>
    <cellStyle name="_20061027Holux_CMS_Web_Design_Phase_Deliverables_MLP_0627_t 2" xfId="498" xr:uid="{00000000-0005-0000-0000-000098010000}"/>
    <cellStyle name="_20061027Holux_CMS_Web_Design_Phase_Deliverables_MLP_0627_t 3" xfId="499" xr:uid="{00000000-0005-0000-0000-000099010000}"/>
    <cellStyle name="_20061027Holux_CMS_Web_Design_Phase_Deliverables_MLP_LLP_7-12-2010_Combined" xfId="500" xr:uid="{00000000-0005-0000-0000-00009A010000}"/>
    <cellStyle name="_20061027Holux_CMS_Web_Design_Phase_Deliverables_MLP_LLP_7-12-2010_Combined 2" xfId="501" xr:uid="{00000000-0005-0000-0000-00009B010000}"/>
    <cellStyle name="_20061027Holux_CMS_Web_Design_Phase_Deliverables_MLP_LLP_7-12-2010_Combined 2 2" xfId="502" xr:uid="{00000000-0005-0000-0000-00009C010000}"/>
    <cellStyle name="_20061027Holux_CMS_Web_Design_Phase_Deliverables_MLP_LLP_7-12-2010_Combined 2 3" xfId="503" xr:uid="{00000000-0005-0000-0000-00009D010000}"/>
    <cellStyle name="_20061027Holux_CMS_Web_Design_Phase_Deliverables_MLP_LLP_7-12-2010_Combined 3" xfId="504" xr:uid="{00000000-0005-0000-0000-00009E010000}"/>
    <cellStyle name="_20061027Holux_CMS_Web_Design_Phase_Deliverables_MLP_LLP_7-12-2010_Combined 3 2" xfId="505" xr:uid="{00000000-0005-0000-0000-00009F010000}"/>
    <cellStyle name="_20061027Holux_CMS_Web_Design_Phase_Deliverables_MLP_LLP_7-12-2010_Combined 3 3" xfId="506" xr:uid="{00000000-0005-0000-0000-0000A0010000}"/>
    <cellStyle name="_20061027Holux_CMS_Web_Design_Phase_Deliverables_MLP_LLP_7-12-2010_Combined 4" xfId="507" xr:uid="{00000000-0005-0000-0000-0000A1010000}"/>
    <cellStyle name="_20061027Holux_CMS_Web_Design_Phase_Deliverables_MLP_LLP_7-12-2010_Combined 5" xfId="508" xr:uid="{00000000-0005-0000-0000-0000A2010000}"/>
    <cellStyle name="_20061027Holux_CMS_Web_Design_Phase_Deliverables_MLP_LLP_7-12-2010_Combined_Commissioning System Implementation_Project Workbook_06_10_2011" xfId="509" xr:uid="{00000000-0005-0000-0000-0000A3010000}"/>
    <cellStyle name="_20061027Holux_CMS_Web_Design_Phase_Deliverables_MLP_LLP_7-12-2010_Combined_Commissioning System Implementation_Project Workbook_06_10_2011 2" xfId="510" xr:uid="{00000000-0005-0000-0000-0000A4010000}"/>
    <cellStyle name="_20061027Holux_CMS_Web_Design_Phase_Deliverables_MLP_LLP_7-12-2010_Combined_Commissioning System Implementation_Project Workbook_06_10_2011 3" xfId="511" xr:uid="{00000000-0005-0000-0000-0000A5010000}"/>
    <cellStyle name="_20061027Holux_CMS_Web_Design_Phase_Deliverables_MLP_LLP_7-12-2010_Combined_FairPoint_CampReport" xfId="512" xr:uid="{00000000-0005-0000-0000-0000A6010000}"/>
    <cellStyle name="_20061027Holux_CMS_Web_Design_Phase_Deliverables_MLP_LLP_7-12-2010_Combined_FairPoint_CampReport 2" xfId="513" xr:uid="{00000000-0005-0000-0000-0000A7010000}"/>
    <cellStyle name="_20061027Holux_CMS_Web_Design_Phase_Deliverables_MLP_LLP_7-12-2010_Combined_FairPoint_CampReport 3" xfId="514" xr:uid="{00000000-0005-0000-0000-0000A8010000}"/>
    <cellStyle name="_20061027Holux_CMS_Web_Design_Phase_Deliverables_MLP_LLP_7-12-2010_Combined_FairPoint_FP comTechOps_ProgramWorkbook" xfId="515" xr:uid="{00000000-0005-0000-0000-0000A9010000}"/>
    <cellStyle name="_20061027Holux_CMS_Web_Design_Phase_Deliverables_MLP_LLP_7-12-2010_Combined_FairPoint_FP comTechOps_ProgramWorkbook 2" xfId="516" xr:uid="{00000000-0005-0000-0000-0000AA010000}"/>
    <cellStyle name="_20061027Holux_CMS_Web_Design_Phase_Deliverables_MLP_LLP_7-12-2010_Combined_FairPoint_FP comTechOps_ProgramWorkbook 3" xfId="517" xr:uid="{00000000-0005-0000-0000-0000AB010000}"/>
    <cellStyle name="_20061027Holux_CMS_Web_Design_Phase_Deliverables_MLP_LLP_7-12-2010_Combined_FairPoint_FP comTechOps_ProgramWorkbook_sachin" xfId="518" xr:uid="{00000000-0005-0000-0000-0000AC010000}"/>
    <cellStyle name="_20061027Holux_CMS_Web_Design_Phase_Deliverables_MLP_LLP_7-12-2010_Combined_FairPoint_FP comTechOps_ProgramWorkbook_sachin 2" xfId="519" xr:uid="{00000000-0005-0000-0000-0000AD010000}"/>
    <cellStyle name="_20061027Holux_CMS_Web_Design_Phase_Deliverables_MLP_LLP_7-12-2010_Combined_FairPoint_FP comTechOps_ProgramWorkbook_sachin 3" xfId="520" xr:uid="{00000000-0005-0000-0000-0000AE010000}"/>
    <cellStyle name="_20061027Holux_CMS_Web_Design_Phase_Deliverables_MLP_LLP_7-12-2010_Combined_FairPoint_FP comTechOps_ProgramWorkbook_sachin_v1" xfId="521" xr:uid="{00000000-0005-0000-0000-0000AF010000}"/>
    <cellStyle name="_20061027Holux_CMS_Web_Design_Phase_Deliverables_MLP_LLP_7-12-2010_Combined_FairPoint_FP comTechOps_ProgramWorkbook_sachin_v1 2" xfId="522" xr:uid="{00000000-0005-0000-0000-0000B0010000}"/>
    <cellStyle name="_20061027Holux_CMS_Web_Design_Phase_Deliverables_MLP_LLP_7-12-2010_Combined_FairPoint_FP comTechOps_ProgramWorkbook_sachin_v1 3" xfId="523" xr:uid="{00000000-0005-0000-0000-0000B1010000}"/>
    <cellStyle name="_20061027Holux_CMS_Web_Design_Phase_Deliverables_MLP_LLP_7-12-2010_Combined_FP_CAMP&amp;ITReporting_Maintenance_Dashboard" xfId="524" xr:uid="{00000000-0005-0000-0000-0000B2010000}"/>
    <cellStyle name="_20061027Holux_CMS_Web_Design_Phase_Deliverables_MLP_LLP_7-12-2010_Combined_FP_CAMP&amp;ITReporting_Maintenance_Dashboard 2" xfId="525" xr:uid="{00000000-0005-0000-0000-0000B3010000}"/>
    <cellStyle name="_20061027Holux_CMS_Web_Design_Phase_Deliverables_MLP_LLP_7-12-2010_Combined_FP_CAMP&amp;ITReporting_Maintenance_Dashboard 3" xfId="526" xr:uid="{00000000-0005-0000-0000-0000B4010000}"/>
    <cellStyle name="_20061027Holux_CMS_Web_Design_Phase_Deliverables_MLP_LLP_7-12-2010_Combined_FP_CAMPITReporting_Maintenance_Dashboard" xfId="527" xr:uid="{00000000-0005-0000-0000-0000B5010000}"/>
    <cellStyle name="_20061027Holux_CMS_Web_Design_Phase_Deliverables_MLP_LLP_7-12-2010_Combined_FP_CAMPITReporting_Maintenance_Dashboard 2" xfId="528" xr:uid="{00000000-0005-0000-0000-0000B6010000}"/>
    <cellStyle name="_20061027Holux_CMS_Web_Design_Phase_Deliverables_MLP_LLP_7-12-2010_Combined_FP_CAMPITReporting_Maintenance_Dashboard 3" xfId="529" xr:uid="{00000000-0005-0000-0000-0000B7010000}"/>
    <cellStyle name="_20061027Holux_CMS_Web_Design_Phase_Deliverables_MLP_LLP_7-12-2010_Combined_FP_Commissions_Req_Dn_ProgramWorkBook_10-Dec-2010" xfId="530" xr:uid="{00000000-0005-0000-0000-0000B8010000}"/>
    <cellStyle name="_20061027Holux_CMS_Web_Design_Phase_Deliverables_MLP_LLP_7-12-2010_Combined_FP_Commissions_Req_Dn_ProgramWorkBook_10-Dec-2010 2" xfId="531" xr:uid="{00000000-0005-0000-0000-0000B9010000}"/>
    <cellStyle name="_20061027Holux_CMS_Web_Design_Phase_Deliverables_MLP_LLP_7-12-2010_Combined_FP_Commissions_Req_Dn_ProgramWorkBook_10-Dec-2010 3" xfId="532" xr:uid="{00000000-0005-0000-0000-0000BA010000}"/>
    <cellStyle name="_20061027Holux_CMS_Web_Design_Phase_Deliverables_MLP_LLP_7-12-2010_Combined_FP_DW_Impl_ProgramWorkBook_07-Jan-2011" xfId="533" xr:uid="{00000000-0005-0000-0000-0000BB010000}"/>
    <cellStyle name="_20061027Holux_CMS_Web_Design_Phase_Deliverables_MLP_LLP_7-12-2010_Combined_FP_DW_Impl_ProgramWorkBook_07-Jan-2011 2" xfId="534" xr:uid="{00000000-0005-0000-0000-0000BC010000}"/>
    <cellStyle name="_20061027Holux_CMS_Web_Design_Phase_Deliverables_MLP_LLP_7-12-2010_Combined_FP_DW_Impl_ProgramWorkBook_07-Jan-2011 2 2" xfId="535" xr:uid="{00000000-0005-0000-0000-0000BD010000}"/>
    <cellStyle name="_20061027Holux_CMS_Web_Design_Phase_Deliverables_MLP_LLP_7-12-2010_Combined_FP_DW_Impl_ProgramWorkBook_07-Jan-2011 2 3" xfId="536" xr:uid="{00000000-0005-0000-0000-0000BE010000}"/>
    <cellStyle name="_20061027Holux_CMS_Web_Design_Phase_Deliverables_MLP_LLP_7-12-2010_Combined_FP_DW_Impl_ProgramWorkBook_07-Jan-2011 3" xfId="537" xr:uid="{00000000-0005-0000-0000-0000BF010000}"/>
    <cellStyle name="_20061027Holux_CMS_Web_Design_Phase_Deliverables_MLP_LLP_7-12-2010_Combined_FP_DW_Impl_ProgramWorkBook_07-Jan-2011 4" xfId="538" xr:uid="{00000000-0005-0000-0000-0000C0010000}"/>
    <cellStyle name="_20061027Holux_CMS_Web_Design_Phase_Deliverables_MLP_LLP_7-12-2010_Combined_FP_DW_Impl_ProgramWorkBook_11-Feb-2011" xfId="539" xr:uid="{00000000-0005-0000-0000-0000C1010000}"/>
    <cellStyle name="_20061027Holux_CMS_Web_Design_Phase_Deliverables_MLP_LLP_7-12-2010_Combined_FP_DW_Impl_ProgramWorkBook_11-Feb-2011 2" xfId="540" xr:uid="{00000000-0005-0000-0000-0000C2010000}"/>
    <cellStyle name="_20061027Holux_CMS_Web_Design_Phase_Deliverables_MLP_LLP_7-12-2010_Combined_FP_DW_Impl_ProgramWorkBook_11-Feb-2011 3" xfId="541" xr:uid="{00000000-0005-0000-0000-0000C3010000}"/>
    <cellStyle name="_20061027Holux_CMS_Web_Design_Phase_Deliverables_MLP_LLP_7-12-2010_Combined_FP_DW_Impl_ProgramWorkBook_18-Feb-2011 - Working" xfId="542" xr:uid="{00000000-0005-0000-0000-0000C4010000}"/>
    <cellStyle name="_20061027Holux_CMS_Web_Design_Phase_Deliverables_MLP_LLP_7-12-2010_Combined_FP_DW_Impl_ProgramWorkBook_18-Feb-2011 - Working 2" xfId="543" xr:uid="{00000000-0005-0000-0000-0000C5010000}"/>
    <cellStyle name="_20061027Holux_CMS_Web_Design_Phase_Deliverables_MLP_LLP_7-12-2010_Combined_FP_DW_Impl_ProgramWorkBook_18-Feb-2011 - Working 3" xfId="544" xr:uid="{00000000-0005-0000-0000-0000C6010000}"/>
    <cellStyle name="_20061027Holux_CMS_Web_Design_Phase_Deliverables_MLP_LLP_7-12-2010_Combined_FP_EnterprisePortal_ProgramWorkbook" xfId="545" xr:uid="{00000000-0005-0000-0000-0000C7010000}"/>
    <cellStyle name="_20061027Holux_CMS_Web_Design_Phase_Deliverables_MLP_LLP_7-12-2010_Combined_FP_EnterprisePortal_ProgramWorkbook 2" xfId="546" xr:uid="{00000000-0005-0000-0000-0000C8010000}"/>
    <cellStyle name="_20061027Holux_CMS_Web_Design_Phase_Deliverables_MLP_LLP_7-12-2010_Combined_FP_EnterprisePortal_ProgramWorkbook 3" xfId="547" xr:uid="{00000000-0005-0000-0000-0000C9010000}"/>
    <cellStyle name="_20061027Holux_CMS_Web_Design_Phase_Deliverables_MLP_LLP_7-12-2010_Combined_FP_SAP_MLP v2" xfId="548" xr:uid="{00000000-0005-0000-0000-0000CA010000}"/>
    <cellStyle name="_20061027Holux_CMS_Web_Design_Phase_Deliverables_MLP_LLP_7-12-2010_Combined_FP_SAP_MLP v2 2" xfId="549" xr:uid="{00000000-0005-0000-0000-0000CB010000}"/>
    <cellStyle name="_20061027Holux_CMS_Web_Design_Phase_Deliverables_MLP_LLP_7-12-2010_Combined_FP_SAP_MLP v2 3" xfId="550" xr:uid="{00000000-0005-0000-0000-0000CC010000}"/>
    <cellStyle name="_20061027Holux_CMS_Web_Design_Phase_Deliverables_MLP_LLP_7-12-2010_Combined_KeyDecisions" xfId="551" xr:uid="{00000000-0005-0000-0000-0000CD010000}"/>
    <cellStyle name="_20061027Holux_CMS_Web_Design_Phase_Deliverables_MLP_LLP_7-12-2010_Combined_KeyDecisions 2" xfId="552" xr:uid="{00000000-0005-0000-0000-0000CE010000}"/>
    <cellStyle name="_20061027Holux_CMS_Web_Design_Phase_Deliverables_MLP_LLP_7-12-2010_Combined_KeyDecisions 3" xfId="553" xr:uid="{00000000-0005-0000-0000-0000CF010000}"/>
    <cellStyle name="_20061027Holux_CMS_Web_Design_Phase_Deliverables_MLP_LLP_7-12-2010_Combined_Sophia_Imp_ProjectWorkBook_02_18_2011" xfId="554" xr:uid="{00000000-0005-0000-0000-0000D0010000}"/>
    <cellStyle name="_20061027Holux_CMS_Web_Design_Phase_Deliverables_MLP_LLP_7-12-2010_Combined_Sophia_Imp_ProjectWorkBook_02_18_2011 2" xfId="555" xr:uid="{00000000-0005-0000-0000-0000D1010000}"/>
    <cellStyle name="_20061027Holux_CMS_Web_Design_Phase_Deliverables_MLP_LLP_7-12-2010_Combined_Sophia_Imp_ProjectWorkBook_02_18_2011 3" xfId="556" xr:uid="{00000000-0005-0000-0000-0000D2010000}"/>
    <cellStyle name="_20061027Holux_CMS_Web_Design_Phase_Deliverables_MLP_LLP_7-12-2010_Combined_t" xfId="557" xr:uid="{00000000-0005-0000-0000-0000D3010000}"/>
    <cellStyle name="_20061027Holux_CMS_Web_Design_Phase_Deliverables_MLP_LLP_7-12-2010_Combined_t 2" xfId="558" xr:uid="{00000000-0005-0000-0000-0000D4010000}"/>
    <cellStyle name="_20061027Holux_CMS_Web_Design_Phase_Deliverables_MLP_LLP_7-12-2010_Combined_t 3" xfId="559" xr:uid="{00000000-0005-0000-0000-0000D5010000}"/>
    <cellStyle name="_20061027Holux_CMS_Web_Design_Phase_Deliverables_MLP_LLP_7-14-2010_Combined" xfId="560" xr:uid="{00000000-0005-0000-0000-0000D6010000}"/>
    <cellStyle name="_20061027Holux_CMS_Web_Design_Phase_Deliverables_MLP_LLP_7-14-2010_Combined 2" xfId="561" xr:uid="{00000000-0005-0000-0000-0000D7010000}"/>
    <cellStyle name="_20061027Holux_CMS_Web_Design_Phase_Deliverables_MLP_LLP_7-14-2010_Combined 2 2" xfId="562" xr:uid="{00000000-0005-0000-0000-0000D8010000}"/>
    <cellStyle name="_20061027Holux_CMS_Web_Design_Phase_Deliverables_MLP_LLP_7-14-2010_Combined 2 3" xfId="563" xr:uid="{00000000-0005-0000-0000-0000D9010000}"/>
    <cellStyle name="_20061027Holux_CMS_Web_Design_Phase_Deliverables_MLP_LLP_7-14-2010_Combined 3" xfId="564" xr:uid="{00000000-0005-0000-0000-0000DA010000}"/>
    <cellStyle name="_20061027Holux_CMS_Web_Design_Phase_Deliverables_MLP_LLP_7-14-2010_Combined 3 2" xfId="565" xr:uid="{00000000-0005-0000-0000-0000DB010000}"/>
    <cellStyle name="_20061027Holux_CMS_Web_Design_Phase_Deliverables_MLP_LLP_7-14-2010_Combined 3 3" xfId="566" xr:uid="{00000000-0005-0000-0000-0000DC010000}"/>
    <cellStyle name="_20061027Holux_CMS_Web_Design_Phase_Deliverables_MLP_LLP_7-14-2010_Combined 4" xfId="567" xr:uid="{00000000-0005-0000-0000-0000DD010000}"/>
    <cellStyle name="_20061027Holux_CMS_Web_Design_Phase_Deliverables_MLP_LLP_7-14-2010_Combined 5" xfId="568" xr:uid="{00000000-0005-0000-0000-0000DE010000}"/>
    <cellStyle name="_20061027Holux_CMS_Web_Design_Phase_Deliverables_MLP_LLP_7-14-2010_Combined_Commissioning System Implementation_Project Workbook_06_10_2011" xfId="569" xr:uid="{00000000-0005-0000-0000-0000DF010000}"/>
    <cellStyle name="_20061027Holux_CMS_Web_Design_Phase_Deliverables_MLP_LLP_7-14-2010_Combined_Commissioning System Implementation_Project Workbook_06_10_2011 2" xfId="570" xr:uid="{00000000-0005-0000-0000-0000E0010000}"/>
    <cellStyle name="_20061027Holux_CMS_Web_Design_Phase_Deliverables_MLP_LLP_7-14-2010_Combined_Commissioning System Implementation_Project Workbook_06_10_2011 3" xfId="571" xr:uid="{00000000-0005-0000-0000-0000E1010000}"/>
    <cellStyle name="_20061027Holux_CMS_Web_Design_Phase_Deliverables_MLP_LLP_7-14-2010_Combined_FairPoint_CampReport" xfId="572" xr:uid="{00000000-0005-0000-0000-0000E2010000}"/>
    <cellStyle name="_20061027Holux_CMS_Web_Design_Phase_Deliverables_MLP_LLP_7-14-2010_Combined_FairPoint_CampReport 2" xfId="573" xr:uid="{00000000-0005-0000-0000-0000E3010000}"/>
    <cellStyle name="_20061027Holux_CMS_Web_Design_Phase_Deliverables_MLP_LLP_7-14-2010_Combined_FairPoint_CampReport 3" xfId="574" xr:uid="{00000000-0005-0000-0000-0000E4010000}"/>
    <cellStyle name="_20061027Holux_CMS_Web_Design_Phase_Deliverables_MLP_LLP_7-14-2010_Combined_FairPoint_FP comTechOps_ProgramWorkbook" xfId="575" xr:uid="{00000000-0005-0000-0000-0000E5010000}"/>
    <cellStyle name="_20061027Holux_CMS_Web_Design_Phase_Deliverables_MLP_LLP_7-14-2010_Combined_FairPoint_FP comTechOps_ProgramWorkbook 2" xfId="576" xr:uid="{00000000-0005-0000-0000-0000E6010000}"/>
    <cellStyle name="_20061027Holux_CMS_Web_Design_Phase_Deliverables_MLP_LLP_7-14-2010_Combined_FairPoint_FP comTechOps_ProgramWorkbook 3" xfId="577" xr:uid="{00000000-0005-0000-0000-0000E7010000}"/>
    <cellStyle name="_20061027Holux_CMS_Web_Design_Phase_Deliverables_MLP_LLP_7-14-2010_Combined_FairPoint_FP comTechOps_ProgramWorkbook_sachin" xfId="578" xr:uid="{00000000-0005-0000-0000-0000E8010000}"/>
    <cellStyle name="_20061027Holux_CMS_Web_Design_Phase_Deliverables_MLP_LLP_7-14-2010_Combined_FairPoint_FP comTechOps_ProgramWorkbook_sachin 2" xfId="579" xr:uid="{00000000-0005-0000-0000-0000E9010000}"/>
    <cellStyle name="_20061027Holux_CMS_Web_Design_Phase_Deliverables_MLP_LLP_7-14-2010_Combined_FairPoint_FP comTechOps_ProgramWorkbook_sachin 3" xfId="580" xr:uid="{00000000-0005-0000-0000-0000EA010000}"/>
    <cellStyle name="_20061027Holux_CMS_Web_Design_Phase_Deliverables_MLP_LLP_7-14-2010_Combined_FairPoint_FP comTechOps_ProgramWorkbook_sachin_v1" xfId="581" xr:uid="{00000000-0005-0000-0000-0000EB010000}"/>
    <cellStyle name="_20061027Holux_CMS_Web_Design_Phase_Deliverables_MLP_LLP_7-14-2010_Combined_FairPoint_FP comTechOps_ProgramWorkbook_sachin_v1 2" xfId="582" xr:uid="{00000000-0005-0000-0000-0000EC010000}"/>
    <cellStyle name="_20061027Holux_CMS_Web_Design_Phase_Deliverables_MLP_LLP_7-14-2010_Combined_FairPoint_FP comTechOps_ProgramWorkbook_sachin_v1 3" xfId="583" xr:uid="{00000000-0005-0000-0000-0000ED010000}"/>
    <cellStyle name="_20061027Holux_CMS_Web_Design_Phase_Deliverables_MLP_LLP_7-14-2010_Combined_FP_CAMP&amp;ITReporting_Maintenance_Dashboard" xfId="584" xr:uid="{00000000-0005-0000-0000-0000EE010000}"/>
    <cellStyle name="_20061027Holux_CMS_Web_Design_Phase_Deliverables_MLP_LLP_7-14-2010_Combined_FP_CAMP&amp;ITReporting_Maintenance_Dashboard 2" xfId="585" xr:uid="{00000000-0005-0000-0000-0000EF010000}"/>
    <cellStyle name="_20061027Holux_CMS_Web_Design_Phase_Deliverables_MLP_LLP_7-14-2010_Combined_FP_CAMP&amp;ITReporting_Maintenance_Dashboard 3" xfId="586" xr:uid="{00000000-0005-0000-0000-0000F0010000}"/>
    <cellStyle name="_20061027Holux_CMS_Web_Design_Phase_Deliverables_MLP_LLP_7-14-2010_Combined_FP_CAMPITReporting_Maintenance_Dashboard" xfId="587" xr:uid="{00000000-0005-0000-0000-0000F1010000}"/>
    <cellStyle name="_20061027Holux_CMS_Web_Design_Phase_Deliverables_MLP_LLP_7-14-2010_Combined_FP_CAMPITReporting_Maintenance_Dashboard 2" xfId="588" xr:uid="{00000000-0005-0000-0000-0000F2010000}"/>
    <cellStyle name="_20061027Holux_CMS_Web_Design_Phase_Deliverables_MLP_LLP_7-14-2010_Combined_FP_CAMPITReporting_Maintenance_Dashboard 3" xfId="589" xr:uid="{00000000-0005-0000-0000-0000F3010000}"/>
    <cellStyle name="_20061027Holux_CMS_Web_Design_Phase_Deliverables_MLP_LLP_7-14-2010_Combined_FP_Commissions_Req_Dn_ProgramWorkBook_10-Dec-2010" xfId="590" xr:uid="{00000000-0005-0000-0000-0000F4010000}"/>
    <cellStyle name="_20061027Holux_CMS_Web_Design_Phase_Deliverables_MLP_LLP_7-14-2010_Combined_FP_Commissions_Req_Dn_ProgramWorkBook_10-Dec-2010 2" xfId="591" xr:uid="{00000000-0005-0000-0000-0000F5010000}"/>
    <cellStyle name="_20061027Holux_CMS_Web_Design_Phase_Deliverables_MLP_LLP_7-14-2010_Combined_FP_Commissions_Req_Dn_ProgramWorkBook_10-Dec-2010 3" xfId="592" xr:uid="{00000000-0005-0000-0000-0000F6010000}"/>
    <cellStyle name="_20061027Holux_CMS_Web_Design_Phase_Deliverables_MLP_LLP_7-14-2010_Combined_FP_DW_Impl_ProgramWorkBook_07-Jan-2011" xfId="593" xr:uid="{00000000-0005-0000-0000-0000F7010000}"/>
    <cellStyle name="_20061027Holux_CMS_Web_Design_Phase_Deliverables_MLP_LLP_7-14-2010_Combined_FP_DW_Impl_ProgramWorkBook_07-Jan-2011 2" xfId="594" xr:uid="{00000000-0005-0000-0000-0000F8010000}"/>
    <cellStyle name="_20061027Holux_CMS_Web_Design_Phase_Deliverables_MLP_LLP_7-14-2010_Combined_FP_DW_Impl_ProgramWorkBook_07-Jan-2011 2 2" xfId="595" xr:uid="{00000000-0005-0000-0000-0000F9010000}"/>
    <cellStyle name="_20061027Holux_CMS_Web_Design_Phase_Deliverables_MLP_LLP_7-14-2010_Combined_FP_DW_Impl_ProgramWorkBook_07-Jan-2011 2 3" xfId="596" xr:uid="{00000000-0005-0000-0000-0000FA010000}"/>
    <cellStyle name="_20061027Holux_CMS_Web_Design_Phase_Deliverables_MLP_LLP_7-14-2010_Combined_FP_DW_Impl_ProgramWorkBook_07-Jan-2011 3" xfId="597" xr:uid="{00000000-0005-0000-0000-0000FB010000}"/>
    <cellStyle name="_20061027Holux_CMS_Web_Design_Phase_Deliverables_MLP_LLP_7-14-2010_Combined_FP_DW_Impl_ProgramWorkBook_07-Jan-2011 4" xfId="598" xr:uid="{00000000-0005-0000-0000-0000FC010000}"/>
    <cellStyle name="_20061027Holux_CMS_Web_Design_Phase_Deliverables_MLP_LLP_7-14-2010_Combined_FP_DW_Impl_ProgramWorkBook_11-Feb-2011" xfId="599" xr:uid="{00000000-0005-0000-0000-0000FD010000}"/>
    <cellStyle name="_20061027Holux_CMS_Web_Design_Phase_Deliverables_MLP_LLP_7-14-2010_Combined_FP_DW_Impl_ProgramWorkBook_11-Feb-2011 2" xfId="600" xr:uid="{00000000-0005-0000-0000-0000FE010000}"/>
    <cellStyle name="_20061027Holux_CMS_Web_Design_Phase_Deliverables_MLP_LLP_7-14-2010_Combined_FP_DW_Impl_ProgramWorkBook_11-Feb-2011 3" xfId="601" xr:uid="{00000000-0005-0000-0000-0000FF010000}"/>
    <cellStyle name="_20061027Holux_CMS_Web_Design_Phase_Deliverables_MLP_LLP_7-14-2010_Combined_FP_DW_Impl_ProgramWorkBook_18-Feb-2011 - Working" xfId="602" xr:uid="{00000000-0005-0000-0000-000000020000}"/>
    <cellStyle name="_20061027Holux_CMS_Web_Design_Phase_Deliverables_MLP_LLP_7-14-2010_Combined_FP_DW_Impl_ProgramWorkBook_18-Feb-2011 - Working 2" xfId="603" xr:uid="{00000000-0005-0000-0000-000001020000}"/>
    <cellStyle name="_20061027Holux_CMS_Web_Design_Phase_Deliverables_MLP_LLP_7-14-2010_Combined_FP_DW_Impl_ProgramWorkBook_18-Feb-2011 - Working 3" xfId="604" xr:uid="{00000000-0005-0000-0000-000002020000}"/>
    <cellStyle name="_20061027Holux_CMS_Web_Design_Phase_Deliverables_MLP_LLP_7-14-2010_Combined_FP_EnterprisePortal_ProgramWorkbook" xfId="605" xr:uid="{00000000-0005-0000-0000-000003020000}"/>
    <cellStyle name="_20061027Holux_CMS_Web_Design_Phase_Deliverables_MLP_LLP_7-14-2010_Combined_FP_EnterprisePortal_ProgramWorkbook 2" xfId="606" xr:uid="{00000000-0005-0000-0000-000004020000}"/>
    <cellStyle name="_20061027Holux_CMS_Web_Design_Phase_Deliverables_MLP_LLP_7-14-2010_Combined_FP_EnterprisePortal_ProgramWorkbook 3" xfId="607" xr:uid="{00000000-0005-0000-0000-000005020000}"/>
    <cellStyle name="_20061027Holux_CMS_Web_Design_Phase_Deliverables_MLP_LLP_7-14-2010_Combined_FP_SAP_MLP v2" xfId="608" xr:uid="{00000000-0005-0000-0000-000006020000}"/>
    <cellStyle name="_20061027Holux_CMS_Web_Design_Phase_Deliverables_MLP_LLP_7-14-2010_Combined_FP_SAP_MLP v2 2" xfId="609" xr:uid="{00000000-0005-0000-0000-000007020000}"/>
    <cellStyle name="_20061027Holux_CMS_Web_Design_Phase_Deliverables_MLP_LLP_7-14-2010_Combined_FP_SAP_MLP v2 3" xfId="610" xr:uid="{00000000-0005-0000-0000-000008020000}"/>
    <cellStyle name="_20061027Holux_CMS_Web_Design_Phase_Deliverables_MLP_LLP_7-14-2010_Combined_KeyDecisions" xfId="611" xr:uid="{00000000-0005-0000-0000-000009020000}"/>
    <cellStyle name="_20061027Holux_CMS_Web_Design_Phase_Deliverables_MLP_LLP_7-14-2010_Combined_KeyDecisions 2" xfId="612" xr:uid="{00000000-0005-0000-0000-00000A020000}"/>
    <cellStyle name="_20061027Holux_CMS_Web_Design_Phase_Deliverables_MLP_LLP_7-14-2010_Combined_KeyDecisions 3" xfId="613" xr:uid="{00000000-0005-0000-0000-00000B020000}"/>
    <cellStyle name="_20061027Holux_CMS_Web_Design_Phase_Deliverables_MLP_LLP_7-14-2010_Combined_Sophia_Imp_ProjectWorkBook_02_18_2011" xfId="614" xr:uid="{00000000-0005-0000-0000-00000C020000}"/>
    <cellStyle name="_20061027Holux_CMS_Web_Design_Phase_Deliverables_MLP_LLP_7-14-2010_Combined_Sophia_Imp_ProjectWorkBook_02_18_2011 2" xfId="615" xr:uid="{00000000-0005-0000-0000-00000D020000}"/>
    <cellStyle name="_20061027Holux_CMS_Web_Design_Phase_Deliverables_MLP_LLP_7-14-2010_Combined_Sophia_Imp_ProjectWorkBook_02_18_2011 3" xfId="616" xr:uid="{00000000-0005-0000-0000-00000E020000}"/>
    <cellStyle name="_20061027Holux_CMS_Web_Design_Phase_Deliverables_MLP_LLP_7-14-2010_Combined_t" xfId="617" xr:uid="{00000000-0005-0000-0000-00000F020000}"/>
    <cellStyle name="_20061027Holux_CMS_Web_Design_Phase_Deliverables_MLP_LLP_7-14-2010_Combined_t 2" xfId="618" xr:uid="{00000000-0005-0000-0000-000010020000}"/>
    <cellStyle name="_20061027Holux_CMS_Web_Design_Phase_Deliverables_MLP_LLP_7-14-2010_Combined_t 3" xfId="619" xr:uid="{00000000-0005-0000-0000-000011020000}"/>
    <cellStyle name="_20061027Holux_Commissioning System Implementation_Project Workbook_06_10_2011" xfId="620" xr:uid="{00000000-0005-0000-0000-000012020000}"/>
    <cellStyle name="_20061027Holux_Commissioning System Implementation_Project Workbook_06_10_2011 2" xfId="621" xr:uid="{00000000-0005-0000-0000-000013020000}"/>
    <cellStyle name="_20061027Holux_Commissioning System Implementation_Project Workbook_06_10_2011 3" xfId="622" xr:uid="{00000000-0005-0000-0000-000014020000}"/>
    <cellStyle name="_20061027Holux_Commissions_Implementation_HLP" xfId="623" xr:uid="{00000000-0005-0000-0000-000015020000}"/>
    <cellStyle name="_20061027Holux_Commissions_Implementation_HLP 2" xfId="624" xr:uid="{00000000-0005-0000-0000-000016020000}"/>
    <cellStyle name="_20061027Holux_Commissions_Implementation_HLP 3" xfId="625" xr:uid="{00000000-0005-0000-0000-000017020000}"/>
    <cellStyle name="_20061027Holux_CrossTrackAlignment_PEOptionB" xfId="626" xr:uid="{00000000-0005-0000-0000-000018020000}"/>
    <cellStyle name="_20061027Holux_CrossTrackAlignment_PEOptionB (2)" xfId="627" xr:uid="{00000000-0005-0000-0000-000019020000}"/>
    <cellStyle name="_20061027Holux_CrossTrackAlignment_PEOptionB (2) 2" xfId="628" xr:uid="{00000000-0005-0000-0000-00001A020000}"/>
    <cellStyle name="_20061027Holux_CrossTrackAlignment_PEOptionB (2) 3" xfId="629" xr:uid="{00000000-0005-0000-0000-00001B020000}"/>
    <cellStyle name="_20061027Holux_CrossTrackAlignment_PEOptionB 10" xfId="630" xr:uid="{00000000-0005-0000-0000-00001C020000}"/>
    <cellStyle name="_20061027Holux_CrossTrackAlignment_PEOptionB 2" xfId="631" xr:uid="{00000000-0005-0000-0000-00001D020000}"/>
    <cellStyle name="_20061027Holux_CrossTrackAlignment_PEOptionB 3" xfId="632" xr:uid="{00000000-0005-0000-0000-00001E020000}"/>
    <cellStyle name="_20061027Holux_CrossTrackAlignment_PEOptionB 4" xfId="633" xr:uid="{00000000-0005-0000-0000-00001F020000}"/>
    <cellStyle name="_20061027Holux_CrossTrackAlignment_PEOptionB 5" xfId="634" xr:uid="{00000000-0005-0000-0000-000020020000}"/>
    <cellStyle name="_20061027Holux_CrossTrackAlignment_PEOptionB 6" xfId="635" xr:uid="{00000000-0005-0000-0000-000021020000}"/>
    <cellStyle name="_20061027Holux_CrossTrackAlignment_PEOptionB 7" xfId="636" xr:uid="{00000000-0005-0000-0000-000022020000}"/>
    <cellStyle name="_20061027Holux_CrossTrackAlignment_PEOptionB 8" xfId="637" xr:uid="{00000000-0005-0000-0000-000023020000}"/>
    <cellStyle name="_20061027Holux_CrossTrackAlignment_PEOptionB 9" xfId="638" xr:uid="{00000000-0005-0000-0000-000024020000}"/>
    <cellStyle name="_20061027Holux_Detailed_Requirements_Plan" xfId="639" xr:uid="{00000000-0005-0000-0000-000025020000}"/>
    <cellStyle name="_20061027Holux_Detailed_Requirements_Plan 2" xfId="640" xr:uid="{00000000-0005-0000-0000-000026020000}"/>
    <cellStyle name="_20061027Holux_Detailed_Requirements_Plan 3" xfId="641" xr:uid="{00000000-0005-0000-0000-000027020000}"/>
    <cellStyle name="_20061027Holux_Doneness Matrix v2" xfId="642" xr:uid="{00000000-0005-0000-0000-000028020000}"/>
    <cellStyle name="_20061027Holux_Doneness Matrix v2 2" xfId="643" xr:uid="{00000000-0005-0000-0000-000029020000}"/>
    <cellStyle name="_20061027Holux_Doneness Matrix v2 2 2" xfId="644" xr:uid="{00000000-0005-0000-0000-00002A020000}"/>
    <cellStyle name="_20061027Holux_Doneness Matrix v2 2 3" xfId="645" xr:uid="{00000000-0005-0000-0000-00002B020000}"/>
    <cellStyle name="_20061027Holux_Doneness Matrix v2 3" xfId="646" xr:uid="{00000000-0005-0000-0000-00002C020000}"/>
    <cellStyle name="_20061027Holux_Doneness Matrix v2 3 2" xfId="647" xr:uid="{00000000-0005-0000-0000-00002D020000}"/>
    <cellStyle name="_20061027Holux_Doneness Matrix v2 3 3" xfId="648" xr:uid="{00000000-0005-0000-0000-00002E020000}"/>
    <cellStyle name="_20061027Holux_Doneness Matrix v2 4" xfId="649" xr:uid="{00000000-0005-0000-0000-00002F020000}"/>
    <cellStyle name="_20061027Holux_Doneness Matrix v2 5" xfId="650" xr:uid="{00000000-0005-0000-0000-000030020000}"/>
    <cellStyle name="_20061027Holux_Doneness Matrix v2_Commissioning System Implementation_Project Workbook_06_10_2011" xfId="651" xr:uid="{00000000-0005-0000-0000-000031020000}"/>
    <cellStyle name="_20061027Holux_Doneness Matrix v2_Commissioning System Implementation_Project Workbook_06_10_2011 2" xfId="652" xr:uid="{00000000-0005-0000-0000-000032020000}"/>
    <cellStyle name="_20061027Holux_Doneness Matrix v2_Commissioning System Implementation_Project Workbook_06_10_2011 3" xfId="653" xr:uid="{00000000-0005-0000-0000-000033020000}"/>
    <cellStyle name="_20061027Holux_Doneness Matrix v2_FairPoint_CampReport" xfId="654" xr:uid="{00000000-0005-0000-0000-000034020000}"/>
    <cellStyle name="_20061027Holux_Doneness Matrix v2_FairPoint_CampReport 2" xfId="655" xr:uid="{00000000-0005-0000-0000-000035020000}"/>
    <cellStyle name="_20061027Holux_Doneness Matrix v2_FairPoint_CampReport 3" xfId="656" xr:uid="{00000000-0005-0000-0000-000036020000}"/>
    <cellStyle name="_20061027Holux_Doneness Matrix v2_FairPoint_FP comTechOps_ProgramWorkbook" xfId="657" xr:uid="{00000000-0005-0000-0000-000037020000}"/>
    <cellStyle name="_20061027Holux_Doneness Matrix v2_FairPoint_FP comTechOps_ProgramWorkbook 2" xfId="658" xr:uid="{00000000-0005-0000-0000-000038020000}"/>
    <cellStyle name="_20061027Holux_Doneness Matrix v2_FairPoint_FP comTechOps_ProgramWorkbook 3" xfId="659" xr:uid="{00000000-0005-0000-0000-000039020000}"/>
    <cellStyle name="_20061027Holux_Doneness Matrix v2_FairPoint_FP comTechOps_ProgramWorkbook_sachin" xfId="660" xr:uid="{00000000-0005-0000-0000-00003A020000}"/>
    <cellStyle name="_20061027Holux_Doneness Matrix v2_FairPoint_FP comTechOps_ProgramWorkbook_sachin 2" xfId="661" xr:uid="{00000000-0005-0000-0000-00003B020000}"/>
    <cellStyle name="_20061027Holux_Doneness Matrix v2_FairPoint_FP comTechOps_ProgramWorkbook_sachin 3" xfId="662" xr:uid="{00000000-0005-0000-0000-00003C020000}"/>
    <cellStyle name="_20061027Holux_Doneness Matrix v2_FairPoint_FP comTechOps_ProgramWorkbook_sachin_v1" xfId="663" xr:uid="{00000000-0005-0000-0000-00003D020000}"/>
    <cellStyle name="_20061027Holux_Doneness Matrix v2_FairPoint_FP comTechOps_ProgramWorkbook_sachin_v1 2" xfId="664" xr:uid="{00000000-0005-0000-0000-00003E020000}"/>
    <cellStyle name="_20061027Holux_Doneness Matrix v2_FairPoint_FP comTechOps_ProgramWorkbook_sachin_v1 3" xfId="665" xr:uid="{00000000-0005-0000-0000-00003F020000}"/>
    <cellStyle name="_20061027Holux_Doneness Matrix v2_FP_CAMP&amp;ITReporting_Maintenance_Dashboard" xfId="666" xr:uid="{00000000-0005-0000-0000-000040020000}"/>
    <cellStyle name="_20061027Holux_Doneness Matrix v2_FP_CAMP&amp;ITReporting_Maintenance_Dashboard 2" xfId="667" xr:uid="{00000000-0005-0000-0000-000041020000}"/>
    <cellStyle name="_20061027Holux_Doneness Matrix v2_FP_CAMP&amp;ITReporting_Maintenance_Dashboard 3" xfId="668" xr:uid="{00000000-0005-0000-0000-000042020000}"/>
    <cellStyle name="_20061027Holux_Doneness Matrix v2_FP_CAMPITReporting_Maintenance_Dashboard" xfId="669" xr:uid="{00000000-0005-0000-0000-000043020000}"/>
    <cellStyle name="_20061027Holux_Doneness Matrix v2_FP_CAMPITReporting_Maintenance_Dashboard 2" xfId="670" xr:uid="{00000000-0005-0000-0000-000044020000}"/>
    <cellStyle name="_20061027Holux_Doneness Matrix v2_FP_CAMPITReporting_Maintenance_Dashboard 3" xfId="671" xr:uid="{00000000-0005-0000-0000-000045020000}"/>
    <cellStyle name="_20061027Holux_Doneness Matrix v2_FP_Commissions_Req_Dn_ProgramWorkBook_10-Dec-2010" xfId="672" xr:uid="{00000000-0005-0000-0000-000046020000}"/>
    <cellStyle name="_20061027Holux_Doneness Matrix v2_FP_Commissions_Req_Dn_ProgramWorkBook_10-Dec-2010 2" xfId="673" xr:uid="{00000000-0005-0000-0000-000047020000}"/>
    <cellStyle name="_20061027Holux_Doneness Matrix v2_FP_Commissions_Req_Dn_ProgramWorkBook_10-Dec-2010 3" xfId="674" xr:uid="{00000000-0005-0000-0000-000048020000}"/>
    <cellStyle name="_20061027Holux_Doneness Matrix v2_FP_DW_Impl_ProgramWorkBook_07-Jan-2011" xfId="675" xr:uid="{00000000-0005-0000-0000-000049020000}"/>
    <cellStyle name="_20061027Holux_Doneness Matrix v2_FP_DW_Impl_ProgramWorkBook_07-Jan-2011 2" xfId="676" xr:uid="{00000000-0005-0000-0000-00004A020000}"/>
    <cellStyle name="_20061027Holux_Doneness Matrix v2_FP_DW_Impl_ProgramWorkBook_07-Jan-2011 2 2" xfId="677" xr:uid="{00000000-0005-0000-0000-00004B020000}"/>
    <cellStyle name="_20061027Holux_Doneness Matrix v2_FP_DW_Impl_ProgramWorkBook_07-Jan-2011 2 3" xfId="678" xr:uid="{00000000-0005-0000-0000-00004C020000}"/>
    <cellStyle name="_20061027Holux_Doneness Matrix v2_FP_DW_Impl_ProgramWorkBook_07-Jan-2011 3" xfId="679" xr:uid="{00000000-0005-0000-0000-00004D020000}"/>
    <cellStyle name="_20061027Holux_Doneness Matrix v2_FP_DW_Impl_ProgramWorkBook_07-Jan-2011 4" xfId="680" xr:uid="{00000000-0005-0000-0000-00004E020000}"/>
    <cellStyle name="_20061027Holux_Doneness Matrix v2_FP_DW_Impl_ProgramWorkBook_11-Feb-2011" xfId="681" xr:uid="{00000000-0005-0000-0000-00004F020000}"/>
    <cellStyle name="_20061027Holux_Doneness Matrix v2_FP_DW_Impl_ProgramWorkBook_11-Feb-2011 2" xfId="682" xr:uid="{00000000-0005-0000-0000-000050020000}"/>
    <cellStyle name="_20061027Holux_Doneness Matrix v2_FP_DW_Impl_ProgramWorkBook_11-Feb-2011 3" xfId="683" xr:uid="{00000000-0005-0000-0000-000051020000}"/>
    <cellStyle name="_20061027Holux_Doneness Matrix v2_FP_DW_Impl_ProgramWorkBook_18-Feb-2011 - Working" xfId="684" xr:uid="{00000000-0005-0000-0000-000052020000}"/>
    <cellStyle name="_20061027Holux_Doneness Matrix v2_FP_DW_Impl_ProgramWorkBook_18-Feb-2011 - Working 2" xfId="685" xr:uid="{00000000-0005-0000-0000-000053020000}"/>
    <cellStyle name="_20061027Holux_Doneness Matrix v2_FP_DW_Impl_ProgramWorkBook_18-Feb-2011 - Working 3" xfId="686" xr:uid="{00000000-0005-0000-0000-000054020000}"/>
    <cellStyle name="_20061027Holux_Doneness Matrix v2_FP_EnterprisePortal_ProgramWorkbook" xfId="687" xr:uid="{00000000-0005-0000-0000-000055020000}"/>
    <cellStyle name="_20061027Holux_Doneness Matrix v2_FP_EnterprisePortal_ProgramWorkbook 2" xfId="688" xr:uid="{00000000-0005-0000-0000-000056020000}"/>
    <cellStyle name="_20061027Holux_Doneness Matrix v2_FP_EnterprisePortal_ProgramWorkbook 3" xfId="689" xr:uid="{00000000-0005-0000-0000-000057020000}"/>
    <cellStyle name="_20061027Holux_Doneness Matrix v2_FP_SAP_MLP v2" xfId="690" xr:uid="{00000000-0005-0000-0000-000058020000}"/>
    <cellStyle name="_20061027Holux_Doneness Matrix v2_FP_SAP_MLP v2 2" xfId="691" xr:uid="{00000000-0005-0000-0000-000059020000}"/>
    <cellStyle name="_20061027Holux_Doneness Matrix v2_FP_SAP_MLP v2 3" xfId="692" xr:uid="{00000000-0005-0000-0000-00005A020000}"/>
    <cellStyle name="_20061027Holux_Doneness Matrix v2_KeyDecisions" xfId="693" xr:uid="{00000000-0005-0000-0000-00005B020000}"/>
    <cellStyle name="_20061027Holux_Doneness Matrix v2_KeyDecisions 2" xfId="694" xr:uid="{00000000-0005-0000-0000-00005C020000}"/>
    <cellStyle name="_20061027Holux_Doneness Matrix v2_KeyDecisions 3" xfId="695" xr:uid="{00000000-0005-0000-0000-00005D020000}"/>
    <cellStyle name="_20061027Holux_Doneness Matrix v2_Sophia_Imp_ProjectWorkBook_02_18_2011" xfId="696" xr:uid="{00000000-0005-0000-0000-00005E020000}"/>
    <cellStyle name="_20061027Holux_Doneness Matrix v2_Sophia_Imp_ProjectWorkBook_02_18_2011 2" xfId="697" xr:uid="{00000000-0005-0000-0000-00005F020000}"/>
    <cellStyle name="_20061027Holux_Doneness Matrix v2_Sophia_Imp_ProjectWorkBook_02_18_2011 3" xfId="698" xr:uid="{00000000-0005-0000-0000-000060020000}"/>
    <cellStyle name="_20061027Holux_Doneness Matrix v2_t" xfId="699" xr:uid="{00000000-0005-0000-0000-000061020000}"/>
    <cellStyle name="_20061027Holux_Doneness Matrix v2_t 2" xfId="700" xr:uid="{00000000-0005-0000-0000-000062020000}"/>
    <cellStyle name="_20061027Holux_Doneness Matrix v2_t 3" xfId="701" xr:uid="{00000000-0005-0000-0000-000063020000}"/>
    <cellStyle name="_20061027Holux_EnterprisePortalRequirements_PMWorkbook" xfId="702" xr:uid="{00000000-0005-0000-0000-000064020000}"/>
    <cellStyle name="_20061027Holux_EnterprisePortalRequirements_PMWorkbook (2)" xfId="703" xr:uid="{00000000-0005-0000-0000-000065020000}"/>
    <cellStyle name="_20061027Holux_EnterprisePortalRequirements_PMWorkbook (2) 2" xfId="704" xr:uid="{00000000-0005-0000-0000-000066020000}"/>
    <cellStyle name="_20061027Holux_EnterprisePortalRequirements_PMWorkbook (2) 3" xfId="705" xr:uid="{00000000-0005-0000-0000-000067020000}"/>
    <cellStyle name="_20061027Holux_EnterprisePortalRequirements_PMWorkbook 10" xfId="706" xr:uid="{00000000-0005-0000-0000-000068020000}"/>
    <cellStyle name="_20061027Holux_EnterprisePortalRequirements_PMWorkbook 2" xfId="707" xr:uid="{00000000-0005-0000-0000-000069020000}"/>
    <cellStyle name="_20061027Holux_EnterprisePortalRequirements_PMWorkbook 3" xfId="708" xr:uid="{00000000-0005-0000-0000-00006A020000}"/>
    <cellStyle name="_20061027Holux_EnterprisePortalRequirements_PMWorkbook 4" xfId="709" xr:uid="{00000000-0005-0000-0000-00006B020000}"/>
    <cellStyle name="_20061027Holux_EnterprisePortalRequirements_PMWorkbook 5" xfId="710" xr:uid="{00000000-0005-0000-0000-00006C020000}"/>
    <cellStyle name="_20061027Holux_EnterprisePortalRequirements_PMWorkbook 6" xfId="711" xr:uid="{00000000-0005-0000-0000-00006D020000}"/>
    <cellStyle name="_20061027Holux_EnterprisePortalRequirements_PMWorkbook 7" xfId="712" xr:uid="{00000000-0005-0000-0000-00006E020000}"/>
    <cellStyle name="_20061027Holux_EnterprisePortalRequirements_PMWorkbook 8" xfId="713" xr:uid="{00000000-0005-0000-0000-00006F020000}"/>
    <cellStyle name="_20061027Holux_EnterprisePortalRequirements_PMWorkbook 9" xfId="714" xr:uid="{00000000-0005-0000-0000-000070020000}"/>
    <cellStyle name="_20061027Holux_FairPoint_CampReport" xfId="715" xr:uid="{00000000-0005-0000-0000-000071020000}"/>
    <cellStyle name="_20061027Holux_FairPoint_CampReport 2" xfId="716" xr:uid="{00000000-0005-0000-0000-000072020000}"/>
    <cellStyle name="_20061027Holux_FairPoint_CampReport 3" xfId="717" xr:uid="{00000000-0005-0000-0000-000073020000}"/>
    <cellStyle name="_20061027Holux_FairPoint_FP comTechOps_ProgramWorkbook" xfId="718" xr:uid="{00000000-0005-0000-0000-000074020000}"/>
    <cellStyle name="_20061027Holux_FairPoint_FP comTechOps_ProgramWorkbook 2" xfId="719" xr:uid="{00000000-0005-0000-0000-000075020000}"/>
    <cellStyle name="_20061027Holux_FairPoint_FP comTechOps_ProgramWorkbook 3" xfId="720" xr:uid="{00000000-0005-0000-0000-000076020000}"/>
    <cellStyle name="_20061027Holux_FairPoint_FP comTechOps_ProgramWorkbook_sachin" xfId="721" xr:uid="{00000000-0005-0000-0000-000077020000}"/>
    <cellStyle name="_20061027Holux_FairPoint_FP comTechOps_ProgramWorkbook_sachin 2" xfId="722" xr:uid="{00000000-0005-0000-0000-000078020000}"/>
    <cellStyle name="_20061027Holux_FairPoint_FP comTechOps_ProgramWorkbook_sachin 3" xfId="723" xr:uid="{00000000-0005-0000-0000-000079020000}"/>
    <cellStyle name="_20061027Holux_FairPoint_FP comTechOps_ProgramWorkbook_sachin_v1" xfId="724" xr:uid="{00000000-0005-0000-0000-00007A020000}"/>
    <cellStyle name="_20061027Holux_FairPoint_FP comTechOps_ProgramWorkbook_sachin_v1 2" xfId="725" xr:uid="{00000000-0005-0000-0000-00007B020000}"/>
    <cellStyle name="_20061027Holux_FairPoint_FP comTechOps_ProgramWorkbook_sachin_v1 3" xfId="726" xr:uid="{00000000-0005-0000-0000-00007C020000}"/>
    <cellStyle name="_20061027Holux_FairPoint_IntialSetup_Focus" xfId="727" xr:uid="{00000000-0005-0000-0000-00007D020000}"/>
    <cellStyle name="_20061027Holux_FairPoint_IntialSetup_Focus 2" xfId="728" xr:uid="{00000000-0005-0000-0000-00007E020000}"/>
    <cellStyle name="_20061027Holux_FairPoint_IntialSetup_Focus 2 2" xfId="729" xr:uid="{00000000-0005-0000-0000-00007F020000}"/>
    <cellStyle name="_20061027Holux_FairPoint_IntialSetup_Focus 2 3" xfId="730" xr:uid="{00000000-0005-0000-0000-000080020000}"/>
    <cellStyle name="_20061027Holux_FairPoint_IntialSetup_Focus 3" xfId="731" xr:uid="{00000000-0005-0000-0000-000081020000}"/>
    <cellStyle name="_20061027Holux_FairPoint_IntialSetup_Focus 3 2" xfId="732" xr:uid="{00000000-0005-0000-0000-000082020000}"/>
    <cellStyle name="_20061027Holux_FairPoint_IntialSetup_Focus 3 3" xfId="733" xr:uid="{00000000-0005-0000-0000-000083020000}"/>
    <cellStyle name="_20061027Holux_FairPoint_IntialSetup_Focus 4" xfId="734" xr:uid="{00000000-0005-0000-0000-000084020000}"/>
    <cellStyle name="_20061027Holux_FairPoint_IntialSetup_Focus 5" xfId="735" xr:uid="{00000000-0005-0000-0000-000085020000}"/>
    <cellStyle name="_20061027Holux_FairPoint_IntialSetup_Focus_Commissioning System Implementation_Project Workbook_06_10_2011" xfId="736" xr:uid="{00000000-0005-0000-0000-000086020000}"/>
    <cellStyle name="_20061027Holux_FairPoint_IntialSetup_Focus_Commissioning System Implementation_Project Workbook_06_10_2011 2" xfId="737" xr:uid="{00000000-0005-0000-0000-000087020000}"/>
    <cellStyle name="_20061027Holux_FairPoint_IntialSetup_Focus_Commissioning System Implementation_Project Workbook_06_10_2011 3" xfId="738" xr:uid="{00000000-0005-0000-0000-000088020000}"/>
    <cellStyle name="_20061027Holux_FairPoint_IntialSetup_Focus_FairPoint_CampReport" xfId="739" xr:uid="{00000000-0005-0000-0000-000089020000}"/>
    <cellStyle name="_20061027Holux_FairPoint_IntialSetup_Focus_FairPoint_CampReport 2" xfId="740" xr:uid="{00000000-0005-0000-0000-00008A020000}"/>
    <cellStyle name="_20061027Holux_FairPoint_IntialSetup_Focus_FairPoint_CampReport 3" xfId="741" xr:uid="{00000000-0005-0000-0000-00008B020000}"/>
    <cellStyle name="_20061027Holux_FairPoint_IntialSetup_Focus_FairPoint_FP comTechOps_ProgramWorkbook" xfId="742" xr:uid="{00000000-0005-0000-0000-00008C020000}"/>
    <cellStyle name="_20061027Holux_FairPoint_IntialSetup_Focus_FairPoint_FP comTechOps_ProgramWorkbook 2" xfId="743" xr:uid="{00000000-0005-0000-0000-00008D020000}"/>
    <cellStyle name="_20061027Holux_FairPoint_IntialSetup_Focus_FairPoint_FP comTechOps_ProgramWorkbook 3" xfId="744" xr:uid="{00000000-0005-0000-0000-00008E020000}"/>
    <cellStyle name="_20061027Holux_FairPoint_IntialSetup_Focus_FairPoint_FP comTechOps_ProgramWorkbook_sachin" xfId="745" xr:uid="{00000000-0005-0000-0000-00008F020000}"/>
    <cellStyle name="_20061027Holux_FairPoint_IntialSetup_Focus_FairPoint_FP comTechOps_ProgramWorkbook_sachin 2" xfId="746" xr:uid="{00000000-0005-0000-0000-000090020000}"/>
    <cellStyle name="_20061027Holux_FairPoint_IntialSetup_Focus_FairPoint_FP comTechOps_ProgramWorkbook_sachin 3" xfId="747" xr:uid="{00000000-0005-0000-0000-000091020000}"/>
    <cellStyle name="_20061027Holux_FairPoint_IntialSetup_Focus_FairPoint_FP comTechOps_ProgramWorkbook_sachin_v1" xfId="748" xr:uid="{00000000-0005-0000-0000-000092020000}"/>
    <cellStyle name="_20061027Holux_FairPoint_IntialSetup_Focus_FairPoint_FP comTechOps_ProgramWorkbook_sachin_v1 2" xfId="749" xr:uid="{00000000-0005-0000-0000-000093020000}"/>
    <cellStyle name="_20061027Holux_FairPoint_IntialSetup_Focus_FairPoint_FP comTechOps_ProgramWorkbook_sachin_v1 3" xfId="750" xr:uid="{00000000-0005-0000-0000-000094020000}"/>
    <cellStyle name="_20061027Holux_FairPoint_IntialSetup_Focus_FP_CAMP&amp;ITReporting_Maintenance_Dashboard" xfId="751" xr:uid="{00000000-0005-0000-0000-000095020000}"/>
    <cellStyle name="_20061027Holux_FairPoint_IntialSetup_Focus_FP_CAMP&amp;ITReporting_Maintenance_Dashboard 2" xfId="752" xr:uid="{00000000-0005-0000-0000-000096020000}"/>
    <cellStyle name="_20061027Holux_FairPoint_IntialSetup_Focus_FP_CAMP&amp;ITReporting_Maintenance_Dashboard 3" xfId="753" xr:uid="{00000000-0005-0000-0000-000097020000}"/>
    <cellStyle name="_20061027Holux_FairPoint_IntialSetup_Focus_FP_CAMPITReporting_Maintenance_Dashboard" xfId="754" xr:uid="{00000000-0005-0000-0000-000098020000}"/>
    <cellStyle name="_20061027Holux_FairPoint_IntialSetup_Focus_FP_CAMPITReporting_Maintenance_Dashboard 2" xfId="755" xr:uid="{00000000-0005-0000-0000-000099020000}"/>
    <cellStyle name="_20061027Holux_FairPoint_IntialSetup_Focus_FP_CAMPITReporting_Maintenance_Dashboard 3" xfId="756" xr:uid="{00000000-0005-0000-0000-00009A020000}"/>
    <cellStyle name="_20061027Holux_FairPoint_IntialSetup_Focus_FP_Commissions_Req_Dn_ProgramWorkBook_10-Dec-2010" xfId="757" xr:uid="{00000000-0005-0000-0000-00009B020000}"/>
    <cellStyle name="_20061027Holux_FairPoint_IntialSetup_Focus_FP_Commissions_Req_Dn_ProgramWorkBook_10-Dec-2010 2" xfId="758" xr:uid="{00000000-0005-0000-0000-00009C020000}"/>
    <cellStyle name="_20061027Holux_FairPoint_IntialSetup_Focus_FP_Commissions_Req_Dn_ProgramWorkBook_10-Dec-2010 3" xfId="759" xr:uid="{00000000-0005-0000-0000-00009D020000}"/>
    <cellStyle name="_20061027Holux_FairPoint_IntialSetup_Focus_FP_DW_Impl_ProgramWorkBook_07-Jan-2011" xfId="760" xr:uid="{00000000-0005-0000-0000-00009E020000}"/>
    <cellStyle name="_20061027Holux_FairPoint_IntialSetup_Focus_FP_DW_Impl_ProgramWorkBook_07-Jan-2011 2" xfId="761" xr:uid="{00000000-0005-0000-0000-00009F020000}"/>
    <cellStyle name="_20061027Holux_FairPoint_IntialSetup_Focus_FP_DW_Impl_ProgramWorkBook_07-Jan-2011 2 2" xfId="762" xr:uid="{00000000-0005-0000-0000-0000A0020000}"/>
    <cellStyle name="_20061027Holux_FairPoint_IntialSetup_Focus_FP_DW_Impl_ProgramWorkBook_07-Jan-2011 2 3" xfId="763" xr:uid="{00000000-0005-0000-0000-0000A1020000}"/>
    <cellStyle name="_20061027Holux_FairPoint_IntialSetup_Focus_FP_DW_Impl_ProgramWorkBook_07-Jan-2011 3" xfId="764" xr:uid="{00000000-0005-0000-0000-0000A2020000}"/>
    <cellStyle name="_20061027Holux_FairPoint_IntialSetup_Focus_FP_DW_Impl_ProgramWorkBook_07-Jan-2011 4" xfId="765" xr:uid="{00000000-0005-0000-0000-0000A3020000}"/>
    <cellStyle name="_20061027Holux_FairPoint_IntialSetup_Focus_FP_DW_Impl_ProgramWorkBook_11-Feb-2011" xfId="766" xr:uid="{00000000-0005-0000-0000-0000A4020000}"/>
    <cellStyle name="_20061027Holux_FairPoint_IntialSetup_Focus_FP_DW_Impl_ProgramWorkBook_11-Feb-2011 2" xfId="767" xr:uid="{00000000-0005-0000-0000-0000A5020000}"/>
    <cellStyle name="_20061027Holux_FairPoint_IntialSetup_Focus_FP_DW_Impl_ProgramWorkBook_11-Feb-2011 3" xfId="768" xr:uid="{00000000-0005-0000-0000-0000A6020000}"/>
    <cellStyle name="_20061027Holux_FairPoint_IntialSetup_Focus_FP_DW_Impl_ProgramWorkBook_18-Feb-2011 - Working" xfId="769" xr:uid="{00000000-0005-0000-0000-0000A7020000}"/>
    <cellStyle name="_20061027Holux_FairPoint_IntialSetup_Focus_FP_DW_Impl_ProgramWorkBook_18-Feb-2011 - Working 2" xfId="770" xr:uid="{00000000-0005-0000-0000-0000A8020000}"/>
    <cellStyle name="_20061027Holux_FairPoint_IntialSetup_Focus_FP_DW_Impl_ProgramWorkBook_18-Feb-2011 - Working 3" xfId="771" xr:uid="{00000000-0005-0000-0000-0000A9020000}"/>
    <cellStyle name="_20061027Holux_FairPoint_IntialSetup_Focus_FP_EnterprisePortal_ProgramWorkbook" xfId="772" xr:uid="{00000000-0005-0000-0000-0000AA020000}"/>
    <cellStyle name="_20061027Holux_FairPoint_IntialSetup_Focus_FP_EnterprisePortal_ProgramWorkbook 2" xfId="773" xr:uid="{00000000-0005-0000-0000-0000AB020000}"/>
    <cellStyle name="_20061027Holux_FairPoint_IntialSetup_Focus_FP_EnterprisePortal_ProgramWorkbook 3" xfId="774" xr:uid="{00000000-0005-0000-0000-0000AC020000}"/>
    <cellStyle name="_20061027Holux_FairPoint_IntialSetup_Focus_FP_SAP_MLP v2" xfId="775" xr:uid="{00000000-0005-0000-0000-0000AD020000}"/>
    <cellStyle name="_20061027Holux_FairPoint_IntialSetup_Focus_FP_SAP_MLP v2 2" xfId="776" xr:uid="{00000000-0005-0000-0000-0000AE020000}"/>
    <cellStyle name="_20061027Holux_FairPoint_IntialSetup_Focus_FP_SAP_MLP v2 3" xfId="777" xr:uid="{00000000-0005-0000-0000-0000AF020000}"/>
    <cellStyle name="_20061027Holux_FairPoint_IntialSetup_Focus_KeyDecisions" xfId="778" xr:uid="{00000000-0005-0000-0000-0000B0020000}"/>
    <cellStyle name="_20061027Holux_FairPoint_IntialSetup_Focus_KeyDecisions 2" xfId="779" xr:uid="{00000000-0005-0000-0000-0000B1020000}"/>
    <cellStyle name="_20061027Holux_FairPoint_IntialSetup_Focus_KeyDecisions 3" xfId="780" xr:uid="{00000000-0005-0000-0000-0000B2020000}"/>
    <cellStyle name="_20061027Holux_FairPoint_IntialSetup_Focus_Sophia_Imp_ProjectWorkBook_02_18_2011" xfId="781" xr:uid="{00000000-0005-0000-0000-0000B3020000}"/>
    <cellStyle name="_20061027Holux_FairPoint_IntialSetup_Focus_Sophia_Imp_ProjectWorkBook_02_18_2011 2" xfId="782" xr:uid="{00000000-0005-0000-0000-0000B4020000}"/>
    <cellStyle name="_20061027Holux_FairPoint_IntialSetup_Focus_Sophia_Imp_ProjectWorkBook_02_18_2011 3" xfId="783" xr:uid="{00000000-0005-0000-0000-0000B5020000}"/>
    <cellStyle name="_20061027Holux_FairPoint_IntialSetup_Focus_t" xfId="784" xr:uid="{00000000-0005-0000-0000-0000B6020000}"/>
    <cellStyle name="_20061027Holux_FairPoint_IntialSetup_Focus_t 2" xfId="785" xr:uid="{00000000-0005-0000-0000-0000B7020000}"/>
    <cellStyle name="_20061027Holux_FairPoint_IntialSetup_Focus_t 3" xfId="786" xr:uid="{00000000-0005-0000-0000-0000B8020000}"/>
    <cellStyle name="_20061027Holux_FairPoint_TechnicalImplementation_Plan" xfId="787" xr:uid="{00000000-0005-0000-0000-0000B9020000}"/>
    <cellStyle name="_20061027Holux_FairPoint_TechnicalImplementation_Plan 2" xfId="788" xr:uid="{00000000-0005-0000-0000-0000BA020000}"/>
    <cellStyle name="_20061027Holux_FairPoint_TechnicalImplementation_Plan 2 2" xfId="789" xr:uid="{00000000-0005-0000-0000-0000BB020000}"/>
    <cellStyle name="_20061027Holux_FairPoint_TechnicalImplementation_Plan 2 3" xfId="790" xr:uid="{00000000-0005-0000-0000-0000BC020000}"/>
    <cellStyle name="_20061027Holux_FairPoint_TechnicalImplementation_Plan 3" xfId="791" xr:uid="{00000000-0005-0000-0000-0000BD020000}"/>
    <cellStyle name="_20061027Holux_FairPoint_TechnicalImplementation_Plan 3 2" xfId="792" xr:uid="{00000000-0005-0000-0000-0000BE020000}"/>
    <cellStyle name="_20061027Holux_FairPoint_TechnicalImplementation_Plan 3 3" xfId="793" xr:uid="{00000000-0005-0000-0000-0000BF020000}"/>
    <cellStyle name="_20061027Holux_FairPoint_TechnicalImplementation_Plan 4" xfId="794" xr:uid="{00000000-0005-0000-0000-0000C0020000}"/>
    <cellStyle name="_20061027Holux_FairPoint_TechnicalImplementation_Plan 5" xfId="795" xr:uid="{00000000-0005-0000-0000-0000C1020000}"/>
    <cellStyle name="_20061027Holux_FairPoint_TechnicalImplementation_Plan_Commissioning System Implementation_Project Workbook_06_10_2011" xfId="796" xr:uid="{00000000-0005-0000-0000-0000C2020000}"/>
    <cellStyle name="_20061027Holux_FairPoint_TechnicalImplementation_Plan_Commissioning System Implementation_Project Workbook_06_10_2011 2" xfId="797" xr:uid="{00000000-0005-0000-0000-0000C3020000}"/>
    <cellStyle name="_20061027Holux_FairPoint_TechnicalImplementation_Plan_Commissioning System Implementation_Project Workbook_06_10_2011 3" xfId="798" xr:uid="{00000000-0005-0000-0000-0000C4020000}"/>
    <cellStyle name="_20061027Holux_FairPoint_TechnicalImplementation_Plan_FairPoint_CampReport" xfId="799" xr:uid="{00000000-0005-0000-0000-0000C5020000}"/>
    <cellStyle name="_20061027Holux_FairPoint_TechnicalImplementation_Plan_FairPoint_CampReport 2" xfId="800" xr:uid="{00000000-0005-0000-0000-0000C6020000}"/>
    <cellStyle name="_20061027Holux_FairPoint_TechnicalImplementation_Plan_FairPoint_CampReport 3" xfId="801" xr:uid="{00000000-0005-0000-0000-0000C7020000}"/>
    <cellStyle name="_20061027Holux_FairPoint_TechnicalImplementation_Plan_FairPoint_FP comTechOps_ProgramWorkbook" xfId="802" xr:uid="{00000000-0005-0000-0000-0000C8020000}"/>
    <cellStyle name="_20061027Holux_FairPoint_TechnicalImplementation_Plan_FairPoint_FP comTechOps_ProgramWorkbook 2" xfId="803" xr:uid="{00000000-0005-0000-0000-0000C9020000}"/>
    <cellStyle name="_20061027Holux_FairPoint_TechnicalImplementation_Plan_FairPoint_FP comTechOps_ProgramWorkbook 3" xfId="804" xr:uid="{00000000-0005-0000-0000-0000CA020000}"/>
    <cellStyle name="_20061027Holux_FairPoint_TechnicalImplementation_Plan_FairPoint_FP comTechOps_ProgramWorkbook_sachin" xfId="805" xr:uid="{00000000-0005-0000-0000-0000CB020000}"/>
    <cellStyle name="_20061027Holux_FairPoint_TechnicalImplementation_Plan_FairPoint_FP comTechOps_ProgramWorkbook_sachin 2" xfId="806" xr:uid="{00000000-0005-0000-0000-0000CC020000}"/>
    <cellStyle name="_20061027Holux_FairPoint_TechnicalImplementation_Plan_FairPoint_FP comTechOps_ProgramWorkbook_sachin 3" xfId="807" xr:uid="{00000000-0005-0000-0000-0000CD020000}"/>
    <cellStyle name="_20061027Holux_FairPoint_TechnicalImplementation_Plan_FairPoint_FP comTechOps_ProgramWorkbook_sachin_v1" xfId="808" xr:uid="{00000000-0005-0000-0000-0000CE020000}"/>
    <cellStyle name="_20061027Holux_FairPoint_TechnicalImplementation_Plan_FairPoint_FP comTechOps_ProgramWorkbook_sachin_v1 2" xfId="809" xr:uid="{00000000-0005-0000-0000-0000CF020000}"/>
    <cellStyle name="_20061027Holux_FairPoint_TechnicalImplementation_Plan_FairPoint_FP comTechOps_ProgramWorkbook_sachin_v1 3" xfId="810" xr:uid="{00000000-0005-0000-0000-0000D0020000}"/>
    <cellStyle name="_20061027Holux_FairPoint_TechnicalImplementation_Plan_FP_CAMP&amp;ITReporting_Maintenance_Dashboard" xfId="811" xr:uid="{00000000-0005-0000-0000-0000D1020000}"/>
    <cellStyle name="_20061027Holux_FairPoint_TechnicalImplementation_Plan_FP_CAMP&amp;ITReporting_Maintenance_Dashboard 2" xfId="812" xr:uid="{00000000-0005-0000-0000-0000D2020000}"/>
    <cellStyle name="_20061027Holux_FairPoint_TechnicalImplementation_Plan_FP_CAMP&amp;ITReporting_Maintenance_Dashboard 3" xfId="813" xr:uid="{00000000-0005-0000-0000-0000D3020000}"/>
    <cellStyle name="_20061027Holux_FairPoint_TechnicalImplementation_Plan_FP_CAMPITReporting_Maintenance_Dashboard" xfId="814" xr:uid="{00000000-0005-0000-0000-0000D4020000}"/>
    <cellStyle name="_20061027Holux_FairPoint_TechnicalImplementation_Plan_FP_CAMPITReporting_Maintenance_Dashboard 2" xfId="815" xr:uid="{00000000-0005-0000-0000-0000D5020000}"/>
    <cellStyle name="_20061027Holux_FairPoint_TechnicalImplementation_Plan_FP_CAMPITReporting_Maintenance_Dashboard 3" xfId="816" xr:uid="{00000000-0005-0000-0000-0000D6020000}"/>
    <cellStyle name="_20061027Holux_FairPoint_TechnicalImplementation_Plan_FP_Commissions_Req_Dn_ProgramWorkBook_10-Dec-2010" xfId="817" xr:uid="{00000000-0005-0000-0000-0000D7020000}"/>
    <cellStyle name="_20061027Holux_FairPoint_TechnicalImplementation_Plan_FP_Commissions_Req_Dn_ProgramWorkBook_10-Dec-2010 2" xfId="818" xr:uid="{00000000-0005-0000-0000-0000D8020000}"/>
    <cellStyle name="_20061027Holux_FairPoint_TechnicalImplementation_Plan_FP_Commissions_Req_Dn_ProgramWorkBook_10-Dec-2010 3" xfId="819" xr:uid="{00000000-0005-0000-0000-0000D9020000}"/>
    <cellStyle name="_20061027Holux_FairPoint_TechnicalImplementation_Plan_FP_DW_Impl_ProgramWorkBook_07-Jan-2011" xfId="820" xr:uid="{00000000-0005-0000-0000-0000DA020000}"/>
    <cellStyle name="_20061027Holux_FairPoint_TechnicalImplementation_Plan_FP_DW_Impl_ProgramWorkBook_07-Jan-2011 2" xfId="821" xr:uid="{00000000-0005-0000-0000-0000DB020000}"/>
    <cellStyle name="_20061027Holux_FairPoint_TechnicalImplementation_Plan_FP_DW_Impl_ProgramWorkBook_07-Jan-2011 2 2" xfId="822" xr:uid="{00000000-0005-0000-0000-0000DC020000}"/>
    <cellStyle name="_20061027Holux_FairPoint_TechnicalImplementation_Plan_FP_DW_Impl_ProgramWorkBook_07-Jan-2011 2 3" xfId="823" xr:uid="{00000000-0005-0000-0000-0000DD020000}"/>
    <cellStyle name="_20061027Holux_FairPoint_TechnicalImplementation_Plan_FP_DW_Impl_ProgramWorkBook_07-Jan-2011 3" xfId="824" xr:uid="{00000000-0005-0000-0000-0000DE020000}"/>
    <cellStyle name="_20061027Holux_FairPoint_TechnicalImplementation_Plan_FP_DW_Impl_ProgramWorkBook_07-Jan-2011 4" xfId="825" xr:uid="{00000000-0005-0000-0000-0000DF020000}"/>
    <cellStyle name="_20061027Holux_FairPoint_TechnicalImplementation_Plan_FP_DW_Impl_ProgramWorkBook_11-Feb-2011" xfId="826" xr:uid="{00000000-0005-0000-0000-0000E0020000}"/>
    <cellStyle name="_20061027Holux_FairPoint_TechnicalImplementation_Plan_FP_DW_Impl_ProgramWorkBook_11-Feb-2011 2" xfId="827" xr:uid="{00000000-0005-0000-0000-0000E1020000}"/>
    <cellStyle name="_20061027Holux_FairPoint_TechnicalImplementation_Plan_FP_DW_Impl_ProgramWorkBook_11-Feb-2011 3" xfId="828" xr:uid="{00000000-0005-0000-0000-0000E2020000}"/>
    <cellStyle name="_20061027Holux_FairPoint_TechnicalImplementation_Plan_FP_DW_Impl_ProgramWorkBook_18-Feb-2011 - Working" xfId="829" xr:uid="{00000000-0005-0000-0000-0000E3020000}"/>
    <cellStyle name="_20061027Holux_FairPoint_TechnicalImplementation_Plan_FP_DW_Impl_ProgramWorkBook_18-Feb-2011 - Working 2" xfId="830" xr:uid="{00000000-0005-0000-0000-0000E4020000}"/>
    <cellStyle name="_20061027Holux_FairPoint_TechnicalImplementation_Plan_FP_DW_Impl_ProgramWorkBook_18-Feb-2011 - Working 3" xfId="831" xr:uid="{00000000-0005-0000-0000-0000E5020000}"/>
    <cellStyle name="_20061027Holux_FairPoint_TechnicalImplementation_Plan_FP_EnterprisePortal_ProgramWorkbook" xfId="832" xr:uid="{00000000-0005-0000-0000-0000E6020000}"/>
    <cellStyle name="_20061027Holux_FairPoint_TechnicalImplementation_Plan_FP_EnterprisePortal_ProgramWorkbook 2" xfId="833" xr:uid="{00000000-0005-0000-0000-0000E7020000}"/>
    <cellStyle name="_20061027Holux_FairPoint_TechnicalImplementation_Plan_FP_EnterprisePortal_ProgramWorkbook 3" xfId="834" xr:uid="{00000000-0005-0000-0000-0000E8020000}"/>
    <cellStyle name="_20061027Holux_FairPoint_TechnicalImplementation_Plan_FP_SAP_MLP v2" xfId="835" xr:uid="{00000000-0005-0000-0000-0000E9020000}"/>
    <cellStyle name="_20061027Holux_FairPoint_TechnicalImplementation_Plan_FP_SAP_MLP v2 2" xfId="836" xr:uid="{00000000-0005-0000-0000-0000EA020000}"/>
    <cellStyle name="_20061027Holux_FairPoint_TechnicalImplementation_Plan_FP_SAP_MLP v2 3" xfId="837" xr:uid="{00000000-0005-0000-0000-0000EB020000}"/>
    <cellStyle name="_20061027Holux_FairPoint_TechnicalImplementation_Plan_KeyDecisions" xfId="838" xr:uid="{00000000-0005-0000-0000-0000EC020000}"/>
    <cellStyle name="_20061027Holux_FairPoint_TechnicalImplementation_Plan_KeyDecisions 2" xfId="839" xr:uid="{00000000-0005-0000-0000-0000ED020000}"/>
    <cellStyle name="_20061027Holux_FairPoint_TechnicalImplementation_Plan_KeyDecisions 3" xfId="840" xr:uid="{00000000-0005-0000-0000-0000EE020000}"/>
    <cellStyle name="_20061027Holux_FairPoint_TechnicalImplementation_Plan_Sophia_Imp_ProjectWorkBook_02_18_2011" xfId="841" xr:uid="{00000000-0005-0000-0000-0000EF020000}"/>
    <cellStyle name="_20061027Holux_FairPoint_TechnicalImplementation_Plan_Sophia_Imp_ProjectWorkBook_02_18_2011 2" xfId="842" xr:uid="{00000000-0005-0000-0000-0000F0020000}"/>
    <cellStyle name="_20061027Holux_FairPoint_TechnicalImplementation_Plan_Sophia_Imp_ProjectWorkBook_02_18_2011 3" xfId="843" xr:uid="{00000000-0005-0000-0000-0000F1020000}"/>
    <cellStyle name="_20061027Holux_FairPoint_TechnicalImplementation_Plan_t" xfId="844" xr:uid="{00000000-0005-0000-0000-0000F2020000}"/>
    <cellStyle name="_20061027Holux_FairPoint_TechnicalImplementation_Plan_t 2" xfId="845" xr:uid="{00000000-0005-0000-0000-0000F3020000}"/>
    <cellStyle name="_20061027Holux_FairPoint_TechnicalImplementation_Plan_t 3" xfId="846" xr:uid="{00000000-0005-0000-0000-0000F4020000}"/>
    <cellStyle name="_20061027Holux_FP_CAMP&amp;ITReporting_Maintenance_Dashboard" xfId="847" xr:uid="{00000000-0005-0000-0000-0000F5020000}"/>
    <cellStyle name="_20061027Holux_FP_CAMP&amp;ITReporting_Maintenance_Dashboard 2" xfId="848" xr:uid="{00000000-0005-0000-0000-0000F6020000}"/>
    <cellStyle name="_20061027Holux_FP_CAMP&amp;ITReporting_Maintenance_Dashboard 3" xfId="849" xr:uid="{00000000-0005-0000-0000-0000F7020000}"/>
    <cellStyle name="_20061027Holux_FP_CAMPITReporting_Maintenance_Dashboard" xfId="850" xr:uid="{00000000-0005-0000-0000-0000F8020000}"/>
    <cellStyle name="_20061027Holux_FP_CAMPITReporting_Maintenance_Dashboard 2" xfId="851" xr:uid="{00000000-0005-0000-0000-0000F9020000}"/>
    <cellStyle name="_20061027Holux_FP_CAMPITReporting_Maintenance_Dashboard 3" xfId="852" xr:uid="{00000000-0005-0000-0000-0000FA020000}"/>
    <cellStyle name="_20061027Holux_FP_Commissions_Req_Dn_ProgramWorkBook_10-Dec-2010" xfId="853" xr:uid="{00000000-0005-0000-0000-0000FB020000}"/>
    <cellStyle name="_20061027Holux_FP_Commissions_Req_Dn_ProgramWorkBook_10-Dec-2010 2" xfId="854" xr:uid="{00000000-0005-0000-0000-0000FC020000}"/>
    <cellStyle name="_20061027Holux_FP_Commissions_Req_Dn_ProgramWorkBook_10-Dec-2010 3" xfId="855" xr:uid="{00000000-0005-0000-0000-0000FD020000}"/>
    <cellStyle name="_20061027Holux_FP_DW_Impl_ProgramWorkBook_03-Dec-2010111" xfId="856" xr:uid="{00000000-0005-0000-0000-0000FE020000}"/>
    <cellStyle name="_20061027Holux_FP_DW_Impl_ProgramWorkBook_03-Dec-2010111 2" xfId="857" xr:uid="{00000000-0005-0000-0000-0000FF020000}"/>
    <cellStyle name="_20061027Holux_FP_DW_Impl_ProgramWorkBook_03-Dec-2010111 3" xfId="858" xr:uid="{00000000-0005-0000-0000-000000030000}"/>
    <cellStyle name="_20061027Holux_FP_DW_Impl_ProgramWorkBook_07-Jan-2011" xfId="859" xr:uid="{00000000-0005-0000-0000-000001030000}"/>
    <cellStyle name="_20061027Holux_FP_DW_Impl_ProgramWorkBook_07-Jan-2011 2" xfId="860" xr:uid="{00000000-0005-0000-0000-000002030000}"/>
    <cellStyle name="_20061027Holux_FP_DW_Impl_ProgramWorkBook_07-Jan-2011 3" xfId="861" xr:uid="{00000000-0005-0000-0000-000003030000}"/>
    <cellStyle name="_20061027Holux_FP_DW_Impl_ProgramWorkBook_11-Feb-2011" xfId="862" xr:uid="{00000000-0005-0000-0000-000004030000}"/>
    <cellStyle name="_20061027Holux_FP_DW_Impl_ProgramWorkBook_11-Feb-2011 2" xfId="863" xr:uid="{00000000-0005-0000-0000-000005030000}"/>
    <cellStyle name="_20061027Holux_FP_DW_Impl_ProgramWorkBook_11-Feb-2011 3" xfId="864" xr:uid="{00000000-0005-0000-0000-000006030000}"/>
    <cellStyle name="_20061027Holux_FP_DW_Impl_ProgramWorkBook_18-Feb-2011 - Working" xfId="865" xr:uid="{00000000-0005-0000-0000-000007030000}"/>
    <cellStyle name="_20061027Holux_FP_DW_Impl_ProgramWorkBook_18-Feb-2011 - Working 2" xfId="866" xr:uid="{00000000-0005-0000-0000-000008030000}"/>
    <cellStyle name="_20061027Holux_FP_DW_Impl_ProgramWorkBook_18-Feb-2011 - Working 3" xfId="867" xr:uid="{00000000-0005-0000-0000-000009030000}"/>
    <cellStyle name="_20061027Holux_FP_EnterprisePortal_ProgramWorkbook" xfId="868" xr:uid="{00000000-0005-0000-0000-00000A030000}"/>
    <cellStyle name="_20061027Holux_FP_EnterprisePortal_ProgramWorkbook 2" xfId="869" xr:uid="{00000000-0005-0000-0000-00000B030000}"/>
    <cellStyle name="_20061027Holux_FP_EnterprisePortal_ProgramWorkbook 3" xfId="870" xr:uid="{00000000-0005-0000-0000-00000C030000}"/>
    <cellStyle name="_20061027Holux_FP_SAP_MLP v2" xfId="871" xr:uid="{00000000-0005-0000-0000-00000D030000}"/>
    <cellStyle name="_20061027Holux_FP_SAP_MLP v2 2" xfId="872" xr:uid="{00000000-0005-0000-0000-00000E030000}"/>
    <cellStyle name="_20061027Holux_FP_SAP_MLP v2 3" xfId="873" xr:uid="{00000000-0005-0000-0000-00000F030000}"/>
    <cellStyle name="_20061027Holux_KeyDecisions" xfId="874" xr:uid="{00000000-0005-0000-0000-000010030000}"/>
    <cellStyle name="_20061027Holux_KeyDecisions 2" xfId="875" xr:uid="{00000000-0005-0000-0000-000011030000}"/>
    <cellStyle name="_20061027Holux_KeyDecisions 3" xfId="876" xr:uid="{00000000-0005-0000-0000-000012030000}"/>
    <cellStyle name="_20061027Holux_LoanOriginationPMWorkbook 23Feb2010" xfId="877" xr:uid="{00000000-0005-0000-0000-000013030000}"/>
    <cellStyle name="_20061027Holux_LoanOriginationPMWorkbook 23Feb2010 2" xfId="878" xr:uid="{00000000-0005-0000-0000-000014030000}"/>
    <cellStyle name="_20061027Holux_LoanOriginationPMWorkbook 23Feb2010 3" xfId="879" xr:uid="{00000000-0005-0000-0000-000015030000}"/>
    <cellStyle name="_20061027Holux_LoanOriginationPMWorkbook 23Feb2010_slm_llp_0520" xfId="880" xr:uid="{00000000-0005-0000-0000-000016030000}"/>
    <cellStyle name="_20061027Holux_LoanOriginationPMWorkbook 23Feb2010_slm_llp_0520 2" xfId="881" xr:uid="{00000000-0005-0000-0000-000017030000}"/>
    <cellStyle name="_20061027Holux_LoanOriginationPMWorkbook 23Feb2010_slm_llp_0520 2 2" xfId="882" xr:uid="{00000000-0005-0000-0000-000018030000}"/>
    <cellStyle name="_20061027Holux_LoanOriginationPMWorkbook 23Feb2010_slm_llp_0520 2 3" xfId="883" xr:uid="{00000000-0005-0000-0000-000019030000}"/>
    <cellStyle name="_20061027Holux_LoanOriginationPMWorkbook 23Feb2010_slm_llp_0520 3" xfId="884" xr:uid="{00000000-0005-0000-0000-00001A030000}"/>
    <cellStyle name="_20061027Holux_LoanOriginationPMWorkbook 23Feb2010_slm_llp_0520 3 2" xfId="885" xr:uid="{00000000-0005-0000-0000-00001B030000}"/>
    <cellStyle name="_20061027Holux_LoanOriginationPMWorkbook 23Feb2010_slm_llp_0520 3 3" xfId="886" xr:uid="{00000000-0005-0000-0000-00001C030000}"/>
    <cellStyle name="_20061027Holux_LoanOriginationPMWorkbook 23Feb2010_slm_llp_0520 4" xfId="887" xr:uid="{00000000-0005-0000-0000-00001D030000}"/>
    <cellStyle name="_20061027Holux_LoanOriginationPMWorkbook 23Feb2010_slm_llp_0520 5" xfId="888" xr:uid="{00000000-0005-0000-0000-00001E030000}"/>
    <cellStyle name="_20061027Holux_LoanOriginationPMWorkbook 23Feb2010_slm_llp_0520_Commissioning System Implementation_Project Workbook_06_10_2011" xfId="889" xr:uid="{00000000-0005-0000-0000-00001F030000}"/>
    <cellStyle name="_20061027Holux_LoanOriginationPMWorkbook 23Feb2010_slm_llp_0520_Commissioning System Implementation_Project Workbook_06_10_2011 2" xfId="890" xr:uid="{00000000-0005-0000-0000-000020030000}"/>
    <cellStyle name="_20061027Holux_LoanOriginationPMWorkbook 23Feb2010_slm_llp_0520_Commissioning System Implementation_Project Workbook_06_10_2011 3" xfId="891" xr:uid="{00000000-0005-0000-0000-000021030000}"/>
    <cellStyle name="_20061027Holux_LoanOriginationPMWorkbook 23Feb2010_slm_llp_0520_FairPoint_CampReport" xfId="892" xr:uid="{00000000-0005-0000-0000-000022030000}"/>
    <cellStyle name="_20061027Holux_LoanOriginationPMWorkbook 23Feb2010_slm_llp_0520_FairPoint_CampReport 2" xfId="893" xr:uid="{00000000-0005-0000-0000-000023030000}"/>
    <cellStyle name="_20061027Holux_LoanOriginationPMWorkbook 23Feb2010_slm_llp_0520_FairPoint_CampReport 3" xfId="894" xr:uid="{00000000-0005-0000-0000-000024030000}"/>
    <cellStyle name="_20061027Holux_LoanOriginationPMWorkbook 23Feb2010_slm_llp_0520_FairPoint_FP comTechOps_ProgramWorkbook" xfId="895" xr:uid="{00000000-0005-0000-0000-000025030000}"/>
    <cellStyle name="_20061027Holux_LoanOriginationPMWorkbook 23Feb2010_slm_llp_0520_FairPoint_FP comTechOps_ProgramWorkbook 2" xfId="896" xr:uid="{00000000-0005-0000-0000-000026030000}"/>
    <cellStyle name="_20061027Holux_LoanOriginationPMWorkbook 23Feb2010_slm_llp_0520_FairPoint_FP comTechOps_ProgramWorkbook 3" xfId="897" xr:uid="{00000000-0005-0000-0000-000027030000}"/>
    <cellStyle name="_20061027Holux_LoanOriginationPMWorkbook 23Feb2010_slm_llp_0520_FairPoint_FP comTechOps_ProgramWorkbook_sachin" xfId="898" xr:uid="{00000000-0005-0000-0000-000028030000}"/>
    <cellStyle name="_20061027Holux_LoanOriginationPMWorkbook 23Feb2010_slm_llp_0520_FairPoint_FP comTechOps_ProgramWorkbook_sachin 2" xfId="899" xr:uid="{00000000-0005-0000-0000-000029030000}"/>
    <cellStyle name="_20061027Holux_LoanOriginationPMWorkbook 23Feb2010_slm_llp_0520_FairPoint_FP comTechOps_ProgramWorkbook_sachin 3" xfId="900" xr:uid="{00000000-0005-0000-0000-00002A030000}"/>
    <cellStyle name="_20061027Holux_LoanOriginationPMWorkbook 23Feb2010_slm_llp_0520_FairPoint_FP comTechOps_ProgramWorkbook_sachin_v1" xfId="901" xr:uid="{00000000-0005-0000-0000-00002B030000}"/>
    <cellStyle name="_20061027Holux_LoanOriginationPMWorkbook 23Feb2010_slm_llp_0520_FairPoint_FP comTechOps_ProgramWorkbook_sachin_v1 2" xfId="902" xr:uid="{00000000-0005-0000-0000-00002C030000}"/>
    <cellStyle name="_20061027Holux_LoanOriginationPMWorkbook 23Feb2010_slm_llp_0520_FairPoint_FP comTechOps_ProgramWorkbook_sachin_v1 3" xfId="903" xr:uid="{00000000-0005-0000-0000-00002D030000}"/>
    <cellStyle name="_20061027Holux_LoanOriginationPMWorkbook 23Feb2010_slm_llp_0520_FP_CAMP&amp;ITReporting_Maintenance_Dashboard" xfId="904" xr:uid="{00000000-0005-0000-0000-00002E030000}"/>
    <cellStyle name="_20061027Holux_LoanOriginationPMWorkbook 23Feb2010_slm_llp_0520_FP_CAMP&amp;ITReporting_Maintenance_Dashboard 2" xfId="905" xr:uid="{00000000-0005-0000-0000-00002F030000}"/>
    <cellStyle name="_20061027Holux_LoanOriginationPMWorkbook 23Feb2010_slm_llp_0520_FP_CAMP&amp;ITReporting_Maintenance_Dashboard 3" xfId="906" xr:uid="{00000000-0005-0000-0000-000030030000}"/>
    <cellStyle name="_20061027Holux_LoanOriginationPMWorkbook 23Feb2010_slm_llp_0520_FP_CAMPITReporting_Maintenance_Dashboard" xfId="907" xr:uid="{00000000-0005-0000-0000-000031030000}"/>
    <cellStyle name="_20061027Holux_LoanOriginationPMWorkbook 23Feb2010_slm_llp_0520_FP_CAMPITReporting_Maintenance_Dashboard 2" xfId="908" xr:uid="{00000000-0005-0000-0000-000032030000}"/>
    <cellStyle name="_20061027Holux_LoanOriginationPMWorkbook 23Feb2010_slm_llp_0520_FP_CAMPITReporting_Maintenance_Dashboard 3" xfId="909" xr:uid="{00000000-0005-0000-0000-000033030000}"/>
    <cellStyle name="_20061027Holux_LoanOriginationPMWorkbook 23Feb2010_slm_llp_0520_FP_Commissions_Req_Dn_ProgramWorkBook_10-Dec-2010" xfId="910" xr:uid="{00000000-0005-0000-0000-000034030000}"/>
    <cellStyle name="_20061027Holux_LoanOriginationPMWorkbook 23Feb2010_slm_llp_0520_FP_Commissions_Req_Dn_ProgramWorkBook_10-Dec-2010 2" xfId="911" xr:uid="{00000000-0005-0000-0000-000035030000}"/>
    <cellStyle name="_20061027Holux_LoanOriginationPMWorkbook 23Feb2010_slm_llp_0520_FP_Commissions_Req_Dn_ProgramWorkBook_10-Dec-2010 3" xfId="912" xr:uid="{00000000-0005-0000-0000-000036030000}"/>
    <cellStyle name="_20061027Holux_LoanOriginationPMWorkbook 23Feb2010_slm_llp_0520_FP_DW_Impl_ProgramWorkBook_07-Jan-2011" xfId="913" xr:uid="{00000000-0005-0000-0000-000037030000}"/>
    <cellStyle name="_20061027Holux_LoanOriginationPMWorkbook 23Feb2010_slm_llp_0520_FP_DW_Impl_ProgramWorkBook_07-Jan-2011 2" xfId="914" xr:uid="{00000000-0005-0000-0000-000038030000}"/>
    <cellStyle name="_20061027Holux_LoanOriginationPMWorkbook 23Feb2010_slm_llp_0520_FP_DW_Impl_ProgramWorkBook_07-Jan-2011 2 2" xfId="915" xr:uid="{00000000-0005-0000-0000-000039030000}"/>
    <cellStyle name="_20061027Holux_LoanOriginationPMWorkbook 23Feb2010_slm_llp_0520_FP_DW_Impl_ProgramWorkBook_07-Jan-2011 2 3" xfId="916" xr:uid="{00000000-0005-0000-0000-00003A030000}"/>
    <cellStyle name="_20061027Holux_LoanOriginationPMWorkbook 23Feb2010_slm_llp_0520_FP_DW_Impl_ProgramWorkBook_07-Jan-2011 3" xfId="917" xr:uid="{00000000-0005-0000-0000-00003B030000}"/>
    <cellStyle name="_20061027Holux_LoanOriginationPMWorkbook 23Feb2010_slm_llp_0520_FP_DW_Impl_ProgramWorkBook_07-Jan-2011 4" xfId="918" xr:uid="{00000000-0005-0000-0000-00003C030000}"/>
    <cellStyle name="_20061027Holux_LoanOriginationPMWorkbook 23Feb2010_slm_llp_0520_FP_DW_Impl_ProgramWorkBook_11-Feb-2011" xfId="919" xr:uid="{00000000-0005-0000-0000-00003D030000}"/>
    <cellStyle name="_20061027Holux_LoanOriginationPMWorkbook 23Feb2010_slm_llp_0520_FP_DW_Impl_ProgramWorkBook_11-Feb-2011 2" xfId="920" xr:uid="{00000000-0005-0000-0000-00003E030000}"/>
    <cellStyle name="_20061027Holux_LoanOriginationPMWorkbook 23Feb2010_slm_llp_0520_FP_DW_Impl_ProgramWorkBook_11-Feb-2011 3" xfId="921" xr:uid="{00000000-0005-0000-0000-00003F030000}"/>
    <cellStyle name="_20061027Holux_LoanOriginationPMWorkbook 23Feb2010_slm_llp_0520_FP_DW_Impl_ProgramWorkBook_18-Feb-2011 - Working" xfId="922" xr:uid="{00000000-0005-0000-0000-000040030000}"/>
    <cellStyle name="_20061027Holux_LoanOriginationPMWorkbook 23Feb2010_slm_llp_0520_FP_DW_Impl_ProgramWorkBook_18-Feb-2011 - Working 2" xfId="923" xr:uid="{00000000-0005-0000-0000-000041030000}"/>
    <cellStyle name="_20061027Holux_LoanOriginationPMWorkbook 23Feb2010_slm_llp_0520_FP_DW_Impl_ProgramWorkBook_18-Feb-2011 - Working 3" xfId="924" xr:uid="{00000000-0005-0000-0000-000042030000}"/>
    <cellStyle name="_20061027Holux_LoanOriginationPMWorkbook 23Feb2010_slm_llp_0520_FP_EnterprisePortal_ProgramWorkbook" xfId="925" xr:uid="{00000000-0005-0000-0000-000043030000}"/>
    <cellStyle name="_20061027Holux_LoanOriginationPMWorkbook 23Feb2010_slm_llp_0520_FP_EnterprisePortal_ProgramWorkbook 2" xfId="926" xr:uid="{00000000-0005-0000-0000-000044030000}"/>
    <cellStyle name="_20061027Holux_LoanOriginationPMWorkbook 23Feb2010_slm_llp_0520_FP_EnterprisePortal_ProgramWorkbook 3" xfId="927" xr:uid="{00000000-0005-0000-0000-000045030000}"/>
    <cellStyle name="_20061027Holux_LoanOriginationPMWorkbook 23Feb2010_slm_llp_0520_FP_SAP_MLP v2" xfId="928" xr:uid="{00000000-0005-0000-0000-000046030000}"/>
    <cellStyle name="_20061027Holux_LoanOriginationPMWorkbook 23Feb2010_slm_llp_0520_FP_SAP_MLP v2 2" xfId="929" xr:uid="{00000000-0005-0000-0000-000047030000}"/>
    <cellStyle name="_20061027Holux_LoanOriginationPMWorkbook 23Feb2010_slm_llp_0520_FP_SAP_MLP v2 3" xfId="930" xr:uid="{00000000-0005-0000-0000-000048030000}"/>
    <cellStyle name="_20061027Holux_LoanOriginationPMWorkbook 23Feb2010_slm_llp_0520_KeyDecisions" xfId="931" xr:uid="{00000000-0005-0000-0000-000049030000}"/>
    <cellStyle name="_20061027Holux_LoanOriginationPMWorkbook 23Feb2010_slm_llp_0520_KeyDecisions 2" xfId="932" xr:uid="{00000000-0005-0000-0000-00004A030000}"/>
    <cellStyle name="_20061027Holux_LoanOriginationPMWorkbook 23Feb2010_slm_llp_0520_KeyDecisions 3" xfId="933" xr:uid="{00000000-0005-0000-0000-00004B030000}"/>
    <cellStyle name="_20061027Holux_LoanOriginationPMWorkbook 23Feb2010_slm_llp_0520_Sophia_Imp_ProjectWorkBook_02_18_2011" xfId="934" xr:uid="{00000000-0005-0000-0000-00004C030000}"/>
    <cellStyle name="_20061027Holux_LoanOriginationPMWorkbook 23Feb2010_slm_llp_0520_Sophia_Imp_ProjectWorkBook_02_18_2011 2" xfId="935" xr:uid="{00000000-0005-0000-0000-00004D030000}"/>
    <cellStyle name="_20061027Holux_LoanOriginationPMWorkbook 23Feb2010_slm_llp_0520_Sophia_Imp_ProjectWorkBook_02_18_2011 3" xfId="936" xr:uid="{00000000-0005-0000-0000-00004E030000}"/>
    <cellStyle name="_20061027Holux_LoanOriginationPMWorkbook 23Feb2010_slm_llp_0520_t" xfId="937" xr:uid="{00000000-0005-0000-0000-00004F030000}"/>
    <cellStyle name="_20061027Holux_LoanOriginationPMWorkbook 23Feb2010_slm_llp_0520_t 2" xfId="938" xr:uid="{00000000-0005-0000-0000-000050030000}"/>
    <cellStyle name="_20061027Holux_LoanOriginationPMWorkbook 23Feb2010_slm_llp_0520_t 3" xfId="939" xr:uid="{00000000-0005-0000-0000-000051030000}"/>
    <cellStyle name="_20061027Holux_ProgramWorkBook" xfId="940" xr:uid="{00000000-0005-0000-0000-000052030000}"/>
    <cellStyle name="_20061027Holux_ProgramWorkBook 2" xfId="941" xr:uid="{00000000-0005-0000-0000-000053030000}"/>
    <cellStyle name="_20061027Holux_ProgramWorkBook 2 2" xfId="942" xr:uid="{00000000-0005-0000-0000-000054030000}"/>
    <cellStyle name="_20061027Holux_ProgramWorkBook 2 3" xfId="943" xr:uid="{00000000-0005-0000-0000-000055030000}"/>
    <cellStyle name="_20061027Holux_ProgramWorkBook 3" xfId="944" xr:uid="{00000000-0005-0000-0000-000056030000}"/>
    <cellStyle name="_20061027Holux_ProgramWorkBook 3 2" xfId="945" xr:uid="{00000000-0005-0000-0000-000057030000}"/>
    <cellStyle name="_20061027Holux_ProgramWorkBook 3 3" xfId="946" xr:uid="{00000000-0005-0000-0000-000058030000}"/>
    <cellStyle name="_20061027Holux_ProgramWorkBook 4" xfId="947" xr:uid="{00000000-0005-0000-0000-000059030000}"/>
    <cellStyle name="_20061027Holux_ProgramWorkBook 5" xfId="948" xr:uid="{00000000-0005-0000-0000-00005A030000}"/>
    <cellStyle name="_20061027Holux_ProgramWorkBook_CMS_SOW_Deliverables_0430" xfId="949" xr:uid="{00000000-0005-0000-0000-00005B030000}"/>
    <cellStyle name="_20061027Holux_ProgramWorkBook_CMS_SOW_Deliverables_0430 2" xfId="950" xr:uid="{00000000-0005-0000-0000-00005C030000}"/>
    <cellStyle name="_20061027Holux_ProgramWorkBook_CMS_SOW_Deliverables_0430 2 2" xfId="951" xr:uid="{00000000-0005-0000-0000-00005D030000}"/>
    <cellStyle name="_20061027Holux_ProgramWorkBook_CMS_SOW_Deliverables_0430 2 3" xfId="952" xr:uid="{00000000-0005-0000-0000-00005E030000}"/>
    <cellStyle name="_20061027Holux_ProgramWorkBook_CMS_SOW_Deliverables_0430 3" xfId="953" xr:uid="{00000000-0005-0000-0000-00005F030000}"/>
    <cellStyle name="_20061027Holux_ProgramWorkBook_CMS_SOW_Deliverables_0430 3 2" xfId="954" xr:uid="{00000000-0005-0000-0000-000060030000}"/>
    <cellStyle name="_20061027Holux_ProgramWorkBook_CMS_SOW_Deliverables_0430 3 3" xfId="955" xr:uid="{00000000-0005-0000-0000-000061030000}"/>
    <cellStyle name="_20061027Holux_ProgramWorkBook_CMS_SOW_Deliverables_0430 4" xfId="956" xr:uid="{00000000-0005-0000-0000-000062030000}"/>
    <cellStyle name="_20061027Holux_ProgramWorkBook_CMS_SOW_Deliverables_0430 5" xfId="957" xr:uid="{00000000-0005-0000-0000-000063030000}"/>
    <cellStyle name="_20061027Holux_ProgramWorkBook_CMS_SOW_Deliverables_0430_Commissioning System Implementation_Project Workbook_06_10_2011" xfId="958" xr:uid="{00000000-0005-0000-0000-000064030000}"/>
    <cellStyle name="_20061027Holux_ProgramWorkBook_CMS_SOW_Deliverables_0430_Commissioning System Implementation_Project Workbook_06_10_2011 2" xfId="959" xr:uid="{00000000-0005-0000-0000-000065030000}"/>
    <cellStyle name="_20061027Holux_ProgramWorkBook_CMS_SOW_Deliverables_0430_Commissioning System Implementation_Project Workbook_06_10_2011 3" xfId="960" xr:uid="{00000000-0005-0000-0000-000066030000}"/>
    <cellStyle name="_20061027Holux_ProgramWorkBook_CMS_SOW_Deliverables_0430_FairPoint_CampReport" xfId="961" xr:uid="{00000000-0005-0000-0000-000067030000}"/>
    <cellStyle name="_20061027Holux_ProgramWorkBook_CMS_SOW_Deliverables_0430_FairPoint_CampReport 2" xfId="962" xr:uid="{00000000-0005-0000-0000-000068030000}"/>
    <cellStyle name="_20061027Holux_ProgramWorkBook_CMS_SOW_Deliverables_0430_FairPoint_CampReport 3" xfId="963" xr:uid="{00000000-0005-0000-0000-000069030000}"/>
    <cellStyle name="_20061027Holux_ProgramWorkBook_CMS_SOW_Deliverables_0430_FairPoint_FP comTechOps_ProgramWorkbook" xfId="964" xr:uid="{00000000-0005-0000-0000-00006A030000}"/>
    <cellStyle name="_20061027Holux_ProgramWorkBook_CMS_SOW_Deliverables_0430_FairPoint_FP comTechOps_ProgramWorkbook 2" xfId="965" xr:uid="{00000000-0005-0000-0000-00006B030000}"/>
    <cellStyle name="_20061027Holux_ProgramWorkBook_CMS_SOW_Deliverables_0430_FairPoint_FP comTechOps_ProgramWorkbook 3" xfId="966" xr:uid="{00000000-0005-0000-0000-00006C030000}"/>
    <cellStyle name="_20061027Holux_ProgramWorkBook_CMS_SOW_Deliverables_0430_FairPoint_FP comTechOps_ProgramWorkbook_sachin" xfId="967" xr:uid="{00000000-0005-0000-0000-00006D030000}"/>
    <cellStyle name="_20061027Holux_ProgramWorkBook_CMS_SOW_Deliverables_0430_FairPoint_FP comTechOps_ProgramWorkbook_sachin 2" xfId="968" xr:uid="{00000000-0005-0000-0000-00006E030000}"/>
    <cellStyle name="_20061027Holux_ProgramWorkBook_CMS_SOW_Deliverables_0430_FairPoint_FP comTechOps_ProgramWorkbook_sachin 3" xfId="969" xr:uid="{00000000-0005-0000-0000-00006F030000}"/>
    <cellStyle name="_20061027Holux_ProgramWorkBook_CMS_SOW_Deliverables_0430_FairPoint_FP comTechOps_ProgramWorkbook_sachin_v1" xfId="970" xr:uid="{00000000-0005-0000-0000-000070030000}"/>
    <cellStyle name="_20061027Holux_ProgramWorkBook_CMS_SOW_Deliverables_0430_FairPoint_FP comTechOps_ProgramWorkbook_sachin_v1 2" xfId="971" xr:uid="{00000000-0005-0000-0000-000071030000}"/>
    <cellStyle name="_20061027Holux_ProgramWorkBook_CMS_SOW_Deliverables_0430_FairPoint_FP comTechOps_ProgramWorkbook_sachin_v1 3" xfId="972" xr:uid="{00000000-0005-0000-0000-000072030000}"/>
    <cellStyle name="_20061027Holux_ProgramWorkBook_CMS_SOW_Deliverables_0430_FP_CAMP&amp;ITReporting_Maintenance_Dashboard" xfId="973" xr:uid="{00000000-0005-0000-0000-000073030000}"/>
    <cellStyle name="_20061027Holux_ProgramWorkBook_CMS_SOW_Deliverables_0430_FP_CAMP&amp;ITReporting_Maintenance_Dashboard 2" xfId="974" xr:uid="{00000000-0005-0000-0000-000074030000}"/>
    <cellStyle name="_20061027Holux_ProgramWorkBook_CMS_SOW_Deliverables_0430_FP_CAMP&amp;ITReporting_Maintenance_Dashboard 3" xfId="975" xr:uid="{00000000-0005-0000-0000-000075030000}"/>
    <cellStyle name="_20061027Holux_ProgramWorkBook_CMS_SOW_Deliverables_0430_FP_CAMPITReporting_Maintenance_Dashboard" xfId="976" xr:uid="{00000000-0005-0000-0000-000076030000}"/>
    <cellStyle name="_20061027Holux_ProgramWorkBook_CMS_SOW_Deliverables_0430_FP_CAMPITReporting_Maintenance_Dashboard 2" xfId="977" xr:uid="{00000000-0005-0000-0000-000077030000}"/>
    <cellStyle name="_20061027Holux_ProgramWorkBook_CMS_SOW_Deliverables_0430_FP_CAMPITReporting_Maintenance_Dashboard 3" xfId="978" xr:uid="{00000000-0005-0000-0000-000078030000}"/>
    <cellStyle name="_20061027Holux_ProgramWorkBook_CMS_SOW_Deliverables_0430_FP_Commissions_Req_Dn_ProgramWorkBook_10-Dec-2010" xfId="979" xr:uid="{00000000-0005-0000-0000-000079030000}"/>
    <cellStyle name="_20061027Holux_ProgramWorkBook_CMS_SOW_Deliverables_0430_FP_Commissions_Req_Dn_ProgramWorkBook_10-Dec-2010 2" xfId="980" xr:uid="{00000000-0005-0000-0000-00007A030000}"/>
    <cellStyle name="_20061027Holux_ProgramWorkBook_CMS_SOW_Deliverables_0430_FP_Commissions_Req_Dn_ProgramWorkBook_10-Dec-2010 3" xfId="981" xr:uid="{00000000-0005-0000-0000-00007B030000}"/>
    <cellStyle name="_20061027Holux_ProgramWorkBook_CMS_SOW_Deliverables_0430_FP_DW_Impl_ProgramWorkBook_07-Jan-2011" xfId="982" xr:uid="{00000000-0005-0000-0000-00007C030000}"/>
    <cellStyle name="_20061027Holux_ProgramWorkBook_CMS_SOW_Deliverables_0430_FP_DW_Impl_ProgramWorkBook_07-Jan-2011 2" xfId="983" xr:uid="{00000000-0005-0000-0000-00007D030000}"/>
    <cellStyle name="_20061027Holux_ProgramWorkBook_CMS_SOW_Deliverables_0430_FP_DW_Impl_ProgramWorkBook_07-Jan-2011 2 2" xfId="984" xr:uid="{00000000-0005-0000-0000-00007E030000}"/>
    <cellStyle name="_20061027Holux_ProgramWorkBook_CMS_SOW_Deliverables_0430_FP_DW_Impl_ProgramWorkBook_07-Jan-2011 2 3" xfId="985" xr:uid="{00000000-0005-0000-0000-00007F030000}"/>
    <cellStyle name="_20061027Holux_ProgramWorkBook_CMS_SOW_Deliverables_0430_FP_DW_Impl_ProgramWorkBook_07-Jan-2011 3" xfId="986" xr:uid="{00000000-0005-0000-0000-000080030000}"/>
    <cellStyle name="_20061027Holux_ProgramWorkBook_CMS_SOW_Deliverables_0430_FP_DW_Impl_ProgramWorkBook_07-Jan-2011 4" xfId="987" xr:uid="{00000000-0005-0000-0000-000081030000}"/>
    <cellStyle name="_20061027Holux_ProgramWorkBook_CMS_SOW_Deliverables_0430_FP_DW_Impl_ProgramWorkBook_11-Feb-2011" xfId="988" xr:uid="{00000000-0005-0000-0000-000082030000}"/>
    <cellStyle name="_20061027Holux_ProgramWorkBook_CMS_SOW_Deliverables_0430_FP_DW_Impl_ProgramWorkBook_11-Feb-2011 2" xfId="989" xr:uid="{00000000-0005-0000-0000-000083030000}"/>
    <cellStyle name="_20061027Holux_ProgramWorkBook_CMS_SOW_Deliverables_0430_FP_DW_Impl_ProgramWorkBook_11-Feb-2011 3" xfId="990" xr:uid="{00000000-0005-0000-0000-000084030000}"/>
    <cellStyle name="_20061027Holux_ProgramWorkBook_CMS_SOW_Deliverables_0430_FP_DW_Impl_ProgramWorkBook_18-Feb-2011 - Working" xfId="991" xr:uid="{00000000-0005-0000-0000-000085030000}"/>
    <cellStyle name="_20061027Holux_ProgramWorkBook_CMS_SOW_Deliverables_0430_FP_DW_Impl_ProgramWorkBook_18-Feb-2011 - Working 2" xfId="992" xr:uid="{00000000-0005-0000-0000-000086030000}"/>
    <cellStyle name="_20061027Holux_ProgramWorkBook_CMS_SOW_Deliverables_0430_FP_DW_Impl_ProgramWorkBook_18-Feb-2011 - Working 3" xfId="993" xr:uid="{00000000-0005-0000-0000-000087030000}"/>
    <cellStyle name="_20061027Holux_ProgramWorkBook_CMS_SOW_Deliverables_0430_FP_EnterprisePortal_ProgramWorkbook" xfId="994" xr:uid="{00000000-0005-0000-0000-000088030000}"/>
    <cellStyle name="_20061027Holux_ProgramWorkBook_CMS_SOW_Deliverables_0430_FP_EnterprisePortal_ProgramWorkbook 2" xfId="995" xr:uid="{00000000-0005-0000-0000-000089030000}"/>
    <cellStyle name="_20061027Holux_ProgramWorkBook_CMS_SOW_Deliverables_0430_FP_EnterprisePortal_ProgramWorkbook 3" xfId="996" xr:uid="{00000000-0005-0000-0000-00008A030000}"/>
    <cellStyle name="_20061027Holux_ProgramWorkBook_CMS_SOW_Deliverables_0430_FP_SAP_MLP v2" xfId="997" xr:uid="{00000000-0005-0000-0000-00008B030000}"/>
    <cellStyle name="_20061027Holux_ProgramWorkBook_CMS_SOW_Deliverables_0430_FP_SAP_MLP v2 2" xfId="998" xr:uid="{00000000-0005-0000-0000-00008C030000}"/>
    <cellStyle name="_20061027Holux_ProgramWorkBook_CMS_SOW_Deliverables_0430_FP_SAP_MLP v2 3" xfId="999" xr:uid="{00000000-0005-0000-0000-00008D030000}"/>
    <cellStyle name="_20061027Holux_ProgramWorkBook_CMS_SOW_Deliverables_0430_KeyDecisions" xfId="1000" xr:uid="{00000000-0005-0000-0000-00008E030000}"/>
    <cellStyle name="_20061027Holux_ProgramWorkBook_CMS_SOW_Deliverables_0430_KeyDecisions 2" xfId="1001" xr:uid="{00000000-0005-0000-0000-00008F030000}"/>
    <cellStyle name="_20061027Holux_ProgramWorkBook_CMS_SOW_Deliverables_0430_KeyDecisions 3" xfId="1002" xr:uid="{00000000-0005-0000-0000-000090030000}"/>
    <cellStyle name="_20061027Holux_ProgramWorkBook_CMS_SOW_Deliverables_0430_Sophia_Imp_ProjectWorkBook_02_18_2011" xfId="1003" xr:uid="{00000000-0005-0000-0000-000091030000}"/>
    <cellStyle name="_20061027Holux_ProgramWorkBook_CMS_SOW_Deliverables_0430_Sophia_Imp_ProjectWorkBook_02_18_2011 2" xfId="1004" xr:uid="{00000000-0005-0000-0000-000092030000}"/>
    <cellStyle name="_20061027Holux_ProgramWorkBook_CMS_SOW_Deliverables_0430_Sophia_Imp_ProjectWorkBook_02_18_2011 3" xfId="1005" xr:uid="{00000000-0005-0000-0000-000093030000}"/>
    <cellStyle name="_20061027Holux_ProgramWorkBook_CMS_SOW_Deliverables_0430_t" xfId="1006" xr:uid="{00000000-0005-0000-0000-000094030000}"/>
    <cellStyle name="_20061027Holux_ProgramWorkBook_CMS_SOW_Deliverables_0430_t 2" xfId="1007" xr:uid="{00000000-0005-0000-0000-000095030000}"/>
    <cellStyle name="_20061027Holux_ProgramWorkBook_CMS_SOW_Deliverables_0430_t 3" xfId="1008" xr:uid="{00000000-0005-0000-0000-000096030000}"/>
    <cellStyle name="_20061027Holux_ProgramWorkBook_CMS_Web_Design_Phase_Deliverables_0610" xfId="1009" xr:uid="{00000000-0005-0000-0000-000097030000}"/>
    <cellStyle name="_20061027Holux_ProgramWorkBook_CMS_Web_Design_Phase_Deliverables_0610 2" xfId="1010" xr:uid="{00000000-0005-0000-0000-000098030000}"/>
    <cellStyle name="_20061027Holux_ProgramWorkBook_CMS_Web_Design_Phase_Deliverables_0610 2 2" xfId="1011" xr:uid="{00000000-0005-0000-0000-000099030000}"/>
    <cellStyle name="_20061027Holux_ProgramWorkBook_CMS_Web_Design_Phase_Deliverables_0610 2 3" xfId="1012" xr:uid="{00000000-0005-0000-0000-00009A030000}"/>
    <cellStyle name="_20061027Holux_ProgramWorkBook_CMS_Web_Design_Phase_Deliverables_0610 3" xfId="1013" xr:uid="{00000000-0005-0000-0000-00009B030000}"/>
    <cellStyle name="_20061027Holux_ProgramWorkBook_CMS_Web_Design_Phase_Deliverables_0610 3 2" xfId="1014" xr:uid="{00000000-0005-0000-0000-00009C030000}"/>
    <cellStyle name="_20061027Holux_ProgramWorkBook_CMS_Web_Design_Phase_Deliverables_0610 3 3" xfId="1015" xr:uid="{00000000-0005-0000-0000-00009D030000}"/>
    <cellStyle name="_20061027Holux_ProgramWorkBook_CMS_Web_Design_Phase_Deliverables_0610 4" xfId="1016" xr:uid="{00000000-0005-0000-0000-00009E030000}"/>
    <cellStyle name="_20061027Holux_ProgramWorkBook_CMS_Web_Design_Phase_Deliverables_0610 5" xfId="1017" xr:uid="{00000000-0005-0000-0000-00009F030000}"/>
    <cellStyle name="_20061027Holux_ProgramWorkBook_CMS_Web_Design_Phase_Deliverables_0610_Commissioning System Implementation_Project Workbook_06_10_2011" xfId="1018" xr:uid="{00000000-0005-0000-0000-0000A0030000}"/>
    <cellStyle name="_20061027Holux_ProgramWorkBook_CMS_Web_Design_Phase_Deliverables_0610_Commissioning System Implementation_Project Workbook_06_10_2011 2" xfId="1019" xr:uid="{00000000-0005-0000-0000-0000A1030000}"/>
    <cellStyle name="_20061027Holux_ProgramWorkBook_CMS_Web_Design_Phase_Deliverables_0610_Commissioning System Implementation_Project Workbook_06_10_2011 3" xfId="1020" xr:uid="{00000000-0005-0000-0000-0000A2030000}"/>
    <cellStyle name="_20061027Holux_ProgramWorkBook_CMS_Web_Design_Phase_Deliverables_0610_FairPoint_CampReport" xfId="1021" xr:uid="{00000000-0005-0000-0000-0000A3030000}"/>
    <cellStyle name="_20061027Holux_ProgramWorkBook_CMS_Web_Design_Phase_Deliverables_0610_FairPoint_CampReport 2" xfId="1022" xr:uid="{00000000-0005-0000-0000-0000A4030000}"/>
    <cellStyle name="_20061027Holux_ProgramWorkBook_CMS_Web_Design_Phase_Deliverables_0610_FairPoint_CampReport 3" xfId="1023" xr:uid="{00000000-0005-0000-0000-0000A5030000}"/>
    <cellStyle name="_20061027Holux_ProgramWorkBook_CMS_Web_Design_Phase_Deliverables_0610_FairPoint_FP comTechOps_ProgramWorkbook" xfId="1024" xr:uid="{00000000-0005-0000-0000-0000A6030000}"/>
    <cellStyle name="_20061027Holux_ProgramWorkBook_CMS_Web_Design_Phase_Deliverables_0610_FairPoint_FP comTechOps_ProgramWorkbook 2" xfId="1025" xr:uid="{00000000-0005-0000-0000-0000A7030000}"/>
    <cellStyle name="_20061027Holux_ProgramWorkBook_CMS_Web_Design_Phase_Deliverables_0610_FairPoint_FP comTechOps_ProgramWorkbook 3" xfId="1026" xr:uid="{00000000-0005-0000-0000-0000A8030000}"/>
    <cellStyle name="_20061027Holux_ProgramWorkBook_CMS_Web_Design_Phase_Deliverables_0610_FairPoint_FP comTechOps_ProgramWorkbook_sachin" xfId="1027" xr:uid="{00000000-0005-0000-0000-0000A9030000}"/>
    <cellStyle name="_20061027Holux_ProgramWorkBook_CMS_Web_Design_Phase_Deliverables_0610_FairPoint_FP comTechOps_ProgramWorkbook_sachin 2" xfId="1028" xr:uid="{00000000-0005-0000-0000-0000AA030000}"/>
    <cellStyle name="_20061027Holux_ProgramWorkBook_CMS_Web_Design_Phase_Deliverables_0610_FairPoint_FP comTechOps_ProgramWorkbook_sachin 3" xfId="1029" xr:uid="{00000000-0005-0000-0000-0000AB030000}"/>
    <cellStyle name="_20061027Holux_ProgramWorkBook_CMS_Web_Design_Phase_Deliverables_0610_FairPoint_FP comTechOps_ProgramWorkbook_sachin_v1" xfId="1030" xr:uid="{00000000-0005-0000-0000-0000AC030000}"/>
    <cellStyle name="_20061027Holux_ProgramWorkBook_CMS_Web_Design_Phase_Deliverables_0610_FairPoint_FP comTechOps_ProgramWorkbook_sachin_v1 2" xfId="1031" xr:uid="{00000000-0005-0000-0000-0000AD030000}"/>
    <cellStyle name="_20061027Holux_ProgramWorkBook_CMS_Web_Design_Phase_Deliverables_0610_FairPoint_FP comTechOps_ProgramWorkbook_sachin_v1 3" xfId="1032" xr:uid="{00000000-0005-0000-0000-0000AE030000}"/>
    <cellStyle name="_20061027Holux_ProgramWorkBook_CMS_Web_Design_Phase_Deliverables_0610_FP_CAMP&amp;ITReporting_Maintenance_Dashboard" xfId="1033" xr:uid="{00000000-0005-0000-0000-0000AF030000}"/>
    <cellStyle name="_20061027Holux_ProgramWorkBook_CMS_Web_Design_Phase_Deliverables_0610_FP_CAMP&amp;ITReporting_Maintenance_Dashboard 2" xfId="1034" xr:uid="{00000000-0005-0000-0000-0000B0030000}"/>
    <cellStyle name="_20061027Holux_ProgramWorkBook_CMS_Web_Design_Phase_Deliverables_0610_FP_CAMP&amp;ITReporting_Maintenance_Dashboard 3" xfId="1035" xr:uid="{00000000-0005-0000-0000-0000B1030000}"/>
    <cellStyle name="_20061027Holux_ProgramWorkBook_CMS_Web_Design_Phase_Deliverables_0610_FP_CAMPITReporting_Maintenance_Dashboard" xfId="1036" xr:uid="{00000000-0005-0000-0000-0000B2030000}"/>
    <cellStyle name="_20061027Holux_ProgramWorkBook_CMS_Web_Design_Phase_Deliverables_0610_FP_CAMPITReporting_Maintenance_Dashboard 2" xfId="1037" xr:uid="{00000000-0005-0000-0000-0000B3030000}"/>
    <cellStyle name="_20061027Holux_ProgramWorkBook_CMS_Web_Design_Phase_Deliverables_0610_FP_CAMPITReporting_Maintenance_Dashboard 3" xfId="1038" xr:uid="{00000000-0005-0000-0000-0000B4030000}"/>
    <cellStyle name="_20061027Holux_ProgramWorkBook_CMS_Web_Design_Phase_Deliverables_0610_FP_Commissions_Req_Dn_ProgramWorkBook_10-Dec-2010" xfId="1039" xr:uid="{00000000-0005-0000-0000-0000B5030000}"/>
    <cellStyle name="_20061027Holux_ProgramWorkBook_CMS_Web_Design_Phase_Deliverables_0610_FP_Commissions_Req_Dn_ProgramWorkBook_10-Dec-2010 2" xfId="1040" xr:uid="{00000000-0005-0000-0000-0000B6030000}"/>
    <cellStyle name="_20061027Holux_ProgramWorkBook_CMS_Web_Design_Phase_Deliverables_0610_FP_Commissions_Req_Dn_ProgramWorkBook_10-Dec-2010 3" xfId="1041" xr:uid="{00000000-0005-0000-0000-0000B7030000}"/>
    <cellStyle name="_20061027Holux_ProgramWorkBook_CMS_Web_Design_Phase_Deliverables_0610_FP_DW_Impl_ProgramWorkBook_07-Jan-2011" xfId="1042" xr:uid="{00000000-0005-0000-0000-0000B8030000}"/>
    <cellStyle name="_20061027Holux_ProgramWorkBook_CMS_Web_Design_Phase_Deliverables_0610_FP_DW_Impl_ProgramWorkBook_07-Jan-2011 2" xfId="1043" xr:uid="{00000000-0005-0000-0000-0000B9030000}"/>
    <cellStyle name="_20061027Holux_ProgramWorkBook_CMS_Web_Design_Phase_Deliverables_0610_FP_DW_Impl_ProgramWorkBook_07-Jan-2011 2 2" xfId="1044" xr:uid="{00000000-0005-0000-0000-0000BA030000}"/>
    <cellStyle name="_20061027Holux_ProgramWorkBook_CMS_Web_Design_Phase_Deliverables_0610_FP_DW_Impl_ProgramWorkBook_07-Jan-2011 2 3" xfId="1045" xr:uid="{00000000-0005-0000-0000-0000BB030000}"/>
    <cellStyle name="_20061027Holux_ProgramWorkBook_CMS_Web_Design_Phase_Deliverables_0610_FP_DW_Impl_ProgramWorkBook_07-Jan-2011 3" xfId="1046" xr:uid="{00000000-0005-0000-0000-0000BC030000}"/>
    <cellStyle name="_20061027Holux_ProgramWorkBook_CMS_Web_Design_Phase_Deliverables_0610_FP_DW_Impl_ProgramWorkBook_07-Jan-2011 4" xfId="1047" xr:uid="{00000000-0005-0000-0000-0000BD030000}"/>
    <cellStyle name="_20061027Holux_ProgramWorkBook_CMS_Web_Design_Phase_Deliverables_0610_FP_DW_Impl_ProgramWorkBook_11-Feb-2011" xfId="1048" xr:uid="{00000000-0005-0000-0000-0000BE030000}"/>
    <cellStyle name="_20061027Holux_ProgramWorkBook_CMS_Web_Design_Phase_Deliverables_0610_FP_DW_Impl_ProgramWorkBook_11-Feb-2011 2" xfId="1049" xr:uid="{00000000-0005-0000-0000-0000BF030000}"/>
    <cellStyle name="_20061027Holux_ProgramWorkBook_CMS_Web_Design_Phase_Deliverables_0610_FP_DW_Impl_ProgramWorkBook_11-Feb-2011 3" xfId="1050" xr:uid="{00000000-0005-0000-0000-0000C0030000}"/>
    <cellStyle name="_20061027Holux_ProgramWorkBook_CMS_Web_Design_Phase_Deliverables_0610_FP_DW_Impl_ProgramWorkBook_18-Feb-2011 - Working" xfId="1051" xr:uid="{00000000-0005-0000-0000-0000C1030000}"/>
    <cellStyle name="_20061027Holux_ProgramWorkBook_CMS_Web_Design_Phase_Deliverables_0610_FP_DW_Impl_ProgramWorkBook_18-Feb-2011 - Working 2" xfId="1052" xr:uid="{00000000-0005-0000-0000-0000C2030000}"/>
    <cellStyle name="_20061027Holux_ProgramWorkBook_CMS_Web_Design_Phase_Deliverables_0610_FP_DW_Impl_ProgramWorkBook_18-Feb-2011 - Working 3" xfId="1053" xr:uid="{00000000-0005-0000-0000-0000C3030000}"/>
    <cellStyle name="_20061027Holux_ProgramWorkBook_CMS_Web_Design_Phase_Deliverables_0610_FP_EnterprisePortal_ProgramWorkbook" xfId="1054" xr:uid="{00000000-0005-0000-0000-0000C4030000}"/>
    <cellStyle name="_20061027Holux_ProgramWorkBook_CMS_Web_Design_Phase_Deliverables_0610_FP_EnterprisePortal_ProgramWorkbook 2" xfId="1055" xr:uid="{00000000-0005-0000-0000-0000C5030000}"/>
    <cellStyle name="_20061027Holux_ProgramWorkBook_CMS_Web_Design_Phase_Deliverables_0610_FP_EnterprisePortal_ProgramWorkbook 3" xfId="1056" xr:uid="{00000000-0005-0000-0000-0000C6030000}"/>
    <cellStyle name="_20061027Holux_ProgramWorkBook_CMS_Web_Design_Phase_Deliverables_0610_FP_SAP_MLP v2" xfId="1057" xr:uid="{00000000-0005-0000-0000-0000C7030000}"/>
    <cellStyle name="_20061027Holux_ProgramWorkBook_CMS_Web_Design_Phase_Deliverables_0610_FP_SAP_MLP v2 2" xfId="1058" xr:uid="{00000000-0005-0000-0000-0000C8030000}"/>
    <cellStyle name="_20061027Holux_ProgramWorkBook_CMS_Web_Design_Phase_Deliverables_0610_FP_SAP_MLP v2 3" xfId="1059" xr:uid="{00000000-0005-0000-0000-0000C9030000}"/>
    <cellStyle name="_20061027Holux_ProgramWorkBook_CMS_Web_Design_Phase_Deliverables_0610_KeyDecisions" xfId="1060" xr:uid="{00000000-0005-0000-0000-0000CA030000}"/>
    <cellStyle name="_20061027Holux_ProgramWorkBook_CMS_Web_Design_Phase_Deliverables_0610_KeyDecisions 2" xfId="1061" xr:uid="{00000000-0005-0000-0000-0000CB030000}"/>
    <cellStyle name="_20061027Holux_ProgramWorkBook_CMS_Web_Design_Phase_Deliverables_0610_KeyDecisions 3" xfId="1062" xr:uid="{00000000-0005-0000-0000-0000CC030000}"/>
    <cellStyle name="_20061027Holux_ProgramWorkBook_CMS_Web_Design_Phase_Deliverables_0610_Sophia_Imp_ProjectWorkBook_02_18_2011" xfId="1063" xr:uid="{00000000-0005-0000-0000-0000CD030000}"/>
    <cellStyle name="_20061027Holux_ProgramWorkBook_CMS_Web_Design_Phase_Deliverables_0610_Sophia_Imp_ProjectWorkBook_02_18_2011 2" xfId="1064" xr:uid="{00000000-0005-0000-0000-0000CE030000}"/>
    <cellStyle name="_20061027Holux_ProgramWorkBook_CMS_Web_Design_Phase_Deliverables_0610_Sophia_Imp_ProjectWorkBook_02_18_2011 3" xfId="1065" xr:uid="{00000000-0005-0000-0000-0000CF030000}"/>
    <cellStyle name="_20061027Holux_ProgramWorkBook_CMS_Web_Design_Phase_Deliverables_0610_t" xfId="1066" xr:uid="{00000000-0005-0000-0000-0000D0030000}"/>
    <cellStyle name="_20061027Holux_ProgramWorkBook_CMS_Web_Design_Phase_Deliverables_0610_t 2" xfId="1067" xr:uid="{00000000-0005-0000-0000-0000D1030000}"/>
    <cellStyle name="_20061027Holux_ProgramWorkBook_CMS_Web_Design_Phase_Deliverables_0610_t 3" xfId="1068" xr:uid="{00000000-0005-0000-0000-0000D2030000}"/>
    <cellStyle name="_20061027Holux_ProgramWorkBook_CMS_Web_Design_Phase_Deliverables_0618a" xfId="1069" xr:uid="{00000000-0005-0000-0000-0000D3030000}"/>
    <cellStyle name="_20061027Holux_ProgramWorkBook_CMS_Web_Design_Phase_Deliverables_0618a 2" xfId="1070" xr:uid="{00000000-0005-0000-0000-0000D4030000}"/>
    <cellStyle name="_20061027Holux_ProgramWorkBook_CMS_Web_Design_Phase_Deliverables_0618a 2 2" xfId="1071" xr:uid="{00000000-0005-0000-0000-0000D5030000}"/>
    <cellStyle name="_20061027Holux_ProgramWorkBook_CMS_Web_Design_Phase_Deliverables_0618a 2 3" xfId="1072" xr:uid="{00000000-0005-0000-0000-0000D6030000}"/>
    <cellStyle name="_20061027Holux_ProgramWorkBook_CMS_Web_Design_Phase_Deliverables_0618a 3" xfId="1073" xr:uid="{00000000-0005-0000-0000-0000D7030000}"/>
    <cellStyle name="_20061027Holux_ProgramWorkBook_CMS_Web_Design_Phase_Deliverables_0618a 3 2" xfId="1074" xr:uid="{00000000-0005-0000-0000-0000D8030000}"/>
    <cellStyle name="_20061027Holux_ProgramWorkBook_CMS_Web_Design_Phase_Deliverables_0618a 3 3" xfId="1075" xr:uid="{00000000-0005-0000-0000-0000D9030000}"/>
    <cellStyle name="_20061027Holux_ProgramWorkBook_CMS_Web_Design_Phase_Deliverables_0618a 4" xfId="1076" xr:uid="{00000000-0005-0000-0000-0000DA030000}"/>
    <cellStyle name="_20061027Holux_ProgramWorkBook_CMS_Web_Design_Phase_Deliverables_0618a 5" xfId="1077" xr:uid="{00000000-0005-0000-0000-0000DB030000}"/>
    <cellStyle name="_20061027Holux_ProgramWorkBook_CMS_Web_Design_Phase_Deliverables_0618a_Commissioning System Implementation_Project Workbook_06_10_2011" xfId="1078" xr:uid="{00000000-0005-0000-0000-0000DC030000}"/>
    <cellStyle name="_20061027Holux_ProgramWorkBook_CMS_Web_Design_Phase_Deliverables_0618a_Commissioning System Implementation_Project Workbook_06_10_2011 2" xfId="1079" xr:uid="{00000000-0005-0000-0000-0000DD030000}"/>
    <cellStyle name="_20061027Holux_ProgramWorkBook_CMS_Web_Design_Phase_Deliverables_0618a_Commissioning System Implementation_Project Workbook_06_10_2011 3" xfId="1080" xr:uid="{00000000-0005-0000-0000-0000DE030000}"/>
    <cellStyle name="_20061027Holux_ProgramWorkBook_CMS_Web_Design_Phase_Deliverables_0618a_FairPoint_CampReport" xfId="1081" xr:uid="{00000000-0005-0000-0000-0000DF030000}"/>
    <cellStyle name="_20061027Holux_ProgramWorkBook_CMS_Web_Design_Phase_Deliverables_0618a_FairPoint_CampReport 2" xfId="1082" xr:uid="{00000000-0005-0000-0000-0000E0030000}"/>
    <cellStyle name="_20061027Holux_ProgramWorkBook_CMS_Web_Design_Phase_Deliverables_0618a_FairPoint_CampReport 3" xfId="1083" xr:uid="{00000000-0005-0000-0000-0000E1030000}"/>
    <cellStyle name="_20061027Holux_ProgramWorkBook_CMS_Web_Design_Phase_Deliverables_0618a_FairPoint_FP comTechOps_ProgramWorkbook" xfId="1084" xr:uid="{00000000-0005-0000-0000-0000E2030000}"/>
    <cellStyle name="_20061027Holux_ProgramWorkBook_CMS_Web_Design_Phase_Deliverables_0618a_FairPoint_FP comTechOps_ProgramWorkbook 2" xfId="1085" xr:uid="{00000000-0005-0000-0000-0000E3030000}"/>
    <cellStyle name="_20061027Holux_ProgramWorkBook_CMS_Web_Design_Phase_Deliverables_0618a_FairPoint_FP comTechOps_ProgramWorkbook 3" xfId="1086" xr:uid="{00000000-0005-0000-0000-0000E4030000}"/>
    <cellStyle name="_20061027Holux_ProgramWorkBook_CMS_Web_Design_Phase_Deliverables_0618a_FairPoint_FP comTechOps_ProgramWorkbook_sachin" xfId="1087" xr:uid="{00000000-0005-0000-0000-0000E5030000}"/>
    <cellStyle name="_20061027Holux_ProgramWorkBook_CMS_Web_Design_Phase_Deliverables_0618a_FairPoint_FP comTechOps_ProgramWorkbook_sachin 2" xfId="1088" xr:uid="{00000000-0005-0000-0000-0000E6030000}"/>
    <cellStyle name="_20061027Holux_ProgramWorkBook_CMS_Web_Design_Phase_Deliverables_0618a_FairPoint_FP comTechOps_ProgramWorkbook_sachin 3" xfId="1089" xr:uid="{00000000-0005-0000-0000-0000E7030000}"/>
    <cellStyle name="_20061027Holux_ProgramWorkBook_CMS_Web_Design_Phase_Deliverables_0618a_FairPoint_FP comTechOps_ProgramWorkbook_sachin_v1" xfId="1090" xr:uid="{00000000-0005-0000-0000-0000E8030000}"/>
    <cellStyle name="_20061027Holux_ProgramWorkBook_CMS_Web_Design_Phase_Deliverables_0618a_FairPoint_FP comTechOps_ProgramWorkbook_sachin_v1 2" xfId="1091" xr:uid="{00000000-0005-0000-0000-0000E9030000}"/>
    <cellStyle name="_20061027Holux_ProgramWorkBook_CMS_Web_Design_Phase_Deliverables_0618a_FairPoint_FP comTechOps_ProgramWorkbook_sachin_v1 3" xfId="1092" xr:uid="{00000000-0005-0000-0000-0000EA030000}"/>
    <cellStyle name="_20061027Holux_ProgramWorkBook_CMS_Web_Design_Phase_Deliverables_0618a_FP_CAMP&amp;ITReporting_Maintenance_Dashboard" xfId="1093" xr:uid="{00000000-0005-0000-0000-0000EB030000}"/>
    <cellStyle name="_20061027Holux_ProgramWorkBook_CMS_Web_Design_Phase_Deliverables_0618a_FP_CAMP&amp;ITReporting_Maintenance_Dashboard 2" xfId="1094" xr:uid="{00000000-0005-0000-0000-0000EC030000}"/>
    <cellStyle name="_20061027Holux_ProgramWorkBook_CMS_Web_Design_Phase_Deliverables_0618a_FP_CAMP&amp;ITReporting_Maintenance_Dashboard 3" xfId="1095" xr:uid="{00000000-0005-0000-0000-0000ED030000}"/>
    <cellStyle name="_20061027Holux_ProgramWorkBook_CMS_Web_Design_Phase_Deliverables_0618a_FP_CAMPITReporting_Maintenance_Dashboard" xfId="1096" xr:uid="{00000000-0005-0000-0000-0000EE030000}"/>
    <cellStyle name="_20061027Holux_ProgramWorkBook_CMS_Web_Design_Phase_Deliverables_0618a_FP_CAMPITReporting_Maintenance_Dashboard 2" xfId="1097" xr:uid="{00000000-0005-0000-0000-0000EF030000}"/>
    <cellStyle name="_20061027Holux_ProgramWorkBook_CMS_Web_Design_Phase_Deliverables_0618a_FP_CAMPITReporting_Maintenance_Dashboard 3" xfId="1098" xr:uid="{00000000-0005-0000-0000-0000F0030000}"/>
    <cellStyle name="_20061027Holux_ProgramWorkBook_CMS_Web_Design_Phase_Deliverables_0618a_FP_Commissions_Req_Dn_ProgramWorkBook_10-Dec-2010" xfId="1099" xr:uid="{00000000-0005-0000-0000-0000F1030000}"/>
    <cellStyle name="_20061027Holux_ProgramWorkBook_CMS_Web_Design_Phase_Deliverables_0618a_FP_Commissions_Req_Dn_ProgramWorkBook_10-Dec-2010 2" xfId="1100" xr:uid="{00000000-0005-0000-0000-0000F2030000}"/>
    <cellStyle name="_20061027Holux_ProgramWorkBook_CMS_Web_Design_Phase_Deliverables_0618a_FP_Commissions_Req_Dn_ProgramWorkBook_10-Dec-2010 3" xfId="1101" xr:uid="{00000000-0005-0000-0000-0000F3030000}"/>
    <cellStyle name="_20061027Holux_ProgramWorkBook_CMS_Web_Design_Phase_Deliverables_0618a_FP_DW_Impl_ProgramWorkBook_07-Jan-2011" xfId="1102" xr:uid="{00000000-0005-0000-0000-0000F4030000}"/>
    <cellStyle name="_20061027Holux_ProgramWorkBook_CMS_Web_Design_Phase_Deliverables_0618a_FP_DW_Impl_ProgramWorkBook_07-Jan-2011 2" xfId="1103" xr:uid="{00000000-0005-0000-0000-0000F5030000}"/>
    <cellStyle name="_20061027Holux_ProgramWorkBook_CMS_Web_Design_Phase_Deliverables_0618a_FP_DW_Impl_ProgramWorkBook_07-Jan-2011 2 2" xfId="1104" xr:uid="{00000000-0005-0000-0000-0000F6030000}"/>
    <cellStyle name="_20061027Holux_ProgramWorkBook_CMS_Web_Design_Phase_Deliverables_0618a_FP_DW_Impl_ProgramWorkBook_07-Jan-2011 2 3" xfId="1105" xr:uid="{00000000-0005-0000-0000-0000F7030000}"/>
    <cellStyle name="_20061027Holux_ProgramWorkBook_CMS_Web_Design_Phase_Deliverables_0618a_FP_DW_Impl_ProgramWorkBook_07-Jan-2011 3" xfId="1106" xr:uid="{00000000-0005-0000-0000-0000F8030000}"/>
    <cellStyle name="_20061027Holux_ProgramWorkBook_CMS_Web_Design_Phase_Deliverables_0618a_FP_DW_Impl_ProgramWorkBook_07-Jan-2011 4" xfId="1107" xr:uid="{00000000-0005-0000-0000-0000F9030000}"/>
    <cellStyle name="_20061027Holux_ProgramWorkBook_CMS_Web_Design_Phase_Deliverables_0618a_FP_DW_Impl_ProgramWorkBook_11-Feb-2011" xfId="1108" xr:uid="{00000000-0005-0000-0000-0000FA030000}"/>
    <cellStyle name="_20061027Holux_ProgramWorkBook_CMS_Web_Design_Phase_Deliverables_0618a_FP_DW_Impl_ProgramWorkBook_11-Feb-2011 2" xfId="1109" xr:uid="{00000000-0005-0000-0000-0000FB030000}"/>
    <cellStyle name="_20061027Holux_ProgramWorkBook_CMS_Web_Design_Phase_Deliverables_0618a_FP_DW_Impl_ProgramWorkBook_11-Feb-2011 3" xfId="1110" xr:uid="{00000000-0005-0000-0000-0000FC030000}"/>
    <cellStyle name="_20061027Holux_ProgramWorkBook_CMS_Web_Design_Phase_Deliverables_0618a_FP_DW_Impl_ProgramWorkBook_18-Feb-2011 - Working" xfId="1111" xr:uid="{00000000-0005-0000-0000-0000FD030000}"/>
    <cellStyle name="_20061027Holux_ProgramWorkBook_CMS_Web_Design_Phase_Deliverables_0618a_FP_DW_Impl_ProgramWorkBook_18-Feb-2011 - Working 2" xfId="1112" xr:uid="{00000000-0005-0000-0000-0000FE030000}"/>
    <cellStyle name="_20061027Holux_ProgramWorkBook_CMS_Web_Design_Phase_Deliverables_0618a_FP_DW_Impl_ProgramWorkBook_18-Feb-2011 - Working 3" xfId="1113" xr:uid="{00000000-0005-0000-0000-0000FF030000}"/>
    <cellStyle name="_20061027Holux_ProgramWorkBook_CMS_Web_Design_Phase_Deliverables_0618a_FP_EnterprisePortal_ProgramWorkbook" xfId="1114" xr:uid="{00000000-0005-0000-0000-000000040000}"/>
    <cellStyle name="_20061027Holux_ProgramWorkBook_CMS_Web_Design_Phase_Deliverables_0618a_FP_EnterprisePortal_ProgramWorkbook 2" xfId="1115" xr:uid="{00000000-0005-0000-0000-000001040000}"/>
    <cellStyle name="_20061027Holux_ProgramWorkBook_CMS_Web_Design_Phase_Deliverables_0618a_FP_EnterprisePortal_ProgramWorkbook 3" xfId="1116" xr:uid="{00000000-0005-0000-0000-000002040000}"/>
    <cellStyle name="_20061027Holux_ProgramWorkBook_CMS_Web_Design_Phase_Deliverables_0618a_FP_SAP_MLP v2" xfId="1117" xr:uid="{00000000-0005-0000-0000-000003040000}"/>
    <cellStyle name="_20061027Holux_ProgramWorkBook_CMS_Web_Design_Phase_Deliverables_0618a_FP_SAP_MLP v2 2" xfId="1118" xr:uid="{00000000-0005-0000-0000-000004040000}"/>
    <cellStyle name="_20061027Holux_ProgramWorkBook_CMS_Web_Design_Phase_Deliverables_0618a_FP_SAP_MLP v2 3" xfId="1119" xr:uid="{00000000-0005-0000-0000-000005040000}"/>
    <cellStyle name="_20061027Holux_ProgramWorkBook_CMS_Web_Design_Phase_Deliverables_0618a_KeyDecisions" xfId="1120" xr:uid="{00000000-0005-0000-0000-000006040000}"/>
    <cellStyle name="_20061027Holux_ProgramWorkBook_CMS_Web_Design_Phase_Deliverables_0618a_KeyDecisions 2" xfId="1121" xr:uid="{00000000-0005-0000-0000-000007040000}"/>
    <cellStyle name="_20061027Holux_ProgramWorkBook_CMS_Web_Design_Phase_Deliverables_0618a_KeyDecisions 3" xfId="1122" xr:uid="{00000000-0005-0000-0000-000008040000}"/>
    <cellStyle name="_20061027Holux_ProgramWorkBook_CMS_Web_Design_Phase_Deliverables_0618a_Sophia_Imp_ProjectWorkBook_02_18_2011" xfId="1123" xr:uid="{00000000-0005-0000-0000-000009040000}"/>
    <cellStyle name="_20061027Holux_ProgramWorkBook_CMS_Web_Design_Phase_Deliverables_0618a_Sophia_Imp_ProjectWorkBook_02_18_2011 2" xfId="1124" xr:uid="{00000000-0005-0000-0000-00000A040000}"/>
    <cellStyle name="_20061027Holux_ProgramWorkBook_CMS_Web_Design_Phase_Deliverables_0618a_Sophia_Imp_ProjectWorkBook_02_18_2011 3" xfId="1125" xr:uid="{00000000-0005-0000-0000-00000B040000}"/>
    <cellStyle name="_20061027Holux_ProgramWorkBook_CMS_Web_Design_Phase_Deliverables_0618a_t" xfId="1126" xr:uid="{00000000-0005-0000-0000-00000C040000}"/>
    <cellStyle name="_20061027Holux_ProgramWorkBook_CMS_Web_Design_Phase_Deliverables_0618a_t 2" xfId="1127" xr:uid="{00000000-0005-0000-0000-00000D040000}"/>
    <cellStyle name="_20061027Holux_ProgramWorkBook_CMS_Web_Design_Phase_Deliverables_0618a_t 3" xfId="1128" xr:uid="{00000000-0005-0000-0000-00000E040000}"/>
    <cellStyle name="_20061027Holux_ProgramWorkBook_CMS_Web_Design_Phase_Deliverables_0621" xfId="1129" xr:uid="{00000000-0005-0000-0000-00000F040000}"/>
    <cellStyle name="_20061027Holux_ProgramWorkBook_CMS_Web_Design_Phase_Deliverables_0621 2" xfId="1130" xr:uid="{00000000-0005-0000-0000-000010040000}"/>
    <cellStyle name="_20061027Holux_ProgramWorkBook_CMS_Web_Design_Phase_Deliverables_0621 2 2" xfId="1131" xr:uid="{00000000-0005-0000-0000-000011040000}"/>
    <cellStyle name="_20061027Holux_ProgramWorkBook_CMS_Web_Design_Phase_Deliverables_0621 2 3" xfId="1132" xr:uid="{00000000-0005-0000-0000-000012040000}"/>
    <cellStyle name="_20061027Holux_ProgramWorkBook_CMS_Web_Design_Phase_Deliverables_0621 3" xfId="1133" xr:uid="{00000000-0005-0000-0000-000013040000}"/>
    <cellStyle name="_20061027Holux_ProgramWorkBook_CMS_Web_Design_Phase_Deliverables_0621 3 2" xfId="1134" xr:uid="{00000000-0005-0000-0000-000014040000}"/>
    <cellStyle name="_20061027Holux_ProgramWorkBook_CMS_Web_Design_Phase_Deliverables_0621 3 3" xfId="1135" xr:uid="{00000000-0005-0000-0000-000015040000}"/>
    <cellStyle name="_20061027Holux_ProgramWorkBook_CMS_Web_Design_Phase_Deliverables_0621 4" xfId="1136" xr:uid="{00000000-0005-0000-0000-000016040000}"/>
    <cellStyle name="_20061027Holux_ProgramWorkBook_CMS_Web_Design_Phase_Deliverables_0621 5" xfId="1137" xr:uid="{00000000-0005-0000-0000-000017040000}"/>
    <cellStyle name="_20061027Holux_ProgramWorkBook_CMS_Web_Design_Phase_Deliverables_0621_Commissioning System Implementation_Project Workbook_06_10_2011" xfId="1138" xr:uid="{00000000-0005-0000-0000-000018040000}"/>
    <cellStyle name="_20061027Holux_ProgramWorkBook_CMS_Web_Design_Phase_Deliverables_0621_Commissioning System Implementation_Project Workbook_06_10_2011 2" xfId="1139" xr:uid="{00000000-0005-0000-0000-000019040000}"/>
    <cellStyle name="_20061027Holux_ProgramWorkBook_CMS_Web_Design_Phase_Deliverables_0621_Commissioning System Implementation_Project Workbook_06_10_2011 3" xfId="1140" xr:uid="{00000000-0005-0000-0000-00001A040000}"/>
    <cellStyle name="_20061027Holux_ProgramWorkBook_CMS_Web_Design_Phase_Deliverables_0621_FairPoint_CampReport" xfId="1141" xr:uid="{00000000-0005-0000-0000-00001B040000}"/>
    <cellStyle name="_20061027Holux_ProgramWorkBook_CMS_Web_Design_Phase_Deliverables_0621_FairPoint_CampReport 2" xfId="1142" xr:uid="{00000000-0005-0000-0000-00001C040000}"/>
    <cellStyle name="_20061027Holux_ProgramWorkBook_CMS_Web_Design_Phase_Deliverables_0621_FairPoint_CampReport 3" xfId="1143" xr:uid="{00000000-0005-0000-0000-00001D040000}"/>
    <cellStyle name="_20061027Holux_ProgramWorkBook_CMS_Web_Design_Phase_Deliverables_0621_FairPoint_FP comTechOps_ProgramWorkbook" xfId="1144" xr:uid="{00000000-0005-0000-0000-00001E040000}"/>
    <cellStyle name="_20061027Holux_ProgramWorkBook_CMS_Web_Design_Phase_Deliverables_0621_FairPoint_FP comTechOps_ProgramWorkbook 2" xfId="1145" xr:uid="{00000000-0005-0000-0000-00001F040000}"/>
    <cellStyle name="_20061027Holux_ProgramWorkBook_CMS_Web_Design_Phase_Deliverables_0621_FairPoint_FP comTechOps_ProgramWorkbook 3" xfId="1146" xr:uid="{00000000-0005-0000-0000-000020040000}"/>
    <cellStyle name="_20061027Holux_ProgramWorkBook_CMS_Web_Design_Phase_Deliverables_0621_FairPoint_FP comTechOps_ProgramWorkbook_sachin" xfId="1147" xr:uid="{00000000-0005-0000-0000-000021040000}"/>
    <cellStyle name="_20061027Holux_ProgramWorkBook_CMS_Web_Design_Phase_Deliverables_0621_FairPoint_FP comTechOps_ProgramWorkbook_sachin 2" xfId="1148" xr:uid="{00000000-0005-0000-0000-000022040000}"/>
    <cellStyle name="_20061027Holux_ProgramWorkBook_CMS_Web_Design_Phase_Deliverables_0621_FairPoint_FP comTechOps_ProgramWorkbook_sachin 3" xfId="1149" xr:uid="{00000000-0005-0000-0000-000023040000}"/>
    <cellStyle name="_20061027Holux_ProgramWorkBook_CMS_Web_Design_Phase_Deliverables_0621_FairPoint_FP comTechOps_ProgramWorkbook_sachin_v1" xfId="1150" xr:uid="{00000000-0005-0000-0000-000024040000}"/>
    <cellStyle name="_20061027Holux_ProgramWorkBook_CMS_Web_Design_Phase_Deliverables_0621_FairPoint_FP comTechOps_ProgramWorkbook_sachin_v1 2" xfId="1151" xr:uid="{00000000-0005-0000-0000-000025040000}"/>
    <cellStyle name="_20061027Holux_ProgramWorkBook_CMS_Web_Design_Phase_Deliverables_0621_FairPoint_FP comTechOps_ProgramWorkbook_sachin_v1 3" xfId="1152" xr:uid="{00000000-0005-0000-0000-000026040000}"/>
    <cellStyle name="_20061027Holux_ProgramWorkBook_CMS_Web_Design_Phase_Deliverables_0621_FP_CAMP&amp;ITReporting_Maintenance_Dashboard" xfId="1153" xr:uid="{00000000-0005-0000-0000-000027040000}"/>
    <cellStyle name="_20061027Holux_ProgramWorkBook_CMS_Web_Design_Phase_Deliverables_0621_FP_CAMP&amp;ITReporting_Maintenance_Dashboard 2" xfId="1154" xr:uid="{00000000-0005-0000-0000-000028040000}"/>
    <cellStyle name="_20061027Holux_ProgramWorkBook_CMS_Web_Design_Phase_Deliverables_0621_FP_CAMP&amp;ITReporting_Maintenance_Dashboard 3" xfId="1155" xr:uid="{00000000-0005-0000-0000-000029040000}"/>
    <cellStyle name="_20061027Holux_ProgramWorkBook_CMS_Web_Design_Phase_Deliverables_0621_FP_CAMPITReporting_Maintenance_Dashboard" xfId="1156" xr:uid="{00000000-0005-0000-0000-00002A040000}"/>
    <cellStyle name="_20061027Holux_ProgramWorkBook_CMS_Web_Design_Phase_Deliverables_0621_FP_CAMPITReporting_Maintenance_Dashboard 2" xfId="1157" xr:uid="{00000000-0005-0000-0000-00002B040000}"/>
    <cellStyle name="_20061027Holux_ProgramWorkBook_CMS_Web_Design_Phase_Deliverables_0621_FP_CAMPITReporting_Maintenance_Dashboard 3" xfId="1158" xr:uid="{00000000-0005-0000-0000-00002C040000}"/>
    <cellStyle name="_20061027Holux_ProgramWorkBook_CMS_Web_Design_Phase_Deliverables_0621_FP_Commissions_Req_Dn_ProgramWorkBook_10-Dec-2010" xfId="1159" xr:uid="{00000000-0005-0000-0000-00002D040000}"/>
    <cellStyle name="_20061027Holux_ProgramWorkBook_CMS_Web_Design_Phase_Deliverables_0621_FP_Commissions_Req_Dn_ProgramWorkBook_10-Dec-2010 2" xfId="1160" xr:uid="{00000000-0005-0000-0000-00002E040000}"/>
    <cellStyle name="_20061027Holux_ProgramWorkBook_CMS_Web_Design_Phase_Deliverables_0621_FP_Commissions_Req_Dn_ProgramWorkBook_10-Dec-2010 3" xfId="1161" xr:uid="{00000000-0005-0000-0000-00002F040000}"/>
    <cellStyle name="_20061027Holux_ProgramWorkBook_CMS_Web_Design_Phase_Deliverables_0621_FP_DW_Impl_ProgramWorkBook_07-Jan-2011" xfId="1162" xr:uid="{00000000-0005-0000-0000-000030040000}"/>
    <cellStyle name="_20061027Holux_ProgramWorkBook_CMS_Web_Design_Phase_Deliverables_0621_FP_DW_Impl_ProgramWorkBook_07-Jan-2011 2" xfId="1163" xr:uid="{00000000-0005-0000-0000-000031040000}"/>
    <cellStyle name="_20061027Holux_ProgramWorkBook_CMS_Web_Design_Phase_Deliverables_0621_FP_DW_Impl_ProgramWorkBook_07-Jan-2011 2 2" xfId="1164" xr:uid="{00000000-0005-0000-0000-000032040000}"/>
    <cellStyle name="_20061027Holux_ProgramWorkBook_CMS_Web_Design_Phase_Deliverables_0621_FP_DW_Impl_ProgramWorkBook_07-Jan-2011 2 3" xfId="1165" xr:uid="{00000000-0005-0000-0000-000033040000}"/>
    <cellStyle name="_20061027Holux_ProgramWorkBook_CMS_Web_Design_Phase_Deliverables_0621_FP_DW_Impl_ProgramWorkBook_07-Jan-2011 3" xfId="1166" xr:uid="{00000000-0005-0000-0000-000034040000}"/>
    <cellStyle name="_20061027Holux_ProgramWorkBook_CMS_Web_Design_Phase_Deliverables_0621_FP_DW_Impl_ProgramWorkBook_07-Jan-2011 4" xfId="1167" xr:uid="{00000000-0005-0000-0000-000035040000}"/>
    <cellStyle name="_20061027Holux_ProgramWorkBook_CMS_Web_Design_Phase_Deliverables_0621_FP_DW_Impl_ProgramWorkBook_11-Feb-2011" xfId="1168" xr:uid="{00000000-0005-0000-0000-000036040000}"/>
    <cellStyle name="_20061027Holux_ProgramWorkBook_CMS_Web_Design_Phase_Deliverables_0621_FP_DW_Impl_ProgramWorkBook_11-Feb-2011 2" xfId="1169" xr:uid="{00000000-0005-0000-0000-000037040000}"/>
    <cellStyle name="_20061027Holux_ProgramWorkBook_CMS_Web_Design_Phase_Deliverables_0621_FP_DW_Impl_ProgramWorkBook_11-Feb-2011 3" xfId="1170" xr:uid="{00000000-0005-0000-0000-000038040000}"/>
    <cellStyle name="_20061027Holux_ProgramWorkBook_CMS_Web_Design_Phase_Deliverables_0621_FP_DW_Impl_ProgramWorkBook_18-Feb-2011 - Working" xfId="1171" xr:uid="{00000000-0005-0000-0000-000039040000}"/>
    <cellStyle name="_20061027Holux_ProgramWorkBook_CMS_Web_Design_Phase_Deliverables_0621_FP_DW_Impl_ProgramWorkBook_18-Feb-2011 - Working 2" xfId="1172" xr:uid="{00000000-0005-0000-0000-00003A040000}"/>
    <cellStyle name="_20061027Holux_ProgramWorkBook_CMS_Web_Design_Phase_Deliverables_0621_FP_DW_Impl_ProgramWorkBook_18-Feb-2011 - Working 3" xfId="1173" xr:uid="{00000000-0005-0000-0000-00003B040000}"/>
    <cellStyle name="_20061027Holux_ProgramWorkBook_CMS_Web_Design_Phase_Deliverables_0621_FP_EnterprisePortal_ProgramWorkbook" xfId="1174" xr:uid="{00000000-0005-0000-0000-00003C040000}"/>
    <cellStyle name="_20061027Holux_ProgramWorkBook_CMS_Web_Design_Phase_Deliverables_0621_FP_EnterprisePortal_ProgramWorkbook 2" xfId="1175" xr:uid="{00000000-0005-0000-0000-00003D040000}"/>
    <cellStyle name="_20061027Holux_ProgramWorkBook_CMS_Web_Design_Phase_Deliverables_0621_FP_EnterprisePortal_ProgramWorkbook 3" xfId="1176" xr:uid="{00000000-0005-0000-0000-00003E040000}"/>
    <cellStyle name="_20061027Holux_ProgramWorkBook_CMS_Web_Design_Phase_Deliverables_0621_FP_SAP_MLP v2" xfId="1177" xr:uid="{00000000-0005-0000-0000-00003F040000}"/>
    <cellStyle name="_20061027Holux_ProgramWorkBook_CMS_Web_Design_Phase_Deliverables_0621_FP_SAP_MLP v2 2" xfId="1178" xr:uid="{00000000-0005-0000-0000-000040040000}"/>
    <cellStyle name="_20061027Holux_ProgramWorkBook_CMS_Web_Design_Phase_Deliverables_0621_FP_SAP_MLP v2 3" xfId="1179" xr:uid="{00000000-0005-0000-0000-000041040000}"/>
    <cellStyle name="_20061027Holux_ProgramWorkBook_CMS_Web_Design_Phase_Deliverables_0621_KeyDecisions" xfId="1180" xr:uid="{00000000-0005-0000-0000-000042040000}"/>
    <cellStyle name="_20061027Holux_ProgramWorkBook_CMS_Web_Design_Phase_Deliverables_0621_KeyDecisions 2" xfId="1181" xr:uid="{00000000-0005-0000-0000-000043040000}"/>
    <cellStyle name="_20061027Holux_ProgramWorkBook_CMS_Web_Design_Phase_Deliverables_0621_KeyDecisions 3" xfId="1182" xr:uid="{00000000-0005-0000-0000-000044040000}"/>
    <cellStyle name="_20061027Holux_ProgramWorkBook_CMS_Web_Design_Phase_Deliverables_0621_Sophia_Imp_ProjectWorkBook_02_18_2011" xfId="1183" xr:uid="{00000000-0005-0000-0000-000045040000}"/>
    <cellStyle name="_20061027Holux_ProgramWorkBook_CMS_Web_Design_Phase_Deliverables_0621_Sophia_Imp_ProjectWorkBook_02_18_2011 2" xfId="1184" xr:uid="{00000000-0005-0000-0000-000046040000}"/>
    <cellStyle name="_20061027Holux_ProgramWorkBook_CMS_Web_Design_Phase_Deliverables_0621_Sophia_Imp_ProjectWorkBook_02_18_2011 3" xfId="1185" xr:uid="{00000000-0005-0000-0000-000047040000}"/>
    <cellStyle name="_20061027Holux_ProgramWorkBook_CMS_Web_Design_Phase_Deliverables_0621_t" xfId="1186" xr:uid="{00000000-0005-0000-0000-000048040000}"/>
    <cellStyle name="_20061027Holux_ProgramWorkBook_CMS_Web_Design_Phase_Deliverables_0621_t 2" xfId="1187" xr:uid="{00000000-0005-0000-0000-000049040000}"/>
    <cellStyle name="_20061027Holux_ProgramWorkBook_CMS_Web_Design_Phase_Deliverables_0621_t 3" xfId="1188" xr:uid="{00000000-0005-0000-0000-00004A040000}"/>
    <cellStyle name="_20061027Holux_ProgramWorkBook_CMS_Web_Design_Phase_Deliverables_0625" xfId="1189" xr:uid="{00000000-0005-0000-0000-00004B040000}"/>
    <cellStyle name="_20061027Holux_ProgramWorkBook_CMS_Web_Design_Phase_Deliverables_0625 2" xfId="1190" xr:uid="{00000000-0005-0000-0000-00004C040000}"/>
    <cellStyle name="_20061027Holux_ProgramWorkBook_CMS_Web_Design_Phase_Deliverables_0625 2 2" xfId="1191" xr:uid="{00000000-0005-0000-0000-00004D040000}"/>
    <cellStyle name="_20061027Holux_ProgramWorkBook_CMS_Web_Design_Phase_Deliverables_0625 2 3" xfId="1192" xr:uid="{00000000-0005-0000-0000-00004E040000}"/>
    <cellStyle name="_20061027Holux_ProgramWorkBook_CMS_Web_Design_Phase_Deliverables_0625 3" xfId="1193" xr:uid="{00000000-0005-0000-0000-00004F040000}"/>
    <cellStyle name="_20061027Holux_ProgramWorkBook_CMS_Web_Design_Phase_Deliverables_0625 3 2" xfId="1194" xr:uid="{00000000-0005-0000-0000-000050040000}"/>
    <cellStyle name="_20061027Holux_ProgramWorkBook_CMS_Web_Design_Phase_Deliverables_0625 3 3" xfId="1195" xr:uid="{00000000-0005-0000-0000-000051040000}"/>
    <cellStyle name="_20061027Holux_ProgramWorkBook_CMS_Web_Design_Phase_Deliverables_0625 4" xfId="1196" xr:uid="{00000000-0005-0000-0000-000052040000}"/>
    <cellStyle name="_20061027Holux_ProgramWorkBook_CMS_Web_Design_Phase_Deliverables_0625 5" xfId="1197" xr:uid="{00000000-0005-0000-0000-000053040000}"/>
    <cellStyle name="_20061027Holux_ProgramWorkBook_CMS_Web_Design_Phase_Deliverables_0625_Commissioning System Implementation_Project Workbook_06_10_2011" xfId="1198" xr:uid="{00000000-0005-0000-0000-000054040000}"/>
    <cellStyle name="_20061027Holux_ProgramWorkBook_CMS_Web_Design_Phase_Deliverables_0625_Commissioning System Implementation_Project Workbook_06_10_2011 2" xfId="1199" xr:uid="{00000000-0005-0000-0000-000055040000}"/>
    <cellStyle name="_20061027Holux_ProgramWorkBook_CMS_Web_Design_Phase_Deliverables_0625_Commissioning System Implementation_Project Workbook_06_10_2011 3" xfId="1200" xr:uid="{00000000-0005-0000-0000-000056040000}"/>
    <cellStyle name="_20061027Holux_ProgramWorkBook_CMS_Web_Design_Phase_Deliverables_0625_FairPoint_CampReport" xfId="1201" xr:uid="{00000000-0005-0000-0000-000057040000}"/>
    <cellStyle name="_20061027Holux_ProgramWorkBook_CMS_Web_Design_Phase_Deliverables_0625_FairPoint_CampReport 2" xfId="1202" xr:uid="{00000000-0005-0000-0000-000058040000}"/>
    <cellStyle name="_20061027Holux_ProgramWorkBook_CMS_Web_Design_Phase_Deliverables_0625_FairPoint_CampReport 3" xfId="1203" xr:uid="{00000000-0005-0000-0000-000059040000}"/>
    <cellStyle name="_20061027Holux_ProgramWorkBook_CMS_Web_Design_Phase_Deliverables_0625_FairPoint_FP comTechOps_ProgramWorkbook" xfId="1204" xr:uid="{00000000-0005-0000-0000-00005A040000}"/>
    <cellStyle name="_20061027Holux_ProgramWorkBook_CMS_Web_Design_Phase_Deliverables_0625_FairPoint_FP comTechOps_ProgramWorkbook 2" xfId="1205" xr:uid="{00000000-0005-0000-0000-00005B040000}"/>
    <cellStyle name="_20061027Holux_ProgramWorkBook_CMS_Web_Design_Phase_Deliverables_0625_FairPoint_FP comTechOps_ProgramWorkbook 3" xfId="1206" xr:uid="{00000000-0005-0000-0000-00005C040000}"/>
    <cellStyle name="_20061027Holux_ProgramWorkBook_CMS_Web_Design_Phase_Deliverables_0625_FairPoint_FP comTechOps_ProgramWorkbook_sachin" xfId="1207" xr:uid="{00000000-0005-0000-0000-00005D040000}"/>
    <cellStyle name="_20061027Holux_ProgramWorkBook_CMS_Web_Design_Phase_Deliverables_0625_FairPoint_FP comTechOps_ProgramWorkbook_sachin 2" xfId="1208" xr:uid="{00000000-0005-0000-0000-00005E040000}"/>
    <cellStyle name="_20061027Holux_ProgramWorkBook_CMS_Web_Design_Phase_Deliverables_0625_FairPoint_FP comTechOps_ProgramWorkbook_sachin 3" xfId="1209" xr:uid="{00000000-0005-0000-0000-00005F040000}"/>
    <cellStyle name="_20061027Holux_ProgramWorkBook_CMS_Web_Design_Phase_Deliverables_0625_FairPoint_FP comTechOps_ProgramWorkbook_sachin_v1" xfId="1210" xr:uid="{00000000-0005-0000-0000-000060040000}"/>
    <cellStyle name="_20061027Holux_ProgramWorkBook_CMS_Web_Design_Phase_Deliverables_0625_FairPoint_FP comTechOps_ProgramWorkbook_sachin_v1 2" xfId="1211" xr:uid="{00000000-0005-0000-0000-000061040000}"/>
    <cellStyle name="_20061027Holux_ProgramWorkBook_CMS_Web_Design_Phase_Deliverables_0625_FairPoint_FP comTechOps_ProgramWorkbook_sachin_v1 3" xfId="1212" xr:uid="{00000000-0005-0000-0000-000062040000}"/>
    <cellStyle name="_20061027Holux_ProgramWorkBook_CMS_Web_Design_Phase_Deliverables_0625_FP_CAMP&amp;ITReporting_Maintenance_Dashboard" xfId="1213" xr:uid="{00000000-0005-0000-0000-000063040000}"/>
    <cellStyle name="_20061027Holux_ProgramWorkBook_CMS_Web_Design_Phase_Deliverables_0625_FP_CAMP&amp;ITReporting_Maintenance_Dashboard 2" xfId="1214" xr:uid="{00000000-0005-0000-0000-000064040000}"/>
    <cellStyle name="_20061027Holux_ProgramWorkBook_CMS_Web_Design_Phase_Deliverables_0625_FP_CAMP&amp;ITReporting_Maintenance_Dashboard 3" xfId="1215" xr:uid="{00000000-0005-0000-0000-000065040000}"/>
    <cellStyle name="_20061027Holux_ProgramWorkBook_CMS_Web_Design_Phase_Deliverables_0625_FP_CAMPITReporting_Maintenance_Dashboard" xfId="1216" xr:uid="{00000000-0005-0000-0000-000066040000}"/>
    <cellStyle name="_20061027Holux_ProgramWorkBook_CMS_Web_Design_Phase_Deliverables_0625_FP_CAMPITReporting_Maintenance_Dashboard 2" xfId="1217" xr:uid="{00000000-0005-0000-0000-000067040000}"/>
    <cellStyle name="_20061027Holux_ProgramWorkBook_CMS_Web_Design_Phase_Deliverables_0625_FP_CAMPITReporting_Maintenance_Dashboard 3" xfId="1218" xr:uid="{00000000-0005-0000-0000-000068040000}"/>
    <cellStyle name="_20061027Holux_ProgramWorkBook_CMS_Web_Design_Phase_Deliverables_0625_FP_Commissions_Req_Dn_ProgramWorkBook_10-Dec-2010" xfId="1219" xr:uid="{00000000-0005-0000-0000-000069040000}"/>
    <cellStyle name="_20061027Holux_ProgramWorkBook_CMS_Web_Design_Phase_Deliverables_0625_FP_Commissions_Req_Dn_ProgramWorkBook_10-Dec-2010 2" xfId="1220" xr:uid="{00000000-0005-0000-0000-00006A040000}"/>
    <cellStyle name="_20061027Holux_ProgramWorkBook_CMS_Web_Design_Phase_Deliverables_0625_FP_Commissions_Req_Dn_ProgramWorkBook_10-Dec-2010 3" xfId="1221" xr:uid="{00000000-0005-0000-0000-00006B040000}"/>
    <cellStyle name="_20061027Holux_ProgramWorkBook_CMS_Web_Design_Phase_Deliverables_0625_FP_DW_Impl_ProgramWorkBook_07-Jan-2011" xfId="1222" xr:uid="{00000000-0005-0000-0000-00006C040000}"/>
    <cellStyle name="_20061027Holux_ProgramWorkBook_CMS_Web_Design_Phase_Deliverables_0625_FP_DW_Impl_ProgramWorkBook_07-Jan-2011 2" xfId="1223" xr:uid="{00000000-0005-0000-0000-00006D040000}"/>
    <cellStyle name="_20061027Holux_ProgramWorkBook_CMS_Web_Design_Phase_Deliverables_0625_FP_DW_Impl_ProgramWorkBook_07-Jan-2011 2 2" xfId="1224" xr:uid="{00000000-0005-0000-0000-00006E040000}"/>
    <cellStyle name="_20061027Holux_ProgramWorkBook_CMS_Web_Design_Phase_Deliverables_0625_FP_DW_Impl_ProgramWorkBook_07-Jan-2011 2 3" xfId="1225" xr:uid="{00000000-0005-0000-0000-00006F040000}"/>
    <cellStyle name="_20061027Holux_ProgramWorkBook_CMS_Web_Design_Phase_Deliverables_0625_FP_DW_Impl_ProgramWorkBook_07-Jan-2011 3" xfId="1226" xr:uid="{00000000-0005-0000-0000-000070040000}"/>
    <cellStyle name="_20061027Holux_ProgramWorkBook_CMS_Web_Design_Phase_Deliverables_0625_FP_DW_Impl_ProgramWorkBook_07-Jan-2011 4" xfId="1227" xr:uid="{00000000-0005-0000-0000-000071040000}"/>
    <cellStyle name="_20061027Holux_ProgramWorkBook_CMS_Web_Design_Phase_Deliverables_0625_FP_DW_Impl_ProgramWorkBook_11-Feb-2011" xfId="1228" xr:uid="{00000000-0005-0000-0000-000072040000}"/>
    <cellStyle name="_20061027Holux_ProgramWorkBook_CMS_Web_Design_Phase_Deliverables_0625_FP_DW_Impl_ProgramWorkBook_11-Feb-2011 2" xfId="1229" xr:uid="{00000000-0005-0000-0000-000073040000}"/>
    <cellStyle name="_20061027Holux_ProgramWorkBook_CMS_Web_Design_Phase_Deliverables_0625_FP_DW_Impl_ProgramWorkBook_11-Feb-2011 3" xfId="1230" xr:uid="{00000000-0005-0000-0000-000074040000}"/>
    <cellStyle name="_20061027Holux_ProgramWorkBook_CMS_Web_Design_Phase_Deliverables_0625_FP_DW_Impl_ProgramWorkBook_18-Feb-2011 - Working" xfId="1231" xr:uid="{00000000-0005-0000-0000-000075040000}"/>
    <cellStyle name="_20061027Holux_ProgramWorkBook_CMS_Web_Design_Phase_Deliverables_0625_FP_DW_Impl_ProgramWorkBook_18-Feb-2011 - Working 2" xfId="1232" xr:uid="{00000000-0005-0000-0000-000076040000}"/>
    <cellStyle name="_20061027Holux_ProgramWorkBook_CMS_Web_Design_Phase_Deliverables_0625_FP_DW_Impl_ProgramWorkBook_18-Feb-2011 - Working 3" xfId="1233" xr:uid="{00000000-0005-0000-0000-000077040000}"/>
    <cellStyle name="_20061027Holux_ProgramWorkBook_CMS_Web_Design_Phase_Deliverables_0625_FP_EnterprisePortal_ProgramWorkbook" xfId="1234" xr:uid="{00000000-0005-0000-0000-000078040000}"/>
    <cellStyle name="_20061027Holux_ProgramWorkBook_CMS_Web_Design_Phase_Deliverables_0625_FP_EnterprisePortal_ProgramWorkbook 2" xfId="1235" xr:uid="{00000000-0005-0000-0000-000079040000}"/>
    <cellStyle name="_20061027Holux_ProgramWorkBook_CMS_Web_Design_Phase_Deliverables_0625_FP_EnterprisePortal_ProgramWorkbook 3" xfId="1236" xr:uid="{00000000-0005-0000-0000-00007A040000}"/>
    <cellStyle name="_20061027Holux_ProgramWorkBook_CMS_Web_Design_Phase_Deliverables_0625_FP_SAP_MLP v2" xfId="1237" xr:uid="{00000000-0005-0000-0000-00007B040000}"/>
    <cellStyle name="_20061027Holux_ProgramWorkBook_CMS_Web_Design_Phase_Deliverables_0625_FP_SAP_MLP v2 2" xfId="1238" xr:uid="{00000000-0005-0000-0000-00007C040000}"/>
    <cellStyle name="_20061027Holux_ProgramWorkBook_CMS_Web_Design_Phase_Deliverables_0625_FP_SAP_MLP v2 3" xfId="1239" xr:uid="{00000000-0005-0000-0000-00007D040000}"/>
    <cellStyle name="_20061027Holux_ProgramWorkBook_CMS_Web_Design_Phase_Deliverables_0625_KeyDecisions" xfId="1240" xr:uid="{00000000-0005-0000-0000-00007E040000}"/>
    <cellStyle name="_20061027Holux_ProgramWorkBook_CMS_Web_Design_Phase_Deliverables_0625_KeyDecisions 2" xfId="1241" xr:uid="{00000000-0005-0000-0000-00007F040000}"/>
    <cellStyle name="_20061027Holux_ProgramWorkBook_CMS_Web_Design_Phase_Deliverables_0625_KeyDecisions 3" xfId="1242" xr:uid="{00000000-0005-0000-0000-000080040000}"/>
    <cellStyle name="_20061027Holux_ProgramWorkBook_CMS_Web_Design_Phase_Deliverables_0625_Sophia_Imp_ProjectWorkBook_02_18_2011" xfId="1243" xr:uid="{00000000-0005-0000-0000-000081040000}"/>
    <cellStyle name="_20061027Holux_ProgramWorkBook_CMS_Web_Design_Phase_Deliverables_0625_Sophia_Imp_ProjectWorkBook_02_18_2011 2" xfId="1244" xr:uid="{00000000-0005-0000-0000-000082040000}"/>
    <cellStyle name="_20061027Holux_ProgramWorkBook_CMS_Web_Design_Phase_Deliverables_0625_Sophia_Imp_ProjectWorkBook_02_18_2011 3" xfId="1245" xr:uid="{00000000-0005-0000-0000-000083040000}"/>
    <cellStyle name="_20061027Holux_ProgramWorkBook_CMS_Web_Design_Phase_Deliverables_0625_t" xfId="1246" xr:uid="{00000000-0005-0000-0000-000084040000}"/>
    <cellStyle name="_20061027Holux_ProgramWorkBook_CMS_Web_Design_Phase_Deliverables_0625_t 2" xfId="1247" xr:uid="{00000000-0005-0000-0000-000085040000}"/>
    <cellStyle name="_20061027Holux_ProgramWorkBook_CMS_Web_Design_Phase_Deliverables_0625_t 3" xfId="1248" xr:uid="{00000000-0005-0000-0000-000086040000}"/>
    <cellStyle name="_20061027Holux_ProgramWorkBook_CMS_Web_Design_Phase_Deliverables_MLP_0627" xfId="1249" xr:uid="{00000000-0005-0000-0000-000087040000}"/>
    <cellStyle name="_20061027Holux_ProgramWorkBook_CMS_Web_Design_Phase_Deliverables_MLP_0627 2" xfId="1250" xr:uid="{00000000-0005-0000-0000-000088040000}"/>
    <cellStyle name="_20061027Holux_ProgramWorkBook_CMS_Web_Design_Phase_Deliverables_MLP_0627 2 2" xfId="1251" xr:uid="{00000000-0005-0000-0000-000089040000}"/>
    <cellStyle name="_20061027Holux_ProgramWorkBook_CMS_Web_Design_Phase_Deliverables_MLP_0627 2 3" xfId="1252" xr:uid="{00000000-0005-0000-0000-00008A040000}"/>
    <cellStyle name="_20061027Holux_ProgramWorkBook_CMS_Web_Design_Phase_Deliverables_MLP_0627 3" xfId="1253" xr:uid="{00000000-0005-0000-0000-00008B040000}"/>
    <cellStyle name="_20061027Holux_ProgramWorkBook_CMS_Web_Design_Phase_Deliverables_MLP_0627 3 2" xfId="1254" xr:uid="{00000000-0005-0000-0000-00008C040000}"/>
    <cellStyle name="_20061027Holux_ProgramWorkBook_CMS_Web_Design_Phase_Deliverables_MLP_0627 3 3" xfId="1255" xr:uid="{00000000-0005-0000-0000-00008D040000}"/>
    <cellStyle name="_20061027Holux_ProgramWorkBook_CMS_Web_Design_Phase_Deliverables_MLP_0627 4" xfId="1256" xr:uid="{00000000-0005-0000-0000-00008E040000}"/>
    <cellStyle name="_20061027Holux_ProgramWorkBook_CMS_Web_Design_Phase_Deliverables_MLP_0627 5" xfId="1257" xr:uid="{00000000-0005-0000-0000-00008F040000}"/>
    <cellStyle name="_20061027Holux_ProgramWorkBook_CMS_Web_Design_Phase_Deliverables_MLP_0627_Commissioning System Implementation_Project Workbook_06_10_2011" xfId="1258" xr:uid="{00000000-0005-0000-0000-000090040000}"/>
    <cellStyle name="_20061027Holux_ProgramWorkBook_CMS_Web_Design_Phase_Deliverables_MLP_0627_Commissioning System Implementation_Project Workbook_06_10_2011 2" xfId="1259" xr:uid="{00000000-0005-0000-0000-000091040000}"/>
    <cellStyle name="_20061027Holux_ProgramWorkBook_CMS_Web_Design_Phase_Deliverables_MLP_0627_Commissioning System Implementation_Project Workbook_06_10_2011 3" xfId="1260" xr:uid="{00000000-0005-0000-0000-000092040000}"/>
    <cellStyle name="_20061027Holux_ProgramWorkBook_CMS_Web_Design_Phase_Deliverables_MLP_0627_FairPoint_CampReport" xfId="1261" xr:uid="{00000000-0005-0000-0000-000093040000}"/>
    <cellStyle name="_20061027Holux_ProgramWorkBook_CMS_Web_Design_Phase_Deliverables_MLP_0627_FairPoint_CampReport 2" xfId="1262" xr:uid="{00000000-0005-0000-0000-000094040000}"/>
    <cellStyle name="_20061027Holux_ProgramWorkBook_CMS_Web_Design_Phase_Deliverables_MLP_0627_FairPoint_CampReport 3" xfId="1263" xr:uid="{00000000-0005-0000-0000-000095040000}"/>
    <cellStyle name="_20061027Holux_ProgramWorkBook_CMS_Web_Design_Phase_Deliverables_MLP_0627_FairPoint_FP comTechOps_ProgramWorkbook" xfId="1264" xr:uid="{00000000-0005-0000-0000-000096040000}"/>
    <cellStyle name="_20061027Holux_ProgramWorkBook_CMS_Web_Design_Phase_Deliverables_MLP_0627_FairPoint_FP comTechOps_ProgramWorkbook 2" xfId="1265" xr:uid="{00000000-0005-0000-0000-000097040000}"/>
    <cellStyle name="_20061027Holux_ProgramWorkBook_CMS_Web_Design_Phase_Deliverables_MLP_0627_FairPoint_FP comTechOps_ProgramWorkbook 3" xfId="1266" xr:uid="{00000000-0005-0000-0000-000098040000}"/>
    <cellStyle name="_20061027Holux_ProgramWorkBook_CMS_Web_Design_Phase_Deliverables_MLP_0627_FairPoint_FP comTechOps_ProgramWorkbook_sachin" xfId="1267" xr:uid="{00000000-0005-0000-0000-000099040000}"/>
    <cellStyle name="_20061027Holux_ProgramWorkBook_CMS_Web_Design_Phase_Deliverables_MLP_0627_FairPoint_FP comTechOps_ProgramWorkbook_sachin 2" xfId="1268" xr:uid="{00000000-0005-0000-0000-00009A040000}"/>
    <cellStyle name="_20061027Holux_ProgramWorkBook_CMS_Web_Design_Phase_Deliverables_MLP_0627_FairPoint_FP comTechOps_ProgramWorkbook_sachin 3" xfId="1269" xr:uid="{00000000-0005-0000-0000-00009B040000}"/>
    <cellStyle name="_20061027Holux_ProgramWorkBook_CMS_Web_Design_Phase_Deliverables_MLP_0627_FairPoint_FP comTechOps_ProgramWorkbook_sachin_v1" xfId="1270" xr:uid="{00000000-0005-0000-0000-00009C040000}"/>
    <cellStyle name="_20061027Holux_ProgramWorkBook_CMS_Web_Design_Phase_Deliverables_MLP_0627_FairPoint_FP comTechOps_ProgramWorkbook_sachin_v1 2" xfId="1271" xr:uid="{00000000-0005-0000-0000-00009D040000}"/>
    <cellStyle name="_20061027Holux_ProgramWorkBook_CMS_Web_Design_Phase_Deliverables_MLP_0627_FairPoint_FP comTechOps_ProgramWorkbook_sachin_v1 3" xfId="1272" xr:uid="{00000000-0005-0000-0000-00009E040000}"/>
    <cellStyle name="_20061027Holux_ProgramWorkBook_CMS_Web_Design_Phase_Deliverables_MLP_0627_FP_CAMP&amp;ITReporting_Maintenance_Dashboard" xfId="1273" xr:uid="{00000000-0005-0000-0000-00009F040000}"/>
    <cellStyle name="_20061027Holux_ProgramWorkBook_CMS_Web_Design_Phase_Deliverables_MLP_0627_FP_CAMP&amp;ITReporting_Maintenance_Dashboard 2" xfId="1274" xr:uid="{00000000-0005-0000-0000-0000A0040000}"/>
    <cellStyle name="_20061027Holux_ProgramWorkBook_CMS_Web_Design_Phase_Deliverables_MLP_0627_FP_CAMP&amp;ITReporting_Maintenance_Dashboard 3" xfId="1275" xr:uid="{00000000-0005-0000-0000-0000A1040000}"/>
    <cellStyle name="_20061027Holux_ProgramWorkBook_CMS_Web_Design_Phase_Deliverables_MLP_0627_FP_CAMPITReporting_Maintenance_Dashboard" xfId="1276" xr:uid="{00000000-0005-0000-0000-0000A2040000}"/>
    <cellStyle name="_20061027Holux_ProgramWorkBook_CMS_Web_Design_Phase_Deliverables_MLP_0627_FP_CAMPITReporting_Maintenance_Dashboard 2" xfId="1277" xr:uid="{00000000-0005-0000-0000-0000A3040000}"/>
    <cellStyle name="_20061027Holux_ProgramWorkBook_CMS_Web_Design_Phase_Deliverables_MLP_0627_FP_CAMPITReporting_Maintenance_Dashboard 3" xfId="1278" xr:uid="{00000000-0005-0000-0000-0000A4040000}"/>
    <cellStyle name="_20061027Holux_ProgramWorkBook_CMS_Web_Design_Phase_Deliverables_MLP_0627_FP_Commissions_Req_Dn_ProgramWorkBook_10-Dec-2010" xfId="1279" xr:uid="{00000000-0005-0000-0000-0000A5040000}"/>
    <cellStyle name="_20061027Holux_ProgramWorkBook_CMS_Web_Design_Phase_Deliverables_MLP_0627_FP_Commissions_Req_Dn_ProgramWorkBook_10-Dec-2010 2" xfId="1280" xr:uid="{00000000-0005-0000-0000-0000A6040000}"/>
    <cellStyle name="_20061027Holux_ProgramWorkBook_CMS_Web_Design_Phase_Deliverables_MLP_0627_FP_Commissions_Req_Dn_ProgramWorkBook_10-Dec-2010 3" xfId="1281" xr:uid="{00000000-0005-0000-0000-0000A7040000}"/>
    <cellStyle name="_20061027Holux_ProgramWorkBook_CMS_Web_Design_Phase_Deliverables_MLP_0627_FP_DW_Impl_ProgramWorkBook_07-Jan-2011" xfId="1282" xr:uid="{00000000-0005-0000-0000-0000A8040000}"/>
    <cellStyle name="_20061027Holux_ProgramWorkBook_CMS_Web_Design_Phase_Deliverables_MLP_0627_FP_DW_Impl_ProgramWorkBook_07-Jan-2011 2" xfId="1283" xr:uid="{00000000-0005-0000-0000-0000A9040000}"/>
    <cellStyle name="_20061027Holux_ProgramWorkBook_CMS_Web_Design_Phase_Deliverables_MLP_0627_FP_DW_Impl_ProgramWorkBook_07-Jan-2011 2 2" xfId="1284" xr:uid="{00000000-0005-0000-0000-0000AA040000}"/>
    <cellStyle name="_20061027Holux_ProgramWorkBook_CMS_Web_Design_Phase_Deliverables_MLP_0627_FP_DW_Impl_ProgramWorkBook_07-Jan-2011 2 3" xfId="1285" xr:uid="{00000000-0005-0000-0000-0000AB040000}"/>
    <cellStyle name="_20061027Holux_ProgramWorkBook_CMS_Web_Design_Phase_Deliverables_MLP_0627_FP_DW_Impl_ProgramWorkBook_07-Jan-2011 3" xfId="1286" xr:uid="{00000000-0005-0000-0000-0000AC040000}"/>
    <cellStyle name="_20061027Holux_ProgramWorkBook_CMS_Web_Design_Phase_Deliverables_MLP_0627_FP_DW_Impl_ProgramWorkBook_07-Jan-2011 4" xfId="1287" xr:uid="{00000000-0005-0000-0000-0000AD040000}"/>
    <cellStyle name="_20061027Holux_ProgramWorkBook_CMS_Web_Design_Phase_Deliverables_MLP_0627_FP_DW_Impl_ProgramWorkBook_11-Feb-2011" xfId="1288" xr:uid="{00000000-0005-0000-0000-0000AE040000}"/>
    <cellStyle name="_20061027Holux_ProgramWorkBook_CMS_Web_Design_Phase_Deliverables_MLP_0627_FP_DW_Impl_ProgramWorkBook_11-Feb-2011 2" xfId="1289" xr:uid="{00000000-0005-0000-0000-0000AF040000}"/>
    <cellStyle name="_20061027Holux_ProgramWorkBook_CMS_Web_Design_Phase_Deliverables_MLP_0627_FP_DW_Impl_ProgramWorkBook_11-Feb-2011 3" xfId="1290" xr:uid="{00000000-0005-0000-0000-0000B0040000}"/>
    <cellStyle name="_20061027Holux_ProgramWorkBook_CMS_Web_Design_Phase_Deliverables_MLP_0627_FP_DW_Impl_ProgramWorkBook_18-Feb-2011 - Working" xfId="1291" xr:uid="{00000000-0005-0000-0000-0000B1040000}"/>
    <cellStyle name="_20061027Holux_ProgramWorkBook_CMS_Web_Design_Phase_Deliverables_MLP_0627_FP_DW_Impl_ProgramWorkBook_18-Feb-2011 - Working 2" xfId="1292" xr:uid="{00000000-0005-0000-0000-0000B2040000}"/>
    <cellStyle name="_20061027Holux_ProgramWorkBook_CMS_Web_Design_Phase_Deliverables_MLP_0627_FP_DW_Impl_ProgramWorkBook_18-Feb-2011 - Working 3" xfId="1293" xr:uid="{00000000-0005-0000-0000-0000B3040000}"/>
    <cellStyle name="_20061027Holux_ProgramWorkBook_CMS_Web_Design_Phase_Deliverables_MLP_0627_FP_EnterprisePortal_ProgramWorkbook" xfId="1294" xr:uid="{00000000-0005-0000-0000-0000B4040000}"/>
    <cellStyle name="_20061027Holux_ProgramWorkBook_CMS_Web_Design_Phase_Deliverables_MLP_0627_FP_EnterprisePortal_ProgramWorkbook 2" xfId="1295" xr:uid="{00000000-0005-0000-0000-0000B5040000}"/>
    <cellStyle name="_20061027Holux_ProgramWorkBook_CMS_Web_Design_Phase_Deliverables_MLP_0627_FP_EnterprisePortal_ProgramWorkbook 3" xfId="1296" xr:uid="{00000000-0005-0000-0000-0000B6040000}"/>
    <cellStyle name="_20061027Holux_ProgramWorkBook_CMS_Web_Design_Phase_Deliverables_MLP_0627_FP_SAP_MLP v2" xfId="1297" xr:uid="{00000000-0005-0000-0000-0000B7040000}"/>
    <cellStyle name="_20061027Holux_ProgramWorkBook_CMS_Web_Design_Phase_Deliverables_MLP_0627_FP_SAP_MLP v2 2" xfId="1298" xr:uid="{00000000-0005-0000-0000-0000B8040000}"/>
    <cellStyle name="_20061027Holux_ProgramWorkBook_CMS_Web_Design_Phase_Deliverables_MLP_0627_FP_SAP_MLP v2 3" xfId="1299" xr:uid="{00000000-0005-0000-0000-0000B9040000}"/>
    <cellStyle name="_20061027Holux_ProgramWorkBook_CMS_Web_Design_Phase_Deliverables_MLP_0627_KeyDecisions" xfId="1300" xr:uid="{00000000-0005-0000-0000-0000BA040000}"/>
    <cellStyle name="_20061027Holux_ProgramWorkBook_CMS_Web_Design_Phase_Deliverables_MLP_0627_KeyDecisions 2" xfId="1301" xr:uid="{00000000-0005-0000-0000-0000BB040000}"/>
    <cellStyle name="_20061027Holux_ProgramWorkBook_CMS_Web_Design_Phase_Deliverables_MLP_0627_KeyDecisions 3" xfId="1302" xr:uid="{00000000-0005-0000-0000-0000BC040000}"/>
    <cellStyle name="_20061027Holux_ProgramWorkBook_CMS_Web_Design_Phase_Deliverables_MLP_0627_Sophia_Imp_ProjectWorkBook_02_18_2011" xfId="1303" xr:uid="{00000000-0005-0000-0000-0000BD040000}"/>
    <cellStyle name="_20061027Holux_ProgramWorkBook_CMS_Web_Design_Phase_Deliverables_MLP_0627_Sophia_Imp_ProjectWorkBook_02_18_2011 2" xfId="1304" xr:uid="{00000000-0005-0000-0000-0000BE040000}"/>
    <cellStyle name="_20061027Holux_ProgramWorkBook_CMS_Web_Design_Phase_Deliverables_MLP_0627_Sophia_Imp_ProjectWorkBook_02_18_2011 3" xfId="1305" xr:uid="{00000000-0005-0000-0000-0000BF040000}"/>
    <cellStyle name="_20061027Holux_ProgramWorkBook_CMS_Web_Design_Phase_Deliverables_MLP_0627_t" xfId="1306" xr:uid="{00000000-0005-0000-0000-0000C0040000}"/>
    <cellStyle name="_20061027Holux_ProgramWorkBook_CMS_Web_Design_Phase_Deliverables_MLP_0627_t 2" xfId="1307" xr:uid="{00000000-0005-0000-0000-0000C1040000}"/>
    <cellStyle name="_20061027Holux_ProgramWorkBook_CMS_Web_Design_Phase_Deliverables_MLP_0627_t 3" xfId="1308" xr:uid="{00000000-0005-0000-0000-0000C2040000}"/>
    <cellStyle name="_20061027Holux_ProgramWorkBook_CMS_Web_Design_Phase_Deliverables_MLP_LLP_7-12-2010_Combined" xfId="1309" xr:uid="{00000000-0005-0000-0000-0000C3040000}"/>
    <cellStyle name="_20061027Holux_ProgramWorkBook_CMS_Web_Design_Phase_Deliverables_MLP_LLP_7-12-2010_Combined 2" xfId="1310" xr:uid="{00000000-0005-0000-0000-0000C4040000}"/>
    <cellStyle name="_20061027Holux_ProgramWorkBook_CMS_Web_Design_Phase_Deliverables_MLP_LLP_7-12-2010_Combined 2 2" xfId="1311" xr:uid="{00000000-0005-0000-0000-0000C5040000}"/>
    <cellStyle name="_20061027Holux_ProgramWorkBook_CMS_Web_Design_Phase_Deliverables_MLP_LLP_7-12-2010_Combined 2 3" xfId="1312" xr:uid="{00000000-0005-0000-0000-0000C6040000}"/>
    <cellStyle name="_20061027Holux_ProgramWorkBook_CMS_Web_Design_Phase_Deliverables_MLP_LLP_7-12-2010_Combined 3" xfId="1313" xr:uid="{00000000-0005-0000-0000-0000C7040000}"/>
    <cellStyle name="_20061027Holux_ProgramWorkBook_CMS_Web_Design_Phase_Deliverables_MLP_LLP_7-12-2010_Combined 3 2" xfId="1314" xr:uid="{00000000-0005-0000-0000-0000C8040000}"/>
    <cellStyle name="_20061027Holux_ProgramWorkBook_CMS_Web_Design_Phase_Deliverables_MLP_LLP_7-12-2010_Combined 3 3" xfId="1315" xr:uid="{00000000-0005-0000-0000-0000C9040000}"/>
    <cellStyle name="_20061027Holux_ProgramWorkBook_CMS_Web_Design_Phase_Deliverables_MLP_LLP_7-12-2010_Combined 4" xfId="1316" xr:uid="{00000000-0005-0000-0000-0000CA040000}"/>
    <cellStyle name="_20061027Holux_ProgramWorkBook_CMS_Web_Design_Phase_Deliverables_MLP_LLP_7-12-2010_Combined 5" xfId="1317" xr:uid="{00000000-0005-0000-0000-0000CB040000}"/>
    <cellStyle name="_20061027Holux_ProgramWorkBook_CMS_Web_Design_Phase_Deliverables_MLP_LLP_7-12-2010_Combined_Commissioning System Implementation_Project Workbook_06_10_2011" xfId="1318" xr:uid="{00000000-0005-0000-0000-0000CC040000}"/>
    <cellStyle name="_20061027Holux_ProgramWorkBook_CMS_Web_Design_Phase_Deliverables_MLP_LLP_7-12-2010_Combined_Commissioning System Implementation_Project Workbook_06_10_2011 2" xfId="1319" xr:uid="{00000000-0005-0000-0000-0000CD040000}"/>
    <cellStyle name="_20061027Holux_ProgramWorkBook_CMS_Web_Design_Phase_Deliverables_MLP_LLP_7-12-2010_Combined_Commissioning System Implementation_Project Workbook_06_10_2011 3" xfId="1320" xr:uid="{00000000-0005-0000-0000-0000CE040000}"/>
    <cellStyle name="_20061027Holux_ProgramWorkBook_CMS_Web_Design_Phase_Deliverables_MLP_LLP_7-12-2010_Combined_FairPoint_CampReport" xfId="1321" xr:uid="{00000000-0005-0000-0000-0000CF040000}"/>
    <cellStyle name="_20061027Holux_ProgramWorkBook_CMS_Web_Design_Phase_Deliverables_MLP_LLP_7-12-2010_Combined_FairPoint_CampReport 2" xfId="1322" xr:uid="{00000000-0005-0000-0000-0000D0040000}"/>
    <cellStyle name="_20061027Holux_ProgramWorkBook_CMS_Web_Design_Phase_Deliverables_MLP_LLP_7-12-2010_Combined_FairPoint_CampReport 3" xfId="1323" xr:uid="{00000000-0005-0000-0000-0000D1040000}"/>
    <cellStyle name="_20061027Holux_ProgramWorkBook_CMS_Web_Design_Phase_Deliverables_MLP_LLP_7-12-2010_Combined_FairPoint_FP comTechOps_ProgramWorkbook" xfId="1324" xr:uid="{00000000-0005-0000-0000-0000D2040000}"/>
    <cellStyle name="_20061027Holux_ProgramWorkBook_CMS_Web_Design_Phase_Deliverables_MLP_LLP_7-12-2010_Combined_FairPoint_FP comTechOps_ProgramWorkbook 2" xfId="1325" xr:uid="{00000000-0005-0000-0000-0000D3040000}"/>
    <cellStyle name="_20061027Holux_ProgramWorkBook_CMS_Web_Design_Phase_Deliverables_MLP_LLP_7-12-2010_Combined_FairPoint_FP comTechOps_ProgramWorkbook 3" xfId="1326" xr:uid="{00000000-0005-0000-0000-0000D4040000}"/>
    <cellStyle name="_20061027Holux_ProgramWorkBook_CMS_Web_Design_Phase_Deliverables_MLP_LLP_7-12-2010_Combined_FairPoint_FP comTechOps_ProgramWorkbook_sachin" xfId="1327" xr:uid="{00000000-0005-0000-0000-0000D5040000}"/>
    <cellStyle name="_20061027Holux_ProgramWorkBook_CMS_Web_Design_Phase_Deliverables_MLP_LLP_7-12-2010_Combined_FairPoint_FP comTechOps_ProgramWorkbook_sachin 2" xfId="1328" xr:uid="{00000000-0005-0000-0000-0000D6040000}"/>
    <cellStyle name="_20061027Holux_ProgramWorkBook_CMS_Web_Design_Phase_Deliverables_MLP_LLP_7-12-2010_Combined_FairPoint_FP comTechOps_ProgramWorkbook_sachin 3" xfId="1329" xr:uid="{00000000-0005-0000-0000-0000D7040000}"/>
    <cellStyle name="_20061027Holux_ProgramWorkBook_CMS_Web_Design_Phase_Deliverables_MLP_LLP_7-12-2010_Combined_FairPoint_FP comTechOps_ProgramWorkbook_sachin_v1" xfId="1330" xr:uid="{00000000-0005-0000-0000-0000D8040000}"/>
    <cellStyle name="_20061027Holux_ProgramWorkBook_CMS_Web_Design_Phase_Deliverables_MLP_LLP_7-12-2010_Combined_FairPoint_FP comTechOps_ProgramWorkbook_sachin_v1 2" xfId="1331" xr:uid="{00000000-0005-0000-0000-0000D9040000}"/>
    <cellStyle name="_20061027Holux_ProgramWorkBook_CMS_Web_Design_Phase_Deliverables_MLP_LLP_7-12-2010_Combined_FairPoint_FP comTechOps_ProgramWorkbook_sachin_v1 3" xfId="1332" xr:uid="{00000000-0005-0000-0000-0000DA040000}"/>
    <cellStyle name="_20061027Holux_ProgramWorkBook_CMS_Web_Design_Phase_Deliverables_MLP_LLP_7-12-2010_Combined_FP_CAMP&amp;ITReporting_Maintenance_Dashboard" xfId="1333" xr:uid="{00000000-0005-0000-0000-0000DB040000}"/>
    <cellStyle name="_20061027Holux_ProgramWorkBook_CMS_Web_Design_Phase_Deliverables_MLP_LLP_7-12-2010_Combined_FP_CAMP&amp;ITReporting_Maintenance_Dashboard 2" xfId="1334" xr:uid="{00000000-0005-0000-0000-0000DC040000}"/>
    <cellStyle name="_20061027Holux_ProgramWorkBook_CMS_Web_Design_Phase_Deliverables_MLP_LLP_7-12-2010_Combined_FP_CAMP&amp;ITReporting_Maintenance_Dashboard 3" xfId="1335" xr:uid="{00000000-0005-0000-0000-0000DD040000}"/>
    <cellStyle name="_20061027Holux_ProgramWorkBook_CMS_Web_Design_Phase_Deliverables_MLP_LLP_7-12-2010_Combined_FP_CAMPITReporting_Maintenance_Dashboard" xfId="1336" xr:uid="{00000000-0005-0000-0000-0000DE040000}"/>
    <cellStyle name="_20061027Holux_ProgramWorkBook_CMS_Web_Design_Phase_Deliverables_MLP_LLP_7-12-2010_Combined_FP_CAMPITReporting_Maintenance_Dashboard 2" xfId="1337" xr:uid="{00000000-0005-0000-0000-0000DF040000}"/>
    <cellStyle name="_20061027Holux_ProgramWorkBook_CMS_Web_Design_Phase_Deliverables_MLP_LLP_7-12-2010_Combined_FP_CAMPITReporting_Maintenance_Dashboard 3" xfId="1338" xr:uid="{00000000-0005-0000-0000-0000E0040000}"/>
    <cellStyle name="_20061027Holux_ProgramWorkBook_CMS_Web_Design_Phase_Deliverables_MLP_LLP_7-12-2010_Combined_FP_Commissions_Req_Dn_ProgramWorkBook_10-Dec-2010" xfId="1339" xr:uid="{00000000-0005-0000-0000-0000E1040000}"/>
    <cellStyle name="_20061027Holux_ProgramWorkBook_CMS_Web_Design_Phase_Deliverables_MLP_LLP_7-12-2010_Combined_FP_Commissions_Req_Dn_ProgramWorkBook_10-Dec-2010 2" xfId="1340" xr:uid="{00000000-0005-0000-0000-0000E2040000}"/>
    <cellStyle name="_20061027Holux_ProgramWorkBook_CMS_Web_Design_Phase_Deliverables_MLP_LLP_7-12-2010_Combined_FP_Commissions_Req_Dn_ProgramWorkBook_10-Dec-2010 3" xfId="1341" xr:uid="{00000000-0005-0000-0000-0000E3040000}"/>
    <cellStyle name="_20061027Holux_ProgramWorkBook_CMS_Web_Design_Phase_Deliverables_MLP_LLP_7-12-2010_Combined_FP_DW_Impl_ProgramWorkBook_07-Jan-2011" xfId="1342" xr:uid="{00000000-0005-0000-0000-0000E4040000}"/>
    <cellStyle name="_20061027Holux_ProgramWorkBook_CMS_Web_Design_Phase_Deliverables_MLP_LLP_7-12-2010_Combined_FP_DW_Impl_ProgramWorkBook_07-Jan-2011 2" xfId="1343" xr:uid="{00000000-0005-0000-0000-0000E5040000}"/>
    <cellStyle name="_20061027Holux_ProgramWorkBook_CMS_Web_Design_Phase_Deliverables_MLP_LLP_7-12-2010_Combined_FP_DW_Impl_ProgramWorkBook_07-Jan-2011 2 2" xfId="1344" xr:uid="{00000000-0005-0000-0000-0000E6040000}"/>
    <cellStyle name="_20061027Holux_ProgramWorkBook_CMS_Web_Design_Phase_Deliverables_MLP_LLP_7-12-2010_Combined_FP_DW_Impl_ProgramWorkBook_07-Jan-2011 2 3" xfId="1345" xr:uid="{00000000-0005-0000-0000-0000E7040000}"/>
    <cellStyle name="_20061027Holux_ProgramWorkBook_CMS_Web_Design_Phase_Deliverables_MLP_LLP_7-12-2010_Combined_FP_DW_Impl_ProgramWorkBook_07-Jan-2011 3" xfId="1346" xr:uid="{00000000-0005-0000-0000-0000E8040000}"/>
    <cellStyle name="_20061027Holux_ProgramWorkBook_CMS_Web_Design_Phase_Deliverables_MLP_LLP_7-12-2010_Combined_FP_DW_Impl_ProgramWorkBook_07-Jan-2011 4" xfId="1347" xr:uid="{00000000-0005-0000-0000-0000E9040000}"/>
    <cellStyle name="_20061027Holux_ProgramWorkBook_CMS_Web_Design_Phase_Deliverables_MLP_LLP_7-12-2010_Combined_FP_DW_Impl_ProgramWorkBook_11-Feb-2011" xfId="1348" xr:uid="{00000000-0005-0000-0000-0000EA040000}"/>
    <cellStyle name="_20061027Holux_ProgramWorkBook_CMS_Web_Design_Phase_Deliverables_MLP_LLP_7-12-2010_Combined_FP_DW_Impl_ProgramWorkBook_11-Feb-2011 2" xfId="1349" xr:uid="{00000000-0005-0000-0000-0000EB040000}"/>
    <cellStyle name="_20061027Holux_ProgramWorkBook_CMS_Web_Design_Phase_Deliverables_MLP_LLP_7-12-2010_Combined_FP_DW_Impl_ProgramWorkBook_11-Feb-2011 3" xfId="1350" xr:uid="{00000000-0005-0000-0000-0000EC040000}"/>
    <cellStyle name="_20061027Holux_ProgramWorkBook_CMS_Web_Design_Phase_Deliverables_MLP_LLP_7-12-2010_Combined_FP_DW_Impl_ProgramWorkBook_18-Feb-2011 - Working" xfId="1351" xr:uid="{00000000-0005-0000-0000-0000ED040000}"/>
    <cellStyle name="_20061027Holux_ProgramWorkBook_CMS_Web_Design_Phase_Deliverables_MLP_LLP_7-12-2010_Combined_FP_DW_Impl_ProgramWorkBook_18-Feb-2011 - Working 2" xfId="1352" xr:uid="{00000000-0005-0000-0000-0000EE040000}"/>
    <cellStyle name="_20061027Holux_ProgramWorkBook_CMS_Web_Design_Phase_Deliverables_MLP_LLP_7-12-2010_Combined_FP_DW_Impl_ProgramWorkBook_18-Feb-2011 - Working 3" xfId="1353" xr:uid="{00000000-0005-0000-0000-0000EF040000}"/>
    <cellStyle name="_20061027Holux_ProgramWorkBook_CMS_Web_Design_Phase_Deliverables_MLP_LLP_7-12-2010_Combined_FP_EnterprisePortal_ProgramWorkbook" xfId="1354" xr:uid="{00000000-0005-0000-0000-0000F0040000}"/>
    <cellStyle name="_20061027Holux_ProgramWorkBook_CMS_Web_Design_Phase_Deliverables_MLP_LLP_7-12-2010_Combined_FP_EnterprisePortal_ProgramWorkbook 2" xfId="1355" xr:uid="{00000000-0005-0000-0000-0000F1040000}"/>
    <cellStyle name="_20061027Holux_ProgramWorkBook_CMS_Web_Design_Phase_Deliverables_MLP_LLP_7-12-2010_Combined_FP_EnterprisePortal_ProgramWorkbook 3" xfId="1356" xr:uid="{00000000-0005-0000-0000-0000F2040000}"/>
    <cellStyle name="_20061027Holux_ProgramWorkBook_CMS_Web_Design_Phase_Deliverables_MLP_LLP_7-12-2010_Combined_FP_SAP_MLP v2" xfId="1357" xr:uid="{00000000-0005-0000-0000-0000F3040000}"/>
    <cellStyle name="_20061027Holux_ProgramWorkBook_CMS_Web_Design_Phase_Deliverables_MLP_LLP_7-12-2010_Combined_FP_SAP_MLP v2 2" xfId="1358" xr:uid="{00000000-0005-0000-0000-0000F4040000}"/>
    <cellStyle name="_20061027Holux_ProgramWorkBook_CMS_Web_Design_Phase_Deliverables_MLP_LLP_7-12-2010_Combined_FP_SAP_MLP v2 3" xfId="1359" xr:uid="{00000000-0005-0000-0000-0000F5040000}"/>
    <cellStyle name="_20061027Holux_ProgramWorkBook_CMS_Web_Design_Phase_Deliverables_MLP_LLP_7-12-2010_Combined_KeyDecisions" xfId="1360" xr:uid="{00000000-0005-0000-0000-0000F6040000}"/>
    <cellStyle name="_20061027Holux_ProgramWorkBook_CMS_Web_Design_Phase_Deliverables_MLP_LLP_7-12-2010_Combined_KeyDecisions 2" xfId="1361" xr:uid="{00000000-0005-0000-0000-0000F7040000}"/>
    <cellStyle name="_20061027Holux_ProgramWorkBook_CMS_Web_Design_Phase_Deliverables_MLP_LLP_7-12-2010_Combined_KeyDecisions 3" xfId="1362" xr:uid="{00000000-0005-0000-0000-0000F8040000}"/>
    <cellStyle name="_20061027Holux_ProgramWorkBook_CMS_Web_Design_Phase_Deliverables_MLP_LLP_7-12-2010_Combined_Sophia_Imp_ProjectWorkBook_02_18_2011" xfId="1363" xr:uid="{00000000-0005-0000-0000-0000F9040000}"/>
    <cellStyle name="_20061027Holux_ProgramWorkBook_CMS_Web_Design_Phase_Deliverables_MLP_LLP_7-12-2010_Combined_Sophia_Imp_ProjectWorkBook_02_18_2011 2" xfId="1364" xr:uid="{00000000-0005-0000-0000-0000FA040000}"/>
    <cellStyle name="_20061027Holux_ProgramWorkBook_CMS_Web_Design_Phase_Deliverables_MLP_LLP_7-12-2010_Combined_Sophia_Imp_ProjectWorkBook_02_18_2011 3" xfId="1365" xr:uid="{00000000-0005-0000-0000-0000FB040000}"/>
    <cellStyle name="_20061027Holux_ProgramWorkBook_CMS_Web_Design_Phase_Deliverables_MLP_LLP_7-12-2010_Combined_t" xfId="1366" xr:uid="{00000000-0005-0000-0000-0000FC040000}"/>
    <cellStyle name="_20061027Holux_ProgramWorkBook_CMS_Web_Design_Phase_Deliverables_MLP_LLP_7-12-2010_Combined_t 2" xfId="1367" xr:uid="{00000000-0005-0000-0000-0000FD040000}"/>
    <cellStyle name="_20061027Holux_ProgramWorkBook_CMS_Web_Design_Phase_Deliverables_MLP_LLP_7-12-2010_Combined_t 3" xfId="1368" xr:uid="{00000000-0005-0000-0000-0000FE040000}"/>
    <cellStyle name="_20061027Holux_ProgramWorkBook_CMS_Web_Design_Phase_Deliverables_MLP_LLP_7-14-2010_Combined" xfId="1369" xr:uid="{00000000-0005-0000-0000-0000FF040000}"/>
    <cellStyle name="_20061027Holux_ProgramWorkBook_CMS_Web_Design_Phase_Deliverables_MLP_LLP_7-14-2010_Combined 2" xfId="1370" xr:uid="{00000000-0005-0000-0000-000000050000}"/>
    <cellStyle name="_20061027Holux_ProgramWorkBook_CMS_Web_Design_Phase_Deliverables_MLP_LLP_7-14-2010_Combined 2 2" xfId="1371" xr:uid="{00000000-0005-0000-0000-000001050000}"/>
    <cellStyle name="_20061027Holux_ProgramWorkBook_CMS_Web_Design_Phase_Deliverables_MLP_LLP_7-14-2010_Combined 2 3" xfId="1372" xr:uid="{00000000-0005-0000-0000-000002050000}"/>
    <cellStyle name="_20061027Holux_ProgramWorkBook_CMS_Web_Design_Phase_Deliverables_MLP_LLP_7-14-2010_Combined 3" xfId="1373" xr:uid="{00000000-0005-0000-0000-000003050000}"/>
    <cellStyle name="_20061027Holux_ProgramWorkBook_CMS_Web_Design_Phase_Deliverables_MLP_LLP_7-14-2010_Combined 3 2" xfId="1374" xr:uid="{00000000-0005-0000-0000-000004050000}"/>
    <cellStyle name="_20061027Holux_ProgramWorkBook_CMS_Web_Design_Phase_Deliverables_MLP_LLP_7-14-2010_Combined 3 3" xfId="1375" xr:uid="{00000000-0005-0000-0000-000005050000}"/>
    <cellStyle name="_20061027Holux_ProgramWorkBook_CMS_Web_Design_Phase_Deliverables_MLP_LLP_7-14-2010_Combined 4" xfId="1376" xr:uid="{00000000-0005-0000-0000-000006050000}"/>
    <cellStyle name="_20061027Holux_ProgramWorkBook_CMS_Web_Design_Phase_Deliverables_MLP_LLP_7-14-2010_Combined 5" xfId="1377" xr:uid="{00000000-0005-0000-0000-000007050000}"/>
    <cellStyle name="_20061027Holux_ProgramWorkBook_CMS_Web_Design_Phase_Deliverables_MLP_LLP_7-14-2010_Combined_Commissioning System Implementation_Project Workbook_06_10_2011" xfId="1378" xr:uid="{00000000-0005-0000-0000-000008050000}"/>
    <cellStyle name="_20061027Holux_ProgramWorkBook_CMS_Web_Design_Phase_Deliverables_MLP_LLP_7-14-2010_Combined_Commissioning System Implementation_Project Workbook_06_10_2011 2" xfId="1379" xr:uid="{00000000-0005-0000-0000-000009050000}"/>
    <cellStyle name="_20061027Holux_ProgramWorkBook_CMS_Web_Design_Phase_Deliverables_MLP_LLP_7-14-2010_Combined_Commissioning System Implementation_Project Workbook_06_10_2011 3" xfId="1380" xr:uid="{00000000-0005-0000-0000-00000A050000}"/>
    <cellStyle name="_20061027Holux_ProgramWorkBook_CMS_Web_Design_Phase_Deliverables_MLP_LLP_7-14-2010_Combined_FairPoint_CampReport" xfId="1381" xr:uid="{00000000-0005-0000-0000-00000B050000}"/>
    <cellStyle name="_20061027Holux_ProgramWorkBook_CMS_Web_Design_Phase_Deliverables_MLP_LLP_7-14-2010_Combined_FairPoint_CampReport 2" xfId="1382" xr:uid="{00000000-0005-0000-0000-00000C050000}"/>
    <cellStyle name="_20061027Holux_ProgramWorkBook_CMS_Web_Design_Phase_Deliverables_MLP_LLP_7-14-2010_Combined_FairPoint_CampReport 3" xfId="1383" xr:uid="{00000000-0005-0000-0000-00000D050000}"/>
    <cellStyle name="_20061027Holux_ProgramWorkBook_CMS_Web_Design_Phase_Deliverables_MLP_LLP_7-14-2010_Combined_FairPoint_FP comTechOps_ProgramWorkbook" xfId="1384" xr:uid="{00000000-0005-0000-0000-00000E050000}"/>
    <cellStyle name="_20061027Holux_ProgramWorkBook_CMS_Web_Design_Phase_Deliverables_MLP_LLP_7-14-2010_Combined_FairPoint_FP comTechOps_ProgramWorkbook 2" xfId="1385" xr:uid="{00000000-0005-0000-0000-00000F050000}"/>
    <cellStyle name="_20061027Holux_ProgramWorkBook_CMS_Web_Design_Phase_Deliverables_MLP_LLP_7-14-2010_Combined_FairPoint_FP comTechOps_ProgramWorkbook 3" xfId="1386" xr:uid="{00000000-0005-0000-0000-000010050000}"/>
    <cellStyle name="_20061027Holux_ProgramWorkBook_CMS_Web_Design_Phase_Deliverables_MLP_LLP_7-14-2010_Combined_FairPoint_FP comTechOps_ProgramWorkbook_sachin" xfId="1387" xr:uid="{00000000-0005-0000-0000-000011050000}"/>
    <cellStyle name="_20061027Holux_ProgramWorkBook_CMS_Web_Design_Phase_Deliverables_MLP_LLP_7-14-2010_Combined_FairPoint_FP comTechOps_ProgramWorkbook_sachin 2" xfId="1388" xr:uid="{00000000-0005-0000-0000-000012050000}"/>
    <cellStyle name="_20061027Holux_ProgramWorkBook_CMS_Web_Design_Phase_Deliverables_MLP_LLP_7-14-2010_Combined_FairPoint_FP comTechOps_ProgramWorkbook_sachin 3" xfId="1389" xr:uid="{00000000-0005-0000-0000-000013050000}"/>
    <cellStyle name="_20061027Holux_ProgramWorkBook_CMS_Web_Design_Phase_Deliverables_MLP_LLP_7-14-2010_Combined_FairPoint_FP comTechOps_ProgramWorkbook_sachin_v1" xfId="1390" xr:uid="{00000000-0005-0000-0000-000014050000}"/>
    <cellStyle name="_20061027Holux_ProgramWorkBook_CMS_Web_Design_Phase_Deliverables_MLP_LLP_7-14-2010_Combined_FairPoint_FP comTechOps_ProgramWorkbook_sachin_v1 2" xfId="1391" xr:uid="{00000000-0005-0000-0000-000015050000}"/>
    <cellStyle name="_20061027Holux_ProgramWorkBook_CMS_Web_Design_Phase_Deliverables_MLP_LLP_7-14-2010_Combined_FairPoint_FP comTechOps_ProgramWorkbook_sachin_v1 3" xfId="1392" xr:uid="{00000000-0005-0000-0000-000016050000}"/>
    <cellStyle name="_20061027Holux_ProgramWorkBook_CMS_Web_Design_Phase_Deliverables_MLP_LLP_7-14-2010_Combined_FP_CAMP&amp;ITReporting_Maintenance_Dashboard" xfId="1393" xr:uid="{00000000-0005-0000-0000-000017050000}"/>
    <cellStyle name="_20061027Holux_ProgramWorkBook_CMS_Web_Design_Phase_Deliverables_MLP_LLP_7-14-2010_Combined_FP_CAMP&amp;ITReporting_Maintenance_Dashboard 2" xfId="1394" xr:uid="{00000000-0005-0000-0000-000018050000}"/>
    <cellStyle name="_20061027Holux_ProgramWorkBook_CMS_Web_Design_Phase_Deliverables_MLP_LLP_7-14-2010_Combined_FP_CAMP&amp;ITReporting_Maintenance_Dashboard 3" xfId="1395" xr:uid="{00000000-0005-0000-0000-000019050000}"/>
    <cellStyle name="_20061027Holux_ProgramWorkBook_CMS_Web_Design_Phase_Deliverables_MLP_LLP_7-14-2010_Combined_FP_CAMPITReporting_Maintenance_Dashboard" xfId="1396" xr:uid="{00000000-0005-0000-0000-00001A050000}"/>
    <cellStyle name="_20061027Holux_ProgramWorkBook_CMS_Web_Design_Phase_Deliverables_MLP_LLP_7-14-2010_Combined_FP_CAMPITReporting_Maintenance_Dashboard 2" xfId="1397" xr:uid="{00000000-0005-0000-0000-00001B050000}"/>
    <cellStyle name="_20061027Holux_ProgramWorkBook_CMS_Web_Design_Phase_Deliverables_MLP_LLP_7-14-2010_Combined_FP_CAMPITReporting_Maintenance_Dashboard 3" xfId="1398" xr:uid="{00000000-0005-0000-0000-00001C050000}"/>
    <cellStyle name="_20061027Holux_ProgramWorkBook_CMS_Web_Design_Phase_Deliverables_MLP_LLP_7-14-2010_Combined_FP_Commissions_Req_Dn_ProgramWorkBook_10-Dec-2010" xfId="1399" xr:uid="{00000000-0005-0000-0000-00001D050000}"/>
    <cellStyle name="_20061027Holux_ProgramWorkBook_CMS_Web_Design_Phase_Deliverables_MLP_LLP_7-14-2010_Combined_FP_Commissions_Req_Dn_ProgramWorkBook_10-Dec-2010 2" xfId="1400" xr:uid="{00000000-0005-0000-0000-00001E050000}"/>
    <cellStyle name="_20061027Holux_ProgramWorkBook_CMS_Web_Design_Phase_Deliverables_MLP_LLP_7-14-2010_Combined_FP_Commissions_Req_Dn_ProgramWorkBook_10-Dec-2010 3" xfId="1401" xr:uid="{00000000-0005-0000-0000-00001F050000}"/>
    <cellStyle name="_20061027Holux_ProgramWorkBook_CMS_Web_Design_Phase_Deliverables_MLP_LLP_7-14-2010_Combined_FP_DW_Impl_ProgramWorkBook_07-Jan-2011" xfId="1402" xr:uid="{00000000-0005-0000-0000-000020050000}"/>
    <cellStyle name="_20061027Holux_ProgramWorkBook_CMS_Web_Design_Phase_Deliverables_MLP_LLP_7-14-2010_Combined_FP_DW_Impl_ProgramWorkBook_07-Jan-2011 2" xfId="1403" xr:uid="{00000000-0005-0000-0000-000021050000}"/>
    <cellStyle name="_20061027Holux_ProgramWorkBook_CMS_Web_Design_Phase_Deliverables_MLP_LLP_7-14-2010_Combined_FP_DW_Impl_ProgramWorkBook_07-Jan-2011 2 2" xfId="1404" xr:uid="{00000000-0005-0000-0000-000022050000}"/>
    <cellStyle name="_20061027Holux_ProgramWorkBook_CMS_Web_Design_Phase_Deliverables_MLP_LLP_7-14-2010_Combined_FP_DW_Impl_ProgramWorkBook_07-Jan-2011 2 3" xfId="1405" xr:uid="{00000000-0005-0000-0000-000023050000}"/>
    <cellStyle name="_20061027Holux_ProgramWorkBook_CMS_Web_Design_Phase_Deliverables_MLP_LLP_7-14-2010_Combined_FP_DW_Impl_ProgramWorkBook_07-Jan-2011 3" xfId="1406" xr:uid="{00000000-0005-0000-0000-000024050000}"/>
    <cellStyle name="_20061027Holux_ProgramWorkBook_CMS_Web_Design_Phase_Deliverables_MLP_LLP_7-14-2010_Combined_FP_DW_Impl_ProgramWorkBook_07-Jan-2011 4" xfId="1407" xr:uid="{00000000-0005-0000-0000-000025050000}"/>
    <cellStyle name="_20061027Holux_ProgramWorkBook_CMS_Web_Design_Phase_Deliverables_MLP_LLP_7-14-2010_Combined_FP_DW_Impl_ProgramWorkBook_11-Feb-2011" xfId="1408" xr:uid="{00000000-0005-0000-0000-000026050000}"/>
    <cellStyle name="_20061027Holux_ProgramWorkBook_CMS_Web_Design_Phase_Deliverables_MLP_LLP_7-14-2010_Combined_FP_DW_Impl_ProgramWorkBook_11-Feb-2011 2" xfId="1409" xr:uid="{00000000-0005-0000-0000-000027050000}"/>
    <cellStyle name="_20061027Holux_ProgramWorkBook_CMS_Web_Design_Phase_Deliverables_MLP_LLP_7-14-2010_Combined_FP_DW_Impl_ProgramWorkBook_11-Feb-2011 3" xfId="1410" xr:uid="{00000000-0005-0000-0000-000028050000}"/>
    <cellStyle name="_20061027Holux_ProgramWorkBook_CMS_Web_Design_Phase_Deliverables_MLP_LLP_7-14-2010_Combined_FP_DW_Impl_ProgramWorkBook_18-Feb-2011 - Working" xfId="1411" xr:uid="{00000000-0005-0000-0000-000029050000}"/>
    <cellStyle name="_20061027Holux_ProgramWorkBook_CMS_Web_Design_Phase_Deliverables_MLP_LLP_7-14-2010_Combined_FP_DW_Impl_ProgramWorkBook_18-Feb-2011 - Working 2" xfId="1412" xr:uid="{00000000-0005-0000-0000-00002A050000}"/>
    <cellStyle name="_20061027Holux_ProgramWorkBook_CMS_Web_Design_Phase_Deliverables_MLP_LLP_7-14-2010_Combined_FP_DW_Impl_ProgramWorkBook_18-Feb-2011 - Working 3" xfId="1413" xr:uid="{00000000-0005-0000-0000-00002B050000}"/>
    <cellStyle name="_20061027Holux_ProgramWorkBook_CMS_Web_Design_Phase_Deliverables_MLP_LLP_7-14-2010_Combined_FP_EnterprisePortal_ProgramWorkbook" xfId="1414" xr:uid="{00000000-0005-0000-0000-00002C050000}"/>
    <cellStyle name="_20061027Holux_ProgramWorkBook_CMS_Web_Design_Phase_Deliverables_MLP_LLP_7-14-2010_Combined_FP_EnterprisePortal_ProgramWorkbook 2" xfId="1415" xr:uid="{00000000-0005-0000-0000-00002D050000}"/>
    <cellStyle name="_20061027Holux_ProgramWorkBook_CMS_Web_Design_Phase_Deliverables_MLP_LLP_7-14-2010_Combined_FP_EnterprisePortal_ProgramWorkbook 3" xfId="1416" xr:uid="{00000000-0005-0000-0000-00002E050000}"/>
    <cellStyle name="_20061027Holux_ProgramWorkBook_CMS_Web_Design_Phase_Deliverables_MLP_LLP_7-14-2010_Combined_FP_SAP_MLP v2" xfId="1417" xr:uid="{00000000-0005-0000-0000-00002F050000}"/>
    <cellStyle name="_20061027Holux_ProgramWorkBook_CMS_Web_Design_Phase_Deliverables_MLP_LLP_7-14-2010_Combined_FP_SAP_MLP v2 2" xfId="1418" xr:uid="{00000000-0005-0000-0000-000030050000}"/>
    <cellStyle name="_20061027Holux_ProgramWorkBook_CMS_Web_Design_Phase_Deliverables_MLP_LLP_7-14-2010_Combined_FP_SAP_MLP v2 3" xfId="1419" xr:uid="{00000000-0005-0000-0000-000031050000}"/>
    <cellStyle name="_20061027Holux_ProgramWorkBook_CMS_Web_Design_Phase_Deliverables_MLP_LLP_7-14-2010_Combined_KeyDecisions" xfId="1420" xr:uid="{00000000-0005-0000-0000-000032050000}"/>
    <cellStyle name="_20061027Holux_ProgramWorkBook_CMS_Web_Design_Phase_Deliverables_MLP_LLP_7-14-2010_Combined_KeyDecisions 2" xfId="1421" xr:uid="{00000000-0005-0000-0000-000033050000}"/>
    <cellStyle name="_20061027Holux_ProgramWorkBook_CMS_Web_Design_Phase_Deliverables_MLP_LLP_7-14-2010_Combined_KeyDecisions 3" xfId="1422" xr:uid="{00000000-0005-0000-0000-000034050000}"/>
    <cellStyle name="_20061027Holux_ProgramWorkBook_CMS_Web_Design_Phase_Deliverables_MLP_LLP_7-14-2010_Combined_Sophia_Imp_ProjectWorkBook_02_18_2011" xfId="1423" xr:uid="{00000000-0005-0000-0000-000035050000}"/>
    <cellStyle name="_20061027Holux_ProgramWorkBook_CMS_Web_Design_Phase_Deliverables_MLP_LLP_7-14-2010_Combined_Sophia_Imp_ProjectWorkBook_02_18_2011 2" xfId="1424" xr:uid="{00000000-0005-0000-0000-000036050000}"/>
    <cellStyle name="_20061027Holux_ProgramWorkBook_CMS_Web_Design_Phase_Deliverables_MLP_LLP_7-14-2010_Combined_Sophia_Imp_ProjectWorkBook_02_18_2011 3" xfId="1425" xr:uid="{00000000-0005-0000-0000-000037050000}"/>
    <cellStyle name="_20061027Holux_ProgramWorkBook_CMS_Web_Design_Phase_Deliverables_MLP_LLP_7-14-2010_Combined_t" xfId="1426" xr:uid="{00000000-0005-0000-0000-000038050000}"/>
    <cellStyle name="_20061027Holux_ProgramWorkBook_CMS_Web_Design_Phase_Deliverables_MLP_LLP_7-14-2010_Combined_t 2" xfId="1427" xr:uid="{00000000-0005-0000-0000-000039050000}"/>
    <cellStyle name="_20061027Holux_ProgramWorkBook_CMS_Web_Design_Phase_Deliverables_MLP_LLP_7-14-2010_Combined_t 3" xfId="1428" xr:uid="{00000000-0005-0000-0000-00003A050000}"/>
    <cellStyle name="_20061027Holux_ProgramWorkBook_Commissioning System Implementation_Project Workbook_06_10_2011" xfId="1429" xr:uid="{00000000-0005-0000-0000-00003B050000}"/>
    <cellStyle name="_20061027Holux_ProgramWorkBook_Commissioning System Implementation_Project Workbook_06_10_2011 2" xfId="1430" xr:uid="{00000000-0005-0000-0000-00003C050000}"/>
    <cellStyle name="_20061027Holux_ProgramWorkBook_Commissioning System Implementation_Project Workbook_06_10_2011 3" xfId="1431" xr:uid="{00000000-0005-0000-0000-00003D050000}"/>
    <cellStyle name="_20061027Holux_ProgramWorkBook_Detailed_Requirements_Plan" xfId="1432" xr:uid="{00000000-0005-0000-0000-00003E050000}"/>
    <cellStyle name="_20061027Holux_ProgramWorkBook_Detailed_Requirements_Plan 2" xfId="1433" xr:uid="{00000000-0005-0000-0000-00003F050000}"/>
    <cellStyle name="_20061027Holux_ProgramWorkBook_Detailed_Requirements_Plan 3" xfId="1434" xr:uid="{00000000-0005-0000-0000-000040050000}"/>
    <cellStyle name="_20061027Holux_ProgramWorkBook_Doneness Matrix v2" xfId="1435" xr:uid="{00000000-0005-0000-0000-000041050000}"/>
    <cellStyle name="_20061027Holux_ProgramWorkBook_Doneness Matrix v2 2" xfId="1436" xr:uid="{00000000-0005-0000-0000-000042050000}"/>
    <cellStyle name="_20061027Holux_ProgramWorkBook_Doneness Matrix v2 2 2" xfId="1437" xr:uid="{00000000-0005-0000-0000-000043050000}"/>
    <cellStyle name="_20061027Holux_ProgramWorkBook_Doneness Matrix v2 2 3" xfId="1438" xr:uid="{00000000-0005-0000-0000-000044050000}"/>
    <cellStyle name="_20061027Holux_ProgramWorkBook_Doneness Matrix v2 3" xfId="1439" xr:uid="{00000000-0005-0000-0000-000045050000}"/>
    <cellStyle name="_20061027Holux_ProgramWorkBook_Doneness Matrix v2 3 2" xfId="1440" xr:uid="{00000000-0005-0000-0000-000046050000}"/>
    <cellStyle name="_20061027Holux_ProgramWorkBook_Doneness Matrix v2 3 3" xfId="1441" xr:uid="{00000000-0005-0000-0000-000047050000}"/>
    <cellStyle name="_20061027Holux_ProgramWorkBook_Doneness Matrix v2 4" xfId="1442" xr:uid="{00000000-0005-0000-0000-000048050000}"/>
    <cellStyle name="_20061027Holux_ProgramWorkBook_Doneness Matrix v2 5" xfId="1443" xr:uid="{00000000-0005-0000-0000-000049050000}"/>
    <cellStyle name="_20061027Holux_ProgramWorkBook_Doneness Matrix v2_Commissioning System Implementation_Project Workbook_06_10_2011" xfId="1444" xr:uid="{00000000-0005-0000-0000-00004A050000}"/>
    <cellStyle name="_20061027Holux_ProgramWorkBook_Doneness Matrix v2_Commissioning System Implementation_Project Workbook_06_10_2011 2" xfId="1445" xr:uid="{00000000-0005-0000-0000-00004B050000}"/>
    <cellStyle name="_20061027Holux_ProgramWorkBook_Doneness Matrix v2_Commissioning System Implementation_Project Workbook_06_10_2011 3" xfId="1446" xr:uid="{00000000-0005-0000-0000-00004C050000}"/>
    <cellStyle name="_20061027Holux_ProgramWorkBook_Doneness Matrix v2_FairPoint_CampReport" xfId="1447" xr:uid="{00000000-0005-0000-0000-00004D050000}"/>
    <cellStyle name="_20061027Holux_ProgramWorkBook_Doneness Matrix v2_FairPoint_CampReport 2" xfId="1448" xr:uid="{00000000-0005-0000-0000-00004E050000}"/>
    <cellStyle name="_20061027Holux_ProgramWorkBook_Doneness Matrix v2_FairPoint_CampReport 3" xfId="1449" xr:uid="{00000000-0005-0000-0000-00004F050000}"/>
    <cellStyle name="_20061027Holux_ProgramWorkBook_Doneness Matrix v2_FairPoint_FP comTechOps_ProgramWorkbook" xfId="1450" xr:uid="{00000000-0005-0000-0000-000050050000}"/>
    <cellStyle name="_20061027Holux_ProgramWorkBook_Doneness Matrix v2_FairPoint_FP comTechOps_ProgramWorkbook 2" xfId="1451" xr:uid="{00000000-0005-0000-0000-000051050000}"/>
    <cellStyle name="_20061027Holux_ProgramWorkBook_Doneness Matrix v2_FairPoint_FP comTechOps_ProgramWorkbook 3" xfId="1452" xr:uid="{00000000-0005-0000-0000-000052050000}"/>
    <cellStyle name="_20061027Holux_ProgramWorkBook_Doneness Matrix v2_FairPoint_FP comTechOps_ProgramWorkbook_sachin" xfId="1453" xr:uid="{00000000-0005-0000-0000-000053050000}"/>
    <cellStyle name="_20061027Holux_ProgramWorkBook_Doneness Matrix v2_FairPoint_FP comTechOps_ProgramWorkbook_sachin 2" xfId="1454" xr:uid="{00000000-0005-0000-0000-000054050000}"/>
    <cellStyle name="_20061027Holux_ProgramWorkBook_Doneness Matrix v2_FairPoint_FP comTechOps_ProgramWorkbook_sachin 3" xfId="1455" xr:uid="{00000000-0005-0000-0000-000055050000}"/>
    <cellStyle name="_20061027Holux_ProgramWorkBook_Doneness Matrix v2_FairPoint_FP comTechOps_ProgramWorkbook_sachin_v1" xfId="1456" xr:uid="{00000000-0005-0000-0000-000056050000}"/>
    <cellStyle name="_20061027Holux_ProgramWorkBook_Doneness Matrix v2_FairPoint_FP comTechOps_ProgramWorkbook_sachin_v1 2" xfId="1457" xr:uid="{00000000-0005-0000-0000-000057050000}"/>
    <cellStyle name="_20061027Holux_ProgramWorkBook_Doneness Matrix v2_FairPoint_FP comTechOps_ProgramWorkbook_sachin_v1 3" xfId="1458" xr:uid="{00000000-0005-0000-0000-000058050000}"/>
    <cellStyle name="_20061027Holux_ProgramWorkBook_Doneness Matrix v2_FP_CAMP&amp;ITReporting_Maintenance_Dashboard" xfId="1459" xr:uid="{00000000-0005-0000-0000-000059050000}"/>
    <cellStyle name="_20061027Holux_ProgramWorkBook_Doneness Matrix v2_FP_CAMP&amp;ITReporting_Maintenance_Dashboard 2" xfId="1460" xr:uid="{00000000-0005-0000-0000-00005A050000}"/>
    <cellStyle name="_20061027Holux_ProgramWorkBook_Doneness Matrix v2_FP_CAMP&amp;ITReporting_Maintenance_Dashboard 3" xfId="1461" xr:uid="{00000000-0005-0000-0000-00005B050000}"/>
    <cellStyle name="_20061027Holux_ProgramWorkBook_Doneness Matrix v2_FP_CAMPITReporting_Maintenance_Dashboard" xfId="1462" xr:uid="{00000000-0005-0000-0000-00005C050000}"/>
    <cellStyle name="_20061027Holux_ProgramWorkBook_Doneness Matrix v2_FP_CAMPITReporting_Maintenance_Dashboard 2" xfId="1463" xr:uid="{00000000-0005-0000-0000-00005D050000}"/>
    <cellStyle name="_20061027Holux_ProgramWorkBook_Doneness Matrix v2_FP_CAMPITReporting_Maintenance_Dashboard 3" xfId="1464" xr:uid="{00000000-0005-0000-0000-00005E050000}"/>
    <cellStyle name="_20061027Holux_ProgramWorkBook_Doneness Matrix v2_FP_Commissions_Req_Dn_ProgramWorkBook_10-Dec-2010" xfId="1465" xr:uid="{00000000-0005-0000-0000-00005F050000}"/>
    <cellStyle name="_20061027Holux_ProgramWorkBook_Doneness Matrix v2_FP_Commissions_Req_Dn_ProgramWorkBook_10-Dec-2010 2" xfId="1466" xr:uid="{00000000-0005-0000-0000-000060050000}"/>
    <cellStyle name="_20061027Holux_ProgramWorkBook_Doneness Matrix v2_FP_Commissions_Req_Dn_ProgramWorkBook_10-Dec-2010 3" xfId="1467" xr:uid="{00000000-0005-0000-0000-000061050000}"/>
    <cellStyle name="_20061027Holux_ProgramWorkBook_Doneness Matrix v2_FP_DW_Impl_ProgramWorkBook_07-Jan-2011" xfId="1468" xr:uid="{00000000-0005-0000-0000-000062050000}"/>
    <cellStyle name="_20061027Holux_ProgramWorkBook_Doneness Matrix v2_FP_DW_Impl_ProgramWorkBook_07-Jan-2011 2" xfId="1469" xr:uid="{00000000-0005-0000-0000-000063050000}"/>
    <cellStyle name="_20061027Holux_ProgramWorkBook_Doneness Matrix v2_FP_DW_Impl_ProgramWorkBook_07-Jan-2011 2 2" xfId="1470" xr:uid="{00000000-0005-0000-0000-000064050000}"/>
    <cellStyle name="_20061027Holux_ProgramWorkBook_Doneness Matrix v2_FP_DW_Impl_ProgramWorkBook_07-Jan-2011 2 3" xfId="1471" xr:uid="{00000000-0005-0000-0000-000065050000}"/>
    <cellStyle name="_20061027Holux_ProgramWorkBook_Doneness Matrix v2_FP_DW_Impl_ProgramWorkBook_07-Jan-2011 3" xfId="1472" xr:uid="{00000000-0005-0000-0000-000066050000}"/>
    <cellStyle name="_20061027Holux_ProgramWorkBook_Doneness Matrix v2_FP_DW_Impl_ProgramWorkBook_07-Jan-2011 4" xfId="1473" xr:uid="{00000000-0005-0000-0000-000067050000}"/>
    <cellStyle name="_20061027Holux_ProgramWorkBook_Doneness Matrix v2_FP_DW_Impl_ProgramWorkBook_11-Feb-2011" xfId="1474" xr:uid="{00000000-0005-0000-0000-000068050000}"/>
    <cellStyle name="_20061027Holux_ProgramWorkBook_Doneness Matrix v2_FP_DW_Impl_ProgramWorkBook_11-Feb-2011 2" xfId="1475" xr:uid="{00000000-0005-0000-0000-000069050000}"/>
    <cellStyle name="_20061027Holux_ProgramWorkBook_Doneness Matrix v2_FP_DW_Impl_ProgramWorkBook_11-Feb-2011 3" xfId="1476" xr:uid="{00000000-0005-0000-0000-00006A050000}"/>
    <cellStyle name="_20061027Holux_ProgramWorkBook_Doneness Matrix v2_FP_DW_Impl_ProgramWorkBook_18-Feb-2011 - Working" xfId="1477" xr:uid="{00000000-0005-0000-0000-00006B050000}"/>
    <cellStyle name="_20061027Holux_ProgramWorkBook_Doneness Matrix v2_FP_DW_Impl_ProgramWorkBook_18-Feb-2011 - Working 2" xfId="1478" xr:uid="{00000000-0005-0000-0000-00006C050000}"/>
    <cellStyle name="_20061027Holux_ProgramWorkBook_Doneness Matrix v2_FP_DW_Impl_ProgramWorkBook_18-Feb-2011 - Working 3" xfId="1479" xr:uid="{00000000-0005-0000-0000-00006D050000}"/>
    <cellStyle name="_20061027Holux_ProgramWorkBook_Doneness Matrix v2_FP_EnterprisePortal_ProgramWorkbook" xfId="1480" xr:uid="{00000000-0005-0000-0000-00006E050000}"/>
    <cellStyle name="_20061027Holux_ProgramWorkBook_Doneness Matrix v2_FP_EnterprisePortal_ProgramWorkbook 2" xfId="1481" xr:uid="{00000000-0005-0000-0000-00006F050000}"/>
    <cellStyle name="_20061027Holux_ProgramWorkBook_Doneness Matrix v2_FP_EnterprisePortal_ProgramWorkbook 3" xfId="1482" xr:uid="{00000000-0005-0000-0000-000070050000}"/>
    <cellStyle name="_20061027Holux_ProgramWorkBook_Doneness Matrix v2_FP_SAP_MLP v2" xfId="1483" xr:uid="{00000000-0005-0000-0000-000071050000}"/>
    <cellStyle name="_20061027Holux_ProgramWorkBook_Doneness Matrix v2_FP_SAP_MLP v2 2" xfId="1484" xr:uid="{00000000-0005-0000-0000-000072050000}"/>
    <cellStyle name="_20061027Holux_ProgramWorkBook_Doneness Matrix v2_FP_SAP_MLP v2 3" xfId="1485" xr:uid="{00000000-0005-0000-0000-000073050000}"/>
    <cellStyle name="_20061027Holux_ProgramWorkBook_Doneness Matrix v2_KeyDecisions" xfId="1486" xr:uid="{00000000-0005-0000-0000-000074050000}"/>
    <cellStyle name="_20061027Holux_ProgramWorkBook_Doneness Matrix v2_KeyDecisions 2" xfId="1487" xr:uid="{00000000-0005-0000-0000-000075050000}"/>
    <cellStyle name="_20061027Holux_ProgramWorkBook_Doneness Matrix v2_KeyDecisions 3" xfId="1488" xr:uid="{00000000-0005-0000-0000-000076050000}"/>
    <cellStyle name="_20061027Holux_ProgramWorkBook_Doneness Matrix v2_Sophia_Imp_ProjectWorkBook_02_18_2011" xfId="1489" xr:uid="{00000000-0005-0000-0000-000077050000}"/>
    <cellStyle name="_20061027Holux_ProgramWorkBook_Doneness Matrix v2_Sophia_Imp_ProjectWorkBook_02_18_2011 2" xfId="1490" xr:uid="{00000000-0005-0000-0000-000078050000}"/>
    <cellStyle name="_20061027Holux_ProgramWorkBook_Doneness Matrix v2_Sophia_Imp_ProjectWorkBook_02_18_2011 3" xfId="1491" xr:uid="{00000000-0005-0000-0000-000079050000}"/>
    <cellStyle name="_20061027Holux_ProgramWorkBook_Doneness Matrix v2_t" xfId="1492" xr:uid="{00000000-0005-0000-0000-00007A050000}"/>
    <cellStyle name="_20061027Holux_ProgramWorkBook_Doneness Matrix v2_t 2" xfId="1493" xr:uid="{00000000-0005-0000-0000-00007B050000}"/>
    <cellStyle name="_20061027Holux_ProgramWorkBook_Doneness Matrix v2_t 3" xfId="1494" xr:uid="{00000000-0005-0000-0000-00007C050000}"/>
    <cellStyle name="_20061027Holux_ProgramWorkBook_EnterprisePortalRequirements_PMWorkbook" xfId="1495" xr:uid="{00000000-0005-0000-0000-00007D050000}"/>
    <cellStyle name="_20061027Holux_ProgramWorkBook_EnterprisePortalRequirements_PMWorkbook (2)" xfId="1496" xr:uid="{00000000-0005-0000-0000-00007E050000}"/>
    <cellStyle name="_20061027Holux_ProgramWorkBook_EnterprisePortalRequirements_PMWorkbook (2) 2" xfId="1497" xr:uid="{00000000-0005-0000-0000-00007F050000}"/>
    <cellStyle name="_20061027Holux_ProgramWorkBook_EnterprisePortalRequirements_PMWorkbook (2) 3" xfId="1498" xr:uid="{00000000-0005-0000-0000-000080050000}"/>
    <cellStyle name="_20061027Holux_ProgramWorkBook_EnterprisePortalRequirements_PMWorkbook 10" xfId="1499" xr:uid="{00000000-0005-0000-0000-000081050000}"/>
    <cellStyle name="_20061027Holux_ProgramWorkBook_EnterprisePortalRequirements_PMWorkbook 2" xfId="1500" xr:uid="{00000000-0005-0000-0000-000082050000}"/>
    <cellStyle name="_20061027Holux_ProgramWorkBook_EnterprisePortalRequirements_PMWorkbook 3" xfId="1501" xr:uid="{00000000-0005-0000-0000-000083050000}"/>
    <cellStyle name="_20061027Holux_ProgramWorkBook_EnterprisePortalRequirements_PMWorkbook 4" xfId="1502" xr:uid="{00000000-0005-0000-0000-000084050000}"/>
    <cellStyle name="_20061027Holux_ProgramWorkBook_EnterprisePortalRequirements_PMWorkbook 5" xfId="1503" xr:uid="{00000000-0005-0000-0000-000085050000}"/>
    <cellStyle name="_20061027Holux_ProgramWorkBook_EnterprisePortalRequirements_PMWorkbook 6" xfId="1504" xr:uid="{00000000-0005-0000-0000-000086050000}"/>
    <cellStyle name="_20061027Holux_ProgramWorkBook_EnterprisePortalRequirements_PMWorkbook 7" xfId="1505" xr:uid="{00000000-0005-0000-0000-000087050000}"/>
    <cellStyle name="_20061027Holux_ProgramWorkBook_EnterprisePortalRequirements_PMWorkbook 8" xfId="1506" xr:uid="{00000000-0005-0000-0000-000088050000}"/>
    <cellStyle name="_20061027Holux_ProgramWorkBook_EnterprisePortalRequirements_PMWorkbook 9" xfId="1507" xr:uid="{00000000-0005-0000-0000-000089050000}"/>
    <cellStyle name="_20061027Holux_ProgramWorkBook_FairPoint_CampReport" xfId="1508" xr:uid="{00000000-0005-0000-0000-00008A050000}"/>
    <cellStyle name="_20061027Holux_ProgramWorkBook_FairPoint_CampReport 2" xfId="1509" xr:uid="{00000000-0005-0000-0000-00008B050000}"/>
    <cellStyle name="_20061027Holux_ProgramWorkBook_FairPoint_CampReport 3" xfId="1510" xr:uid="{00000000-0005-0000-0000-00008C050000}"/>
    <cellStyle name="_20061027Holux_ProgramWorkBook_FairPoint_FP comTechOps_ProgramWorkbook" xfId="1511" xr:uid="{00000000-0005-0000-0000-00008D050000}"/>
    <cellStyle name="_20061027Holux_ProgramWorkBook_FairPoint_FP comTechOps_ProgramWorkbook 2" xfId="1512" xr:uid="{00000000-0005-0000-0000-00008E050000}"/>
    <cellStyle name="_20061027Holux_ProgramWorkBook_FairPoint_FP comTechOps_ProgramWorkbook 3" xfId="1513" xr:uid="{00000000-0005-0000-0000-00008F050000}"/>
    <cellStyle name="_20061027Holux_ProgramWorkBook_FairPoint_FP comTechOps_ProgramWorkbook_sachin" xfId="1514" xr:uid="{00000000-0005-0000-0000-000090050000}"/>
    <cellStyle name="_20061027Holux_ProgramWorkBook_FairPoint_FP comTechOps_ProgramWorkbook_sachin 2" xfId="1515" xr:uid="{00000000-0005-0000-0000-000091050000}"/>
    <cellStyle name="_20061027Holux_ProgramWorkBook_FairPoint_FP comTechOps_ProgramWorkbook_sachin 3" xfId="1516" xr:uid="{00000000-0005-0000-0000-000092050000}"/>
    <cellStyle name="_20061027Holux_ProgramWorkBook_FairPoint_FP comTechOps_ProgramWorkbook_sachin_v1" xfId="1517" xr:uid="{00000000-0005-0000-0000-000093050000}"/>
    <cellStyle name="_20061027Holux_ProgramWorkBook_FairPoint_FP comTechOps_ProgramWorkbook_sachin_v1 2" xfId="1518" xr:uid="{00000000-0005-0000-0000-000094050000}"/>
    <cellStyle name="_20061027Holux_ProgramWorkBook_FairPoint_FP comTechOps_ProgramWorkbook_sachin_v1 3" xfId="1519" xr:uid="{00000000-0005-0000-0000-000095050000}"/>
    <cellStyle name="_20061027Holux_ProgramWorkBook_FairPoint_IntialSetup_Focus" xfId="1520" xr:uid="{00000000-0005-0000-0000-000096050000}"/>
    <cellStyle name="_20061027Holux_ProgramWorkBook_FairPoint_IntialSetup_Focus 2" xfId="1521" xr:uid="{00000000-0005-0000-0000-000097050000}"/>
    <cellStyle name="_20061027Holux_ProgramWorkBook_FairPoint_IntialSetup_Focus 2 2" xfId="1522" xr:uid="{00000000-0005-0000-0000-000098050000}"/>
    <cellStyle name="_20061027Holux_ProgramWorkBook_FairPoint_IntialSetup_Focus 2 3" xfId="1523" xr:uid="{00000000-0005-0000-0000-000099050000}"/>
    <cellStyle name="_20061027Holux_ProgramWorkBook_FairPoint_IntialSetup_Focus 3" xfId="1524" xr:uid="{00000000-0005-0000-0000-00009A050000}"/>
    <cellStyle name="_20061027Holux_ProgramWorkBook_FairPoint_IntialSetup_Focus 3 2" xfId="1525" xr:uid="{00000000-0005-0000-0000-00009B050000}"/>
    <cellStyle name="_20061027Holux_ProgramWorkBook_FairPoint_IntialSetup_Focus 3 3" xfId="1526" xr:uid="{00000000-0005-0000-0000-00009C050000}"/>
    <cellStyle name="_20061027Holux_ProgramWorkBook_FairPoint_IntialSetup_Focus 4" xfId="1527" xr:uid="{00000000-0005-0000-0000-00009D050000}"/>
    <cellStyle name="_20061027Holux_ProgramWorkBook_FairPoint_IntialSetup_Focus 5" xfId="1528" xr:uid="{00000000-0005-0000-0000-00009E050000}"/>
    <cellStyle name="_20061027Holux_ProgramWorkBook_FairPoint_IntialSetup_Focus_Commissioning System Implementation_Project Workbook_06_10_2011" xfId="1529" xr:uid="{00000000-0005-0000-0000-00009F050000}"/>
    <cellStyle name="_20061027Holux_ProgramWorkBook_FairPoint_IntialSetup_Focus_Commissioning System Implementation_Project Workbook_06_10_2011 2" xfId="1530" xr:uid="{00000000-0005-0000-0000-0000A0050000}"/>
    <cellStyle name="_20061027Holux_ProgramWorkBook_FairPoint_IntialSetup_Focus_Commissioning System Implementation_Project Workbook_06_10_2011 3" xfId="1531" xr:uid="{00000000-0005-0000-0000-0000A1050000}"/>
    <cellStyle name="_20061027Holux_ProgramWorkBook_FairPoint_IntialSetup_Focus_FairPoint_CampReport" xfId="1532" xr:uid="{00000000-0005-0000-0000-0000A2050000}"/>
    <cellStyle name="_20061027Holux_ProgramWorkBook_FairPoint_IntialSetup_Focus_FairPoint_CampReport 2" xfId="1533" xr:uid="{00000000-0005-0000-0000-0000A3050000}"/>
    <cellStyle name="_20061027Holux_ProgramWorkBook_FairPoint_IntialSetup_Focus_FairPoint_CampReport 3" xfId="1534" xr:uid="{00000000-0005-0000-0000-0000A4050000}"/>
    <cellStyle name="_20061027Holux_ProgramWorkBook_FairPoint_IntialSetup_Focus_FairPoint_FP comTechOps_ProgramWorkbook" xfId="1535" xr:uid="{00000000-0005-0000-0000-0000A5050000}"/>
    <cellStyle name="_20061027Holux_ProgramWorkBook_FairPoint_IntialSetup_Focus_FairPoint_FP comTechOps_ProgramWorkbook 2" xfId="1536" xr:uid="{00000000-0005-0000-0000-0000A6050000}"/>
    <cellStyle name="_20061027Holux_ProgramWorkBook_FairPoint_IntialSetup_Focus_FairPoint_FP comTechOps_ProgramWorkbook 3" xfId="1537" xr:uid="{00000000-0005-0000-0000-0000A7050000}"/>
    <cellStyle name="_20061027Holux_ProgramWorkBook_FairPoint_IntialSetup_Focus_FairPoint_FP comTechOps_ProgramWorkbook_sachin" xfId="1538" xr:uid="{00000000-0005-0000-0000-0000A8050000}"/>
    <cellStyle name="_20061027Holux_ProgramWorkBook_FairPoint_IntialSetup_Focus_FairPoint_FP comTechOps_ProgramWorkbook_sachin 2" xfId="1539" xr:uid="{00000000-0005-0000-0000-0000A9050000}"/>
    <cellStyle name="_20061027Holux_ProgramWorkBook_FairPoint_IntialSetup_Focus_FairPoint_FP comTechOps_ProgramWorkbook_sachin 3" xfId="1540" xr:uid="{00000000-0005-0000-0000-0000AA050000}"/>
    <cellStyle name="_20061027Holux_ProgramWorkBook_FairPoint_IntialSetup_Focus_FairPoint_FP comTechOps_ProgramWorkbook_sachin_v1" xfId="1541" xr:uid="{00000000-0005-0000-0000-0000AB050000}"/>
    <cellStyle name="_20061027Holux_ProgramWorkBook_FairPoint_IntialSetup_Focus_FairPoint_FP comTechOps_ProgramWorkbook_sachin_v1 2" xfId="1542" xr:uid="{00000000-0005-0000-0000-0000AC050000}"/>
    <cellStyle name="_20061027Holux_ProgramWorkBook_FairPoint_IntialSetup_Focus_FairPoint_FP comTechOps_ProgramWorkbook_sachin_v1 3" xfId="1543" xr:uid="{00000000-0005-0000-0000-0000AD050000}"/>
    <cellStyle name="_20061027Holux_ProgramWorkBook_FairPoint_IntialSetup_Focus_FP_CAMP&amp;ITReporting_Maintenance_Dashboard" xfId="1544" xr:uid="{00000000-0005-0000-0000-0000AE050000}"/>
    <cellStyle name="_20061027Holux_ProgramWorkBook_FairPoint_IntialSetup_Focus_FP_CAMP&amp;ITReporting_Maintenance_Dashboard 2" xfId="1545" xr:uid="{00000000-0005-0000-0000-0000AF050000}"/>
    <cellStyle name="_20061027Holux_ProgramWorkBook_FairPoint_IntialSetup_Focus_FP_CAMP&amp;ITReporting_Maintenance_Dashboard 3" xfId="1546" xr:uid="{00000000-0005-0000-0000-0000B0050000}"/>
    <cellStyle name="_20061027Holux_ProgramWorkBook_FairPoint_IntialSetup_Focus_FP_CAMPITReporting_Maintenance_Dashboard" xfId="1547" xr:uid="{00000000-0005-0000-0000-0000B1050000}"/>
    <cellStyle name="_20061027Holux_ProgramWorkBook_FairPoint_IntialSetup_Focus_FP_CAMPITReporting_Maintenance_Dashboard 2" xfId="1548" xr:uid="{00000000-0005-0000-0000-0000B2050000}"/>
    <cellStyle name="_20061027Holux_ProgramWorkBook_FairPoint_IntialSetup_Focus_FP_CAMPITReporting_Maintenance_Dashboard 3" xfId="1549" xr:uid="{00000000-0005-0000-0000-0000B3050000}"/>
    <cellStyle name="_20061027Holux_ProgramWorkBook_FairPoint_IntialSetup_Focus_FP_Commissions_Req_Dn_ProgramWorkBook_10-Dec-2010" xfId="1550" xr:uid="{00000000-0005-0000-0000-0000B4050000}"/>
    <cellStyle name="_20061027Holux_ProgramWorkBook_FairPoint_IntialSetup_Focus_FP_Commissions_Req_Dn_ProgramWorkBook_10-Dec-2010 2" xfId="1551" xr:uid="{00000000-0005-0000-0000-0000B5050000}"/>
    <cellStyle name="_20061027Holux_ProgramWorkBook_FairPoint_IntialSetup_Focus_FP_Commissions_Req_Dn_ProgramWorkBook_10-Dec-2010 3" xfId="1552" xr:uid="{00000000-0005-0000-0000-0000B6050000}"/>
    <cellStyle name="_20061027Holux_ProgramWorkBook_FairPoint_IntialSetup_Focus_FP_DW_Impl_ProgramWorkBook_07-Jan-2011" xfId="1553" xr:uid="{00000000-0005-0000-0000-0000B7050000}"/>
    <cellStyle name="_20061027Holux_ProgramWorkBook_FairPoint_IntialSetup_Focus_FP_DW_Impl_ProgramWorkBook_07-Jan-2011 2" xfId="1554" xr:uid="{00000000-0005-0000-0000-0000B8050000}"/>
    <cellStyle name="_20061027Holux_ProgramWorkBook_FairPoint_IntialSetup_Focus_FP_DW_Impl_ProgramWorkBook_07-Jan-2011 2 2" xfId="1555" xr:uid="{00000000-0005-0000-0000-0000B9050000}"/>
    <cellStyle name="_20061027Holux_ProgramWorkBook_FairPoint_IntialSetup_Focus_FP_DW_Impl_ProgramWorkBook_07-Jan-2011 2 3" xfId="1556" xr:uid="{00000000-0005-0000-0000-0000BA050000}"/>
    <cellStyle name="_20061027Holux_ProgramWorkBook_FairPoint_IntialSetup_Focus_FP_DW_Impl_ProgramWorkBook_07-Jan-2011 3" xfId="1557" xr:uid="{00000000-0005-0000-0000-0000BB050000}"/>
    <cellStyle name="_20061027Holux_ProgramWorkBook_FairPoint_IntialSetup_Focus_FP_DW_Impl_ProgramWorkBook_07-Jan-2011 4" xfId="1558" xr:uid="{00000000-0005-0000-0000-0000BC050000}"/>
    <cellStyle name="_20061027Holux_ProgramWorkBook_FairPoint_IntialSetup_Focus_FP_DW_Impl_ProgramWorkBook_11-Feb-2011" xfId="1559" xr:uid="{00000000-0005-0000-0000-0000BD050000}"/>
    <cellStyle name="_20061027Holux_ProgramWorkBook_FairPoint_IntialSetup_Focus_FP_DW_Impl_ProgramWorkBook_11-Feb-2011 2" xfId="1560" xr:uid="{00000000-0005-0000-0000-0000BE050000}"/>
    <cellStyle name="_20061027Holux_ProgramWorkBook_FairPoint_IntialSetup_Focus_FP_DW_Impl_ProgramWorkBook_11-Feb-2011 3" xfId="1561" xr:uid="{00000000-0005-0000-0000-0000BF050000}"/>
    <cellStyle name="_20061027Holux_ProgramWorkBook_FairPoint_IntialSetup_Focus_FP_DW_Impl_ProgramWorkBook_18-Feb-2011 - Working" xfId="1562" xr:uid="{00000000-0005-0000-0000-0000C0050000}"/>
    <cellStyle name="_20061027Holux_ProgramWorkBook_FairPoint_IntialSetup_Focus_FP_DW_Impl_ProgramWorkBook_18-Feb-2011 - Working 2" xfId="1563" xr:uid="{00000000-0005-0000-0000-0000C1050000}"/>
    <cellStyle name="_20061027Holux_ProgramWorkBook_FairPoint_IntialSetup_Focus_FP_DW_Impl_ProgramWorkBook_18-Feb-2011 - Working 3" xfId="1564" xr:uid="{00000000-0005-0000-0000-0000C2050000}"/>
    <cellStyle name="_20061027Holux_ProgramWorkBook_FairPoint_IntialSetup_Focus_FP_EnterprisePortal_ProgramWorkbook" xfId="1565" xr:uid="{00000000-0005-0000-0000-0000C3050000}"/>
    <cellStyle name="_20061027Holux_ProgramWorkBook_FairPoint_IntialSetup_Focus_FP_EnterprisePortal_ProgramWorkbook 2" xfId="1566" xr:uid="{00000000-0005-0000-0000-0000C4050000}"/>
    <cellStyle name="_20061027Holux_ProgramWorkBook_FairPoint_IntialSetup_Focus_FP_EnterprisePortal_ProgramWorkbook 3" xfId="1567" xr:uid="{00000000-0005-0000-0000-0000C5050000}"/>
    <cellStyle name="_20061027Holux_ProgramWorkBook_FairPoint_IntialSetup_Focus_FP_SAP_MLP v2" xfId="1568" xr:uid="{00000000-0005-0000-0000-0000C6050000}"/>
    <cellStyle name="_20061027Holux_ProgramWorkBook_FairPoint_IntialSetup_Focus_FP_SAP_MLP v2 2" xfId="1569" xr:uid="{00000000-0005-0000-0000-0000C7050000}"/>
    <cellStyle name="_20061027Holux_ProgramWorkBook_FairPoint_IntialSetup_Focus_FP_SAP_MLP v2 3" xfId="1570" xr:uid="{00000000-0005-0000-0000-0000C8050000}"/>
    <cellStyle name="_20061027Holux_ProgramWorkBook_FairPoint_IntialSetup_Focus_KeyDecisions" xfId="1571" xr:uid="{00000000-0005-0000-0000-0000C9050000}"/>
    <cellStyle name="_20061027Holux_ProgramWorkBook_FairPoint_IntialSetup_Focus_KeyDecisions 2" xfId="1572" xr:uid="{00000000-0005-0000-0000-0000CA050000}"/>
    <cellStyle name="_20061027Holux_ProgramWorkBook_FairPoint_IntialSetup_Focus_KeyDecisions 3" xfId="1573" xr:uid="{00000000-0005-0000-0000-0000CB050000}"/>
    <cellStyle name="_20061027Holux_ProgramWorkBook_FairPoint_IntialSetup_Focus_Sophia_Imp_ProjectWorkBook_02_18_2011" xfId="1574" xr:uid="{00000000-0005-0000-0000-0000CC050000}"/>
    <cellStyle name="_20061027Holux_ProgramWorkBook_FairPoint_IntialSetup_Focus_Sophia_Imp_ProjectWorkBook_02_18_2011 2" xfId="1575" xr:uid="{00000000-0005-0000-0000-0000CD050000}"/>
    <cellStyle name="_20061027Holux_ProgramWorkBook_FairPoint_IntialSetup_Focus_Sophia_Imp_ProjectWorkBook_02_18_2011 3" xfId="1576" xr:uid="{00000000-0005-0000-0000-0000CE050000}"/>
    <cellStyle name="_20061027Holux_ProgramWorkBook_FairPoint_IntialSetup_Focus_t" xfId="1577" xr:uid="{00000000-0005-0000-0000-0000CF050000}"/>
    <cellStyle name="_20061027Holux_ProgramWorkBook_FairPoint_IntialSetup_Focus_t 2" xfId="1578" xr:uid="{00000000-0005-0000-0000-0000D0050000}"/>
    <cellStyle name="_20061027Holux_ProgramWorkBook_FairPoint_IntialSetup_Focus_t 3" xfId="1579" xr:uid="{00000000-0005-0000-0000-0000D1050000}"/>
    <cellStyle name="_20061027Holux_ProgramWorkBook_FairPoint_TechnicalImplementation_Plan" xfId="1580" xr:uid="{00000000-0005-0000-0000-0000D2050000}"/>
    <cellStyle name="_20061027Holux_ProgramWorkBook_FairPoint_TechnicalImplementation_Plan 2" xfId="1581" xr:uid="{00000000-0005-0000-0000-0000D3050000}"/>
    <cellStyle name="_20061027Holux_ProgramWorkBook_FairPoint_TechnicalImplementation_Plan 2 2" xfId="1582" xr:uid="{00000000-0005-0000-0000-0000D4050000}"/>
    <cellStyle name="_20061027Holux_ProgramWorkBook_FairPoint_TechnicalImplementation_Plan 2 3" xfId="1583" xr:uid="{00000000-0005-0000-0000-0000D5050000}"/>
    <cellStyle name="_20061027Holux_ProgramWorkBook_FairPoint_TechnicalImplementation_Plan 3" xfId="1584" xr:uid="{00000000-0005-0000-0000-0000D6050000}"/>
    <cellStyle name="_20061027Holux_ProgramWorkBook_FairPoint_TechnicalImplementation_Plan 3 2" xfId="1585" xr:uid="{00000000-0005-0000-0000-0000D7050000}"/>
    <cellStyle name="_20061027Holux_ProgramWorkBook_FairPoint_TechnicalImplementation_Plan 3 3" xfId="1586" xr:uid="{00000000-0005-0000-0000-0000D8050000}"/>
    <cellStyle name="_20061027Holux_ProgramWorkBook_FairPoint_TechnicalImplementation_Plan 4" xfId="1587" xr:uid="{00000000-0005-0000-0000-0000D9050000}"/>
    <cellStyle name="_20061027Holux_ProgramWorkBook_FairPoint_TechnicalImplementation_Plan 5" xfId="1588" xr:uid="{00000000-0005-0000-0000-0000DA050000}"/>
    <cellStyle name="_20061027Holux_ProgramWorkBook_FairPoint_TechnicalImplementation_Plan_Commissioning System Implementation_Project Workbook_06_10_2011" xfId="1589" xr:uid="{00000000-0005-0000-0000-0000DB050000}"/>
    <cellStyle name="_20061027Holux_ProgramWorkBook_FairPoint_TechnicalImplementation_Plan_Commissioning System Implementation_Project Workbook_06_10_2011 2" xfId="1590" xr:uid="{00000000-0005-0000-0000-0000DC050000}"/>
    <cellStyle name="_20061027Holux_ProgramWorkBook_FairPoint_TechnicalImplementation_Plan_Commissioning System Implementation_Project Workbook_06_10_2011 3" xfId="1591" xr:uid="{00000000-0005-0000-0000-0000DD050000}"/>
    <cellStyle name="_20061027Holux_ProgramWorkBook_FairPoint_TechnicalImplementation_Plan_FairPoint_CampReport" xfId="1592" xr:uid="{00000000-0005-0000-0000-0000DE050000}"/>
    <cellStyle name="_20061027Holux_ProgramWorkBook_FairPoint_TechnicalImplementation_Plan_FairPoint_CampReport 2" xfId="1593" xr:uid="{00000000-0005-0000-0000-0000DF050000}"/>
    <cellStyle name="_20061027Holux_ProgramWorkBook_FairPoint_TechnicalImplementation_Plan_FairPoint_CampReport 3" xfId="1594" xr:uid="{00000000-0005-0000-0000-0000E0050000}"/>
    <cellStyle name="_20061027Holux_ProgramWorkBook_FairPoint_TechnicalImplementation_Plan_FairPoint_FP comTechOps_ProgramWorkbook" xfId="1595" xr:uid="{00000000-0005-0000-0000-0000E1050000}"/>
    <cellStyle name="_20061027Holux_ProgramWorkBook_FairPoint_TechnicalImplementation_Plan_FairPoint_FP comTechOps_ProgramWorkbook 2" xfId="1596" xr:uid="{00000000-0005-0000-0000-0000E2050000}"/>
    <cellStyle name="_20061027Holux_ProgramWorkBook_FairPoint_TechnicalImplementation_Plan_FairPoint_FP comTechOps_ProgramWorkbook 3" xfId="1597" xr:uid="{00000000-0005-0000-0000-0000E3050000}"/>
    <cellStyle name="_20061027Holux_ProgramWorkBook_FairPoint_TechnicalImplementation_Plan_FairPoint_FP comTechOps_ProgramWorkbook_sachin" xfId="1598" xr:uid="{00000000-0005-0000-0000-0000E4050000}"/>
    <cellStyle name="_20061027Holux_ProgramWorkBook_FairPoint_TechnicalImplementation_Plan_FairPoint_FP comTechOps_ProgramWorkbook_sachin 2" xfId="1599" xr:uid="{00000000-0005-0000-0000-0000E5050000}"/>
    <cellStyle name="_20061027Holux_ProgramWorkBook_FairPoint_TechnicalImplementation_Plan_FairPoint_FP comTechOps_ProgramWorkbook_sachin 3" xfId="1600" xr:uid="{00000000-0005-0000-0000-0000E6050000}"/>
    <cellStyle name="_20061027Holux_ProgramWorkBook_FairPoint_TechnicalImplementation_Plan_FairPoint_FP comTechOps_ProgramWorkbook_sachin_v1" xfId="1601" xr:uid="{00000000-0005-0000-0000-0000E7050000}"/>
    <cellStyle name="_20061027Holux_ProgramWorkBook_FairPoint_TechnicalImplementation_Plan_FairPoint_FP comTechOps_ProgramWorkbook_sachin_v1 2" xfId="1602" xr:uid="{00000000-0005-0000-0000-0000E8050000}"/>
    <cellStyle name="_20061027Holux_ProgramWorkBook_FairPoint_TechnicalImplementation_Plan_FairPoint_FP comTechOps_ProgramWorkbook_sachin_v1 3" xfId="1603" xr:uid="{00000000-0005-0000-0000-0000E9050000}"/>
    <cellStyle name="_20061027Holux_ProgramWorkBook_FairPoint_TechnicalImplementation_Plan_FP_CAMP&amp;ITReporting_Maintenance_Dashboard" xfId="1604" xr:uid="{00000000-0005-0000-0000-0000EA050000}"/>
    <cellStyle name="_20061027Holux_ProgramWorkBook_FairPoint_TechnicalImplementation_Plan_FP_CAMP&amp;ITReporting_Maintenance_Dashboard 2" xfId="1605" xr:uid="{00000000-0005-0000-0000-0000EB050000}"/>
    <cellStyle name="_20061027Holux_ProgramWorkBook_FairPoint_TechnicalImplementation_Plan_FP_CAMP&amp;ITReporting_Maintenance_Dashboard 3" xfId="1606" xr:uid="{00000000-0005-0000-0000-0000EC050000}"/>
    <cellStyle name="_20061027Holux_ProgramWorkBook_FairPoint_TechnicalImplementation_Plan_FP_CAMPITReporting_Maintenance_Dashboard" xfId="1607" xr:uid="{00000000-0005-0000-0000-0000ED050000}"/>
    <cellStyle name="_20061027Holux_ProgramWorkBook_FairPoint_TechnicalImplementation_Plan_FP_CAMPITReporting_Maintenance_Dashboard 2" xfId="1608" xr:uid="{00000000-0005-0000-0000-0000EE050000}"/>
    <cellStyle name="_20061027Holux_ProgramWorkBook_FairPoint_TechnicalImplementation_Plan_FP_CAMPITReporting_Maintenance_Dashboard 3" xfId="1609" xr:uid="{00000000-0005-0000-0000-0000EF050000}"/>
    <cellStyle name="_20061027Holux_ProgramWorkBook_FairPoint_TechnicalImplementation_Plan_FP_Commissions_Req_Dn_ProgramWorkBook_10-Dec-2010" xfId="1610" xr:uid="{00000000-0005-0000-0000-0000F0050000}"/>
    <cellStyle name="_20061027Holux_ProgramWorkBook_FairPoint_TechnicalImplementation_Plan_FP_Commissions_Req_Dn_ProgramWorkBook_10-Dec-2010 2" xfId="1611" xr:uid="{00000000-0005-0000-0000-0000F1050000}"/>
    <cellStyle name="_20061027Holux_ProgramWorkBook_FairPoint_TechnicalImplementation_Plan_FP_Commissions_Req_Dn_ProgramWorkBook_10-Dec-2010 3" xfId="1612" xr:uid="{00000000-0005-0000-0000-0000F2050000}"/>
    <cellStyle name="_20061027Holux_ProgramWorkBook_FairPoint_TechnicalImplementation_Plan_FP_DW_Impl_ProgramWorkBook_07-Jan-2011" xfId="1613" xr:uid="{00000000-0005-0000-0000-0000F3050000}"/>
    <cellStyle name="_20061027Holux_ProgramWorkBook_FairPoint_TechnicalImplementation_Plan_FP_DW_Impl_ProgramWorkBook_07-Jan-2011 2" xfId="1614" xr:uid="{00000000-0005-0000-0000-0000F4050000}"/>
    <cellStyle name="_20061027Holux_ProgramWorkBook_FairPoint_TechnicalImplementation_Plan_FP_DW_Impl_ProgramWorkBook_07-Jan-2011 2 2" xfId="1615" xr:uid="{00000000-0005-0000-0000-0000F5050000}"/>
    <cellStyle name="_20061027Holux_ProgramWorkBook_FairPoint_TechnicalImplementation_Plan_FP_DW_Impl_ProgramWorkBook_07-Jan-2011 2 3" xfId="1616" xr:uid="{00000000-0005-0000-0000-0000F6050000}"/>
    <cellStyle name="_20061027Holux_ProgramWorkBook_FairPoint_TechnicalImplementation_Plan_FP_DW_Impl_ProgramWorkBook_07-Jan-2011 3" xfId="1617" xr:uid="{00000000-0005-0000-0000-0000F7050000}"/>
    <cellStyle name="_20061027Holux_ProgramWorkBook_FairPoint_TechnicalImplementation_Plan_FP_DW_Impl_ProgramWorkBook_07-Jan-2011 4" xfId="1618" xr:uid="{00000000-0005-0000-0000-0000F8050000}"/>
    <cellStyle name="_20061027Holux_ProgramWorkBook_FairPoint_TechnicalImplementation_Plan_FP_DW_Impl_ProgramWorkBook_11-Feb-2011" xfId="1619" xr:uid="{00000000-0005-0000-0000-0000F9050000}"/>
    <cellStyle name="_20061027Holux_ProgramWorkBook_FairPoint_TechnicalImplementation_Plan_FP_DW_Impl_ProgramWorkBook_11-Feb-2011 2" xfId="1620" xr:uid="{00000000-0005-0000-0000-0000FA050000}"/>
    <cellStyle name="_20061027Holux_ProgramWorkBook_FairPoint_TechnicalImplementation_Plan_FP_DW_Impl_ProgramWorkBook_11-Feb-2011 3" xfId="1621" xr:uid="{00000000-0005-0000-0000-0000FB050000}"/>
    <cellStyle name="_20061027Holux_ProgramWorkBook_FairPoint_TechnicalImplementation_Plan_FP_DW_Impl_ProgramWorkBook_18-Feb-2011 - Working" xfId="1622" xr:uid="{00000000-0005-0000-0000-0000FC050000}"/>
    <cellStyle name="_20061027Holux_ProgramWorkBook_FairPoint_TechnicalImplementation_Plan_FP_DW_Impl_ProgramWorkBook_18-Feb-2011 - Working 2" xfId="1623" xr:uid="{00000000-0005-0000-0000-0000FD050000}"/>
    <cellStyle name="_20061027Holux_ProgramWorkBook_FairPoint_TechnicalImplementation_Plan_FP_DW_Impl_ProgramWorkBook_18-Feb-2011 - Working 3" xfId="1624" xr:uid="{00000000-0005-0000-0000-0000FE050000}"/>
    <cellStyle name="_20061027Holux_ProgramWorkBook_FairPoint_TechnicalImplementation_Plan_FP_EnterprisePortal_ProgramWorkbook" xfId="1625" xr:uid="{00000000-0005-0000-0000-0000FF050000}"/>
    <cellStyle name="_20061027Holux_ProgramWorkBook_FairPoint_TechnicalImplementation_Plan_FP_EnterprisePortal_ProgramWorkbook 2" xfId="1626" xr:uid="{00000000-0005-0000-0000-000000060000}"/>
    <cellStyle name="_20061027Holux_ProgramWorkBook_FairPoint_TechnicalImplementation_Plan_FP_EnterprisePortal_ProgramWorkbook 3" xfId="1627" xr:uid="{00000000-0005-0000-0000-000001060000}"/>
    <cellStyle name="_20061027Holux_ProgramWorkBook_FairPoint_TechnicalImplementation_Plan_FP_SAP_MLP v2" xfId="1628" xr:uid="{00000000-0005-0000-0000-000002060000}"/>
    <cellStyle name="_20061027Holux_ProgramWorkBook_FairPoint_TechnicalImplementation_Plan_FP_SAP_MLP v2 2" xfId="1629" xr:uid="{00000000-0005-0000-0000-000003060000}"/>
    <cellStyle name="_20061027Holux_ProgramWorkBook_FairPoint_TechnicalImplementation_Plan_FP_SAP_MLP v2 3" xfId="1630" xr:uid="{00000000-0005-0000-0000-000004060000}"/>
    <cellStyle name="_20061027Holux_ProgramWorkBook_FairPoint_TechnicalImplementation_Plan_KeyDecisions" xfId="1631" xr:uid="{00000000-0005-0000-0000-000005060000}"/>
    <cellStyle name="_20061027Holux_ProgramWorkBook_FairPoint_TechnicalImplementation_Plan_KeyDecisions 2" xfId="1632" xr:uid="{00000000-0005-0000-0000-000006060000}"/>
    <cellStyle name="_20061027Holux_ProgramWorkBook_FairPoint_TechnicalImplementation_Plan_KeyDecisions 3" xfId="1633" xr:uid="{00000000-0005-0000-0000-000007060000}"/>
    <cellStyle name="_20061027Holux_ProgramWorkBook_FairPoint_TechnicalImplementation_Plan_Sophia_Imp_ProjectWorkBook_02_18_2011" xfId="1634" xr:uid="{00000000-0005-0000-0000-000008060000}"/>
    <cellStyle name="_20061027Holux_ProgramWorkBook_FairPoint_TechnicalImplementation_Plan_Sophia_Imp_ProjectWorkBook_02_18_2011 2" xfId="1635" xr:uid="{00000000-0005-0000-0000-000009060000}"/>
    <cellStyle name="_20061027Holux_ProgramWorkBook_FairPoint_TechnicalImplementation_Plan_Sophia_Imp_ProjectWorkBook_02_18_2011 3" xfId="1636" xr:uid="{00000000-0005-0000-0000-00000A060000}"/>
    <cellStyle name="_20061027Holux_ProgramWorkBook_FairPoint_TechnicalImplementation_Plan_t" xfId="1637" xr:uid="{00000000-0005-0000-0000-00000B060000}"/>
    <cellStyle name="_20061027Holux_ProgramWorkBook_FairPoint_TechnicalImplementation_Plan_t 2" xfId="1638" xr:uid="{00000000-0005-0000-0000-00000C060000}"/>
    <cellStyle name="_20061027Holux_ProgramWorkBook_FairPoint_TechnicalImplementation_Plan_t 3" xfId="1639" xr:uid="{00000000-0005-0000-0000-00000D060000}"/>
    <cellStyle name="_20061027Holux_ProgramWorkBook_FP_CAMP&amp;ITReporting_Maintenance_Dashboard" xfId="1640" xr:uid="{00000000-0005-0000-0000-00000E060000}"/>
    <cellStyle name="_20061027Holux_ProgramWorkBook_FP_CAMP&amp;ITReporting_Maintenance_Dashboard 2" xfId="1641" xr:uid="{00000000-0005-0000-0000-00000F060000}"/>
    <cellStyle name="_20061027Holux_ProgramWorkBook_FP_CAMP&amp;ITReporting_Maintenance_Dashboard 3" xfId="1642" xr:uid="{00000000-0005-0000-0000-000010060000}"/>
    <cellStyle name="_20061027Holux_ProgramWorkBook_FP_CAMPITReporting_Maintenance_Dashboard" xfId="1643" xr:uid="{00000000-0005-0000-0000-000011060000}"/>
    <cellStyle name="_20061027Holux_ProgramWorkBook_FP_CAMPITReporting_Maintenance_Dashboard 2" xfId="1644" xr:uid="{00000000-0005-0000-0000-000012060000}"/>
    <cellStyle name="_20061027Holux_ProgramWorkBook_FP_CAMPITReporting_Maintenance_Dashboard 3" xfId="1645" xr:uid="{00000000-0005-0000-0000-000013060000}"/>
    <cellStyle name="_20061027Holux_ProgramWorkBook_FP_Commissions_Req_Dn_ProgramWorkBook_10-Dec-2010" xfId="1646" xr:uid="{00000000-0005-0000-0000-000014060000}"/>
    <cellStyle name="_20061027Holux_ProgramWorkBook_FP_Commissions_Req_Dn_ProgramWorkBook_10-Dec-2010 2" xfId="1647" xr:uid="{00000000-0005-0000-0000-000015060000}"/>
    <cellStyle name="_20061027Holux_ProgramWorkBook_FP_Commissions_Req_Dn_ProgramWorkBook_10-Dec-2010 3" xfId="1648" xr:uid="{00000000-0005-0000-0000-000016060000}"/>
    <cellStyle name="_20061027Holux_ProgramWorkBook_FP_DW_Impl_ProgramWorkBook_03-Dec-2010111" xfId="1649" xr:uid="{00000000-0005-0000-0000-000017060000}"/>
    <cellStyle name="_20061027Holux_ProgramWorkBook_FP_DW_Impl_ProgramWorkBook_03-Dec-2010111 2" xfId="1650" xr:uid="{00000000-0005-0000-0000-000018060000}"/>
    <cellStyle name="_20061027Holux_ProgramWorkBook_FP_DW_Impl_ProgramWorkBook_03-Dec-2010111 3" xfId="1651" xr:uid="{00000000-0005-0000-0000-000019060000}"/>
    <cellStyle name="_20061027Holux_ProgramWorkBook_FP_DW_Impl_ProgramWorkBook_07-Jan-2011" xfId="1652" xr:uid="{00000000-0005-0000-0000-00001A060000}"/>
    <cellStyle name="_20061027Holux_ProgramWorkBook_FP_DW_Impl_ProgramWorkBook_07-Jan-2011 2" xfId="1653" xr:uid="{00000000-0005-0000-0000-00001B060000}"/>
    <cellStyle name="_20061027Holux_ProgramWorkBook_FP_DW_Impl_ProgramWorkBook_07-Jan-2011 3" xfId="1654" xr:uid="{00000000-0005-0000-0000-00001C060000}"/>
    <cellStyle name="_20061027Holux_ProgramWorkBook_FP_DW_Impl_ProgramWorkBook_11-Feb-2011" xfId="1655" xr:uid="{00000000-0005-0000-0000-00001D060000}"/>
    <cellStyle name="_20061027Holux_ProgramWorkBook_FP_DW_Impl_ProgramWorkBook_11-Feb-2011 2" xfId="1656" xr:uid="{00000000-0005-0000-0000-00001E060000}"/>
    <cellStyle name="_20061027Holux_ProgramWorkBook_FP_DW_Impl_ProgramWorkBook_11-Feb-2011 3" xfId="1657" xr:uid="{00000000-0005-0000-0000-00001F060000}"/>
    <cellStyle name="_20061027Holux_ProgramWorkBook_FP_DW_Impl_ProgramWorkBook_18-Feb-2011 - Working" xfId="1658" xr:uid="{00000000-0005-0000-0000-000020060000}"/>
    <cellStyle name="_20061027Holux_ProgramWorkBook_FP_DW_Impl_ProgramWorkBook_18-Feb-2011 - Working 2" xfId="1659" xr:uid="{00000000-0005-0000-0000-000021060000}"/>
    <cellStyle name="_20061027Holux_ProgramWorkBook_FP_DW_Impl_ProgramWorkBook_18-Feb-2011 - Working 3" xfId="1660" xr:uid="{00000000-0005-0000-0000-000022060000}"/>
    <cellStyle name="_20061027Holux_ProgramWorkBook_FP_EnterprisePortal_ProgramWorkbook" xfId="1661" xr:uid="{00000000-0005-0000-0000-000023060000}"/>
    <cellStyle name="_20061027Holux_ProgramWorkBook_FP_EnterprisePortal_ProgramWorkbook 2" xfId="1662" xr:uid="{00000000-0005-0000-0000-000024060000}"/>
    <cellStyle name="_20061027Holux_ProgramWorkBook_FP_EnterprisePortal_ProgramWorkbook 3" xfId="1663" xr:uid="{00000000-0005-0000-0000-000025060000}"/>
    <cellStyle name="_20061027Holux_ProgramWorkBook_FP_SAP_MLP v2" xfId="1664" xr:uid="{00000000-0005-0000-0000-000026060000}"/>
    <cellStyle name="_20061027Holux_ProgramWorkBook_FP_SAP_MLP v2 2" xfId="1665" xr:uid="{00000000-0005-0000-0000-000027060000}"/>
    <cellStyle name="_20061027Holux_ProgramWorkBook_FP_SAP_MLP v2 3" xfId="1666" xr:uid="{00000000-0005-0000-0000-000028060000}"/>
    <cellStyle name="_20061027Holux_ProgramWorkBook_KeyDecisions" xfId="1667" xr:uid="{00000000-0005-0000-0000-000029060000}"/>
    <cellStyle name="_20061027Holux_ProgramWorkBook_KeyDecisions 2" xfId="1668" xr:uid="{00000000-0005-0000-0000-00002A060000}"/>
    <cellStyle name="_20061027Holux_ProgramWorkBook_KeyDecisions 3" xfId="1669" xr:uid="{00000000-0005-0000-0000-00002B060000}"/>
    <cellStyle name="_20061027Holux_ProgramWorkBook_LoanOriginationPMWorkbook 23Feb2010" xfId="1670" xr:uid="{00000000-0005-0000-0000-00002C060000}"/>
    <cellStyle name="_20061027Holux_ProgramWorkBook_LoanOriginationPMWorkbook 23Feb2010 2" xfId="1671" xr:uid="{00000000-0005-0000-0000-00002D060000}"/>
    <cellStyle name="_20061027Holux_ProgramWorkBook_LoanOriginationPMWorkbook 23Feb2010 3" xfId="1672" xr:uid="{00000000-0005-0000-0000-00002E060000}"/>
    <cellStyle name="_20061027Holux_ProgramWorkBook_LoanOriginationPMWorkbook 23Feb2010_slm_llp_0520" xfId="1673" xr:uid="{00000000-0005-0000-0000-00002F060000}"/>
    <cellStyle name="_20061027Holux_ProgramWorkBook_LoanOriginationPMWorkbook 23Feb2010_slm_llp_0520 2" xfId="1674" xr:uid="{00000000-0005-0000-0000-000030060000}"/>
    <cellStyle name="_20061027Holux_ProgramWorkBook_LoanOriginationPMWorkbook 23Feb2010_slm_llp_0520 2 2" xfId="1675" xr:uid="{00000000-0005-0000-0000-000031060000}"/>
    <cellStyle name="_20061027Holux_ProgramWorkBook_LoanOriginationPMWorkbook 23Feb2010_slm_llp_0520 2 3" xfId="1676" xr:uid="{00000000-0005-0000-0000-000032060000}"/>
    <cellStyle name="_20061027Holux_ProgramWorkBook_LoanOriginationPMWorkbook 23Feb2010_slm_llp_0520 3" xfId="1677" xr:uid="{00000000-0005-0000-0000-000033060000}"/>
    <cellStyle name="_20061027Holux_ProgramWorkBook_LoanOriginationPMWorkbook 23Feb2010_slm_llp_0520 3 2" xfId="1678" xr:uid="{00000000-0005-0000-0000-000034060000}"/>
    <cellStyle name="_20061027Holux_ProgramWorkBook_LoanOriginationPMWorkbook 23Feb2010_slm_llp_0520 3 3" xfId="1679" xr:uid="{00000000-0005-0000-0000-000035060000}"/>
    <cellStyle name="_20061027Holux_ProgramWorkBook_LoanOriginationPMWorkbook 23Feb2010_slm_llp_0520 4" xfId="1680" xr:uid="{00000000-0005-0000-0000-000036060000}"/>
    <cellStyle name="_20061027Holux_ProgramWorkBook_LoanOriginationPMWorkbook 23Feb2010_slm_llp_0520 5" xfId="1681" xr:uid="{00000000-0005-0000-0000-000037060000}"/>
    <cellStyle name="_20061027Holux_ProgramWorkBook_LoanOriginationPMWorkbook 23Feb2010_slm_llp_0520_Commissioning System Implementation_Project Workbook_06_10_2011" xfId="1682" xr:uid="{00000000-0005-0000-0000-000038060000}"/>
    <cellStyle name="_20061027Holux_ProgramWorkBook_LoanOriginationPMWorkbook 23Feb2010_slm_llp_0520_Commissioning System Implementation_Project Workbook_06_10_2011 2" xfId="1683" xr:uid="{00000000-0005-0000-0000-000039060000}"/>
    <cellStyle name="_20061027Holux_ProgramWorkBook_LoanOriginationPMWorkbook 23Feb2010_slm_llp_0520_Commissioning System Implementation_Project Workbook_06_10_2011 3" xfId="1684" xr:uid="{00000000-0005-0000-0000-00003A060000}"/>
    <cellStyle name="_20061027Holux_ProgramWorkBook_LoanOriginationPMWorkbook 23Feb2010_slm_llp_0520_FairPoint_CampReport" xfId="1685" xr:uid="{00000000-0005-0000-0000-00003B060000}"/>
    <cellStyle name="_20061027Holux_ProgramWorkBook_LoanOriginationPMWorkbook 23Feb2010_slm_llp_0520_FairPoint_CampReport 2" xfId="1686" xr:uid="{00000000-0005-0000-0000-00003C060000}"/>
    <cellStyle name="_20061027Holux_ProgramWorkBook_LoanOriginationPMWorkbook 23Feb2010_slm_llp_0520_FairPoint_CampReport 3" xfId="1687" xr:uid="{00000000-0005-0000-0000-00003D060000}"/>
    <cellStyle name="_20061027Holux_ProgramWorkBook_LoanOriginationPMWorkbook 23Feb2010_slm_llp_0520_FairPoint_FP comTechOps_ProgramWorkbook" xfId="1688" xr:uid="{00000000-0005-0000-0000-00003E060000}"/>
    <cellStyle name="_20061027Holux_ProgramWorkBook_LoanOriginationPMWorkbook 23Feb2010_slm_llp_0520_FairPoint_FP comTechOps_ProgramWorkbook 2" xfId="1689" xr:uid="{00000000-0005-0000-0000-00003F060000}"/>
    <cellStyle name="_20061027Holux_ProgramWorkBook_LoanOriginationPMWorkbook 23Feb2010_slm_llp_0520_FairPoint_FP comTechOps_ProgramWorkbook 3" xfId="1690" xr:uid="{00000000-0005-0000-0000-000040060000}"/>
    <cellStyle name="_20061027Holux_ProgramWorkBook_LoanOriginationPMWorkbook 23Feb2010_slm_llp_0520_FairPoint_FP comTechOps_ProgramWorkbook_sachin" xfId="1691" xr:uid="{00000000-0005-0000-0000-000041060000}"/>
    <cellStyle name="_20061027Holux_ProgramWorkBook_LoanOriginationPMWorkbook 23Feb2010_slm_llp_0520_FairPoint_FP comTechOps_ProgramWorkbook_sachin 2" xfId="1692" xr:uid="{00000000-0005-0000-0000-000042060000}"/>
    <cellStyle name="_20061027Holux_ProgramWorkBook_LoanOriginationPMWorkbook 23Feb2010_slm_llp_0520_FairPoint_FP comTechOps_ProgramWorkbook_sachin 3" xfId="1693" xr:uid="{00000000-0005-0000-0000-000043060000}"/>
    <cellStyle name="_20061027Holux_ProgramWorkBook_LoanOriginationPMWorkbook 23Feb2010_slm_llp_0520_FairPoint_FP comTechOps_ProgramWorkbook_sachin_v1" xfId="1694" xr:uid="{00000000-0005-0000-0000-000044060000}"/>
    <cellStyle name="_20061027Holux_ProgramWorkBook_LoanOriginationPMWorkbook 23Feb2010_slm_llp_0520_FairPoint_FP comTechOps_ProgramWorkbook_sachin_v1 2" xfId="1695" xr:uid="{00000000-0005-0000-0000-000045060000}"/>
    <cellStyle name="_20061027Holux_ProgramWorkBook_LoanOriginationPMWorkbook 23Feb2010_slm_llp_0520_FairPoint_FP comTechOps_ProgramWorkbook_sachin_v1 3" xfId="1696" xr:uid="{00000000-0005-0000-0000-000046060000}"/>
    <cellStyle name="_20061027Holux_ProgramWorkBook_LoanOriginationPMWorkbook 23Feb2010_slm_llp_0520_FP_CAMP&amp;ITReporting_Maintenance_Dashboard" xfId="1697" xr:uid="{00000000-0005-0000-0000-000047060000}"/>
    <cellStyle name="_20061027Holux_ProgramWorkBook_LoanOriginationPMWorkbook 23Feb2010_slm_llp_0520_FP_CAMP&amp;ITReporting_Maintenance_Dashboard 2" xfId="1698" xr:uid="{00000000-0005-0000-0000-000048060000}"/>
    <cellStyle name="_20061027Holux_ProgramWorkBook_LoanOriginationPMWorkbook 23Feb2010_slm_llp_0520_FP_CAMP&amp;ITReporting_Maintenance_Dashboard 3" xfId="1699" xr:uid="{00000000-0005-0000-0000-000049060000}"/>
    <cellStyle name="_20061027Holux_ProgramWorkBook_LoanOriginationPMWorkbook 23Feb2010_slm_llp_0520_FP_CAMPITReporting_Maintenance_Dashboard" xfId="1700" xr:uid="{00000000-0005-0000-0000-00004A060000}"/>
    <cellStyle name="_20061027Holux_ProgramWorkBook_LoanOriginationPMWorkbook 23Feb2010_slm_llp_0520_FP_CAMPITReporting_Maintenance_Dashboard 2" xfId="1701" xr:uid="{00000000-0005-0000-0000-00004B060000}"/>
    <cellStyle name="_20061027Holux_ProgramWorkBook_LoanOriginationPMWorkbook 23Feb2010_slm_llp_0520_FP_CAMPITReporting_Maintenance_Dashboard 3" xfId="1702" xr:uid="{00000000-0005-0000-0000-00004C060000}"/>
    <cellStyle name="_20061027Holux_ProgramWorkBook_LoanOriginationPMWorkbook 23Feb2010_slm_llp_0520_FP_Commissions_Req_Dn_ProgramWorkBook_10-Dec-2010" xfId="1703" xr:uid="{00000000-0005-0000-0000-00004D060000}"/>
    <cellStyle name="_20061027Holux_ProgramWorkBook_LoanOriginationPMWorkbook 23Feb2010_slm_llp_0520_FP_Commissions_Req_Dn_ProgramWorkBook_10-Dec-2010 2" xfId="1704" xr:uid="{00000000-0005-0000-0000-00004E060000}"/>
    <cellStyle name="_20061027Holux_ProgramWorkBook_LoanOriginationPMWorkbook 23Feb2010_slm_llp_0520_FP_Commissions_Req_Dn_ProgramWorkBook_10-Dec-2010 3" xfId="1705" xr:uid="{00000000-0005-0000-0000-00004F060000}"/>
    <cellStyle name="_20061027Holux_ProgramWorkBook_LoanOriginationPMWorkbook 23Feb2010_slm_llp_0520_FP_DW_Impl_ProgramWorkBook_07-Jan-2011" xfId="1706" xr:uid="{00000000-0005-0000-0000-000050060000}"/>
    <cellStyle name="_20061027Holux_ProgramWorkBook_LoanOriginationPMWorkbook 23Feb2010_slm_llp_0520_FP_DW_Impl_ProgramWorkBook_07-Jan-2011 2" xfId="1707" xr:uid="{00000000-0005-0000-0000-000051060000}"/>
    <cellStyle name="_20061027Holux_ProgramWorkBook_LoanOriginationPMWorkbook 23Feb2010_slm_llp_0520_FP_DW_Impl_ProgramWorkBook_07-Jan-2011 2 2" xfId="1708" xr:uid="{00000000-0005-0000-0000-000052060000}"/>
    <cellStyle name="_20061027Holux_ProgramWorkBook_LoanOriginationPMWorkbook 23Feb2010_slm_llp_0520_FP_DW_Impl_ProgramWorkBook_07-Jan-2011 2 3" xfId="1709" xr:uid="{00000000-0005-0000-0000-000053060000}"/>
    <cellStyle name="_20061027Holux_ProgramWorkBook_LoanOriginationPMWorkbook 23Feb2010_slm_llp_0520_FP_DW_Impl_ProgramWorkBook_07-Jan-2011 3" xfId="1710" xr:uid="{00000000-0005-0000-0000-000054060000}"/>
    <cellStyle name="_20061027Holux_ProgramWorkBook_LoanOriginationPMWorkbook 23Feb2010_slm_llp_0520_FP_DW_Impl_ProgramWorkBook_07-Jan-2011 4" xfId="1711" xr:uid="{00000000-0005-0000-0000-000055060000}"/>
    <cellStyle name="_20061027Holux_ProgramWorkBook_LoanOriginationPMWorkbook 23Feb2010_slm_llp_0520_FP_DW_Impl_ProgramWorkBook_11-Feb-2011" xfId="1712" xr:uid="{00000000-0005-0000-0000-000056060000}"/>
    <cellStyle name="_20061027Holux_ProgramWorkBook_LoanOriginationPMWorkbook 23Feb2010_slm_llp_0520_FP_DW_Impl_ProgramWorkBook_11-Feb-2011 2" xfId="1713" xr:uid="{00000000-0005-0000-0000-000057060000}"/>
    <cellStyle name="_20061027Holux_ProgramWorkBook_LoanOriginationPMWorkbook 23Feb2010_slm_llp_0520_FP_DW_Impl_ProgramWorkBook_11-Feb-2011 3" xfId="1714" xr:uid="{00000000-0005-0000-0000-000058060000}"/>
    <cellStyle name="_20061027Holux_ProgramWorkBook_LoanOriginationPMWorkbook 23Feb2010_slm_llp_0520_FP_DW_Impl_ProgramWorkBook_18-Feb-2011 - Working" xfId="1715" xr:uid="{00000000-0005-0000-0000-000059060000}"/>
    <cellStyle name="_20061027Holux_ProgramWorkBook_LoanOriginationPMWorkbook 23Feb2010_slm_llp_0520_FP_DW_Impl_ProgramWorkBook_18-Feb-2011 - Working 2" xfId="1716" xr:uid="{00000000-0005-0000-0000-00005A060000}"/>
    <cellStyle name="_20061027Holux_ProgramWorkBook_LoanOriginationPMWorkbook 23Feb2010_slm_llp_0520_FP_DW_Impl_ProgramWorkBook_18-Feb-2011 - Working 3" xfId="1717" xr:uid="{00000000-0005-0000-0000-00005B060000}"/>
    <cellStyle name="_20061027Holux_ProgramWorkBook_LoanOriginationPMWorkbook 23Feb2010_slm_llp_0520_FP_EnterprisePortal_ProgramWorkbook" xfId="1718" xr:uid="{00000000-0005-0000-0000-00005C060000}"/>
    <cellStyle name="_20061027Holux_ProgramWorkBook_LoanOriginationPMWorkbook 23Feb2010_slm_llp_0520_FP_EnterprisePortal_ProgramWorkbook 2" xfId="1719" xr:uid="{00000000-0005-0000-0000-00005D060000}"/>
    <cellStyle name="_20061027Holux_ProgramWorkBook_LoanOriginationPMWorkbook 23Feb2010_slm_llp_0520_FP_EnterprisePortal_ProgramWorkbook 3" xfId="1720" xr:uid="{00000000-0005-0000-0000-00005E060000}"/>
    <cellStyle name="_20061027Holux_ProgramWorkBook_LoanOriginationPMWorkbook 23Feb2010_slm_llp_0520_FP_SAP_MLP v2" xfId="1721" xr:uid="{00000000-0005-0000-0000-00005F060000}"/>
    <cellStyle name="_20061027Holux_ProgramWorkBook_LoanOriginationPMWorkbook 23Feb2010_slm_llp_0520_FP_SAP_MLP v2 2" xfId="1722" xr:uid="{00000000-0005-0000-0000-000060060000}"/>
    <cellStyle name="_20061027Holux_ProgramWorkBook_LoanOriginationPMWorkbook 23Feb2010_slm_llp_0520_FP_SAP_MLP v2 3" xfId="1723" xr:uid="{00000000-0005-0000-0000-000061060000}"/>
    <cellStyle name="_20061027Holux_ProgramWorkBook_LoanOriginationPMWorkbook 23Feb2010_slm_llp_0520_KeyDecisions" xfId="1724" xr:uid="{00000000-0005-0000-0000-000062060000}"/>
    <cellStyle name="_20061027Holux_ProgramWorkBook_LoanOriginationPMWorkbook 23Feb2010_slm_llp_0520_KeyDecisions 2" xfId="1725" xr:uid="{00000000-0005-0000-0000-000063060000}"/>
    <cellStyle name="_20061027Holux_ProgramWorkBook_LoanOriginationPMWorkbook 23Feb2010_slm_llp_0520_KeyDecisions 3" xfId="1726" xr:uid="{00000000-0005-0000-0000-000064060000}"/>
    <cellStyle name="_20061027Holux_ProgramWorkBook_LoanOriginationPMWorkbook 23Feb2010_slm_llp_0520_Sophia_Imp_ProjectWorkBook_02_18_2011" xfId="1727" xr:uid="{00000000-0005-0000-0000-000065060000}"/>
    <cellStyle name="_20061027Holux_ProgramWorkBook_LoanOriginationPMWorkbook 23Feb2010_slm_llp_0520_Sophia_Imp_ProjectWorkBook_02_18_2011 2" xfId="1728" xr:uid="{00000000-0005-0000-0000-000066060000}"/>
    <cellStyle name="_20061027Holux_ProgramWorkBook_LoanOriginationPMWorkbook 23Feb2010_slm_llp_0520_Sophia_Imp_ProjectWorkBook_02_18_2011 3" xfId="1729" xr:uid="{00000000-0005-0000-0000-000067060000}"/>
    <cellStyle name="_20061027Holux_ProgramWorkBook_LoanOriginationPMWorkbook 23Feb2010_slm_llp_0520_t" xfId="1730" xr:uid="{00000000-0005-0000-0000-000068060000}"/>
    <cellStyle name="_20061027Holux_ProgramWorkBook_LoanOriginationPMWorkbook 23Feb2010_slm_llp_0520_t 2" xfId="1731" xr:uid="{00000000-0005-0000-0000-000069060000}"/>
    <cellStyle name="_20061027Holux_ProgramWorkBook_LoanOriginationPMWorkbook 23Feb2010_slm_llp_0520_t 3" xfId="1732" xr:uid="{00000000-0005-0000-0000-00006A060000}"/>
    <cellStyle name="_20061027Holux_ProgramWorkBook_Re-engineering SLM_PM_Workbook_01252010" xfId="1733" xr:uid="{00000000-0005-0000-0000-00006B060000}"/>
    <cellStyle name="_20061027Holux_ProgramWorkBook_Re-engineering SLM_PM_Workbook_01252010 2" xfId="1734" xr:uid="{00000000-0005-0000-0000-00006C060000}"/>
    <cellStyle name="_20061027Holux_ProgramWorkBook_Re-engineering SLM_PM_Workbook_01252010 2 2" xfId="1735" xr:uid="{00000000-0005-0000-0000-00006D060000}"/>
    <cellStyle name="_20061027Holux_ProgramWorkBook_Re-engineering SLM_PM_Workbook_01252010 2 3" xfId="1736" xr:uid="{00000000-0005-0000-0000-00006E060000}"/>
    <cellStyle name="_20061027Holux_ProgramWorkBook_Re-engineering SLM_PM_Workbook_01252010 3" xfId="1737" xr:uid="{00000000-0005-0000-0000-00006F060000}"/>
    <cellStyle name="_20061027Holux_ProgramWorkBook_Re-engineering SLM_PM_Workbook_01252010 3 2" xfId="1738" xr:uid="{00000000-0005-0000-0000-000070060000}"/>
    <cellStyle name="_20061027Holux_ProgramWorkBook_Re-engineering SLM_PM_Workbook_01252010 3 3" xfId="1739" xr:uid="{00000000-0005-0000-0000-000071060000}"/>
    <cellStyle name="_20061027Holux_ProgramWorkBook_Re-engineering SLM_PM_Workbook_01252010 4" xfId="1740" xr:uid="{00000000-0005-0000-0000-000072060000}"/>
    <cellStyle name="_20061027Holux_ProgramWorkBook_Re-engineering SLM_PM_Workbook_01252010 5" xfId="1741" xr:uid="{00000000-0005-0000-0000-000073060000}"/>
    <cellStyle name="_20061027Holux_ProgramWorkBook_Re-engineering SLM_PM_Workbook_01252010_Commissioning System Implementation_Project Workbook_06_10_2011" xfId="1742" xr:uid="{00000000-0005-0000-0000-000074060000}"/>
    <cellStyle name="_20061027Holux_ProgramWorkBook_Re-engineering SLM_PM_Workbook_01252010_Commissioning System Implementation_Project Workbook_06_10_2011 2" xfId="1743" xr:uid="{00000000-0005-0000-0000-000075060000}"/>
    <cellStyle name="_20061027Holux_ProgramWorkBook_Re-engineering SLM_PM_Workbook_01252010_Commissioning System Implementation_Project Workbook_06_10_2011 3" xfId="1744" xr:uid="{00000000-0005-0000-0000-000076060000}"/>
    <cellStyle name="_20061027Holux_ProgramWorkBook_Re-engineering SLM_PM_Workbook_01252010_FairPoint_CampReport" xfId="1745" xr:uid="{00000000-0005-0000-0000-000077060000}"/>
    <cellStyle name="_20061027Holux_ProgramWorkBook_Re-engineering SLM_PM_Workbook_01252010_FairPoint_CampReport 2" xfId="1746" xr:uid="{00000000-0005-0000-0000-000078060000}"/>
    <cellStyle name="_20061027Holux_ProgramWorkBook_Re-engineering SLM_PM_Workbook_01252010_FairPoint_CampReport 3" xfId="1747" xr:uid="{00000000-0005-0000-0000-000079060000}"/>
    <cellStyle name="_20061027Holux_ProgramWorkBook_Re-engineering SLM_PM_Workbook_01252010_FairPoint_FP comTechOps_ProgramWorkbook" xfId="1748" xr:uid="{00000000-0005-0000-0000-00007A060000}"/>
    <cellStyle name="_20061027Holux_ProgramWorkBook_Re-engineering SLM_PM_Workbook_01252010_FairPoint_FP comTechOps_ProgramWorkbook 2" xfId="1749" xr:uid="{00000000-0005-0000-0000-00007B060000}"/>
    <cellStyle name="_20061027Holux_ProgramWorkBook_Re-engineering SLM_PM_Workbook_01252010_FairPoint_FP comTechOps_ProgramWorkbook 3" xfId="1750" xr:uid="{00000000-0005-0000-0000-00007C060000}"/>
    <cellStyle name="_20061027Holux_ProgramWorkBook_Re-engineering SLM_PM_Workbook_01252010_FairPoint_FP comTechOps_ProgramWorkbook_sachin" xfId="1751" xr:uid="{00000000-0005-0000-0000-00007D060000}"/>
    <cellStyle name="_20061027Holux_ProgramWorkBook_Re-engineering SLM_PM_Workbook_01252010_FairPoint_FP comTechOps_ProgramWorkbook_sachin 2" xfId="1752" xr:uid="{00000000-0005-0000-0000-00007E060000}"/>
    <cellStyle name="_20061027Holux_ProgramWorkBook_Re-engineering SLM_PM_Workbook_01252010_FairPoint_FP comTechOps_ProgramWorkbook_sachin 3" xfId="1753" xr:uid="{00000000-0005-0000-0000-00007F060000}"/>
    <cellStyle name="_20061027Holux_ProgramWorkBook_Re-engineering SLM_PM_Workbook_01252010_FairPoint_FP comTechOps_ProgramWorkbook_sachin_v1" xfId="1754" xr:uid="{00000000-0005-0000-0000-000080060000}"/>
    <cellStyle name="_20061027Holux_ProgramWorkBook_Re-engineering SLM_PM_Workbook_01252010_FairPoint_FP comTechOps_ProgramWorkbook_sachin_v1 2" xfId="1755" xr:uid="{00000000-0005-0000-0000-000081060000}"/>
    <cellStyle name="_20061027Holux_ProgramWorkBook_Re-engineering SLM_PM_Workbook_01252010_FairPoint_FP comTechOps_ProgramWorkbook_sachin_v1 3" xfId="1756" xr:uid="{00000000-0005-0000-0000-000082060000}"/>
    <cellStyle name="_20061027Holux_ProgramWorkBook_Re-engineering SLM_PM_Workbook_01252010_FP_CAMP&amp;ITReporting_Maintenance_Dashboard" xfId="1757" xr:uid="{00000000-0005-0000-0000-000083060000}"/>
    <cellStyle name="_20061027Holux_ProgramWorkBook_Re-engineering SLM_PM_Workbook_01252010_FP_CAMP&amp;ITReporting_Maintenance_Dashboard 2" xfId="1758" xr:uid="{00000000-0005-0000-0000-000084060000}"/>
    <cellStyle name="_20061027Holux_ProgramWorkBook_Re-engineering SLM_PM_Workbook_01252010_FP_CAMP&amp;ITReporting_Maintenance_Dashboard 3" xfId="1759" xr:uid="{00000000-0005-0000-0000-000085060000}"/>
    <cellStyle name="_20061027Holux_ProgramWorkBook_Re-engineering SLM_PM_Workbook_01252010_FP_CAMPITReporting_Maintenance_Dashboard" xfId="1760" xr:uid="{00000000-0005-0000-0000-000086060000}"/>
    <cellStyle name="_20061027Holux_ProgramWorkBook_Re-engineering SLM_PM_Workbook_01252010_FP_CAMPITReporting_Maintenance_Dashboard 2" xfId="1761" xr:uid="{00000000-0005-0000-0000-000087060000}"/>
    <cellStyle name="_20061027Holux_ProgramWorkBook_Re-engineering SLM_PM_Workbook_01252010_FP_CAMPITReporting_Maintenance_Dashboard 3" xfId="1762" xr:uid="{00000000-0005-0000-0000-000088060000}"/>
    <cellStyle name="_20061027Holux_ProgramWorkBook_Re-engineering SLM_PM_Workbook_01252010_FP_Commissions_Req_Dn_ProgramWorkBook_10-Dec-2010" xfId="1763" xr:uid="{00000000-0005-0000-0000-000089060000}"/>
    <cellStyle name="_20061027Holux_ProgramWorkBook_Re-engineering SLM_PM_Workbook_01252010_FP_Commissions_Req_Dn_ProgramWorkBook_10-Dec-2010 2" xfId="1764" xr:uid="{00000000-0005-0000-0000-00008A060000}"/>
    <cellStyle name="_20061027Holux_ProgramWorkBook_Re-engineering SLM_PM_Workbook_01252010_FP_Commissions_Req_Dn_ProgramWorkBook_10-Dec-2010 3" xfId="1765" xr:uid="{00000000-0005-0000-0000-00008B060000}"/>
    <cellStyle name="_20061027Holux_ProgramWorkBook_Re-engineering SLM_PM_Workbook_01252010_FP_DW_Impl_ProgramWorkBook_07-Jan-2011" xfId="1766" xr:uid="{00000000-0005-0000-0000-00008C060000}"/>
    <cellStyle name="_20061027Holux_ProgramWorkBook_Re-engineering SLM_PM_Workbook_01252010_FP_DW_Impl_ProgramWorkBook_07-Jan-2011 2" xfId="1767" xr:uid="{00000000-0005-0000-0000-00008D060000}"/>
    <cellStyle name="_20061027Holux_ProgramWorkBook_Re-engineering SLM_PM_Workbook_01252010_FP_DW_Impl_ProgramWorkBook_07-Jan-2011 2 2" xfId="1768" xr:uid="{00000000-0005-0000-0000-00008E060000}"/>
    <cellStyle name="_20061027Holux_ProgramWorkBook_Re-engineering SLM_PM_Workbook_01252010_FP_DW_Impl_ProgramWorkBook_07-Jan-2011 2 3" xfId="1769" xr:uid="{00000000-0005-0000-0000-00008F060000}"/>
    <cellStyle name="_20061027Holux_ProgramWorkBook_Re-engineering SLM_PM_Workbook_01252010_FP_DW_Impl_ProgramWorkBook_07-Jan-2011 3" xfId="1770" xr:uid="{00000000-0005-0000-0000-000090060000}"/>
    <cellStyle name="_20061027Holux_ProgramWorkBook_Re-engineering SLM_PM_Workbook_01252010_FP_DW_Impl_ProgramWorkBook_07-Jan-2011 4" xfId="1771" xr:uid="{00000000-0005-0000-0000-000091060000}"/>
    <cellStyle name="_20061027Holux_ProgramWorkBook_Re-engineering SLM_PM_Workbook_01252010_FP_DW_Impl_ProgramWorkBook_11-Feb-2011" xfId="1772" xr:uid="{00000000-0005-0000-0000-000092060000}"/>
    <cellStyle name="_20061027Holux_ProgramWorkBook_Re-engineering SLM_PM_Workbook_01252010_FP_DW_Impl_ProgramWorkBook_11-Feb-2011 2" xfId="1773" xr:uid="{00000000-0005-0000-0000-000093060000}"/>
    <cellStyle name="_20061027Holux_ProgramWorkBook_Re-engineering SLM_PM_Workbook_01252010_FP_DW_Impl_ProgramWorkBook_11-Feb-2011 3" xfId="1774" xr:uid="{00000000-0005-0000-0000-000094060000}"/>
    <cellStyle name="_20061027Holux_ProgramWorkBook_Re-engineering SLM_PM_Workbook_01252010_FP_DW_Impl_ProgramWorkBook_18-Feb-2011 - Working" xfId="1775" xr:uid="{00000000-0005-0000-0000-000095060000}"/>
    <cellStyle name="_20061027Holux_ProgramWorkBook_Re-engineering SLM_PM_Workbook_01252010_FP_DW_Impl_ProgramWorkBook_18-Feb-2011 - Working 2" xfId="1776" xr:uid="{00000000-0005-0000-0000-000096060000}"/>
    <cellStyle name="_20061027Holux_ProgramWorkBook_Re-engineering SLM_PM_Workbook_01252010_FP_DW_Impl_ProgramWorkBook_18-Feb-2011 - Working 3" xfId="1777" xr:uid="{00000000-0005-0000-0000-000097060000}"/>
    <cellStyle name="_20061027Holux_ProgramWorkBook_Re-engineering SLM_PM_Workbook_01252010_FP_EnterprisePortal_ProgramWorkbook" xfId="1778" xr:uid="{00000000-0005-0000-0000-000098060000}"/>
    <cellStyle name="_20061027Holux_ProgramWorkBook_Re-engineering SLM_PM_Workbook_01252010_FP_EnterprisePortal_ProgramWorkbook 2" xfId="1779" xr:uid="{00000000-0005-0000-0000-000099060000}"/>
    <cellStyle name="_20061027Holux_ProgramWorkBook_Re-engineering SLM_PM_Workbook_01252010_FP_EnterprisePortal_ProgramWorkbook 3" xfId="1780" xr:uid="{00000000-0005-0000-0000-00009A060000}"/>
    <cellStyle name="_20061027Holux_ProgramWorkBook_Re-engineering SLM_PM_Workbook_01252010_FP_SAP_MLP v2" xfId="1781" xr:uid="{00000000-0005-0000-0000-00009B060000}"/>
    <cellStyle name="_20061027Holux_ProgramWorkBook_Re-engineering SLM_PM_Workbook_01252010_FP_SAP_MLP v2 2" xfId="1782" xr:uid="{00000000-0005-0000-0000-00009C060000}"/>
    <cellStyle name="_20061027Holux_ProgramWorkBook_Re-engineering SLM_PM_Workbook_01252010_FP_SAP_MLP v2 3" xfId="1783" xr:uid="{00000000-0005-0000-0000-00009D060000}"/>
    <cellStyle name="_20061027Holux_ProgramWorkBook_Re-engineering SLM_PM_Workbook_01252010_KeyDecisions" xfId="1784" xr:uid="{00000000-0005-0000-0000-00009E060000}"/>
    <cellStyle name="_20061027Holux_ProgramWorkBook_Re-engineering SLM_PM_Workbook_01252010_KeyDecisions 2" xfId="1785" xr:uid="{00000000-0005-0000-0000-00009F060000}"/>
    <cellStyle name="_20061027Holux_ProgramWorkBook_Re-engineering SLM_PM_Workbook_01252010_KeyDecisions 3" xfId="1786" xr:uid="{00000000-0005-0000-0000-0000A0060000}"/>
    <cellStyle name="_20061027Holux_ProgramWorkBook_Re-engineering SLM_PM_Workbook_01252010_Sophia_Imp_ProjectWorkBook_02_18_2011" xfId="1787" xr:uid="{00000000-0005-0000-0000-0000A1060000}"/>
    <cellStyle name="_20061027Holux_ProgramWorkBook_Re-engineering SLM_PM_Workbook_01252010_Sophia_Imp_ProjectWorkBook_02_18_2011 2" xfId="1788" xr:uid="{00000000-0005-0000-0000-0000A2060000}"/>
    <cellStyle name="_20061027Holux_ProgramWorkBook_Re-engineering SLM_PM_Workbook_01252010_Sophia_Imp_ProjectWorkBook_02_18_2011 3" xfId="1789" xr:uid="{00000000-0005-0000-0000-0000A3060000}"/>
    <cellStyle name="_20061027Holux_ProgramWorkBook_Re-engineering SLM_PM_Workbook_01252010_t" xfId="1790" xr:uid="{00000000-0005-0000-0000-0000A4060000}"/>
    <cellStyle name="_20061027Holux_ProgramWorkBook_Re-engineering SLM_PM_Workbook_01252010_t 2" xfId="1791" xr:uid="{00000000-0005-0000-0000-0000A5060000}"/>
    <cellStyle name="_20061027Holux_ProgramWorkBook_Re-engineering SLM_PM_Workbook_01252010_t 3" xfId="1792" xr:uid="{00000000-0005-0000-0000-0000A6060000}"/>
    <cellStyle name="_20061027Holux_ProgramWorkBook_Re-engineering SLM_PM_Workbook_021510" xfId="1793" xr:uid="{00000000-0005-0000-0000-0000A7060000}"/>
    <cellStyle name="_20061027Holux_ProgramWorkBook_Re-engineering SLM_PM_Workbook_021510 2" xfId="1794" xr:uid="{00000000-0005-0000-0000-0000A8060000}"/>
    <cellStyle name="_20061027Holux_ProgramWorkBook_Re-engineering SLM_PM_Workbook_021510 2 2" xfId="1795" xr:uid="{00000000-0005-0000-0000-0000A9060000}"/>
    <cellStyle name="_20061027Holux_ProgramWorkBook_Re-engineering SLM_PM_Workbook_021510 2 3" xfId="1796" xr:uid="{00000000-0005-0000-0000-0000AA060000}"/>
    <cellStyle name="_20061027Holux_ProgramWorkBook_Re-engineering SLM_PM_Workbook_021510 3" xfId="1797" xr:uid="{00000000-0005-0000-0000-0000AB060000}"/>
    <cellStyle name="_20061027Holux_ProgramWorkBook_Re-engineering SLM_PM_Workbook_021510 3 2" xfId="1798" xr:uid="{00000000-0005-0000-0000-0000AC060000}"/>
    <cellStyle name="_20061027Holux_ProgramWorkBook_Re-engineering SLM_PM_Workbook_021510 3 3" xfId="1799" xr:uid="{00000000-0005-0000-0000-0000AD060000}"/>
    <cellStyle name="_20061027Holux_ProgramWorkBook_Re-engineering SLM_PM_Workbook_021510 4" xfId="1800" xr:uid="{00000000-0005-0000-0000-0000AE060000}"/>
    <cellStyle name="_20061027Holux_ProgramWorkBook_Re-engineering SLM_PM_Workbook_021510 5" xfId="1801" xr:uid="{00000000-0005-0000-0000-0000AF060000}"/>
    <cellStyle name="_20061027Holux_ProgramWorkBook_Re-engineering SLM_PM_Workbook_021510_Commissioning System Implementation_Project Workbook_06_10_2011" xfId="1802" xr:uid="{00000000-0005-0000-0000-0000B0060000}"/>
    <cellStyle name="_20061027Holux_ProgramWorkBook_Re-engineering SLM_PM_Workbook_021510_Commissioning System Implementation_Project Workbook_06_10_2011 2" xfId="1803" xr:uid="{00000000-0005-0000-0000-0000B1060000}"/>
    <cellStyle name="_20061027Holux_ProgramWorkBook_Re-engineering SLM_PM_Workbook_021510_Commissioning System Implementation_Project Workbook_06_10_2011 3" xfId="1804" xr:uid="{00000000-0005-0000-0000-0000B2060000}"/>
    <cellStyle name="_20061027Holux_ProgramWorkBook_Re-engineering SLM_PM_Workbook_021510_FairPoint_CampReport" xfId="1805" xr:uid="{00000000-0005-0000-0000-0000B3060000}"/>
    <cellStyle name="_20061027Holux_ProgramWorkBook_Re-engineering SLM_PM_Workbook_021510_FairPoint_CampReport 2" xfId="1806" xr:uid="{00000000-0005-0000-0000-0000B4060000}"/>
    <cellStyle name="_20061027Holux_ProgramWorkBook_Re-engineering SLM_PM_Workbook_021510_FairPoint_CampReport 3" xfId="1807" xr:uid="{00000000-0005-0000-0000-0000B5060000}"/>
    <cellStyle name="_20061027Holux_ProgramWorkBook_Re-engineering SLM_PM_Workbook_021510_FairPoint_FP comTechOps_ProgramWorkbook" xfId="1808" xr:uid="{00000000-0005-0000-0000-0000B6060000}"/>
    <cellStyle name="_20061027Holux_ProgramWorkBook_Re-engineering SLM_PM_Workbook_021510_FairPoint_FP comTechOps_ProgramWorkbook 2" xfId="1809" xr:uid="{00000000-0005-0000-0000-0000B7060000}"/>
    <cellStyle name="_20061027Holux_ProgramWorkBook_Re-engineering SLM_PM_Workbook_021510_FairPoint_FP comTechOps_ProgramWorkbook 3" xfId="1810" xr:uid="{00000000-0005-0000-0000-0000B8060000}"/>
    <cellStyle name="_20061027Holux_ProgramWorkBook_Re-engineering SLM_PM_Workbook_021510_FairPoint_FP comTechOps_ProgramWorkbook_sachin" xfId="1811" xr:uid="{00000000-0005-0000-0000-0000B9060000}"/>
    <cellStyle name="_20061027Holux_ProgramWorkBook_Re-engineering SLM_PM_Workbook_021510_FairPoint_FP comTechOps_ProgramWorkbook_sachin 2" xfId="1812" xr:uid="{00000000-0005-0000-0000-0000BA060000}"/>
    <cellStyle name="_20061027Holux_ProgramWorkBook_Re-engineering SLM_PM_Workbook_021510_FairPoint_FP comTechOps_ProgramWorkbook_sachin 3" xfId="1813" xr:uid="{00000000-0005-0000-0000-0000BB060000}"/>
    <cellStyle name="_20061027Holux_ProgramWorkBook_Re-engineering SLM_PM_Workbook_021510_FairPoint_FP comTechOps_ProgramWorkbook_sachin_v1" xfId="1814" xr:uid="{00000000-0005-0000-0000-0000BC060000}"/>
    <cellStyle name="_20061027Holux_ProgramWorkBook_Re-engineering SLM_PM_Workbook_021510_FairPoint_FP comTechOps_ProgramWorkbook_sachin_v1 2" xfId="1815" xr:uid="{00000000-0005-0000-0000-0000BD060000}"/>
    <cellStyle name="_20061027Holux_ProgramWorkBook_Re-engineering SLM_PM_Workbook_021510_FairPoint_FP comTechOps_ProgramWorkbook_sachin_v1 3" xfId="1816" xr:uid="{00000000-0005-0000-0000-0000BE060000}"/>
    <cellStyle name="_20061027Holux_ProgramWorkBook_Re-engineering SLM_PM_Workbook_021510_FP_CAMP&amp;ITReporting_Maintenance_Dashboard" xfId="1817" xr:uid="{00000000-0005-0000-0000-0000BF060000}"/>
    <cellStyle name="_20061027Holux_ProgramWorkBook_Re-engineering SLM_PM_Workbook_021510_FP_CAMP&amp;ITReporting_Maintenance_Dashboard 2" xfId="1818" xr:uid="{00000000-0005-0000-0000-0000C0060000}"/>
    <cellStyle name="_20061027Holux_ProgramWorkBook_Re-engineering SLM_PM_Workbook_021510_FP_CAMP&amp;ITReporting_Maintenance_Dashboard 3" xfId="1819" xr:uid="{00000000-0005-0000-0000-0000C1060000}"/>
    <cellStyle name="_20061027Holux_ProgramWorkBook_Re-engineering SLM_PM_Workbook_021510_FP_CAMPITReporting_Maintenance_Dashboard" xfId="1820" xr:uid="{00000000-0005-0000-0000-0000C2060000}"/>
    <cellStyle name="_20061027Holux_ProgramWorkBook_Re-engineering SLM_PM_Workbook_021510_FP_CAMPITReporting_Maintenance_Dashboard 2" xfId="1821" xr:uid="{00000000-0005-0000-0000-0000C3060000}"/>
    <cellStyle name="_20061027Holux_ProgramWorkBook_Re-engineering SLM_PM_Workbook_021510_FP_CAMPITReporting_Maintenance_Dashboard 3" xfId="1822" xr:uid="{00000000-0005-0000-0000-0000C4060000}"/>
    <cellStyle name="_20061027Holux_ProgramWorkBook_Re-engineering SLM_PM_Workbook_021510_FP_Commissions_Req_Dn_ProgramWorkBook_10-Dec-2010" xfId="1823" xr:uid="{00000000-0005-0000-0000-0000C5060000}"/>
    <cellStyle name="_20061027Holux_ProgramWorkBook_Re-engineering SLM_PM_Workbook_021510_FP_Commissions_Req_Dn_ProgramWorkBook_10-Dec-2010 2" xfId="1824" xr:uid="{00000000-0005-0000-0000-0000C6060000}"/>
    <cellStyle name="_20061027Holux_ProgramWorkBook_Re-engineering SLM_PM_Workbook_021510_FP_Commissions_Req_Dn_ProgramWorkBook_10-Dec-2010 3" xfId="1825" xr:uid="{00000000-0005-0000-0000-0000C7060000}"/>
    <cellStyle name="_20061027Holux_ProgramWorkBook_Re-engineering SLM_PM_Workbook_021510_FP_DW_Impl_ProgramWorkBook_07-Jan-2011" xfId="1826" xr:uid="{00000000-0005-0000-0000-0000C8060000}"/>
    <cellStyle name="_20061027Holux_ProgramWorkBook_Re-engineering SLM_PM_Workbook_021510_FP_DW_Impl_ProgramWorkBook_07-Jan-2011 2" xfId="1827" xr:uid="{00000000-0005-0000-0000-0000C9060000}"/>
    <cellStyle name="_20061027Holux_ProgramWorkBook_Re-engineering SLM_PM_Workbook_021510_FP_DW_Impl_ProgramWorkBook_07-Jan-2011 2 2" xfId="1828" xr:uid="{00000000-0005-0000-0000-0000CA060000}"/>
    <cellStyle name="_20061027Holux_ProgramWorkBook_Re-engineering SLM_PM_Workbook_021510_FP_DW_Impl_ProgramWorkBook_07-Jan-2011 2 3" xfId="1829" xr:uid="{00000000-0005-0000-0000-0000CB060000}"/>
    <cellStyle name="_20061027Holux_ProgramWorkBook_Re-engineering SLM_PM_Workbook_021510_FP_DW_Impl_ProgramWorkBook_07-Jan-2011 3" xfId="1830" xr:uid="{00000000-0005-0000-0000-0000CC060000}"/>
    <cellStyle name="_20061027Holux_ProgramWorkBook_Re-engineering SLM_PM_Workbook_021510_FP_DW_Impl_ProgramWorkBook_07-Jan-2011 4" xfId="1831" xr:uid="{00000000-0005-0000-0000-0000CD060000}"/>
    <cellStyle name="_20061027Holux_ProgramWorkBook_Re-engineering SLM_PM_Workbook_021510_FP_DW_Impl_ProgramWorkBook_11-Feb-2011" xfId="1832" xr:uid="{00000000-0005-0000-0000-0000CE060000}"/>
    <cellStyle name="_20061027Holux_ProgramWorkBook_Re-engineering SLM_PM_Workbook_021510_FP_DW_Impl_ProgramWorkBook_11-Feb-2011 2" xfId="1833" xr:uid="{00000000-0005-0000-0000-0000CF060000}"/>
    <cellStyle name="_20061027Holux_ProgramWorkBook_Re-engineering SLM_PM_Workbook_021510_FP_DW_Impl_ProgramWorkBook_11-Feb-2011 3" xfId="1834" xr:uid="{00000000-0005-0000-0000-0000D0060000}"/>
    <cellStyle name="_20061027Holux_ProgramWorkBook_Re-engineering SLM_PM_Workbook_021510_FP_DW_Impl_ProgramWorkBook_18-Feb-2011 - Working" xfId="1835" xr:uid="{00000000-0005-0000-0000-0000D1060000}"/>
    <cellStyle name="_20061027Holux_ProgramWorkBook_Re-engineering SLM_PM_Workbook_021510_FP_DW_Impl_ProgramWorkBook_18-Feb-2011 - Working 2" xfId="1836" xr:uid="{00000000-0005-0000-0000-0000D2060000}"/>
    <cellStyle name="_20061027Holux_ProgramWorkBook_Re-engineering SLM_PM_Workbook_021510_FP_DW_Impl_ProgramWorkBook_18-Feb-2011 - Working 3" xfId="1837" xr:uid="{00000000-0005-0000-0000-0000D3060000}"/>
    <cellStyle name="_20061027Holux_ProgramWorkBook_Re-engineering SLM_PM_Workbook_021510_FP_EnterprisePortal_ProgramWorkbook" xfId="1838" xr:uid="{00000000-0005-0000-0000-0000D4060000}"/>
    <cellStyle name="_20061027Holux_ProgramWorkBook_Re-engineering SLM_PM_Workbook_021510_FP_EnterprisePortal_ProgramWorkbook 2" xfId="1839" xr:uid="{00000000-0005-0000-0000-0000D5060000}"/>
    <cellStyle name="_20061027Holux_ProgramWorkBook_Re-engineering SLM_PM_Workbook_021510_FP_EnterprisePortal_ProgramWorkbook 3" xfId="1840" xr:uid="{00000000-0005-0000-0000-0000D6060000}"/>
    <cellStyle name="_20061027Holux_ProgramWorkBook_Re-engineering SLM_PM_Workbook_021510_FP_SAP_MLP v2" xfId="1841" xr:uid="{00000000-0005-0000-0000-0000D7060000}"/>
    <cellStyle name="_20061027Holux_ProgramWorkBook_Re-engineering SLM_PM_Workbook_021510_FP_SAP_MLP v2 2" xfId="1842" xr:uid="{00000000-0005-0000-0000-0000D8060000}"/>
    <cellStyle name="_20061027Holux_ProgramWorkBook_Re-engineering SLM_PM_Workbook_021510_FP_SAP_MLP v2 3" xfId="1843" xr:uid="{00000000-0005-0000-0000-0000D9060000}"/>
    <cellStyle name="_20061027Holux_ProgramWorkBook_Re-engineering SLM_PM_Workbook_021510_KeyDecisions" xfId="1844" xr:uid="{00000000-0005-0000-0000-0000DA060000}"/>
    <cellStyle name="_20061027Holux_ProgramWorkBook_Re-engineering SLM_PM_Workbook_021510_KeyDecisions 2" xfId="1845" xr:uid="{00000000-0005-0000-0000-0000DB060000}"/>
    <cellStyle name="_20061027Holux_ProgramWorkBook_Re-engineering SLM_PM_Workbook_021510_KeyDecisions 3" xfId="1846" xr:uid="{00000000-0005-0000-0000-0000DC060000}"/>
    <cellStyle name="_20061027Holux_ProgramWorkBook_Re-engineering SLM_PM_Workbook_021510_Sophia_Imp_ProjectWorkBook_02_18_2011" xfId="1847" xr:uid="{00000000-0005-0000-0000-0000DD060000}"/>
    <cellStyle name="_20061027Holux_ProgramWorkBook_Re-engineering SLM_PM_Workbook_021510_Sophia_Imp_ProjectWorkBook_02_18_2011 2" xfId="1848" xr:uid="{00000000-0005-0000-0000-0000DE060000}"/>
    <cellStyle name="_20061027Holux_ProgramWorkBook_Re-engineering SLM_PM_Workbook_021510_Sophia_Imp_ProjectWorkBook_02_18_2011 3" xfId="1849" xr:uid="{00000000-0005-0000-0000-0000DF060000}"/>
    <cellStyle name="_20061027Holux_ProgramWorkBook_Re-engineering SLM_PM_Workbook_021510_t" xfId="1850" xr:uid="{00000000-0005-0000-0000-0000E0060000}"/>
    <cellStyle name="_20061027Holux_ProgramWorkBook_Re-engineering SLM_PM_Workbook_021510_t 2" xfId="1851" xr:uid="{00000000-0005-0000-0000-0000E1060000}"/>
    <cellStyle name="_20061027Holux_ProgramWorkBook_Re-engineering SLM_PM_Workbook_021510_t 3" xfId="1852" xr:uid="{00000000-0005-0000-0000-0000E2060000}"/>
    <cellStyle name="_20061027Holux_ProgramWorkBook_Re-engineering SLM_PM_Workbook_030810" xfId="1853" xr:uid="{00000000-0005-0000-0000-0000E3060000}"/>
    <cellStyle name="_20061027Holux_ProgramWorkBook_Re-engineering SLM_PM_Workbook_030810 2" xfId="1854" xr:uid="{00000000-0005-0000-0000-0000E4060000}"/>
    <cellStyle name="_20061027Holux_ProgramWorkBook_Re-engineering SLM_PM_Workbook_030810 2 2" xfId="1855" xr:uid="{00000000-0005-0000-0000-0000E5060000}"/>
    <cellStyle name="_20061027Holux_ProgramWorkBook_Re-engineering SLM_PM_Workbook_030810 2 3" xfId="1856" xr:uid="{00000000-0005-0000-0000-0000E6060000}"/>
    <cellStyle name="_20061027Holux_ProgramWorkBook_Re-engineering SLM_PM_Workbook_030810 3" xfId="1857" xr:uid="{00000000-0005-0000-0000-0000E7060000}"/>
    <cellStyle name="_20061027Holux_ProgramWorkBook_Re-engineering SLM_PM_Workbook_030810 3 2" xfId="1858" xr:uid="{00000000-0005-0000-0000-0000E8060000}"/>
    <cellStyle name="_20061027Holux_ProgramWorkBook_Re-engineering SLM_PM_Workbook_030810 3 3" xfId="1859" xr:uid="{00000000-0005-0000-0000-0000E9060000}"/>
    <cellStyle name="_20061027Holux_ProgramWorkBook_Re-engineering SLM_PM_Workbook_030810 4" xfId="1860" xr:uid="{00000000-0005-0000-0000-0000EA060000}"/>
    <cellStyle name="_20061027Holux_ProgramWorkBook_Re-engineering SLM_PM_Workbook_030810 5" xfId="1861" xr:uid="{00000000-0005-0000-0000-0000EB060000}"/>
    <cellStyle name="_20061027Holux_ProgramWorkBook_Re-engineering SLM_PM_Workbook_030810_Commissioning System Implementation_Project Workbook_06_10_2011" xfId="1862" xr:uid="{00000000-0005-0000-0000-0000EC060000}"/>
    <cellStyle name="_20061027Holux_ProgramWorkBook_Re-engineering SLM_PM_Workbook_030810_Commissioning System Implementation_Project Workbook_06_10_2011 2" xfId="1863" xr:uid="{00000000-0005-0000-0000-0000ED060000}"/>
    <cellStyle name="_20061027Holux_ProgramWorkBook_Re-engineering SLM_PM_Workbook_030810_Commissioning System Implementation_Project Workbook_06_10_2011 3" xfId="1864" xr:uid="{00000000-0005-0000-0000-0000EE060000}"/>
    <cellStyle name="_20061027Holux_ProgramWorkBook_Re-engineering SLM_PM_Workbook_030810_FairPoint_CampReport" xfId="1865" xr:uid="{00000000-0005-0000-0000-0000EF060000}"/>
    <cellStyle name="_20061027Holux_ProgramWorkBook_Re-engineering SLM_PM_Workbook_030810_FairPoint_CampReport 2" xfId="1866" xr:uid="{00000000-0005-0000-0000-0000F0060000}"/>
    <cellStyle name="_20061027Holux_ProgramWorkBook_Re-engineering SLM_PM_Workbook_030810_FairPoint_CampReport 3" xfId="1867" xr:uid="{00000000-0005-0000-0000-0000F1060000}"/>
    <cellStyle name="_20061027Holux_ProgramWorkBook_Re-engineering SLM_PM_Workbook_030810_FairPoint_FP comTechOps_ProgramWorkbook" xfId="1868" xr:uid="{00000000-0005-0000-0000-0000F2060000}"/>
    <cellStyle name="_20061027Holux_ProgramWorkBook_Re-engineering SLM_PM_Workbook_030810_FairPoint_FP comTechOps_ProgramWorkbook 2" xfId="1869" xr:uid="{00000000-0005-0000-0000-0000F3060000}"/>
    <cellStyle name="_20061027Holux_ProgramWorkBook_Re-engineering SLM_PM_Workbook_030810_FairPoint_FP comTechOps_ProgramWorkbook 3" xfId="1870" xr:uid="{00000000-0005-0000-0000-0000F4060000}"/>
    <cellStyle name="_20061027Holux_ProgramWorkBook_Re-engineering SLM_PM_Workbook_030810_FairPoint_FP comTechOps_ProgramWorkbook_sachin" xfId="1871" xr:uid="{00000000-0005-0000-0000-0000F5060000}"/>
    <cellStyle name="_20061027Holux_ProgramWorkBook_Re-engineering SLM_PM_Workbook_030810_FairPoint_FP comTechOps_ProgramWorkbook_sachin 2" xfId="1872" xr:uid="{00000000-0005-0000-0000-0000F6060000}"/>
    <cellStyle name="_20061027Holux_ProgramWorkBook_Re-engineering SLM_PM_Workbook_030810_FairPoint_FP comTechOps_ProgramWorkbook_sachin 3" xfId="1873" xr:uid="{00000000-0005-0000-0000-0000F7060000}"/>
    <cellStyle name="_20061027Holux_ProgramWorkBook_Re-engineering SLM_PM_Workbook_030810_FairPoint_FP comTechOps_ProgramWorkbook_sachin_v1" xfId="1874" xr:uid="{00000000-0005-0000-0000-0000F8060000}"/>
    <cellStyle name="_20061027Holux_ProgramWorkBook_Re-engineering SLM_PM_Workbook_030810_FairPoint_FP comTechOps_ProgramWorkbook_sachin_v1 2" xfId="1875" xr:uid="{00000000-0005-0000-0000-0000F9060000}"/>
    <cellStyle name="_20061027Holux_ProgramWorkBook_Re-engineering SLM_PM_Workbook_030810_FairPoint_FP comTechOps_ProgramWorkbook_sachin_v1 3" xfId="1876" xr:uid="{00000000-0005-0000-0000-0000FA060000}"/>
    <cellStyle name="_20061027Holux_ProgramWorkBook_Re-engineering SLM_PM_Workbook_030810_FP_CAMP&amp;ITReporting_Maintenance_Dashboard" xfId="1877" xr:uid="{00000000-0005-0000-0000-0000FB060000}"/>
    <cellStyle name="_20061027Holux_ProgramWorkBook_Re-engineering SLM_PM_Workbook_030810_FP_CAMP&amp;ITReporting_Maintenance_Dashboard 2" xfId="1878" xr:uid="{00000000-0005-0000-0000-0000FC060000}"/>
    <cellStyle name="_20061027Holux_ProgramWorkBook_Re-engineering SLM_PM_Workbook_030810_FP_CAMP&amp;ITReporting_Maintenance_Dashboard 3" xfId="1879" xr:uid="{00000000-0005-0000-0000-0000FD060000}"/>
    <cellStyle name="_20061027Holux_ProgramWorkBook_Re-engineering SLM_PM_Workbook_030810_FP_CAMPITReporting_Maintenance_Dashboard" xfId="1880" xr:uid="{00000000-0005-0000-0000-0000FE060000}"/>
    <cellStyle name="_20061027Holux_ProgramWorkBook_Re-engineering SLM_PM_Workbook_030810_FP_CAMPITReporting_Maintenance_Dashboard 2" xfId="1881" xr:uid="{00000000-0005-0000-0000-0000FF060000}"/>
    <cellStyle name="_20061027Holux_ProgramWorkBook_Re-engineering SLM_PM_Workbook_030810_FP_CAMPITReporting_Maintenance_Dashboard 3" xfId="1882" xr:uid="{00000000-0005-0000-0000-000000070000}"/>
    <cellStyle name="_20061027Holux_ProgramWorkBook_Re-engineering SLM_PM_Workbook_030810_FP_Commissions_Req_Dn_ProgramWorkBook_10-Dec-2010" xfId="1883" xr:uid="{00000000-0005-0000-0000-000001070000}"/>
    <cellStyle name="_20061027Holux_ProgramWorkBook_Re-engineering SLM_PM_Workbook_030810_FP_Commissions_Req_Dn_ProgramWorkBook_10-Dec-2010 2" xfId="1884" xr:uid="{00000000-0005-0000-0000-000002070000}"/>
    <cellStyle name="_20061027Holux_ProgramWorkBook_Re-engineering SLM_PM_Workbook_030810_FP_Commissions_Req_Dn_ProgramWorkBook_10-Dec-2010 3" xfId="1885" xr:uid="{00000000-0005-0000-0000-000003070000}"/>
    <cellStyle name="_20061027Holux_ProgramWorkBook_Re-engineering SLM_PM_Workbook_030810_FP_DW_Impl_ProgramWorkBook_07-Jan-2011" xfId="1886" xr:uid="{00000000-0005-0000-0000-000004070000}"/>
    <cellStyle name="_20061027Holux_ProgramWorkBook_Re-engineering SLM_PM_Workbook_030810_FP_DW_Impl_ProgramWorkBook_07-Jan-2011 2" xfId="1887" xr:uid="{00000000-0005-0000-0000-000005070000}"/>
    <cellStyle name="_20061027Holux_ProgramWorkBook_Re-engineering SLM_PM_Workbook_030810_FP_DW_Impl_ProgramWorkBook_07-Jan-2011 2 2" xfId="1888" xr:uid="{00000000-0005-0000-0000-000006070000}"/>
    <cellStyle name="_20061027Holux_ProgramWorkBook_Re-engineering SLM_PM_Workbook_030810_FP_DW_Impl_ProgramWorkBook_07-Jan-2011 2 3" xfId="1889" xr:uid="{00000000-0005-0000-0000-000007070000}"/>
    <cellStyle name="_20061027Holux_ProgramWorkBook_Re-engineering SLM_PM_Workbook_030810_FP_DW_Impl_ProgramWorkBook_07-Jan-2011 3" xfId="1890" xr:uid="{00000000-0005-0000-0000-000008070000}"/>
    <cellStyle name="_20061027Holux_ProgramWorkBook_Re-engineering SLM_PM_Workbook_030810_FP_DW_Impl_ProgramWorkBook_07-Jan-2011 4" xfId="1891" xr:uid="{00000000-0005-0000-0000-000009070000}"/>
    <cellStyle name="_20061027Holux_ProgramWorkBook_Re-engineering SLM_PM_Workbook_030810_FP_DW_Impl_ProgramWorkBook_11-Feb-2011" xfId="1892" xr:uid="{00000000-0005-0000-0000-00000A070000}"/>
    <cellStyle name="_20061027Holux_ProgramWorkBook_Re-engineering SLM_PM_Workbook_030810_FP_DW_Impl_ProgramWorkBook_11-Feb-2011 2" xfId="1893" xr:uid="{00000000-0005-0000-0000-00000B070000}"/>
    <cellStyle name="_20061027Holux_ProgramWorkBook_Re-engineering SLM_PM_Workbook_030810_FP_DW_Impl_ProgramWorkBook_11-Feb-2011 3" xfId="1894" xr:uid="{00000000-0005-0000-0000-00000C070000}"/>
    <cellStyle name="_20061027Holux_ProgramWorkBook_Re-engineering SLM_PM_Workbook_030810_FP_DW_Impl_ProgramWorkBook_18-Feb-2011 - Working" xfId="1895" xr:uid="{00000000-0005-0000-0000-00000D070000}"/>
    <cellStyle name="_20061027Holux_ProgramWorkBook_Re-engineering SLM_PM_Workbook_030810_FP_DW_Impl_ProgramWorkBook_18-Feb-2011 - Working 2" xfId="1896" xr:uid="{00000000-0005-0000-0000-00000E070000}"/>
    <cellStyle name="_20061027Holux_ProgramWorkBook_Re-engineering SLM_PM_Workbook_030810_FP_DW_Impl_ProgramWorkBook_18-Feb-2011 - Working 3" xfId="1897" xr:uid="{00000000-0005-0000-0000-00000F070000}"/>
    <cellStyle name="_20061027Holux_ProgramWorkBook_Re-engineering SLM_PM_Workbook_030810_FP_EnterprisePortal_ProgramWorkbook" xfId="1898" xr:uid="{00000000-0005-0000-0000-000010070000}"/>
    <cellStyle name="_20061027Holux_ProgramWorkBook_Re-engineering SLM_PM_Workbook_030810_FP_EnterprisePortal_ProgramWorkbook 2" xfId="1899" xr:uid="{00000000-0005-0000-0000-000011070000}"/>
    <cellStyle name="_20061027Holux_ProgramWorkBook_Re-engineering SLM_PM_Workbook_030810_FP_EnterprisePortal_ProgramWorkbook 3" xfId="1900" xr:uid="{00000000-0005-0000-0000-000012070000}"/>
    <cellStyle name="_20061027Holux_ProgramWorkBook_Re-engineering SLM_PM_Workbook_030810_FP_SAP_MLP v2" xfId="1901" xr:uid="{00000000-0005-0000-0000-000013070000}"/>
    <cellStyle name="_20061027Holux_ProgramWorkBook_Re-engineering SLM_PM_Workbook_030810_FP_SAP_MLP v2 2" xfId="1902" xr:uid="{00000000-0005-0000-0000-000014070000}"/>
    <cellStyle name="_20061027Holux_ProgramWorkBook_Re-engineering SLM_PM_Workbook_030810_FP_SAP_MLP v2 3" xfId="1903" xr:uid="{00000000-0005-0000-0000-000015070000}"/>
    <cellStyle name="_20061027Holux_ProgramWorkBook_Re-engineering SLM_PM_Workbook_030810_KeyDecisions" xfId="1904" xr:uid="{00000000-0005-0000-0000-000016070000}"/>
    <cellStyle name="_20061027Holux_ProgramWorkBook_Re-engineering SLM_PM_Workbook_030810_KeyDecisions 2" xfId="1905" xr:uid="{00000000-0005-0000-0000-000017070000}"/>
    <cellStyle name="_20061027Holux_ProgramWorkBook_Re-engineering SLM_PM_Workbook_030810_KeyDecisions 3" xfId="1906" xr:uid="{00000000-0005-0000-0000-000018070000}"/>
    <cellStyle name="_20061027Holux_ProgramWorkBook_Re-engineering SLM_PM_Workbook_030810_Sophia_Imp_ProjectWorkBook_02_18_2011" xfId="1907" xr:uid="{00000000-0005-0000-0000-000019070000}"/>
    <cellStyle name="_20061027Holux_ProgramWorkBook_Re-engineering SLM_PM_Workbook_030810_Sophia_Imp_ProjectWorkBook_02_18_2011 2" xfId="1908" xr:uid="{00000000-0005-0000-0000-00001A070000}"/>
    <cellStyle name="_20061027Holux_ProgramWorkBook_Re-engineering SLM_PM_Workbook_030810_Sophia_Imp_ProjectWorkBook_02_18_2011 3" xfId="1909" xr:uid="{00000000-0005-0000-0000-00001B070000}"/>
    <cellStyle name="_20061027Holux_ProgramWorkBook_Re-engineering SLM_PM_Workbook_030810_t" xfId="1910" xr:uid="{00000000-0005-0000-0000-00001C070000}"/>
    <cellStyle name="_20061027Holux_ProgramWorkBook_Re-engineering SLM_PM_Workbook_030810_t 2" xfId="1911" xr:uid="{00000000-0005-0000-0000-00001D070000}"/>
    <cellStyle name="_20061027Holux_ProgramWorkBook_Re-engineering SLM_PM_Workbook_030810_t 3" xfId="1912" xr:uid="{00000000-0005-0000-0000-00001E070000}"/>
    <cellStyle name="_20061027Holux_ProgramWorkBook_Scope and Deliverable Summary" xfId="1913" xr:uid="{00000000-0005-0000-0000-00001F070000}"/>
    <cellStyle name="_20061027Holux_ProgramWorkBook_Scope and Deliverable Summary 2" xfId="1914" xr:uid="{00000000-0005-0000-0000-000020070000}"/>
    <cellStyle name="_20061027Holux_ProgramWorkBook_Scope and Deliverable Summary 2 2" xfId="1915" xr:uid="{00000000-0005-0000-0000-000021070000}"/>
    <cellStyle name="_20061027Holux_ProgramWorkBook_Scope and Deliverable Summary 2 3" xfId="1916" xr:uid="{00000000-0005-0000-0000-000022070000}"/>
    <cellStyle name="_20061027Holux_ProgramWorkBook_Scope and Deliverable Summary 3" xfId="1917" xr:uid="{00000000-0005-0000-0000-000023070000}"/>
    <cellStyle name="_20061027Holux_ProgramWorkBook_Scope and Deliverable Summary 3 2" xfId="1918" xr:uid="{00000000-0005-0000-0000-000024070000}"/>
    <cellStyle name="_20061027Holux_ProgramWorkBook_Scope and Deliverable Summary 3 3" xfId="1919" xr:uid="{00000000-0005-0000-0000-000025070000}"/>
    <cellStyle name="_20061027Holux_ProgramWorkBook_Scope and Deliverable Summary 4" xfId="1920" xr:uid="{00000000-0005-0000-0000-000026070000}"/>
    <cellStyle name="_20061027Holux_ProgramWorkBook_Scope and Deliverable Summary 5" xfId="1921" xr:uid="{00000000-0005-0000-0000-000027070000}"/>
    <cellStyle name="_20061027Holux_ProgramWorkBook_Scope and Deliverable Summary_Commissioning System Implementation_Project Workbook_06_10_2011" xfId="1922" xr:uid="{00000000-0005-0000-0000-000028070000}"/>
    <cellStyle name="_20061027Holux_ProgramWorkBook_Scope and Deliverable Summary_Commissioning System Implementation_Project Workbook_06_10_2011 2" xfId="1923" xr:uid="{00000000-0005-0000-0000-000029070000}"/>
    <cellStyle name="_20061027Holux_ProgramWorkBook_Scope and Deliverable Summary_Commissioning System Implementation_Project Workbook_06_10_2011 3" xfId="1924" xr:uid="{00000000-0005-0000-0000-00002A070000}"/>
    <cellStyle name="_20061027Holux_ProgramWorkBook_Scope and Deliverable Summary_FairPoint_CampReport" xfId="1925" xr:uid="{00000000-0005-0000-0000-00002B070000}"/>
    <cellStyle name="_20061027Holux_ProgramWorkBook_Scope and Deliverable Summary_FairPoint_CampReport 2" xfId="1926" xr:uid="{00000000-0005-0000-0000-00002C070000}"/>
    <cellStyle name="_20061027Holux_ProgramWorkBook_Scope and Deliverable Summary_FairPoint_CampReport 3" xfId="1927" xr:uid="{00000000-0005-0000-0000-00002D070000}"/>
    <cellStyle name="_20061027Holux_ProgramWorkBook_Scope and Deliverable Summary_FairPoint_FP comTechOps_ProgramWorkbook" xfId="1928" xr:uid="{00000000-0005-0000-0000-00002E070000}"/>
    <cellStyle name="_20061027Holux_ProgramWorkBook_Scope and Deliverable Summary_FairPoint_FP comTechOps_ProgramWorkbook 2" xfId="1929" xr:uid="{00000000-0005-0000-0000-00002F070000}"/>
    <cellStyle name="_20061027Holux_ProgramWorkBook_Scope and Deliverable Summary_FairPoint_FP comTechOps_ProgramWorkbook 3" xfId="1930" xr:uid="{00000000-0005-0000-0000-000030070000}"/>
    <cellStyle name="_20061027Holux_ProgramWorkBook_Scope and Deliverable Summary_FairPoint_FP comTechOps_ProgramWorkbook_sachin" xfId="1931" xr:uid="{00000000-0005-0000-0000-000031070000}"/>
    <cellStyle name="_20061027Holux_ProgramWorkBook_Scope and Deliverable Summary_FairPoint_FP comTechOps_ProgramWorkbook_sachin 2" xfId="1932" xr:uid="{00000000-0005-0000-0000-000032070000}"/>
    <cellStyle name="_20061027Holux_ProgramWorkBook_Scope and Deliverable Summary_FairPoint_FP comTechOps_ProgramWorkbook_sachin 3" xfId="1933" xr:uid="{00000000-0005-0000-0000-000033070000}"/>
    <cellStyle name="_20061027Holux_ProgramWorkBook_Scope and Deliverable Summary_FairPoint_FP comTechOps_ProgramWorkbook_sachin_v1" xfId="1934" xr:uid="{00000000-0005-0000-0000-000034070000}"/>
    <cellStyle name="_20061027Holux_ProgramWorkBook_Scope and Deliverable Summary_FairPoint_FP comTechOps_ProgramWorkbook_sachin_v1 2" xfId="1935" xr:uid="{00000000-0005-0000-0000-000035070000}"/>
    <cellStyle name="_20061027Holux_ProgramWorkBook_Scope and Deliverable Summary_FairPoint_FP comTechOps_ProgramWorkbook_sachin_v1 3" xfId="1936" xr:uid="{00000000-0005-0000-0000-000036070000}"/>
    <cellStyle name="_20061027Holux_ProgramWorkBook_Scope and Deliverable Summary_FP_CAMP&amp;ITReporting_Maintenance_Dashboard" xfId="1937" xr:uid="{00000000-0005-0000-0000-000037070000}"/>
    <cellStyle name="_20061027Holux_ProgramWorkBook_Scope and Deliverable Summary_FP_CAMP&amp;ITReporting_Maintenance_Dashboard 2" xfId="1938" xr:uid="{00000000-0005-0000-0000-000038070000}"/>
    <cellStyle name="_20061027Holux_ProgramWorkBook_Scope and Deliverable Summary_FP_CAMP&amp;ITReporting_Maintenance_Dashboard 3" xfId="1939" xr:uid="{00000000-0005-0000-0000-000039070000}"/>
    <cellStyle name="_20061027Holux_ProgramWorkBook_Scope and Deliverable Summary_FP_CAMPITReporting_Maintenance_Dashboard" xfId="1940" xr:uid="{00000000-0005-0000-0000-00003A070000}"/>
    <cellStyle name="_20061027Holux_ProgramWorkBook_Scope and Deliverable Summary_FP_CAMPITReporting_Maintenance_Dashboard 2" xfId="1941" xr:uid="{00000000-0005-0000-0000-00003B070000}"/>
    <cellStyle name="_20061027Holux_ProgramWorkBook_Scope and Deliverable Summary_FP_CAMPITReporting_Maintenance_Dashboard 3" xfId="1942" xr:uid="{00000000-0005-0000-0000-00003C070000}"/>
    <cellStyle name="_20061027Holux_ProgramWorkBook_Scope and Deliverable Summary_FP_Commissions_Req_Dn_ProgramWorkBook_10-Dec-2010" xfId="1943" xr:uid="{00000000-0005-0000-0000-00003D070000}"/>
    <cellStyle name="_20061027Holux_ProgramWorkBook_Scope and Deliverable Summary_FP_Commissions_Req_Dn_ProgramWorkBook_10-Dec-2010 2" xfId="1944" xr:uid="{00000000-0005-0000-0000-00003E070000}"/>
    <cellStyle name="_20061027Holux_ProgramWorkBook_Scope and Deliverable Summary_FP_Commissions_Req_Dn_ProgramWorkBook_10-Dec-2010 3" xfId="1945" xr:uid="{00000000-0005-0000-0000-00003F070000}"/>
    <cellStyle name="_20061027Holux_ProgramWorkBook_Scope and Deliverable Summary_FP_DW_Impl_ProgramWorkBook_07-Jan-2011" xfId="1946" xr:uid="{00000000-0005-0000-0000-000040070000}"/>
    <cellStyle name="_20061027Holux_ProgramWorkBook_Scope and Deliverable Summary_FP_DW_Impl_ProgramWorkBook_07-Jan-2011 2" xfId="1947" xr:uid="{00000000-0005-0000-0000-000041070000}"/>
    <cellStyle name="_20061027Holux_ProgramWorkBook_Scope and Deliverable Summary_FP_DW_Impl_ProgramWorkBook_07-Jan-2011 2 2" xfId="1948" xr:uid="{00000000-0005-0000-0000-000042070000}"/>
    <cellStyle name="_20061027Holux_ProgramWorkBook_Scope and Deliverable Summary_FP_DW_Impl_ProgramWorkBook_07-Jan-2011 2 3" xfId="1949" xr:uid="{00000000-0005-0000-0000-000043070000}"/>
    <cellStyle name="_20061027Holux_ProgramWorkBook_Scope and Deliverable Summary_FP_DW_Impl_ProgramWorkBook_07-Jan-2011 3" xfId="1950" xr:uid="{00000000-0005-0000-0000-000044070000}"/>
    <cellStyle name="_20061027Holux_ProgramWorkBook_Scope and Deliverable Summary_FP_DW_Impl_ProgramWorkBook_07-Jan-2011 4" xfId="1951" xr:uid="{00000000-0005-0000-0000-000045070000}"/>
    <cellStyle name="_20061027Holux_ProgramWorkBook_Scope and Deliverable Summary_FP_DW_Impl_ProgramWorkBook_11-Feb-2011" xfId="1952" xr:uid="{00000000-0005-0000-0000-000046070000}"/>
    <cellStyle name="_20061027Holux_ProgramWorkBook_Scope and Deliverable Summary_FP_DW_Impl_ProgramWorkBook_11-Feb-2011 2" xfId="1953" xr:uid="{00000000-0005-0000-0000-000047070000}"/>
    <cellStyle name="_20061027Holux_ProgramWorkBook_Scope and Deliverable Summary_FP_DW_Impl_ProgramWorkBook_11-Feb-2011 3" xfId="1954" xr:uid="{00000000-0005-0000-0000-000048070000}"/>
    <cellStyle name="_20061027Holux_ProgramWorkBook_Scope and Deliverable Summary_FP_DW_Impl_ProgramWorkBook_18-Feb-2011 - Working" xfId="1955" xr:uid="{00000000-0005-0000-0000-000049070000}"/>
    <cellStyle name="_20061027Holux_ProgramWorkBook_Scope and Deliverable Summary_FP_DW_Impl_ProgramWorkBook_18-Feb-2011 - Working 2" xfId="1956" xr:uid="{00000000-0005-0000-0000-00004A070000}"/>
    <cellStyle name="_20061027Holux_ProgramWorkBook_Scope and Deliverable Summary_FP_DW_Impl_ProgramWorkBook_18-Feb-2011 - Working 3" xfId="1957" xr:uid="{00000000-0005-0000-0000-00004B070000}"/>
    <cellStyle name="_20061027Holux_ProgramWorkBook_Scope and Deliverable Summary_FP_EnterprisePortal_ProgramWorkbook" xfId="1958" xr:uid="{00000000-0005-0000-0000-00004C070000}"/>
    <cellStyle name="_20061027Holux_ProgramWorkBook_Scope and Deliverable Summary_FP_EnterprisePortal_ProgramWorkbook 2" xfId="1959" xr:uid="{00000000-0005-0000-0000-00004D070000}"/>
    <cellStyle name="_20061027Holux_ProgramWorkBook_Scope and Deliverable Summary_FP_EnterprisePortal_ProgramWorkbook 3" xfId="1960" xr:uid="{00000000-0005-0000-0000-00004E070000}"/>
    <cellStyle name="_20061027Holux_ProgramWorkBook_Scope and Deliverable Summary_FP_SAP_MLP v2" xfId="1961" xr:uid="{00000000-0005-0000-0000-00004F070000}"/>
    <cellStyle name="_20061027Holux_ProgramWorkBook_Scope and Deliverable Summary_FP_SAP_MLP v2 2" xfId="1962" xr:uid="{00000000-0005-0000-0000-000050070000}"/>
    <cellStyle name="_20061027Holux_ProgramWorkBook_Scope and Deliverable Summary_FP_SAP_MLP v2 3" xfId="1963" xr:uid="{00000000-0005-0000-0000-000051070000}"/>
    <cellStyle name="_20061027Holux_ProgramWorkBook_Scope and Deliverable Summary_KeyDecisions" xfId="1964" xr:uid="{00000000-0005-0000-0000-000052070000}"/>
    <cellStyle name="_20061027Holux_ProgramWorkBook_Scope and Deliverable Summary_KeyDecisions 2" xfId="1965" xr:uid="{00000000-0005-0000-0000-000053070000}"/>
    <cellStyle name="_20061027Holux_ProgramWorkBook_Scope and Deliverable Summary_KeyDecisions 3" xfId="1966" xr:uid="{00000000-0005-0000-0000-000054070000}"/>
    <cellStyle name="_20061027Holux_ProgramWorkBook_Scope and Deliverable Summary_Sophia_Imp_ProjectWorkBook_02_18_2011" xfId="1967" xr:uid="{00000000-0005-0000-0000-000055070000}"/>
    <cellStyle name="_20061027Holux_ProgramWorkBook_Scope and Deliverable Summary_Sophia_Imp_ProjectWorkBook_02_18_2011 2" xfId="1968" xr:uid="{00000000-0005-0000-0000-000056070000}"/>
    <cellStyle name="_20061027Holux_ProgramWorkBook_Scope and Deliverable Summary_Sophia_Imp_ProjectWorkBook_02_18_2011 3" xfId="1969" xr:uid="{00000000-0005-0000-0000-000057070000}"/>
    <cellStyle name="_20061027Holux_ProgramWorkBook_Scope and Deliverable Summary_t" xfId="1970" xr:uid="{00000000-0005-0000-0000-000058070000}"/>
    <cellStyle name="_20061027Holux_ProgramWorkBook_Scope and Deliverable Summary_t 2" xfId="1971" xr:uid="{00000000-0005-0000-0000-000059070000}"/>
    <cellStyle name="_20061027Holux_ProgramWorkBook_Scope and Deliverable Summary_t 3" xfId="1972" xr:uid="{00000000-0005-0000-0000-00005A070000}"/>
    <cellStyle name="_20061027Holux_ProgramWorkBook_Scope and Deliverables Summary_0320" xfId="1973" xr:uid="{00000000-0005-0000-0000-00005B070000}"/>
    <cellStyle name="_20061027Holux_ProgramWorkBook_Scope and Deliverables Summary_0320 2" xfId="1974" xr:uid="{00000000-0005-0000-0000-00005C070000}"/>
    <cellStyle name="_20061027Holux_ProgramWorkBook_Scope and Deliverables Summary_0320 2 2" xfId="1975" xr:uid="{00000000-0005-0000-0000-00005D070000}"/>
    <cellStyle name="_20061027Holux_ProgramWorkBook_Scope and Deliverables Summary_0320 2 3" xfId="1976" xr:uid="{00000000-0005-0000-0000-00005E070000}"/>
    <cellStyle name="_20061027Holux_ProgramWorkBook_Scope and Deliverables Summary_0320 3" xfId="1977" xr:uid="{00000000-0005-0000-0000-00005F070000}"/>
    <cellStyle name="_20061027Holux_ProgramWorkBook_Scope and Deliverables Summary_0320 3 2" xfId="1978" xr:uid="{00000000-0005-0000-0000-000060070000}"/>
    <cellStyle name="_20061027Holux_ProgramWorkBook_Scope and Deliverables Summary_0320 3 3" xfId="1979" xr:uid="{00000000-0005-0000-0000-000061070000}"/>
    <cellStyle name="_20061027Holux_ProgramWorkBook_Scope and Deliverables Summary_0320 4" xfId="1980" xr:uid="{00000000-0005-0000-0000-000062070000}"/>
    <cellStyle name="_20061027Holux_ProgramWorkBook_Scope and Deliverables Summary_0320 5" xfId="1981" xr:uid="{00000000-0005-0000-0000-000063070000}"/>
    <cellStyle name="_20061027Holux_ProgramWorkBook_Scope and Deliverables Summary_0320_Commissioning System Implementation_Project Workbook_06_10_2011" xfId="1982" xr:uid="{00000000-0005-0000-0000-000064070000}"/>
    <cellStyle name="_20061027Holux_ProgramWorkBook_Scope and Deliverables Summary_0320_Commissioning System Implementation_Project Workbook_06_10_2011 2" xfId="1983" xr:uid="{00000000-0005-0000-0000-000065070000}"/>
    <cellStyle name="_20061027Holux_ProgramWorkBook_Scope and Deliverables Summary_0320_Commissioning System Implementation_Project Workbook_06_10_2011 3" xfId="1984" xr:uid="{00000000-0005-0000-0000-000066070000}"/>
    <cellStyle name="_20061027Holux_ProgramWorkBook_Scope and Deliverables Summary_0320_FairPoint_CampReport" xfId="1985" xr:uid="{00000000-0005-0000-0000-000067070000}"/>
    <cellStyle name="_20061027Holux_ProgramWorkBook_Scope and Deliverables Summary_0320_FairPoint_CampReport 2" xfId="1986" xr:uid="{00000000-0005-0000-0000-000068070000}"/>
    <cellStyle name="_20061027Holux_ProgramWorkBook_Scope and Deliverables Summary_0320_FairPoint_CampReport 3" xfId="1987" xr:uid="{00000000-0005-0000-0000-000069070000}"/>
    <cellStyle name="_20061027Holux_ProgramWorkBook_Scope and Deliverables Summary_0320_FairPoint_FP comTechOps_ProgramWorkbook" xfId="1988" xr:uid="{00000000-0005-0000-0000-00006A070000}"/>
    <cellStyle name="_20061027Holux_ProgramWorkBook_Scope and Deliverables Summary_0320_FairPoint_FP comTechOps_ProgramWorkbook 2" xfId="1989" xr:uid="{00000000-0005-0000-0000-00006B070000}"/>
    <cellStyle name="_20061027Holux_ProgramWorkBook_Scope and Deliverables Summary_0320_FairPoint_FP comTechOps_ProgramWorkbook 3" xfId="1990" xr:uid="{00000000-0005-0000-0000-00006C070000}"/>
    <cellStyle name="_20061027Holux_ProgramWorkBook_Scope and Deliverables Summary_0320_FairPoint_FP comTechOps_ProgramWorkbook_sachin" xfId="1991" xr:uid="{00000000-0005-0000-0000-00006D070000}"/>
    <cellStyle name="_20061027Holux_ProgramWorkBook_Scope and Deliverables Summary_0320_FairPoint_FP comTechOps_ProgramWorkbook_sachin 2" xfId="1992" xr:uid="{00000000-0005-0000-0000-00006E070000}"/>
    <cellStyle name="_20061027Holux_ProgramWorkBook_Scope and Deliverables Summary_0320_FairPoint_FP comTechOps_ProgramWorkbook_sachin 3" xfId="1993" xr:uid="{00000000-0005-0000-0000-00006F070000}"/>
    <cellStyle name="_20061027Holux_ProgramWorkBook_Scope and Deliverables Summary_0320_FairPoint_FP comTechOps_ProgramWorkbook_sachin_v1" xfId="1994" xr:uid="{00000000-0005-0000-0000-000070070000}"/>
    <cellStyle name="_20061027Holux_ProgramWorkBook_Scope and Deliverables Summary_0320_FairPoint_FP comTechOps_ProgramWorkbook_sachin_v1 2" xfId="1995" xr:uid="{00000000-0005-0000-0000-000071070000}"/>
    <cellStyle name="_20061027Holux_ProgramWorkBook_Scope and Deliverables Summary_0320_FairPoint_FP comTechOps_ProgramWorkbook_sachin_v1 3" xfId="1996" xr:uid="{00000000-0005-0000-0000-000072070000}"/>
    <cellStyle name="_20061027Holux_ProgramWorkBook_Scope and Deliverables Summary_0320_FP_CAMP&amp;ITReporting_Maintenance_Dashboard" xfId="1997" xr:uid="{00000000-0005-0000-0000-000073070000}"/>
    <cellStyle name="_20061027Holux_ProgramWorkBook_Scope and Deliverables Summary_0320_FP_CAMP&amp;ITReporting_Maintenance_Dashboard 2" xfId="1998" xr:uid="{00000000-0005-0000-0000-000074070000}"/>
    <cellStyle name="_20061027Holux_ProgramWorkBook_Scope and Deliverables Summary_0320_FP_CAMP&amp;ITReporting_Maintenance_Dashboard 3" xfId="1999" xr:uid="{00000000-0005-0000-0000-000075070000}"/>
    <cellStyle name="_20061027Holux_ProgramWorkBook_Scope and Deliverables Summary_0320_FP_CAMPITReporting_Maintenance_Dashboard" xfId="2000" xr:uid="{00000000-0005-0000-0000-000076070000}"/>
    <cellStyle name="_20061027Holux_ProgramWorkBook_Scope and Deliverables Summary_0320_FP_CAMPITReporting_Maintenance_Dashboard 2" xfId="2001" xr:uid="{00000000-0005-0000-0000-000077070000}"/>
    <cellStyle name="_20061027Holux_ProgramWorkBook_Scope and Deliverables Summary_0320_FP_CAMPITReporting_Maintenance_Dashboard 3" xfId="2002" xr:uid="{00000000-0005-0000-0000-000078070000}"/>
    <cellStyle name="_20061027Holux_ProgramWorkBook_Scope and Deliverables Summary_0320_FP_Commissions_Req_Dn_ProgramWorkBook_10-Dec-2010" xfId="2003" xr:uid="{00000000-0005-0000-0000-000079070000}"/>
    <cellStyle name="_20061027Holux_ProgramWorkBook_Scope and Deliverables Summary_0320_FP_Commissions_Req_Dn_ProgramWorkBook_10-Dec-2010 2" xfId="2004" xr:uid="{00000000-0005-0000-0000-00007A070000}"/>
    <cellStyle name="_20061027Holux_ProgramWorkBook_Scope and Deliverables Summary_0320_FP_Commissions_Req_Dn_ProgramWorkBook_10-Dec-2010 3" xfId="2005" xr:uid="{00000000-0005-0000-0000-00007B070000}"/>
    <cellStyle name="_20061027Holux_ProgramWorkBook_Scope and Deliverables Summary_0320_FP_DW_Impl_ProgramWorkBook_07-Jan-2011" xfId="2006" xr:uid="{00000000-0005-0000-0000-00007C070000}"/>
    <cellStyle name="_20061027Holux_ProgramWorkBook_Scope and Deliverables Summary_0320_FP_DW_Impl_ProgramWorkBook_07-Jan-2011 2" xfId="2007" xr:uid="{00000000-0005-0000-0000-00007D070000}"/>
    <cellStyle name="_20061027Holux_ProgramWorkBook_Scope and Deliverables Summary_0320_FP_DW_Impl_ProgramWorkBook_07-Jan-2011 2 2" xfId="2008" xr:uid="{00000000-0005-0000-0000-00007E070000}"/>
    <cellStyle name="_20061027Holux_ProgramWorkBook_Scope and Deliverables Summary_0320_FP_DW_Impl_ProgramWorkBook_07-Jan-2011 2 3" xfId="2009" xr:uid="{00000000-0005-0000-0000-00007F070000}"/>
    <cellStyle name="_20061027Holux_ProgramWorkBook_Scope and Deliverables Summary_0320_FP_DW_Impl_ProgramWorkBook_07-Jan-2011 3" xfId="2010" xr:uid="{00000000-0005-0000-0000-000080070000}"/>
    <cellStyle name="_20061027Holux_ProgramWorkBook_Scope and Deliverables Summary_0320_FP_DW_Impl_ProgramWorkBook_07-Jan-2011 4" xfId="2011" xr:uid="{00000000-0005-0000-0000-000081070000}"/>
    <cellStyle name="_20061027Holux_ProgramWorkBook_Scope and Deliverables Summary_0320_FP_DW_Impl_ProgramWorkBook_11-Feb-2011" xfId="2012" xr:uid="{00000000-0005-0000-0000-000082070000}"/>
    <cellStyle name="_20061027Holux_ProgramWorkBook_Scope and Deliverables Summary_0320_FP_DW_Impl_ProgramWorkBook_11-Feb-2011 2" xfId="2013" xr:uid="{00000000-0005-0000-0000-000083070000}"/>
    <cellStyle name="_20061027Holux_ProgramWorkBook_Scope and Deliverables Summary_0320_FP_DW_Impl_ProgramWorkBook_11-Feb-2011 3" xfId="2014" xr:uid="{00000000-0005-0000-0000-000084070000}"/>
    <cellStyle name="_20061027Holux_ProgramWorkBook_Scope and Deliverables Summary_0320_FP_DW_Impl_ProgramWorkBook_18-Feb-2011 - Working" xfId="2015" xr:uid="{00000000-0005-0000-0000-000085070000}"/>
    <cellStyle name="_20061027Holux_ProgramWorkBook_Scope and Deliverables Summary_0320_FP_DW_Impl_ProgramWorkBook_18-Feb-2011 - Working 2" xfId="2016" xr:uid="{00000000-0005-0000-0000-000086070000}"/>
    <cellStyle name="_20061027Holux_ProgramWorkBook_Scope and Deliverables Summary_0320_FP_DW_Impl_ProgramWorkBook_18-Feb-2011 - Working 3" xfId="2017" xr:uid="{00000000-0005-0000-0000-000087070000}"/>
    <cellStyle name="_20061027Holux_ProgramWorkBook_Scope and Deliverables Summary_0320_FP_EnterprisePortal_ProgramWorkbook" xfId="2018" xr:uid="{00000000-0005-0000-0000-000088070000}"/>
    <cellStyle name="_20061027Holux_ProgramWorkBook_Scope and Deliverables Summary_0320_FP_EnterprisePortal_ProgramWorkbook 2" xfId="2019" xr:uid="{00000000-0005-0000-0000-000089070000}"/>
    <cellStyle name="_20061027Holux_ProgramWorkBook_Scope and Deliverables Summary_0320_FP_EnterprisePortal_ProgramWorkbook 3" xfId="2020" xr:uid="{00000000-0005-0000-0000-00008A070000}"/>
    <cellStyle name="_20061027Holux_ProgramWorkBook_Scope and Deliverables Summary_0320_FP_SAP_MLP v2" xfId="2021" xr:uid="{00000000-0005-0000-0000-00008B070000}"/>
    <cellStyle name="_20061027Holux_ProgramWorkBook_Scope and Deliverables Summary_0320_FP_SAP_MLP v2 2" xfId="2022" xr:uid="{00000000-0005-0000-0000-00008C070000}"/>
    <cellStyle name="_20061027Holux_ProgramWorkBook_Scope and Deliverables Summary_0320_FP_SAP_MLP v2 3" xfId="2023" xr:uid="{00000000-0005-0000-0000-00008D070000}"/>
    <cellStyle name="_20061027Holux_ProgramWorkBook_Scope and Deliverables Summary_0320_KeyDecisions" xfId="2024" xr:uid="{00000000-0005-0000-0000-00008E070000}"/>
    <cellStyle name="_20061027Holux_ProgramWorkBook_Scope and Deliverables Summary_0320_KeyDecisions 2" xfId="2025" xr:uid="{00000000-0005-0000-0000-00008F070000}"/>
    <cellStyle name="_20061027Holux_ProgramWorkBook_Scope and Deliverables Summary_0320_KeyDecisions 3" xfId="2026" xr:uid="{00000000-0005-0000-0000-000090070000}"/>
    <cellStyle name="_20061027Holux_ProgramWorkBook_Scope and Deliverables Summary_0320_Sophia_Imp_ProjectWorkBook_02_18_2011" xfId="2027" xr:uid="{00000000-0005-0000-0000-000091070000}"/>
    <cellStyle name="_20061027Holux_ProgramWorkBook_Scope and Deliverables Summary_0320_Sophia_Imp_ProjectWorkBook_02_18_2011 2" xfId="2028" xr:uid="{00000000-0005-0000-0000-000092070000}"/>
    <cellStyle name="_20061027Holux_ProgramWorkBook_Scope and Deliverables Summary_0320_Sophia_Imp_ProjectWorkBook_02_18_2011 3" xfId="2029" xr:uid="{00000000-0005-0000-0000-000093070000}"/>
    <cellStyle name="_20061027Holux_ProgramWorkBook_Scope and Deliverables Summary_0320_t" xfId="2030" xr:uid="{00000000-0005-0000-0000-000094070000}"/>
    <cellStyle name="_20061027Holux_ProgramWorkBook_Scope and Deliverables Summary_0320_t 2" xfId="2031" xr:uid="{00000000-0005-0000-0000-000095070000}"/>
    <cellStyle name="_20061027Holux_ProgramWorkBook_Scope and Deliverables Summary_0320_t 3" xfId="2032" xr:uid="{00000000-0005-0000-0000-000096070000}"/>
    <cellStyle name="_20061027Holux_ProgramWorkBook_Scope and Deliverables Summary_0323" xfId="2033" xr:uid="{00000000-0005-0000-0000-000097070000}"/>
    <cellStyle name="_20061027Holux_ProgramWorkBook_Scope and Deliverables Summary_0323 2" xfId="2034" xr:uid="{00000000-0005-0000-0000-000098070000}"/>
    <cellStyle name="_20061027Holux_ProgramWorkBook_Scope and Deliverables Summary_0323 2 2" xfId="2035" xr:uid="{00000000-0005-0000-0000-000099070000}"/>
    <cellStyle name="_20061027Holux_ProgramWorkBook_Scope and Deliverables Summary_0323 2 3" xfId="2036" xr:uid="{00000000-0005-0000-0000-00009A070000}"/>
    <cellStyle name="_20061027Holux_ProgramWorkBook_Scope and Deliverables Summary_0323 3" xfId="2037" xr:uid="{00000000-0005-0000-0000-00009B070000}"/>
    <cellStyle name="_20061027Holux_ProgramWorkBook_Scope and Deliverables Summary_0323 3 2" xfId="2038" xr:uid="{00000000-0005-0000-0000-00009C070000}"/>
    <cellStyle name="_20061027Holux_ProgramWorkBook_Scope and Deliverables Summary_0323 3 3" xfId="2039" xr:uid="{00000000-0005-0000-0000-00009D070000}"/>
    <cellStyle name="_20061027Holux_ProgramWorkBook_Scope and Deliverables Summary_0323 4" xfId="2040" xr:uid="{00000000-0005-0000-0000-00009E070000}"/>
    <cellStyle name="_20061027Holux_ProgramWorkBook_Scope and Deliverables Summary_0323 5" xfId="2041" xr:uid="{00000000-0005-0000-0000-00009F070000}"/>
    <cellStyle name="_20061027Holux_ProgramWorkBook_Scope and Deliverables Summary_0323_Commissioning System Implementation_Project Workbook_06_10_2011" xfId="2042" xr:uid="{00000000-0005-0000-0000-0000A0070000}"/>
    <cellStyle name="_20061027Holux_ProgramWorkBook_Scope and Deliverables Summary_0323_Commissioning System Implementation_Project Workbook_06_10_2011 2" xfId="2043" xr:uid="{00000000-0005-0000-0000-0000A1070000}"/>
    <cellStyle name="_20061027Holux_ProgramWorkBook_Scope and Deliverables Summary_0323_Commissioning System Implementation_Project Workbook_06_10_2011 3" xfId="2044" xr:uid="{00000000-0005-0000-0000-0000A2070000}"/>
    <cellStyle name="_20061027Holux_ProgramWorkBook_Scope and Deliverables Summary_0323_FairPoint_CampReport" xfId="2045" xr:uid="{00000000-0005-0000-0000-0000A3070000}"/>
    <cellStyle name="_20061027Holux_ProgramWorkBook_Scope and Deliverables Summary_0323_FairPoint_CampReport 2" xfId="2046" xr:uid="{00000000-0005-0000-0000-0000A4070000}"/>
    <cellStyle name="_20061027Holux_ProgramWorkBook_Scope and Deliverables Summary_0323_FairPoint_CampReport 3" xfId="2047" xr:uid="{00000000-0005-0000-0000-0000A5070000}"/>
    <cellStyle name="_20061027Holux_ProgramWorkBook_Scope and Deliverables Summary_0323_FairPoint_FP comTechOps_ProgramWorkbook" xfId="2048" xr:uid="{00000000-0005-0000-0000-0000A6070000}"/>
    <cellStyle name="_20061027Holux_ProgramWorkBook_Scope and Deliverables Summary_0323_FairPoint_FP comTechOps_ProgramWorkbook 2" xfId="2049" xr:uid="{00000000-0005-0000-0000-0000A7070000}"/>
    <cellStyle name="_20061027Holux_ProgramWorkBook_Scope and Deliverables Summary_0323_FairPoint_FP comTechOps_ProgramWorkbook 3" xfId="2050" xr:uid="{00000000-0005-0000-0000-0000A8070000}"/>
    <cellStyle name="_20061027Holux_ProgramWorkBook_Scope and Deliverables Summary_0323_FairPoint_FP comTechOps_ProgramWorkbook_sachin" xfId="2051" xr:uid="{00000000-0005-0000-0000-0000A9070000}"/>
    <cellStyle name="_20061027Holux_ProgramWorkBook_Scope and Deliverables Summary_0323_FairPoint_FP comTechOps_ProgramWorkbook_sachin 2" xfId="2052" xr:uid="{00000000-0005-0000-0000-0000AA070000}"/>
    <cellStyle name="_20061027Holux_ProgramWorkBook_Scope and Deliverables Summary_0323_FairPoint_FP comTechOps_ProgramWorkbook_sachin 3" xfId="2053" xr:uid="{00000000-0005-0000-0000-0000AB070000}"/>
    <cellStyle name="_20061027Holux_ProgramWorkBook_Scope and Deliverables Summary_0323_FairPoint_FP comTechOps_ProgramWorkbook_sachin_v1" xfId="2054" xr:uid="{00000000-0005-0000-0000-0000AC070000}"/>
    <cellStyle name="_20061027Holux_ProgramWorkBook_Scope and Deliverables Summary_0323_FairPoint_FP comTechOps_ProgramWorkbook_sachin_v1 2" xfId="2055" xr:uid="{00000000-0005-0000-0000-0000AD070000}"/>
    <cellStyle name="_20061027Holux_ProgramWorkBook_Scope and Deliverables Summary_0323_FairPoint_FP comTechOps_ProgramWorkbook_sachin_v1 3" xfId="2056" xr:uid="{00000000-0005-0000-0000-0000AE070000}"/>
    <cellStyle name="_20061027Holux_ProgramWorkBook_Scope and Deliverables Summary_0323_FP_CAMP&amp;ITReporting_Maintenance_Dashboard" xfId="2057" xr:uid="{00000000-0005-0000-0000-0000AF070000}"/>
    <cellStyle name="_20061027Holux_ProgramWorkBook_Scope and Deliverables Summary_0323_FP_CAMP&amp;ITReporting_Maintenance_Dashboard 2" xfId="2058" xr:uid="{00000000-0005-0000-0000-0000B0070000}"/>
    <cellStyle name="_20061027Holux_ProgramWorkBook_Scope and Deliverables Summary_0323_FP_CAMP&amp;ITReporting_Maintenance_Dashboard 3" xfId="2059" xr:uid="{00000000-0005-0000-0000-0000B1070000}"/>
    <cellStyle name="_20061027Holux_ProgramWorkBook_Scope and Deliverables Summary_0323_FP_CAMPITReporting_Maintenance_Dashboard" xfId="2060" xr:uid="{00000000-0005-0000-0000-0000B2070000}"/>
    <cellStyle name="_20061027Holux_ProgramWorkBook_Scope and Deliverables Summary_0323_FP_CAMPITReporting_Maintenance_Dashboard 2" xfId="2061" xr:uid="{00000000-0005-0000-0000-0000B3070000}"/>
    <cellStyle name="_20061027Holux_ProgramWorkBook_Scope and Deliverables Summary_0323_FP_CAMPITReporting_Maintenance_Dashboard 3" xfId="2062" xr:uid="{00000000-0005-0000-0000-0000B4070000}"/>
    <cellStyle name="_20061027Holux_ProgramWorkBook_Scope and Deliverables Summary_0323_FP_Commissions_Req_Dn_ProgramWorkBook_10-Dec-2010" xfId="2063" xr:uid="{00000000-0005-0000-0000-0000B5070000}"/>
    <cellStyle name="_20061027Holux_ProgramWorkBook_Scope and Deliverables Summary_0323_FP_Commissions_Req_Dn_ProgramWorkBook_10-Dec-2010 2" xfId="2064" xr:uid="{00000000-0005-0000-0000-0000B6070000}"/>
    <cellStyle name="_20061027Holux_ProgramWorkBook_Scope and Deliverables Summary_0323_FP_Commissions_Req_Dn_ProgramWorkBook_10-Dec-2010 3" xfId="2065" xr:uid="{00000000-0005-0000-0000-0000B7070000}"/>
    <cellStyle name="_20061027Holux_ProgramWorkBook_Scope and Deliverables Summary_0323_FP_DW_Impl_ProgramWorkBook_07-Jan-2011" xfId="2066" xr:uid="{00000000-0005-0000-0000-0000B8070000}"/>
    <cellStyle name="_20061027Holux_ProgramWorkBook_Scope and Deliverables Summary_0323_FP_DW_Impl_ProgramWorkBook_07-Jan-2011 2" xfId="2067" xr:uid="{00000000-0005-0000-0000-0000B9070000}"/>
    <cellStyle name="_20061027Holux_ProgramWorkBook_Scope and Deliverables Summary_0323_FP_DW_Impl_ProgramWorkBook_07-Jan-2011 2 2" xfId="2068" xr:uid="{00000000-0005-0000-0000-0000BA070000}"/>
    <cellStyle name="_20061027Holux_ProgramWorkBook_Scope and Deliverables Summary_0323_FP_DW_Impl_ProgramWorkBook_07-Jan-2011 2 3" xfId="2069" xr:uid="{00000000-0005-0000-0000-0000BB070000}"/>
    <cellStyle name="_20061027Holux_ProgramWorkBook_Scope and Deliverables Summary_0323_FP_DW_Impl_ProgramWorkBook_07-Jan-2011 3" xfId="2070" xr:uid="{00000000-0005-0000-0000-0000BC070000}"/>
    <cellStyle name="_20061027Holux_ProgramWorkBook_Scope and Deliverables Summary_0323_FP_DW_Impl_ProgramWorkBook_07-Jan-2011 4" xfId="2071" xr:uid="{00000000-0005-0000-0000-0000BD070000}"/>
    <cellStyle name="_20061027Holux_ProgramWorkBook_Scope and Deliverables Summary_0323_FP_DW_Impl_ProgramWorkBook_11-Feb-2011" xfId="2072" xr:uid="{00000000-0005-0000-0000-0000BE070000}"/>
    <cellStyle name="_20061027Holux_ProgramWorkBook_Scope and Deliverables Summary_0323_FP_DW_Impl_ProgramWorkBook_11-Feb-2011 2" xfId="2073" xr:uid="{00000000-0005-0000-0000-0000BF070000}"/>
    <cellStyle name="_20061027Holux_ProgramWorkBook_Scope and Deliverables Summary_0323_FP_DW_Impl_ProgramWorkBook_11-Feb-2011 3" xfId="2074" xr:uid="{00000000-0005-0000-0000-0000C0070000}"/>
    <cellStyle name="_20061027Holux_ProgramWorkBook_Scope and Deliverables Summary_0323_FP_DW_Impl_ProgramWorkBook_18-Feb-2011 - Working" xfId="2075" xr:uid="{00000000-0005-0000-0000-0000C1070000}"/>
    <cellStyle name="_20061027Holux_ProgramWorkBook_Scope and Deliverables Summary_0323_FP_DW_Impl_ProgramWorkBook_18-Feb-2011 - Working 2" xfId="2076" xr:uid="{00000000-0005-0000-0000-0000C2070000}"/>
    <cellStyle name="_20061027Holux_ProgramWorkBook_Scope and Deliverables Summary_0323_FP_DW_Impl_ProgramWorkBook_18-Feb-2011 - Working 3" xfId="2077" xr:uid="{00000000-0005-0000-0000-0000C3070000}"/>
    <cellStyle name="_20061027Holux_ProgramWorkBook_Scope and Deliverables Summary_0323_FP_EnterprisePortal_ProgramWorkbook" xfId="2078" xr:uid="{00000000-0005-0000-0000-0000C4070000}"/>
    <cellStyle name="_20061027Holux_ProgramWorkBook_Scope and Deliverables Summary_0323_FP_EnterprisePortal_ProgramWorkbook 2" xfId="2079" xr:uid="{00000000-0005-0000-0000-0000C5070000}"/>
    <cellStyle name="_20061027Holux_ProgramWorkBook_Scope and Deliverables Summary_0323_FP_EnterprisePortal_ProgramWorkbook 3" xfId="2080" xr:uid="{00000000-0005-0000-0000-0000C6070000}"/>
    <cellStyle name="_20061027Holux_ProgramWorkBook_Scope and Deliverables Summary_0323_FP_SAP_MLP v2" xfId="2081" xr:uid="{00000000-0005-0000-0000-0000C7070000}"/>
    <cellStyle name="_20061027Holux_ProgramWorkBook_Scope and Deliverables Summary_0323_FP_SAP_MLP v2 2" xfId="2082" xr:uid="{00000000-0005-0000-0000-0000C8070000}"/>
    <cellStyle name="_20061027Holux_ProgramWorkBook_Scope and Deliverables Summary_0323_FP_SAP_MLP v2 3" xfId="2083" xr:uid="{00000000-0005-0000-0000-0000C9070000}"/>
    <cellStyle name="_20061027Holux_ProgramWorkBook_Scope and Deliverables Summary_0323_KeyDecisions" xfId="2084" xr:uid="{00000000-0005-0000-0000-0000CA070000}"/>
    <cellStyle name="_20061027Holux_ProgramWorkBook_Scope and Deliverables Summary_0323_KeyDecisions 2" xfId="2085" xr:uid="{00000000-0005-0000-0000-0000CB070000}"/>
    <cellStyle name="_20061027Holux_ProgramWorkBook_Scope and Deliverables Summary_0323_KeyDecisions 3" xfId="2086" xr:uid="{00000000-0005-0000-0000-0000CC070000}"/>
    <cellStyle name="_20061027Holux_ProgramWorkBook_Scope and Deliverables Summary_0323_Sophia_Imp_ProjectWorkBook_02_18_2011" xfId="2087" xr:uid="{00000000-0005-0000-0000-0000CD070000}"/>
    <cellStyle name="_20061027Holux_ProgramWorkBook_Scope and Deliverables Summary_0323_Sophia_Imp_ProjectWorkBook_02_18_2011 2" xfId="2088" xr:uid="{00000000-0005-0000-0000-0000CE070000}"/>
    <cellStyle name="_20061027Holux_ProgramWorkBook_Scope and Deliverables Summary_0323_Sophia_Imp_ProjectWorkBook_02_18_2011 3" xfId="2089" xr:uid="{00000000-0005-0000-0000-0000CF070000}"/>
    <cellStyle name="_20061027Holux_ProgramWorkBook_Scope and Deliverables Summary_0323_t" xfId="2090" xr:uid="{00000000-0005-0000-0000-0000D0070000}"/>
    <cellStyle name="_20061027Holux_ProgramWorkBook_Scope and Deliverables Summary_0323_t 2" xfId="2091" xr:uid="{00000000-0005-0000-0000-0000D1070000}"/>
    <cellStyle name="_20061027Holux_ProgramWorkBook_Scope and Deliverables Summary_0323_t 3" xfId="2092" xr:uid="{00000000-0005-0000-0000-0000D2070000}"/>
    <cellStyle name="_20061027Holux_ProgramWorkBook_Scope and Deliverables Summary_CMS_0609" xfId="2093" xr:uid="{00000000-0005-0000-0000-0000D3070000}"/>
    <cellStyle name="_20061027Holux_ProgramWorkBook_Scope and Deliverables Summary_CMS_0609 2" xfId="2094" xr:uid="{00000000-0005-0000-0000-0000D4070000}"/>
    <cellStyle name="_20061027Holux_ProgramWorkBook_Scope and Deliverables Summary_CMS_0609 2 2" xfId="2095" xr:uid="{00000000-0005-0000-0000-0000D5070000}"/>
    <cellStyle name="_20061027Holux_ProgramWorkBook_Scope and Deliverables Summary_CMS_0609 2 3" xfId="2096" xr:uid="{00000000-0005-0000-0000-0000D6070000}"/>
    <cellStyle name="_20061027Holux_ProgramWorkBook_Scope and Deliverables Summary_CMS_0609 3" xfId="2097" xr:uid="{00000000-0005-0000-0000-0000D7070000}"/>
    <cellStyle name="_20061027Holux_ProgramWorkBook_Scope and Deliverables Summary_CMS_0609 3 2" xfId="2098" xr:uid="{00000000-0005-0000-0000-0000D8070000}"/>
    <cellStyle name="_20061027Holux_ProgramWorkBook_Scope and Deliverables Summary_CMS_0609 3 3" xfId="2099" xr:uid="{00000000-0005-0000-0000-0000D9070000}"/>
    <cellStyle name="_20061027Holux_ProgramWorkBook_Scope and Deliverables Summary_CMS_0609 4" xfId="2100" xr:uid="{00000000-0005-0000-0000-0000DA070000}"/>
    <cellStyle name="_20061027Holux_ProgramWorkBook_Scope and Deliverables Summary_CMS_0609 5" xfId="2101" xr:uid="{00000000-0005-0000-0000-0000DB070000}"/>
    <cellStyle name="_20061027Holux_ProgramWorkBook_Scope and Deliverables Summary_CMS_0609_Commissioning System Implementation_Project Workbook_06_10_2011" xfId="2102" xr:uid="{00000000-0005-0000-0000-0000DC070000}"/>
    <cellStyle name="_20061027Holux_ProgramWorkBook_Scope and Deliverables Summary_CMS_0609_Commissioning System Implementation_Project Workbook_06_10_2011 2" xfId="2103" xr:uid="{00000000-0005-0000-0000-0000DD070000}"/>
    <cellStyle name="_20061027Holux_ProgramWorkBook_Scope and Deliverables Summary_CMS_0609_Commissioning System Implementation_Project Workbook_06_10_2011 3" xfId="2104" xr:uid="{00000000-0005-0000-0000-0000DE070000}"/>
    <cellStyle name="_20061027Holux_ProgramWorkBook_Scope and Deliverables Summary_CMS_0609_FairPoint_CampReport" xfId="2105" xr:uid="{00000000-0005-0000-0000-0000DF070000}"/>
    <cellStyle name="_20061027Holux_ProgramWorkBook_Scope and Deliverables Summary_CMS_0609_FairPoint_CampReport 2" xfId="2106" xr:uid="{00000000-0005-0000-0000-0000E0070000}"/>
    <cellStyle name="_20061027Holux_ProgramWorkBook_Scope and Deliverables Summary_CMS_0609_FairPoint_CampReport 3" xfId="2107" xr:uid="{00000000-0005-0000-0000-0000E1070000}"/>
    <cellStyle name="_20061027Holux_ProgramWorkBook_Scope and Deliverables Summary_CMS_0609_FairPoint_FP comTechOps_ProgramWorkbook" xfId="2108" xr:uid="{00000000-0005-0000-0000-0000E2070000}"/>
    <cellStyle name="_20061027Holux_ProgramWorkBook_Scope and Deliverables Summary_CMS_0609_FairPoint_FP comTechOps_ProgramWorkbook 2" xfId="2109" xr:uid="{00000000-0005-0000-0000-0000E3070000}"/>
    <cellStyle name="_20061027Holux_ProgramWorkBook_Scope and Deliverables Summary_CMS_0609_FairPoint_FP comTechOps_ProgramWorkbook 3" xfId="2110" xr:uid="{00000000-0005-0000-0000-0000E4070000}"/>
    <cellStyle name="_20061027Holux_ProgramWorkBook_Scope and Deliverables Summary_CMS_0609_FairPoint_FP comTechOps_ProgramWorkbook_sachin" xfId="2111" xr:uid="{00000000-0005-0000-0000-0000E5070000}"/>
    <cellStyle name="_20061027Holux_ProgramWorkBook_Scope and Deliverables Summary_CMS_0609_FairPoint_FP comTechOps_ProgramWorkbook_sachin 2" xfId="2112" xr:uid="{00000000-0005-0000-0000-0000E6070000}"/>
    <cellStyle name="_20061027Holux_ProgramWorkBook_Scope and Deliverables Summary_CMS_0609_FairPoint_FP comTechOps_ProgramWorkbook_sachin 3" xfId="2113" xr:uid="{00000000-0005-0000-0000-0000E7070000}"/>
    <cellStyle name="_20061027Holux_ProgramWorkBook_Scope and Deliverables Summary_CMS_0609_FairPoint_FP comTechOps_ProgramWorkbook_sachin_v1" xfId="2114" xr:uid="{00000000-0005-0000-0000-0000E8070000}"/>
    <cellStyle name="_20061027Holux_ProgramWorkBook_Scope and Deliverables Summary_CMS_0609_FairPoint_FP comTechOps_ProgramWorkbook_sachin_v1 2" xfId="2115" xr:uid="{00000000-0005-0000-0000-0000E9070000}"/>
    <cellStyle name="_20061027Holux_ProgramWorkBook_Scope and Deliverables Summary_CMS_0609_FairPoint_FP comTechOps_ProgramWorkbook_sachin_v1 3" xfId="2116" xr:uid="{00000000-0005-0000-0000-0000EA070000}"/>
    <cellStyle name="_20061027Holux_ProgramWorkBook_Scope and Deliverables Summary_CMS_0609_FP_CAMP&amp;ITReporting_Maintenance_Dashboard" xfId="2117" xr:uid="{00000000-0005-0000-0000-0000EB070000}"/>
    <cellStyle name="_20061027Holux_ProgramWorkBook_Scope and Deliverables Summary_CMS_0609_FP_CAMP&amp;ITReporting_Maintenance_Dashboard 2" xfId="2118" xr:uid="{00000000-0005-0000-0000-0000EC070000}"/>
    <cellStyle name="_20061027Holux_ProgramWorkBook_Scope and Deliverables Summary_CMS_0609_FP_CAMP&amp;ITReporting_Maintenance_Dashboard 3" xfId="2119" xr:uid="{00000000-0005-0000-0000-0000ED070000}"/>
    <cellStyle name="_20061027Holux_ProgramWorkBook_Scope and Deliverables Summary_CMS_0609_FP_CAMPITReporting_Maintenance_Dashboard" xfId="2120" xr:uid="{00000000-0005-0000-0000-0000EE070000}"/>
    <cellStyle name="_20061027Holux_ProgramWorkBook_Scope and Deliverables Summary_CMS_0609_FP_CAMPITReporting_Maintenance_Dashboard 2" xfId="2121" xr:uid="{00000000-0005-0000-0000-0000EF070000}"/>
    <cellStyle name="_20061027Holux_ProgramWorkBook_Scope and Deliverables Summary_CMS_0609_FP_CAMPITReporting_Maintenance_Dashboard 3" xfId="2122" xr:uid="{00000000-0005-0000-0000-0000F0070000}"/>
    <cellStyle name="_20061027Holux_ProgramWorkBook_Scope and Deliverables Summary_CMS_0609_FP_Commissions_Req_Dn_ProgramWorkBook_10-Dec-2010" xfId="2123" xr:uid="{00000000-0005-0000-0000-0000F1070000}"/>
    <cellStyle name="_20061027Holux_ProgramWorkBook_Scope and Deliverables Summary_CMS_0609_FP_Commissions_Req_Dn_ProgramWorkBook_10-Dec-2010 2" xfId="2124" xr:uid="{00000000-0005-0000-0000-0000F2070000}"/>
    <cellStyle name="_20061027Holux_ProgramWorkBook_Scope and Deliverables Summary_CMS_0609_FP_Commissions_Req_Dn_ProgramWorkBook_10-Dec-2010 3" xfId="2125" xr:uid="{00000000-0005-0000-0000-0000F3070000}"/>
    <cellStyle name="_20061027Holux_ProgramWorkBook_Scope and Deliverables Summary_CMS_0609_FP_DW_Impl_ProgramWorkBook_07-Jan-2011" xfId="2126" xr:uid="{00000000-0005-0000-0000-0000F4070000}"/>
    <cellStyle name="_20061027Holux_ProgramWorkBook_Scope and Deliverables Summary_CMS_0609_FP_DW_Impl_ProgramWorkBook_07-Jan-2011 2" xfId="2127" xr:uid="{00000000-0005-0000-0000-0000F5070000}"/>
    <cellStyle name="_20061027Holux_ProgramWorkBook_Scope and Deliverables Summary_CMS_0609_FP_DW_Impl_ProgramWorkBook_07-Jan-2011 2 2" xfId="2128" xr:uid="{00000000-0005-0000-0000-0000F6070000}"/>
    <cellStyle name="_20061027Holux_ProgramWorkBook_Scope and Deliverables Summary_CMS_0609_FP_DW_Impl_ProgramWorkBook_07-Jan-2011 2 3" xfId="2129" xr:uid="{00000000-0005-0000-0000-0000F7070000}"/>
    <cellStyle name="_20061027Holux_ProgramWorkBook_Scope and Deliverables Summary_CMS_0609_FP_DW_Impl_ProgramWorkBook_07-Jan-2011 3" xfId="2130" xr:uid="{00000000-0005-0000-0000-0000F8070000}"/>
    <cellStyle name="_20061027Holux_ProgramWorkBook_Scope and Deliverables Summary_CMS_0609_FP_DW_Impl_ProgramWorkBook_07-Jan-2011 4" xfId="2131" xr:uid="{00000000-0005-0000-0000-0000F9070000}"/>
    <cellStyle name="_20061027Holux_ProgramWorkBook_Scope and Deliverables Summary_CMS_0609_FP_DW_Impl_ProgramWorkBook_11-Feb-2011" xfId="2132" xr:uid="{00000000-0005-0000-0000-0000FA070000}"/>
    <cellStyle name="_20061027Holux_ProgramWorkBook_Scope and Deliverables Summary_CMS_0609_FP_DW_Impl_ProgramWorkBook_11-Feb-2011 2" xfId="2133" xr:uid="{00000000-0005-0000-0000-0000FB070000}"/>
    <cellStyle name="_20061027Holux_ProgramWorkBook_Scope and Deliverables Summary_CMS_0609_FP_DW_Impl_ProgramWorkBook_11-Feb-2011 3" xfId="2134" xr:uid="{00000000-0005-0000-0000-0000FC070000}"/>
    <cellStyle name="_20061027Holux_ProgramWorkBook_Scope and Deliverables Summary_CMS_0609_FP_DW_Impl_ProgramWorkBook_18-Feb-2011 - Working" xfId="2135" xr:uid="{00000000-0005-0000-0000-0000FD070000}"/>
    <cellStyle name="_20061027Holux_ProgramWorkBook_Scope and Deliverables Summary_CMS_0609_FP_DW_Impl_ProgramWorkBook_18-Feb-2011 - Working 2" xfId="2136" xr:uid="{00000000-0005-0000-0000-0000FE070000}"/>
    <cellStyle name="_20061027Holux_ProgramWorkBook_Scope and Deliverables Summary_CMS_0609_FP_DW_Impl_ProgramWorkBook_18-Feb-2011 - Working 3" xfId="2137" xr:uid="{00000000-0005-0000-0000-0000FF070000}"/>
    <cellStyle name="_20061027Holux_ProgramWorkBook_Scope and Deliverables Summary_CMS_0609_FP_EnterprisePortal_ProgramWorkbook" xfId="2138" xr:uid="{00000000-0005-0000-0000-000000080000}"/>
    <cellStyle name="_20061027Holux_ProgramWorkBook_Scope and Deliverables Summary_CMS_0609_FP_EnterprisePortal_ProgramWorkbook 2" xfId="2139" xr:uid="{00000000-0005-0000-0000-000001080000}"/>
    <cellStyle name="_20061027Holux_ProgramWorkBook_Scope and Deliverables Summary_CMS_0609_FP_EnterprisePortal_ProgramWorkbook 3" xfId="2140" xr:uid="{00000000-0005-0000-0000-000002080000}"/>
    <cellStyle name="_20061027Holux_ProgramWorkBook_Scope and Deliverables Summary_CMS_0609_FP_SAP_MLP v2" xfId="2141" xr:uid="{00000000-0005-0000-0000-000003080000}"/>
    <cellStyle name="_20061027Holux_ProgramWorkBook_Scope and Deliverables Summary_CMS_0609_FP_SAP_MLP v2 2" xfId="2142" xr:uid="{00000000-0005-0000-0000-000004080000}"/>
    <cellStyle name="_20061027Holux_ProgramWorkBook_Scope and Deliverables Summary_CMS_0609_FP_SAP_MLP v2 3" xfId="2143" xr:uid="{00000000-0005-0000-0000-000005080000}"/>
    <cellStyle name="_20061027Holux_ProgramWorkBook_Scope and Deliverables Summary_CMS_0609_KeyDecisions" xfId="2144" xr:uid="{00000000-0005-0000-0000-000006080000}"/>
    <cellStyle name="_20061027Holux_ProgramWorkBook_Scope and Deliverables Summary_CMS_0609_KeyDecisions 2" xfId="2145" xr:uid="{00000000-0005-0000-0000-000007080000}"/>
    <cellStyle name="_20061027Holux_ProgramWorkBook_Scope and Deliverables Summary_CMS_0609_KeyDecisions 3" xfId="2146" xr:uid="{00000000-0005-0000-0000-000008080000}"/>
    <cellStyle name="_20061027Holux_ProgramWorkBook_Scope and Deliverables Summary_CMS_0609_Sophia_Imp_ProjectWorkBook_02_18_2011" xfId="2147" xr:uid="{00000000-0005-0000-0000-000009080000}"/>
    <cellStyle name="_20061027Holux_ProgramWorkBook_Scope and Deliverables Summary_CMS_0609_Sophia_Imp_ProjectWorkBook_02_18_2011 2" xfId="2148" xr:uid="{00000000-0005-0000-0000-00000A080000}"/>
    <cellStyle name="_20061027Holux_ProgramWorkBook_Scope and Deliverables Summary_CMS_0609_Sophia_Imp_ProjectWorkBook_02_18_2011 3" xfId="2149" xr:uid="{00000000-0005-0000-0000-00000B080000}"/>
    <cellStyle name="_20061027Holux_ProgramWorkBook_Scope and Deliverables Summary_CMS_0609_t" xfId="2150" xr:uid="{00000000-0005-0000-0000-00000C080000}"/>
    <cellStyle name="_20061027Holux_ProgramWorkBook_Scope and Deliverables Summary_CMS_0609_t 2" xfId="2151" xr:uid="{00000000-0005-0000-0000-00000D080000}"/>
    <cellStyle name="_20061027Holux_ProgramWorkBook_Scope and Deliverables Summary_CMS_0609_t 3" xfId="2152" xr:uid="{00000000-0005-0000-0000-00000E080000}"/>
    <cellStyle name="_20061027Holux_ProgramWorkBook_SLM -CMS &amp; Storefront PM Workbook" xfId="2153" xr:uid="{00000000-0005-0000-0000-00000F080000}"/>
    <cellStyle name="_20061027Holux_ProgramWorkBook_SLM -CMS &amp; Storefront PM Workbook 2" xfId="2154" xr:uid="{00000000-0005-0000-0000-000010080000}"/>
    <cellStyle name="_20061027Holux_ProgramWorkBook_SLM -CMS &amp; Storefront PM Workbook 2 2" xfId="2155" xr:uid="{00000000-0005-0000-0000-000011080000}"/>
    <cellStyle name="_20061027Holux_ProgramWorkBook_SLM -CMS &amp; Storefront PM Workbook 2 3" xfId="2156" xr:uid="{00000000-0005-0000-0000-000012080000}"/>
    <cellStyle name="_20061027Holux_ProgramWorkBook_SLM -CMS &amp; Storefront PM Workbook 3" xfId="2157" xr:uid="{00000000-0005-0000-0000-000013080000}"/>
    <cellStyle name="_20061027Holux_ProgramWorkBook_SLM -CMS &amp; Storefront PM Workbook 3 2" xfId="2158" xr:uid="{00000000-0005-0000-0000-000014080000}"/>
    <cellStyle name="_20061027Holux_ProgramWorkBook_SLM -CMS &amp; Storefront PM Workbook 3 3" xfId="2159" xr:uid="{00000000-0005-0000-0000-000015080000}"/>
    <cellStyle name="_20061027Holux_ProgramWorkBook_SLM -CMS &amp; Storefront PM Workbook 4" xfId="2160" xr:uid="{00000000-0005-0000-0000-000016080000}"/>
    <cellStyle name="_20061027Holux_ProgramWorkBook_SLM -CMS &amp; Storefront PM Workbook 5" xfId="2161" xr:uid="{00000000-0005-0000-0000-000017080000}"/>
    <cellStyle name="_20061027Holux_ProgramWorkBook_SLM -CMS &amp; Storefront PM Workbook_Commissioning System Implementation_Project Workbook_06_10_2011" xfId="2162" xr:uid="{00000000-0005-0000-0000-000018080000}"/>
    <cellStyle name="_20061027Holux_ProgramWorkBook_SLM -CMS &amp; Storefront PM Workbook_Commissioning System Implementation_Project Workbook_06_10_2011 2" xfId="2163" xr:uid="{00000000-0005-0000-0000-000019080000}"/>
    <cellStyle name="_20061027Holux_ProgramWorkBook_SLM -CMS &amp; Storefront PM Workbook_Commissioning System Implementation_Project Workbook_06_10_2011 3" xfId="2164" xr:uid="{00000000-0005-0000-0000-00001A080000}"/>
    <cellStyle name="_20061027Holux_ProgramWorkBook_SLM -CMS &amp; Storefront PM Workbook_FairPoint_CampReport" xfId="2165" xr:uid="{00000000-0005-0000-0000-00001B080000}"/>
    <cellStyle name="_20061027Holux_ProgramWorkBook_SLM -CMS &amp; Storefront PM Workbook_FairPoint_CampReport 2" xfId="2166" xr:uid="{00000000-0005-0000-0000-00001C080000}"/>
    <cellStyle name="_20061027Holux_ProgramWorkBook_SLM -CMS &amp; Storefront PM Workbook_FairPoint_CampReport 3" xfId="2167" xr:uid="{00000000-0005-0000-0000-00001D080000}"/>
    <cellStyle name="_20061027Holux_ProgramWorkBook_SLM -CMS &amp; Storefront PM Workbook_FairPoint_FP comTechOps_ProgramWorkbook" xfId="2168" xr:uid="{00000000-0005-0000-0000-00001E080000}"/>
    <cellStyle name="_20061027Holux_ProgramWorkBook_SLM -CMS &amp; Storefront PM Workbook_FairPoint_FP comTechOps_ProgramWorkbook 2" xfId="2169" xr:uid="{00000000-0005-0000-0000-00001F080000}"/>
    <cellStyle name="_20061027Holux_ProgramWorkBook_SLM -CMS &amp; Storefront PM Workbook_FairPoint_FP comTechOps_ProgramWorkbook 3" xfId="2170" xr:uid="{00000000-0005-0000-0000-000020080000}"/>
    <cellStyle name="_20061027Holux_ProgramWorkBook_SLM -CMS &amp; Storefront PM Workbook_FairPoint_FP comTechOps_ProgramWorkbook_sachin" xfId="2171" xr:uid="{00000000-0005-0000-0000-000021080000}"/>
    <cellStyle name="_20061027Holux_ProgramWorkBook_SLM -CMS &amp; Storefront PM Workbook_FairPoint_FP comTechOps_ProgramWorkbook_sachin 2" xfId="2172" xr:uid="{00000000-0005-0000-0000-000022080000}"/>
    <cellStyle name="_20061027Holux_ProgramWorkBook_SLM -CMS &amp; Storefront PM Workbook_FairPoint_FP comTechOps_ProgramWorkbook_sachin 3" xfId="2173" xr:uid="{00000000-0005-0000-0000-000023080000}"/>
    <cellStyle name="_20061027Holux_ProgramWorkBook_SLM -CMS &amp; Storefront PM Workbook_FairPoint_FP comTechOps_ProgramWorkbook_sachin_v1" xfId="2174" xr:uid="{00000000-0005-0000-0000-000024080000}"/>
    <cellStyle name="_20061027Holux_ProgramWorkBook_SLM -CMS &amp; Storefront PM Workbook_FairPoint_FP comTechOps_ProgramWorkbook_sachin_v1 2" xfId="2175" xr:uid="{00000000-0005-0000-0000-000025080000}"/>
    <cellStyle name="_20061027Holux_ProgramWorkBook_SLM -CMS &amp; Storefront PM Workbook_FairPoint_FP comTechOps_ProgramWorkbook_sachin_v1 3" xfId="2176" xr:uid="{00000000-0005-0000-0000-000026080000}"/>
    <cellStyle name="_20061027Holux_ProgramWorkBook_SLM -CMS &amp; Storefront PM Workbook_FP_CAMP&amp;ITReporting_Maintenance_Dashboard" xfId="2177" xr:uid="{00000000-0005-0000-0000-000027080000}"/>
    <cellStyle name="_20061027Holux_ProgramWorkBook_SLM -CMS &amp; Storefront PM Workbook_FP_CAMP&amp;ITReporting_Maintenance_Dashboard 2" xfId="2178" xr:uid="{00000000-0005-0000-0000-000028080000}"/>
    <cellStyle name="_20061027Holux_ProgramWorkBook_SLM -CMS &amp; Storefront PM Workbook_FP_CAMP&amp;ITReporting_Maintenance_Dashboard 3" xfId="2179" xr:uid="{00000000-0005-0000-0000-000029080000}"/>
    <cellStyle name="_20061027Holux_ProgramWorkBook_SLM -CMS &amp; Storefront PM Workbook_FP_CAMPITReporting_Maintenance_Dashboard" xfId="2180" xr:uid="{00000000-0005-0000-0000-00002A080000}"/>
    <cellStyle name="_20061027Holux_ProgramWorkBook_SLM -CMS &amp; Storefront PM Workbook_FP_CAMPITReporting_Maintenance_Dashboard 2" xfId="2181" xr:uid="{00000000-0005-0000-0000-00002B080000}"/>
    <cellStyle name="_20061027Holux_ProgramWorkBook_SLM -CMS &amp; Storefront PM Workbook_FP_CAMPITReporting_Maintenance_Dashboard 3" xfId="2182" xr:uid="{00000000-0005-0000-0000-00002C080000}"/>
    <cellStyle name="_20061027Holux_ProgramWorkBook_SLM -CMS &amp; Storefront PM Workbook_FP_Commissions_Req_Dn_ProgramWorkBook_10-Dec-2010" xfId="2183" xr:uid="{00000000-0005-0000-0000-00002D080000}"/>
    <cellStyle name="_20061027Holux_ProgramWorkBook_SLM -CMS &amp; Storefront PM Workbook_FP_Commissions_Req_Dn_ProgramWorkBook_10-Dec-2010 2" xfId="2184" xr:uid="{00000000-0005-0000-0000-00002E080000}"/>
    <cellStyle name="_20061027Holux_ProgramWorkBook_SLM -CMS &amp; Storefront PM Workbook_FP_Commissions_Req_Dn_ProgramWorkBook_10-Dec-2010 3" xfId="2185" xr:uid="{00000000-0005-0000-0000-00002F080000}"/>
    <cellStyle name="_20061027Holux_ProgramWorkBook_SLM -CMS &amp; Storefront PM Workbook_FP_DW_Impl_ProgramWorkBook_07-Jan-2011" xfId="2186" xr:uid="{00000000-0005-0000-0000-000030080000}"/>
    <cellStyle name="_20061027Holux_ProgramWorkBook_SLM -CMS &amp; Storefront PM Workbook_FP_DW_Impl_ProgramWorkBook_07-Jan-2011 2" xfId="2187" xr:uid="{00000000-0005-0000-0000-000031080000}"/>
    <cellStyle name="_20061027Holux_ProgramWorkBook_SLM -CMS &amp; Storefront PM Workbook_FP_DW_Impl_ProgramWorkBook_07-Jan-2011 2 2" xfId="2188" xr:uid="{00000000-0005-0000-0000-000032080000}"/>
    <cellStyle name="_20061027Holux_ProgramWorkBook_SLM -CMS &amp; Storefront PM Workbook_FP_DW_Impl_ProgramWorkBook_07-Jan-2011 2 3" xfId="2189" xr:uid="{00000000-0005-0000-0000-000033080000}"/>
    <cellStyle name="_20061027Holux_ProgramWorkBook_SLM -CMS &amp; Storefront PM Workbook_FP_DW_Impl_ProgramWorkBook_07-Jan-2011 3" xfId="2190" xr:uid="{00000000-0005-0000-0000-000034080000}"/>
    <cellStyle name="_20061027Holux_ProgramWorkBook_SLM -CMS &amp; Storefront PM Workbook_FP_DW_Impl_ProgramWorkBook_07-Jan-2011 4" xfId="2191" xr:uid="{00000000-0005-0000-0000-000035080000}"/>
    <cellStyle name="_20061027Holux_ProgramWorkBook_SLM -CMS &amp; Storefront PM Workbook_FP_DW_Impl_ProgramWorkBook_11-Feb-2011" xfId="2192" xr:uid="{00000000-0005-0000-0000-000036080000}"/>
    <cellStyle name="_20061027Holux_ProgramWorkBook_SLM -CMS &amp; Storefront PM Workbook_FP_DW_Impl_ProgramWorkBook_11-Feb-2011 2" xfId="2193" xr:uid="{00000000-0005-0000-0000-000037080000}"/>
    <cellStyle name="_20061027Holux_ProgramWorkBook_SLM -CMS &amp; Storefront PM Workbook_FP_DW_Impl_ProgramWorkBook_11-Feb-2011 3" xfId="2194" xr:uid="{00000000-0005-0000-0000-000038080000}"/>
    <cellStyle name="_20061027Holux_ProgramWorkBook_SLM -CMS &amp; Storefront PM Workbook_FP_DW_Impl_ProgramWorkBook_18-Feb-2011 - Working" xfId="2195" xr:uid="{00000000-0005-0000-0000-000039080000}"/>
    <cellStyle name="_20061027Holux_ProgramWorkBook_SLM -CMS &amp; Storefront PM Workbook_FP_DW_Impl_ProgramWorkBook_18-Feb-2011 - Working 2" xfId="2196" xr:uid="{00000000-0005-0000-0000-00003A080000}"/>
    <cellStyle name="_20061027Holux_ProgramWorkBook_SLM -CMS &amp; Storefront PM Workbook_FP_DW_Impl_ProgramWorkBook_18-Feb-2011 - Working 3" xfId="2197" xr:uid="{00000000-0005-0000-0000-00003B080000}"/>
    <cellStyle name="_20061027Holux_ProgramWorkBook_SLM -CMS &amp; Storefront PM Workbook_FP_EnterprisePortal_ProgramWorkbook" xfId="2198" xr:uid="{00000000-0005-0000-0000-00003C080000}"/>
    <cellStyle name="_20061027Holux_ProgramWorkBook_SLM -CMS &amp; Storefront PM Workbook_FP_EnterprisePortal_ProgramWorkbook 2" xfId="2199" xr:uid="{00000000-0005-0000-0000-00003D080000}"/>
    <cellStyle name="_20061027Holux_ProgramWorkBook_SLM -CMS &amp; Storefront PM Workbook_FP_EnterprisePortal_ProgramWorkbook 3" xfId="2200" xr:uid="{00000000-0005-0000-0000-00003E080000}"/>
    <cellStyle name="_20061027Holux_ProgramWorkBook_SLM -CMS &amp; Storefront PM Workbook_FP_SAP_MLP v2" xfId="2201" xr:uid="{00000000-0005-0000-0000-00003F080000}"/>
    <cellStyle name="_20061027Holux_ProgramWorkBook_SLM -CMS &amp; Storefront PM Workbook_FP_SAP_MLP v2 2" xfId="2202" xr:uid="{00000000-0005-0000-0000-000040080000}"/>
    <cellStyle name="_20061027Holux_ProgramWorkBook_SLM -CMS &amp; Storefront PM Workbook_FP_SAP_MLP v2 3" xfId="2203" xr:uid="{00000000-0005-0000-0000-000041080000}"/>
    <cellStyle name="_20061027Holux_ProgramWorkBook_SLM -CMS &amp; Storefront PM Workbook_KeyDecisions" xfId="2204" xr:uid="{00000000-0005-0000-0000-000042080000}"/>
    <cellStyle name="_20061027Holux_ProgramWorkBook_SLM -CMS &amp; Storefront PM Workbook_KeyDecisions 2" xfId="2205" xr:uid="{00000000-0005-0000-0000-000043080000}"/>
    <cellStyle name="_20061027Holux_ProgramWorkBook_SLM -CMS &amp; Storefront PM Workbook_KeyDecisions 3" xfId="2206" xr:uid="{00000000-0005-0000-0000-000044080000}"/>
    <cellStyle name="_20061027Holux_ProgramWorkBook_SLM -CMS &amp; Storefront PM Workbook_Sophia_Imp_ProjectWorkBook_02_18_2011" xfId="2207" xr:uid="{00000000-0005-0000-0000-000045080000}"/>
    <cellStyle name="_20061027Holux_ProgramWorkBook_SLM -CMS &amp; Storefront PM Workbook_Sophia_Imp_ProjectWorkBook_02_18_2011 2" xfId="2208" xr:uid="{00000000-0005-0000-0000-000046080000}"/>
    <cellStyle name="_20061027Holux_ProgramWorkBook_SLM -CMS &amp; Storefront PM Workbook_Sophia_Imp_ProjectWorkBook_02_18_2011 3" xfId="2209" xr:uid="{00000000-0005-0000-0000-000047080000}"/>
    <cellStyle name="_20061027Holux_ProgramWorkBook_SLM -CMS &amp; Storefront PM Workbook_t" xfId="2210" xr:uid="{00000000-0005-0000-0000-000048080000}"/>
    <cellStyle name="_20061027Holux_ProgramWorkBook_SLM -CMS &amp; Storefront PM Workbook_t 2" xfId="2211" xr:uid="{00000000-0005-0000-0000-000049080000}"/>
    <cellStyle name="_20061027Holux_ProgramWorkBook_SLM -CMS &amp; Storefront PM Workbook_t 3" xfId="2212" xr:uid="{00000000-0005-0000-0000-00004A080000}"/>
    <cellStyle name="_20061027Holux_ProgramWorkBook_slm_llp_0520" xfId="2213" xr:uid="{00000000-0005-0000-0000-00004B080000}"/>
    <cellStyle name="_20061027Holux_ProgramWorkBook_slm_llp_0520 2" xfId="2214" xr:uid="{00000000-0005-0000-0000-00004C080000}"/>
    <cellStyle name="_20061027Holux_ProgramWorkBook_slm_llp_0520 2 2" xfId="2215" xr:uid="{00000000-0005-0000-0000-00004D080000}"/>
    <cellStyle name="_20061027Holux_ProgramWorkBook_slm_llp_0520 2 3" xfId="2216" xr:uid="{00000000-0005-0000-0000-00004E080000}"/>
    <cellStyle name="_20061027Holux_ProgramWorkBook_slm_llp_0520 3" xfId="2217" xr:uid="{00000000-0005-0000-0000-00004F080000}"/>
    <cellStyle name="_20061027Holux_ProgramWorkBook_slm_llp_0520 3 2" xfId="2218" xr:uid="{00000000-0005-0000-0000-000050080000}"/>
    <cellStyle name="_20061027Holux_ProgramWorkBook_slm_llp_0520 3 3" xfId="2219" xr:uid="{00000000-0005-0000-0000-000051080000}"/>
    <cellStyle name="_20061027Holux_ProgramWorkBook_slm_llp_0520 4" xfId="2220" xr:uid="{00000000-0005-0000-0000-000052080000}"/>
    <cellStyle name="_20061027Holux_ProgramWorkBook_slm_llp_0520 5" xfId="2221" xr:uid="{00000000-0005-0000-0000-000053080000}"/>
    <cellStyle name="_20061027Holux_ProgramWorkBook_slm_llp_0520_Commissioning System Implementation_Project Workbook_06_10_2011" xfId="2222" xr:uid="{00000000-0005-0000-0000-000054080000}"/>
    <cellStyle name="_20061027Holux_ProgramWorkBook_slm_llp_0520_Commissioning System Implementation_Project Workbook_06_10_2011 2" xfId="2223" xr:uid="{00000000-0005-0000-0000-000055080000}"/>
    <cellStyle name="_20061027Holux_ProgramWorkBook_slm_llp_0520_Commissioning System Implementation_Project Workbook_06_10_2011 3" xfId="2224" xr:uid="{00000000-0005-0000-0000-000056080000}"/>
    <cellStyle name="_20061027Holux_ProgramWorkBook_slm_llp_0520_FairPoint_CampReport" xfId="2225" xr:uid="{00000000-0005-0000-0000-000057080000}"/>
    <cellStyle name="_20061027Holux_ProgramWorkBook_slm_llp_0520_FairPoint_CampReport 2" xfId="2226" xr:uid="{00000000-0005-0000-0000-000058080000}"/>
    <cellStyle name="_20061027Holux_ProgramWorkBook_slm_llp_0520_FairPoint_CampReport 3" xfId="2227" xr:uid="{00000000-0005-0000-0000-000059080000}"/>
    <cellStyle name="_20061027Holux_ProgramWorkBook_slm_llp_0520_FairPoint_FP comTechOps_ProgramWorkbook" xfId="2228" xr:uid="{00000000-0005-0000-0000-00005A080000}"/>
    <cellStyle name="_20061027Holux_ProgramWorkBook_slm_llp_0520_FairPoint_FP comTechOps_ProgramWorkbook 2" xfId="2229" xr:uid="{00000000-0005-0000-0000-00005B080000}"/>
    <cellStyle name="_20061027Holux_ProgramWorkBook_slm_llp_0520_FairPoint_FP comTechOps_ProgramWorkbook 3" xfId="2230" xr:uid="{00000000-0005-0000-0000-00005C080000}"/>
    <cellStyle name="_20061027Holux_ProgramWorkBook_slm_llp_0520_FairPoint_FP comTechOps_ProgramWorkbook_sachin" xfId="2231" xr:uid="{00000000-0005-0000-0000-00005D080000}"/>
    <cellStyle name="_20061027Holux_ProgramWorkBook_slm_llp_0520_FairPoint_FP comTechOps_ProgramWorkbook_sachin 2" xfId="2232" xr:uid="{00000000-0005-0000-0000-00005E080000}"/>
    <cellStyle name="_20061027Holux_ProgramWorkBook_slm_llp_0520_FairPoint_FP comTechOps_ProgramWorkbook_sachin 3" xfId="2233" xr:uid="{00000000-0005-0000-0000-00005F080000}"/>
    <cellStyle name="_20061027Holux_ProgramWorkBook_slm_llp_0520_FairPoint_FP comTechOps_ProgramWorkbook_sachin_v1" xfId="2234" xr:uid="{00000000-0005-0000-0000-000060080000}"/>
    <cellStyle name="_20061027Holux_ProgramWorkBook_slm_llp_0520_FairPoint_FP comTechOps_ProgramWorkbook_sachin_v1 2" xfId="2235" xr:uid="{00000000-0005-0000-0000-000061080000}"/>
    <cellStyle name="_20061027Holux_ProgramWorkBook_slm_llp_0520_FairPoint_FP comTechOps_ProgramWorkbook_sachin_v1 3" xfId="2236" xr:uid="{00000000-0005-0000-0000-000062080000}"/>
    <cellStyle name="_20061027Holux_ProgramWorkBook_slm_llp_0520_FP_CAMP&amp;ITReporting_Maintenance_Dashboard" xfId="2237" xr:uid="{00000000-0005-0000-0000-000063080000}"/>
    <cellStyle name="_20061027Holux_ProgramWorkBook_slm_llp_0520_FP_CAMP&amp;ITReporting_Maintenance_Dashboard 2" xfId="2238" xr:uid="{00000000-0005-0000-0000-000064080000}"/>
    <cellStyle name="_20061027Holux_ProgramWorkBook_slm_llp_0520_FP_CAMP&amp;ITReporting_Maintenance_Dashboard 3" xfId="2239" xr:uid="{00000000-0005-0000-0000-000065080000}"/>
    <cellStyle name="_20061027Holux_ProgramWorkBook_slm_llp_0520_FP_CAMPITReporting_Maintenance_Dashboard" xfId="2240" xr:uid="{00000000-0005-0000-0000-000066080000}"/>
    <cellStyle name="_20061027Holux_ProgramWorkBook_slm_llp_0520_FP_CAMPITReporting_Maintenance_Dashboard 2" xfId="2241" xr:uid="{00000000-0005-0000-0000-000067080000}"/>
    <cellStyle name="_20061027Holux_ProgramWorkBook_slm_llp_0520_FP_CAMPITReporting_Maintenance_Dashboard 3" xfId="2242" xr:uid="{00000000-0005-0000-0000-000068080000}"/>
    <cellStyle name="_20061027Holux_ProgramWorkBook_slm_llp_0520_FP_Commissions_Req_Dn_ProgramWorkBook_10-Dec-2010" xfId="2243" xr:uid="{00000000-0005-0000-0000-000069080000}"/>
    <cellStyle name="_20061027Holux_ProgramWorkBook_slm_llp_0520_FP_Commissions_Req_Dn_ProgramWorkBook_10-Dec-2010 2" xfId="2244" xr:uid="{00000000-0005-0000-0000-00006A080000}"/>
    <cellStyle name="_20061027Holux_ProgramWorkBook_slm_llp_0520_FP_Commissions_Req_Dn_ProgramWorkBook_10-Dec-2010 3" xfId="2245" xr:uid="{00000000-0005-0000-0000-00006B080000}"/>
    <cellStyle name="_20061027Holux_ProgramWorkBook_slm_llp_0520_FP_DW_Impl_ProgramWorkBook_07-Jan-2011" xfId="2246" xr:uid="{00000000-0005-0000-0000-00006C080000}"/>
    <cellStyle name="_20061027Holux_ProgramWorkBook_slm_llp_0520_FP_DW_Impl_ProgramWorkBook_07-Jan-2011 2" xfId="2247" xr:uid="{00000000-0005-0000-0000-00006D080000}"/>
    <cellStyle name="_20061027Holux_ProgramWorkBook_slm_llp_0520_FP_DW_Impl_ProgramWorkBook_07-Jan-2011 2 2" xfId="2248" xr:uid="{00000000-0005-0000-0000-00006E080000}"/>
    <cellStyle name="_20061027Holux_ProgramWorkBook_slm_llp_0520_FP_DW_Impl_ProgramWorkBook_07-Jan-2011 2 3" xfId="2249" xr:uid="{00000000-0005-0000-0000-00006F080000}"/>
    <cellStyle name="_20061027Holux_ProgramWorkBook_slm_llp_0520_FP_DW_Impl_ProgramWorkBook_07-Jan-2011 3" xfId="2250" xr:uid="{00000000-0005-0000-0000-000070080000}"/>
    <cellStyle name="_20061027Holux_ProgramWorkBook_slm_llp_0520_FP_DW_Impl_ProgramWorkBook_07-Jan-2011 4" xfId="2251" xr:uid="{00000000-0005-0000-0000-000071080000}"/>
    <cellStyle name="_20061027Holux_ProgramWorkBook_slm_llp_0520_FP_DW_Impl_ProgramWorkBook_11-Feb-2011" xfId="2252" xr:uid="{00000000-0005-0000-0000-000072080000}"/>
    <cellStyle name="_20061027Holux_ProgramWorkBook_slm_llp_0520_FP_DW_Impl_ProgramWorkBook_11-Feb-2011 2" xfId="2253" xr:uid="{00000000-0005-0000-0000-000073080000}"/>
    <cellStyle name="_20061027Holux_ProgramWorkBook_slm_llp_0520_FP_DW_Impl_ProgramWorkBook_11-Feb-2011 3" xfId="2254" xr:uid="{00000000-0005-0000-0000-000074080000}"/>
    <cellStyle name="_20061027Holux_ProgramWorkBook_slm_llp_0520_FP_DW_Impl_ProgramWorkBook_18-Feb-2011 - Working" xfId="2255" xr:uid="{00000000-0005-0000-0000-000075080000}"/>
    <cellStyle name="_20061027Holux_ProgramWorkBook_slm_llp_0520_FP_DW_Impl_ProgramWorkBook_18-Feb-2011 - Working 2" xfId="2256" xr:uid="{00000000-0005-0000-0000-000076080000}"/>
    <cellStyle name="_20061027Holux_ProgramWorkBook_slm_llp_0520_FP_DW_Impl_ProgramWorkBook_18-Feb-2011 - Working 3" xfId="2257" xr:uid="{00000000-0005-0000-0000-000077080000}"/>
    <cellStyle name="_20061027Holux_ProgramWorkBook_slm_llp_0520_FP_EnterprisePortal_ProgramWorkbook" xfId="2258" xr:uid="{00000000-0005-0000-0000-000078080000}"/>
    <cellStyle name="_20061027Holux_ProgramWorkBook_slm_llp_0520_FP_EnterprisePortal_ProgramWorkbook 2" xfId="2259" xr:uid="{00000000-0005-0000-0000-000079080000}"/>
    <cellStyle name="_20061027Holux_ProgramWorkBook_slm_llp_0520_FP_EnterprisePortal_ProgramWorkbook 3" xfId="2260" xr:uid="{00000000-0005-0000-0000-00007A080000}"/>
    <cellStyle name="_20061027Holux_ProgramWorkBook_slm_llp_0520_FP_SAP_MLP v2" xfId="2261" xr:uid="{00000000-0005-0000-0000-00007B080000}"/>
    <cellStyle name="_20061027Holux_ProgramWorkBook_slm_llp_0520_FP_SAP_MLP v2 2" xfId="2262" xr:uid="{00000000-0005-0000-0000-00007C080000}"/>
    <cellStyle name="_20061027Holux_ProgramWorkBook_slm_llp_0520_FP_SAP_MLP v2 3" xfId="2263" xr:uid="{00000000-0005-0000-0000-00007D080000}"/>
    <cellStyle name="_20061027Holux_ProgramWorkBook_slm_llp_0520_KeyDecisions" xfId="2264" xr:uid="{00000000-0005-0000-0000-00007E080000}"/>
    <cellStyle name="_20061027Holux_ProgramWorkBook_slm_llp_0520_KeyDecisions 2" xfId="2265" xr:uid="{00000000-0005-0000-0000-00007F080000}"/>
    <cellStyle name="_20061027Holux_ProgramWorkBook_slm_llp_0520_KeyDecisions 3" xfId="2266" xr:uid="{00000000-0005-0000-0000-000080080000}"/>
    <cellStyle name="_20061027Holux_ProgramWorkBook_slm_llp_0520_Sophia_Imp_ProjectWorkBook_02_18_2011" xfId="2267" xr:uid="{00000000-0005-0000-0000-000081080000}"/>
    <cellStyle name="_20061027Holux_ProgramWorkBook_slm_llp_0520_Sophia_Imp_ProjectWorkBook_02_18_2011 2" xfId="2268" xr:uid="{00000000-0005-0000-0000-000082080000}"/>
    <cellStyle name="_20061027Holux_ProgramWorkBook_slm_llp_0520_Sophia_Imp_ProjectWorkBook_02_18_2011 3" xfId="2269" xr:uid="{00000000-0005-0000-0000-000083080000}"/>
    <cellStyle name="_20061027Holux_ProgramWorkBook_slm_llp_0520_t" xfId="2270" xr:uid="{00000000-0005-0000-0000-000084080000}"/>
    <cellStyle name="_20061027Holux_ProgramWorkBook_slm_llp_0520_t 2" xfId="2271" xr:uid="{00000000-0005-0000-0000-000085080000}"/>
    <cellStyle name="_20061027Holux_ProgramWorkBook_slm_llp_0520_t 3" xfId="2272" xr:uid="{00000000-0005-0000-0000-000086080000}"/>
    <cellStyle name="_20061027Holux_ProgramWorkBook_SLM_PM_Workbook_053110" xfId="2273" xr:uid="{00000000-0005-0000-0000-000087080000}"/>
    <cellStyle name="_20061027Holux_ProgramWorkBook_SLM_PM_Workbook_053110 2" xfId="2274" xr:uid="{00000000-0005-0000-0000-000088080000}"/>
    <cellStyle name="_20061027Holux_ProgramWorkBook_SLM_PM_Workbook_053110 2 2" xfId="2275" xr:uid="{00000000-0005-0000-0000-000089080000}"/>
    <cellStyle name="_20061027Holux_ProgramWorkBook_SLM_PM_Workbook_053110 2 3" xfId="2276" xr:uid="{00000000-0005-0000-0000-00008A080000}"/>
    <cellStyle name="_20061027Holux_ProgramWorkBook_SLM_PM_Workbook_053110 3" xfId="2277" xr:uid="{00000000-0005-0000-0000-00008B080000}"/>
    <cellStyle name="_20061027Holux_ProgramWorkBook_SLM_PM_Workbook_053110 3 2" xfId="2278" xr:uid="{00000000-0005-0000-0000-00008C080000}"/>
    <cellStyle name="_20061027Holux_ProgramWorkBook_SLM_PM_Workbook_053110 3 3" xfId="2279" xr:uid="{00000000-0005-0000-0000-00008D080000}"/>
    <cellStyle name="_20061027Holux_ProgramWorkBook_SLM_PM_Workbook_053110 4" xfId="2280" xr:uid="{00000000-0005-0000-0000-00008E080000}"/>
    <cellStyle name="_20061027Holux_ProgramWorkBook_SLM_PM_Workbook_053110 5" xfId="2281" xr:uid="{00000000-0005-0000-0000-00008F080000}"/>
    <cellStyle name="_20061027Holux_ProgramWorkBook_SLM_PM_Workbook_053110_Commissioning System Implementation_Project Workbook_06_10_2011" xfId="2282" xr:uid="{00000000-0005-0000-0000-000090080000}"/>
    <cellStyle name="_20061027Holux_ProgramWorkBook_SLM_PM_Workbook_053110_Commissioning System Implementation_Project Workbook_06_10_2011 2" xfId="2283" xr:uid="{00000000-0005-0000-0000-000091080000}"/>
    <cellStyle name="_20061027Holux_ProgramWorkBook_SLM_PM_Workbook_053110_Commissioning System Implementation_Project Workbook_06_10_2011 3" xfId="2284" xr:uid="{00000000-0005-0000-0000-000092080000}"/>
    <cellStyle name="_20061027Holux_ProgramWorkBook_SLM_PM_Workbook_053110_FairPoint_CampReport" xfId="2285" xr:uid="{00000000-0005-0000-0000-000093080000}"/>
    <cellStyle name="_20061027Holux_ProgramWorkBook_SLM_PM_Workbook_053110_FairPoint_CampReport 2" xfId="2286" xr:uid="{00000000-0005-0000-0000-000094080000}"/>
    <cellStyle name="_20061027Holux_ProgramWorkBook_SLM_PM_Workbook_053110_FairPoint_CampReport 3" xfId="2287" xr:uid="{00000000-0005-0000-0000-000095080000}"/>
    <cellStyle name="_20061027Holux_ProgramWorkBook_SLM_PM_Workbook_053110_FairPoint_FP comTechOps_ProgramWorkbook" xfId="2288" xr:uid="{00000000-0005-0000-0000-000096080000}"/>
    <cellStyle name="_20061027Holux_ProgramWorkBook_SLM_PM_Workbook_053110_FairPoint_FP comTechOps_ProgramWorkbook 2" xfId="2289" xr:uid="{00000000-0005-0000-0000-000097080000}"/>
    <cellStyle name="_20061027Holux_ProgramWorkBook_SLM_PM_Workbook_053110_FairPoint_FP comTechOps_ProgramWorkbook 3" xfId="2290" xr:uid="{00000000-0005-0000-0000-000098080000}"/>
    <cellStyle name="_20061027Holux_ProgramWorkBook_SLM_PM_Workbook_053110_FairPoint_FP comTechOps_ProgramWorkbook_sachin" xfId="2291" xr:uid="{00000000-0005-0000-0000-000099080000}"/>
    <cellStyle name="_20061027Holux_ProgramWorkBook_SLM_PM_Workbook_053110_FairPoint_FP comTechOps_ProgramWorkbook_sachin 2" xfId="2292" xr:uid="{00000000-0005-0000-0000-00009A080000}"/>
    <cellStyle name="_20061027Holux_ProgramWorkBook_SLM_PM_Workbook_053110_FairPoint_FP comTechOps_ProgramWorkbook_sachin 3" xfId="2293" xr:uid="{00000000-0005-0000-0000-00009B080000}"/>
    <cellStyle name="_20061027Holux_ProgramWorkBook_SLM_PM_Workbook_053110_FairPoint_FP comTechOps_ProgramWorkbook_sachin_v1" xfId="2294" xr:uid="{00000000-0005-0000-0000-00009C080000}"/>
    <cellStyle name="_20061027Holux_ProgramWorkBook_SLM_PM_Workbook_053110_FairPoint_FP comTechOps_ProgramWorkbook_sachin_v1 2" xfId="2295" xr:uid="{00000000-0005-0000-0000-00009D080000}"/>
    <cellStyle name="_20061027Holux_ProgramWorkBook_SLM_PM_Workbook_053110_FairPoint_FP comTechOps_ProgramWorkbook_sachin_v1 3" xfId="2296" xr:uid="{00000000-0005-0000-0000-00009E080000}"/>
    <cellStyle name="_20061027Holux_ProgramWorkBook_SLM_PM_Workbook_053110_FP_CAMP&amp;ITReporting_Maintenance_Dashboard" xfId="2297" xr:uid="{00000000-0005-0000-0000-00009F080000}"/>
    <cellStyle name="_20061027Holux_ProgramWorkBook_SLM_PM_Workbook_053110_FP_CAMP&amp;ITReporting_Maintenance_Dashboard 2" xfId="2298" xr:uid="{00000000-0005-0000-0000-0000A0080000}"/>
    <cellStyle name="_20061027Holux_ProgramWorkBook_SLM_PM_Workbook_053110_FP_CAMP&amp;ITReporting_Maintenance_Dashboard 3" xfId="2299" xr:uid="{00000000-0005-0000-0000-0000A1080000}"/>
    <cellStyle name="_20061027Holux_ProgramWorkBook_SLM_PM_Workbook_053110_FP_CAMPITReporting_Maintenance_Dashboard" xfId="2300" xr:uid="{00000000-0005-0000-0000-0000A2080000}"/>
    <cellStyle name="_20061027Holux_ProgramWorkBook_SLM_PM_Workbook_053110_FP_CAMPITReporting_Maintenance_Dashboard 2" xfId="2301" xr:uid="{00000000-0005-0000-0000-0000A3080000}"/>
    <cellStyle name="_20061027Holux_ProgramWorkBook_SLM_PM_Workbook_053110_FP_CAMPITReporting_Maintenance_Dashboard 3" xfId="2302" xr:uid="{00000000-0005-0000-0000-0000A4080000}"/>
    <cellStyle name="_20061027Holux_ProgramWorkBook_SLM_PM_Workbook_053110_FP_Commissions_Req_Dn_ProgramWorkBook_10-Dec-2010" xfId="2303" xr:uid="{00000000-0005-0000-0000-0000A5080000}"/>
    <cellStyle name="_20061027Holux_ProgramWorkBook_SLM_PM_Workbook_053110_FP_Commissions_Req_Dn_ProgramWorkBook_10-Dec-2010 2" xfId="2304" xr:uid="{00000000-0005-0000-0000-0000A6080000}"/>
    <cellStyle name="_20061027Holux_ProgramWorkBook_SLM_PM_Workbook_053110_FP_Commissions_Req_Dn_ProgramWorkBook_10-Dec-2010 3" xfId="2305" xr:uid="{00000000-0005-0000-0000-0000A7080000}"/>
    <cellStyle name="_20061027Holux_ProgramWorkBook_SLM_PM_Workbook_053110_FP_DW_Impl_ProgramWorkBook_07-Jan-2011" xfId="2306" xr:uid="{00000000-0005-0000-0000-0000A8080000}"/>
    <cellStyle name="_20061027Holux_ProgramWorkBook_SLM_PM_Workbook_053110_FP_DW_Impl_ProgramWorkBook_07-Jan-2011 2" xfId="2307" xr:uid="{00000000-0005-0000-0000-0000A9080000}"/>
    <cellStyle name="_20061027Holux_ProgramWorkBook_SLM_PM_Workbook_053110_FP_DW_Impl_ProgramWorkBook_07-Jan-2011 2 2" xfId="2308" xr:uid="{00000000-0005-0000-0000-0000AA080000}"/>
    <cellStyle name="_20061027Holux_ProgramWorkBook_SLM_PM_Workbook_053110_FP_DW_Impl_ProgramWorkBook_07-Jan-2011 2 3" xfId="2309" xr:uid="{00000000-0005-0000-0000-0000AB080000}"/>
    <cellStyle name="_20061027Holux_ProgramWorkBook_SLM_PM_Workbook_053110_FP_DW_Impl_ProgramWorkBook_07-Jan-2011 3" xfId="2310" xr:uid="{00000000-0005-0000-0000-0000AC080000}"/>
    <cellStyle name="_20061027Holux_ProgramWorkBook_SLM_PM_Workbook_053110_FP_DW_Impl_ProgramWorkBook_07-Jan-2011 4" xfId="2311" xr:uid="{00000000-0005-0000-0000-0000AD080000}"/>
    <cellStyle name="_20061027Holux_ProgramWorkBook_SLM_PM_Workbook_053110_FP_DW_Impl_ProgramWorkBook_11-Feb-2011" xfId="2312" xr:uid="{00000000-0005-0000-0000-0000AE080000}"/>
    <cellStyle name="_20061027Holux_ProgramWorkBook_SLM_PM_Workbook_053110_FP_DW_Impl_ProgramWorkBook_11-Feb-2011 2" xfId="2313" xr:uid="{00000000-0005-0000-0000-0000AF080000}"/>
    <cellStyle name="_20061027Holux_ProgramWorkBook_SLM_PM_Workbook_053110_FP_DW_Impl_ProgramWorkBook_11-Feb-2011 3" xfId="2314" xr:uid="{00000000-0005-0000-0000-0000B0080000}"/>
    <cellStyle name="_20061027Holux_ProgramWorkBook_SLM_PM_Workbook_053110_FP_DW_Impl_ProgramWorkBook_18-Feb-2011 - Working" xfId="2315" xr:uid="{00000000-0005-0000-0000-0000B1080000}"/>
    <cellStyle name="_20061027Holux_ProgramWorkBook_SLM_PM_Workbook_053110_FP_DW_Impl_ProgramWorkBook_18-Feb-2011 - Working 2" xfId="2316" xr:uid="{00000000-0005-0000-0000-0000B2080000}"/>
    <cellStyle name="_20061027Holux_ProgramWorkBook_SLM_PM_Workbook_053110_FP_DW_Impl_ProgramWorkBook_18-Feb-2011 - Working 3" xfId="2317" xr:uid="{00000000-0005-0000-0000-0000B3080000}"/>
    <cellStyle name="_20061027Holux_ProgramWorkBook_SLM_PM_Workbook_053110_FP_EnterprisePortal_ProgramWorkbook" xfId="2318" xr:uid="{00000000-0005-0000-0000-0000B4080000}"/>
    <cellStyle name="_20061027Holux_ProgramWorkBook_SLM_PM_Workbook_053110_FP_EnterprisePortal_ProgramWorkbook 2" xfId="2319" xr:uid="{00000000-0005-0000-0000-0000B5080000}"/>
    <cellStyle name="_20061027Holux_ProgramWorkBook_SLM_PM_Workbook_053110_FP_EnterprisePortal_ProgramWorkbook 3" xfId="2320" xr:uid="{00000000-0005-0000-0000-0000B6080000}"/>
    <cellStyle name="_20061027Holux_ProgramWorkBook_SLM_PM_Workbook_053110_FP_SAP_MLP v2" xfId="2321" xr:uid="{00000000-0005-0000-0000-0000B7080000}"/>
    <cellStyle name="_20061027Holux_ProgramWorkBook_SLM_PM_Workbook_053110_FP_SAP_MLP v2 2" xfId="2322" xr:uid="{00000000-0005-0000-0000-0000B8080000}"/>
    <cellStyle name="_20061027Holux_ProgramWorkBook_SLM_PM_Workbook_053110_FP_SAP_MLP v2 3" xfId="2323" xr:uid="{00000000-0005-0000-0000-0000B9080000}"/>
    <cellStyle name="_20061027Holux_ProgramWorkBook_SLM_PM_Workbook_053110_KeyDecisions" xfId="2324" xr:uid="{00000000-0005-0000-0000-0000BA080000}"/>
    <cellStyle name="_20061027Holux_ProgramWorkBook_SLM_PM_Workbook_053110_KeyDecisions 2" xfId="2325" xr:uid="{00000000-0005-0000-0000-0000BB080000}"/>
    <cellStyle name="_20061027Holux_ProgramWorkBook_SLM_PM_Workbook_053110_KeyDecisions 3" xfId="2326" xr:uid="{00000000-0005-0000-0000-0000BC080000}"/>
    <cellStyle name="_20061027Holux_ProgramWorkBook_SLM_PM_Workbook_053110_Sophia_Imp_ProjectWorkBook_02_18_2011" xfId="2327" xr:uid="{00000000-0005-0000-0000-0000BD080000}"/>
    <cellStyle name="_20061027Holux_ProgramWorkBook_SLM_PM_Workbook_053110_Sophia_Imp_ProjectWorkBook_02_18_2011 2" xfId="2328" xr:uid="{00000000-0005-0000-0000-0000BE080000}"/>
    <cellStyle name="_20061027Holux_ProgramWorkBook_SLM_PM_Workbook_053110_Sophia_Imp_ProjectWorkBook_02_18_2011 3" xfId="2329" xr:uid="{00000000-0005-0000-0000-0000BF080000}"/>
    <cellStyle name="_20061027Holux_ProgramWorkBook_SLM_PM_Workbook_053110_t" xfId="2330" xr:uid="{00000000-0005-0000-0000-0000C0080000}"/>
    <cellStyle name="_20061027Holux_ProgramWorkBook_SLM_PM_Workbook_053110_t 2" xfId="2331" xr:uid="{00000000-0005-0000-0000-0000C1080000}"/>
    <cellStyle name="_20061027Holux_ProgramWorkBook_SLM_PM_Workbook_053110_t 3" xfId="2332" xr:uid="{00000000-0005-0000-0000-0000C2080000}"/>
    <cellStyle name="_20061027Holux_ProgramWorkBook_SLM_PMO_Workbook_060910" xfId="2333" xr:uid="{00000000-0005-0000-0000-0000C3080000}"/>
    <cellStyle name="_20061027Holux_ProgramWorkBook_SLM_PMO_Workbook_060910 2" xfId="2334" xr:uid="{00000000-0005-0000-0000-0000C4080000}"/>
    <cellStyle name="_20061027Holux_ProgramWorkBook_SLM_PMO_Workbook_060910 2 2" xfId="2335" xr:uid="{00000000-0005-0000-0000-0000C5080000}"/>
    <cellStyle name="_20061027Holux_ProgramWorkBook_SLM_PMO_Workbook_060910 2 3" xfId="2336" xr:uid="{00000000-0005-0000-0000-0000C6080000}"/>
    <cellStyle name="_20061027Holux_ProgramWorkBook_SLM_PMO_Workbook_060910 3" xfId="2337" xr:uid="{00000000-0005-0000-0000-0000C7080000}"/>
    <cellStyle name="_20061027Holux_ProgramWorkBook_SLM_PMO_Workbook_060910 3 2" xfId="2338" xr:uid="{00000000-0005-0000-0000-0000C8080000}"/>
    <cellStyle name="_20061027Holux_ProgramWorkBook_SLM_PMO_Workbook_060910 3 3" xfId="2339" xr:uid="{00000000-0005-0000-0000-0000C9080000}"/>
    <cellStyle name="_20061027Holux_ProgramWorkBook_SLM_PMO_Workbook_060910 4" xfId="2340" xr:uid="{00000000-0005-0000-0000-0000CA080000}"/>
    <cellStyle name="_20061027Holux_ProgramWorkBook_SLM_PMO_Workbook_060910 5" xfId="2341" xr:uid="{00000000-0005-0000-0000-0000CB080000}"/>
    <cellStyle name="_20061027Holux_ProgramWorkBook_SLM_PMO_Workbook_060910_Commissioning System Implementation_Project Workbook_06_10_2011" xfId="2342" xr:uid="{00000000-0005-0000-0000-0000CC080000}"/>
    <cellStyle name="_20061027Holux_ProgramWorkBook_SLM_PMO_Workbook_060910_Commissioning System Implementation_Project Workbook_06_10_2011 2" xfId="2343" xr:uid="{00000000-0005-0000-0000-0000CD080000}"/>
    <cellStyle name="_20061027Holux_ProgramWorkBook_SLM_PMO_Workbook_060910_Commissioning System Implementation_Project Workbook_06_10_2011 3" xfId="2344" xr:uid="{00000000-0005-0000-0000-0000CE080000}"/>
    <cellStyle name="_20061027Holux_ProgramWorkBook_SLM_PMO_Workbook_060910_FairPoint_CampReport" xfId="2345" xr:uid="{00000000-0005-0000-0000-0000CF080000}"/>
    <cellStyle name="_20061027Holux_ProgramWorkBook_SLM_PMO_Workbook_060910_FairPoint_CampReport 2" xfId="2346" xr:uid="{00000000-0005-0000-0000-0000D0080000}"/>
    <cellStyle name="_20061027Holux_ProgramWorkBook_SLM_PMO_Workbook_060910_FairPoint_CampReport 3" xfId="2347" xr:uid="{00000000-0005-0000-0000-0000D1080000}"/>
    <cellStyle name="_20061027Holux_ProgramWorkBook_SLM_PMO_Workbook_060910_FairPoint_FP comTechOps_ProgramWorkbook" xfId="2348" xr:uid="{00000000-0005-0000-0000-0000D2080000}"/>
    <cellStyle name="_20061027Holux_ProgramWorkBook_SLM_PMO_Workbook_060910_FairPoint_FP comTechOps_ProgramWorkbook 2" xfId="2349" xr:uid="{00000000-0005-0000-0000-0000D3080000}"/>
    <cellStyle name="_20061027Holux_ProgramWorkBook_SLM_PMO_Workbook_060910_FairPoint_FP comTechOps_ProgramWorkbook 3" xfId="2350" xr:uid="{00000000-0005-0000-0000-0000D4080000}"/>
    <cellStyle name="_20061027Holux_ProgramWorkBook_SLM_PMO_Workbook_060910_FairPoint_FP comTechOps_ProgramWorkbook_sachin" xfId="2351" xr:uid="{00000000-0005-0000-0000-0000D5080000}"/>
    <cellStyle name="_20061027Holux_ProgramWorkBook_SLM_PMO_Workbook_060910_FairPoint_FP comTechOps_ProgramWorkbook_sachin 2" xfId="2352" xr:uid="{00000000-0005-0000-0000-0000D6080000}"/>
    <cellStyle name="_20061027Holux_ProgramWorkBook_SLM_PMO_Workbook_060910_FairPoint_FP comTechOps_ProgramWorkbook_sachin 3" xfId="2353" xr:uid="{00000000-0005-0000-0000-0000D7080000}"/>
    <cellStyle name="_20061027Holux_ProgramWorkBook_SLM_PMO_Workbook_060910_FairPoint_FP comTechOps_ProgramWorkbook_sachin_v1" xfId="2354" xr:uid="{00000000-0005-0000-0000-0000D8080000}"/>
    <cellStyle name="_20061027Holux_ProgramWorkBook_SLM_PMO_Workbook_060910_FairPoint_FP comTechOps_ProgramWorkbook_sachin_v1 2" xfId="2355" xr:uid="{00000000-0005-0000-0000-0000D9080000}"/>
    <cellStyle name="_20061027Holux_ProgramWorkBook_SLM_PMO_Workbook_060910_FairPoint_FP comTechOps_ProgramWorkbook_sachin_v1 3" xfId="2356" xr:uid="{00000000-0005-0000-0000-0000DA080000}"/>
    <cellStyle name="_20061027Holux_ProgramWorkBook_SLM_PMO_Workbook_060910_FP_CAMP&amp;ITReporting_Maintenance_Dashboard" xfId="2357" xr:uid="{00000000-0005-0000-0000-0000DB080000}"/>
    <cellStyle name="_20061027Holux_ProgramWorkBook_SLM_PMO_Workbook_060910_FP_CAMP&amp;ITReporting_Maintenance_Dashboard 2" xfId="2358" xr:uid="{00000000-0005-0000-0000-0000DC080000}"/>
    <cellStyle name="_20061027Holux_ProgramWorkBook_SLM_PMO_Workbook_060910_FP_CAMP&amp;ITReporting_Maintenance_Dashboard 3" xfId="2359" xr:uid="{00000000-0005-0000-0000-0000DD080000}"/>
    <cellStyle name="_20061027Holux_ProgramWorkBook_SLM_PMO_Workbook_060910_FP_CAMPITReporting_Maintenance_Dashboard" xfId="2360" xr:uid="{00000000-0005-0000-0000-0000DE080000}"/>
    <cellStyle name="_20061027Holux_ProgramWorkBook_SLM_PMO_Workbook_060910_FP_CAMPITReporting_Maintenance_Dashboard 2" xfId="2361" xr:uid="{00000000-0005-0000-0000-0000DF080000}"/>
    <cellStyle name="_20061027Holux_ProgramWorkBook_SLM_PMO_Workbook_060910_FP_CAMPITReporting_Maintenance_Dashboard 3" xfId="2362" xr:uid="{00000000-0005-0000-0000-0000E0080000}"/>
    <cellStyle name="_20061027Holux_ProgramWorkBook_SLM_PMO_Workbook_060910_FP_Commissions_Req_Dn_ProgramWorkBook_10-Dec-2010" xfId="2363" xr:uid="{00000000-0005-0000-0000-0000E1080000}"/>
    <cellStyle name="_20061027Holux_ProgramWorkBook_SLM_PMO_Workbook_060910_FP_Commissions_Req_Dn_ProgramWorkBook_10-Dec-2010 2" xfId="2364" xr:uid="{00000000-0005-0000-0000-0000E2080000}"/>
    <cellStyle name="_20061027Holux_ProgramWorkBook_SLM_PMO_Workbook_060910_FP_Commissions_Req_Dn_ProgramWorkBook_10-Dec-2010 3" xfId="2365" xr:uid="{00000000-0005-0000-0000-0000E3080000}"/>
    <cellStyle name="_20061027Holux_ProgramWorkBook_SLM_PMO_Workbook_060910_FP_DW_Impl_ProgramWorkBook_07-Jan-2011" xfId="2366" xr:uid="{00000000-0005-0000-0000-0000E4080000}"/>
    <cellStyle name="_20061027Holux_ProgramWorkBook_SLM_PMO_Workbook_060910_FP_DW_Impl_ProgramWorkBook_07-Jan-2011 2" xfId="2367" xr:uid="{00000000-0005-0000-0000-0000E5080000}"/>
    <cellStyle name="_20061027Holux_ProgramWorkBook_SLM_PMO_Workbook_060910_FP_DW_Impl_ProgramWorkBook_07-Jan-2011 2 2" xfId="2368" xr:uid="{00000000-0005-0000-0000-0000E6080000}"/>
    <cellStyle name="_20061027Holux_ProgramWorkBook_SLM_PMO_Workbook_060910_FP_DW_Impl_ProgramWorkBook_07-Jan-2011 2 3" xfId="2369" xr:uid="{00000000-0005-0000-0000-0000E7080000}"/>
    <cellStyle name="_20061027Holux_ProgramWorkBook_SLM_PMO_Workbook_060910_FP_DW_Impl_ProgramWorkBook_07-Jan-2011 3" xfId="2370" xr:uid="{00000000-0005-0000-0000-0000E8080000}"/>
    <cellStyle name="_20061027Holux_ProgramWorkBook_SLM_PMO_Workbook_060910_FP_DW_Impl_ProgramWorkBook_07-Jan-2011 4" xfId="2371" xr:uid="{00000000-0005-0000-0000-0000E9080000}"/>
    <cellStyle name="_20061027Holux_ProgramWorkBook_SLM_PMO_Workbook_060910_FP_DW_Impl_ProgramWorkBook_11-Feb-2011" xfId="2372" xr:uid="{00000000-0005-0000-0000-0000EA080000}"/>
    <cellStyle name="_20061027Holux_ProgramWorkBook_SLM_PMO_Workbook_060910_FP_DW_Impl_ProgramWorkBook_11-Feb-2011 2" xfId="2373" xr:uid="{00000000-0005-0000-0000-0000EB080000}"/>
    <cellStyle name="_20061027Holux_ProgramWorkBook_SLM_PMO_Workbook_060910_FP_DW_Impl_ProgramWorkBook_11-Feb-2011 3" xfId="2374" xr:uid="{00000000-0005-0000-0000-0000EC080000}"/>
    <cellStyle name="_20061027Holux_ProgramWorkBook_SLM_PMO_Workbook_060910_FP_DW_Impl_ProgramWorkBook_18-Feb-2011 - Working" xfId="2375" xr:uid="{00000000-0005-0000-0000-0000ED080000}"/>
    <cellStyle name="_20061027Holux_ProgramWorkBook_SLM_PMO_Workbook_060910_FP_DW_Impl_ProgramWorkBook_18-Feb-2011 - Working 2" xfId="2376" xr:uid="{00000000-0005-0000-0000-0000EE080000}"/>
    <cellStyle name="_20061027Holux_ProgramWorkBook_SLM_PMO_Workbook_060910_FP_DW_Impl_ProgramWorkBook_18-Feb-2011 - Working 3" xfId="2377" xr:uid="{00000000-0005-0000-0000-0000EF080000}"/>
    <cellStyle name="_20061027Holux_ProgramWorkBook_SLM_PMO_Workbook_060910_FP_EnterprisePortal_ProgramWorkbook" xfId="2378" xr:uid="{00000000-0005-0000-0000-0000F0080000}"/>
    <cellStyle name="_20061027Holux_ProgramWorkBook_SLM_PMO_Workbook_060910_FP_EnterprisePortal_ProgramWorkbook 2" xfId="2379" xr:uid="{00000000-0005-0000-0000-0000F1080000}"/>
    <cellStyle name="_20061027Holux_ProgramWorkBook_SLM_PMO_Workbook_060910_FP_EnterprisePortal_ProgramWorkbook 3" xfId="2380" xr:uid="{00000000-0005-0000-0000-0000F2080000}"/>
    <cellStyle name="_20061027Holux_ProgramWorkBook_SLM_PMO_Workbook_060910_FP_SAP_MLP v2" xfId="2381" xr:uid="{00000000-0005-0000-0000-0000F3080000}"/>
    <cellStyle name="_20061027Holux_ProgramWorkBook_SLM_PMO_Workbook_060910_FP_SAP_MLP v2 2" xfId="2382" xr:uid="{00000000-0005-0000-0000-0000F4080000}"/>
    <cellStyle name="_20061027Holux_ProgramWorkBook_SLM_PMO_Workbook_060910_FP_SAP_MLP v2 3" xfId="2383" xr:uid="{00000000-0005-0000-0000-0000F5080000}"/>
    <cellStyle name="_20061027Holux_ProgramWorkBook_SLM_PMO_Workbook_060910_KeyDecisions" xfId="2384" xr:uid="{00000000-0005-0000-0000-0000F6080000}"/>
    <cellStyle name="_20061027Holux_ProgramWorkBook_SLM_PMO_Workbook_060910_KeyDecisions 2" xfId="2385" xr:uid="{00000000-0005-0000-0000-0000F7080000}"/>
    <cellStyle name="_20061027Holux_ProgramWorkBook_SLM_PMO_Workbook_060910_KeyDecisions 3" xfId="2386" xr:uid="{00000000-0005-0000-0000-0000F8080000}"/>
    <cellStyle name="_20061027Holux_ProgramWorkBook_SLM_PMO_Workbook_060910_Sophia_Imp_ProjectWorkBook_02_18_2011" xfId="2387" xr:uid="{00000000-0005-0000-0000-0000F9080000}"/>
    <cellStyle name="_20061027Holux_ProgramWorkBook_SLM_PMO_Workbook_060910_Sophia_Imp_ProjectWorkBook_02_18_2011 2" xfId="2388" xr:uid="{00000000-0005-0000-0000-0000FA080000}"/>
    <cellStyle name="_20061027Holux_ProgramWorkBook_SLM_PMO_Workbook_060910_Sophia_Imp_ProjectWorkBook_02_18_2011 3" xfId="2389" xr:uid="{00000000-0005-0000-0000-0000FB080000}"/>
    <cellStyle name="_20061027Holux_ProgramWorkBook_SLM_PMO_Workbook_060910_t" xfId="2390" xr:uid="{00000000-0005-0000-0000-0000FC080000}"/>
    <cellStyle name="_20061027Holux_ProgramWorkBook_SLM_PMO_Workbook_060910_t 2" xfId="2391" xr:uid="{00000000-0005-0000-0000-0000FD080000}"/>
    <cellStyle name="_20061027Holux_ProgramWorkBook_SLM_PMO_Workbook_060910_t 3" xfId="2392" xr:uid="{00000000-0005-0000-0000-0000FE080000}"/>
    <cellStyle name="_20061027Holux_ProgramWorkBook_Sophia_Imp_ProjectWorkBook_02_18_2011" xfId="2393" xr:uid="{00000000-0005-0000-0000-0000FF080000}"/>
    <cellStyle name="_20061027Holux_ProgramWorkBook_Sophia_Imp_ProjectWorkBook_02_18_2011 2" xfId="2394" xr:uid="{00000000-0005-0000-0000-000000090000}"/>
    <cellStyle name="_20061027Holux_ProgramWorkBook_Sophia_Imp_ProjectWorkBook_02_18_2011 3" xfId="2395" xr:uid="{00000000-0005-0000-0000-000001090000}"/>
    <cellStyle name="_20061027Holux_ProgramWorkBook_t" xfId="2396" xr:uid="{00000000-0005-0000-0000-000002090000}"/>
    <cellStyle name="_20061027Holux_ProgramWorkBook_t 2" xfId="2397" xr:uid="{00000000-0005-0000-0000-000003090000}"/>
    <cellStyle name="_20061027Holux_ProgramWorkBook_t 3" xfId="2398" xr:uid="{00000000-0005-0000-0000-000004090000}"/>
    <cellStyle name="_20061027Holux_ProgramWorkBook_UX Plan_0401" xfId="2399" xr:uid="{00000000-0005-0000-0000-000005090000}"/>
    <cellStyle name="_20061027Holux_ProgramWorkBook_UX Plan_0401 2" xfId="2400" xr:uid="{00000000-0005-0000-0000-000006090000}"/>
    <cellStyle name="_20061027Holux_ProgramWorkBook_UX Plan_0401 2 2" xfId="2401" xr:uid="{00000000-0005-0000-0000-000007090000}"/>
    <cellStyle name="_20061027Holux_ProgramWorkBook_UX Plan_0401 2 3" xfId="2402" xr:uid="{00000000-0005-0000-0000-000008090000}"/>
    <cellStyle name="_20061027Holux_ProgramWorkBook_UX Plan_0401 3" xfId="2403" xr:uid="{00000000-0005-0000-0000-000009090000}"/>
    <cellStyle name="_20061027Holux_ProgramWorkBook_UX Plan_0401 3 2" xfId="2404" xr:uid="{00000000-0005-0000-0000-00000A090000}"/>
    <cellStyle name="_20061027Holux_ProgramWorkBook_UX Plan_0401 3 3" xfId="2405" xr:uid="{00000000-0005-0000-0000-00000B090000}"/>
    <cellStyle name="_20061027Holux_ProgramWorkBook_UX Plan_0401 4" xfId="2406" xr:uid="{00000000-0005-0000-0000-00000C090000}"/>
    <cellStyle name="_20061027Holux_ProgramWorkBook_UX Plan_0401 5" xfId="2407" xr:uid="{00000000-0005-0000-0000-00000D090000}"/>
    <cellStyle name="_20061027Holux_ProgramWorkBook_UX Plan_0401_Commissioning System Implementation_Project Workbook_06_10_2011" xfId="2408" xr:uid="{00000000-0005-0000-0000-00000E090000}"/>
    <cellStyle name="_20061027Holux_ProgramWorkBook_UX Plan_0401_Commissioning System Implementation_Project Workbook_06_10_2011 2" xfId="2409" xr:uid="{00000000-0005-0000-0000-00000F090000}"/>
    <cellStyle name="_20061027Holux_ProgramWorkBook_UX Plan_0401_Commissioning System Implementation_Project Workbook_06_10_2011 3" xfId="2410" xr:uid="{00000000-0005-0000-0000-000010090000}"/>
    <cellStyle name="_20061027Holux_ProgramWorkBook_UX Plan_0401_FairPoint_CampReport" xfId="2411" xr:uid="{00000000-0005-0000-0000-000011090000}"/>
    <cellStyle name="_20061027Holux_ProgramWorkBook_UX Plan_0401_FairPoint_CampReport 2" xfId="2412" xr:uid="{00000000-0005-0000-0000-000012090000}"/>
    <cellStyle name="_20061027Holux_ProgramWorkBook_UX Plan_0401_FairPoint_CampReport 3" xfId="2413" xr:uid="{00000000-0005-0000-0000-000013090000}"/>
    <cellStyle name="_20061027Holux_ProgramWorkBook_UX Plan_0401_FairPoint_FP comTechOps_ProgramWorkbook" xfId="2414" xr:uid="{00000000-0005-0000-0000-000014090000}"/>
    <cellStyle name="_20061027Holux_ProgramWorkBook_UX Plan_0401_FairPoint_FP comTechOps_ProgramWorkbook 2" xfId="2415" xr:uid="{00000000-0005-0000-0000-000015090000}"/>
    <cellStyle name="_20061027Holux_ProgramWorkBook_UX Plan_0401_FairPoint_FP comTechOps_ProgramWorkbook 3" xfId="2416" xr:uid="{00000000-0005-0000-0000-000016090000}"/>
    <cellStyle name="_20061027Holux_ProgramWorkBook_UX Plan_0401_FairPoint_FP comTechOps_ProgramWorkbook_sachin" xfId="2417" xr:uid="{00000000-0005-0000-0000-000017090000}"/>
    <cellStyle name="_20061027Holux_ProgramWorkBook_UX Plan_0401_FairPoint_FP comTechOps_ProgramWorkbook_sachin 2" xfId="2418" xr:uid="{00000000-0005-0000-0000-000018090000}"/>
    <cellStyle name="_20061027Holux_ProgramWorkBook_UX Plan_0401_FairPoint_FP comTechOps_ProgramWorkbook_sachin 3" xfId="2419" xr:uid="{00000000-0005-0000-0000-000019090000}"/>
    <cellStyle name="_20061027Holux_ProgramWorkBook_UX Plan_0401_FairPoint_FP comTechOps_ProgramWorkbook_sachin_v1" xfId="2420" xr:uid="{00000000-0005-0000-0000-00001A090000}"/>
    <cellStyle name="_20061027Holux_ProgramWorkBook_UX Plan_0401_FairPoint_FP comTechOps_ProgramWorkbook_sachin_v1 2" xfId="2421" xr:uid="{00000000-0005-0000-0000-00001B090000}"/>
    <cellStyle name="_20061027Holux_ProgramWorkBook_UX Plan_0401_FairPoint_FP comTechOps_ProgramWorkbook_sachin_v1 3" xfId="2422" xr:uid="{00000000-0005-0000-0000-00001C090000}"/>
    <cellStyle name="_20061027Holux_ProgramWorkBook_UX Plan_0401_FP_CAMP&amp;ITReporting_Maintenance_Dashboard" xfId="2423" xr:uid="{00000000-0005-0000-0000-00001D090000}"/>
    <cellStyle name="_20061027Holux_ProgramWorkBook_UX Plan_0401_FP_CAMP&amp;ITReporting_Maintenance_Dashboard 2" xfId="2424" xr:uid="{00000000-0005-0000-0000-00001E090000}"/>
    <cellStyle name="_20061027Holux_ProgramWorkBook_UX Plan_0401_FP_CAMP&amp;ITReporting_Maintenance_Dashboard 3" xfId="2425" xr:uid="{00000000-0005-0000-0000-00001F090000}"/>
    <cellStyle name="_20061027Holux_ProgramWorkBook_UX Plan_0401_FP_CAMPITReporting_Maintenance_Dashboard" xfId="2426" xr:uid="{00000000-0005-0000-0000-000020090000}"/>
    <cellStyle name="_20061027Holux_ProgramWorkBook_UX Plan_0401_FP_CAMPITReporting_Maintenance_Dashboard 2" xfId="2427" xr:uid="{00000000-0005-0000-0000-000021090000}"/>
    <cellStyle name="_20061027Holux_ProgramWorkBook_UX Plan_0401_FP_CAMPITReporting_Maintenance_Dashboard 3" xfId="2428" xr:uid="{00000000-0005-0000-0000-000022090000}"/>
    <cellStyle name="_20061027Holux_ProgramWorkBook_UX Plan_0401_FP_Commissions_Req_Dn_ProgramWorkBook_10-Dec-2010" xfId="2429" xr:uid="{00000000-0005-0000-0000-000023090000}"/>
    <cellStyle name="_20061027Holux_ProgramWorkBook_UX Plan_0401_FP_Commissions_Req_Dn_ProgramWorkBook_10-Dec-2010 2" xfId="2430" xr:uid="{00000000-0005-0000-0000-000024090000}"/>
    <cellStyle name="_20061027Holux_ProgramWorkBook_UX Plan_0401_FP_Commissions_Req_Dn_ProgramWorkBook_10-Dec-2010 3" xfId="2431" xr:uid="{00000000-0005-0000-0000-000025090000}"/>
    <cellStyle name="_20061027Holux_ProgramWorkBook_UX Plan_0401_FP_DW_Impl_ProgramWorkBook_07-Jan-2011" xfId="2432" xr:uid="{00000000-0005-0000-0000-000026090000}"/>
    <cellStyle name="_20061027Holux_ProgramWorkBook_UX Plan_0401_FP_DW_Impl_ProgramWorkBook_07-Jan-2011 2" xfId="2433" xr:uid="{00000000-0005-0000-0000-000027090000}"/>
    <cellStyle name="_20061027Holux_ProgramWorkBook_UX Plan_0401_FP_DW_Impl_ProgramWorkBook_07-Jan-2011 2 2" xfId="2434" xr:uid="{00000000-0005-0000-0000-000028090000}"/>
    <cellStyle name="_20061027Holux_ProgramWorkBook_UX Plan_0401_FP_DW_Impl_ProgramWorkBook_07-Jan-2011 2 3" xfId="2435" xr:uid="{00000000-0005-0000-0000-000029090000}"/>
    <cellStyle name="_20061027Holux_ProgramWorkBook_UX Plan_0401_FP_DW_Impl_ProgramWorkBook_07-Jan-2011 3" xfId="2436" xr:uid="{00000000-0005-0000-0000-00002A090000}"/>
    <cellStyle name="_20061027Holux_ProgramWorkBook_UX Plan_0401_FP_DW_Impl_ProgramWorkBook_07-Jan-2011 4" xfId="2437" xr:uid="{00000000-0005-0000-0000-00002B090000}"/>
    <cellStyle name="_20061027Holux_ProgramWorkBook_UX Plan_0401_FP_DW_Impl_ProgramWorkBook_11-Feb-2011" xfId="2438" xr:uid="{00000000-0005-0000-0000-00002C090000}"/>
    <cellStyle name="_20061027Holux_ProgramWorkBook_UX Plan_0401_FP_DW_Impl_ProgramWorkBook_11-Feb-2011 2" xfId="2439" xr:uid="{00000000-0005-0000-0000-00002D090000}"/>
    <cellStyle name="_20061027Holux_ProgramWorkBook_UX Plan_0401_FP_DW_Impl_ProgramWorkBook_11-Feb-2011 3" xfId="2440" xr:uid="{00000000-0005-0000-0000-00002E090000}"/>
    <cellStyle name="_20061027Holux_ProgramWorkBook_UX Plan_0401_FP_DW_Impl_ProgramWorkBook_18-Feb-2011 - Working" xfId="2441" xr:uid="{00000000-0005-0000-0000-00002F090000}"/>
    <cellStyle name="_20061027Holux_ProgramWorkBook_UX Plan_0401_FP_DW_Impl_ProgramWorkBook_18-Feb-2011 - Working 2" xfId="2442" xr:uid="{00000000-0005-0000-0000-000030090000}"/>
    <cellStyle name="_20061027Holux_ProgramWorkBook_UX Plan_0401_FP_DW_Impl_ProgramWorkBook_18-Feb-2011 - Working 3" xfId="2443" xr:uid="{00000000-0005-0000-0000-000031090000}"/>
    <cellStyle name="_20061027Holux_ProgramWorkBook_UX Plan_0401_FP_EnterprisePortal_ProgramWorkbook" xfId="2444" xr:uid="{00000000-0005-0000-0000-000032090000}"/>
    <cellStyle name="_20061027Holux_ProgramWorkBook_UX Plan_0401_FP_EnterprisePortal_ProgramWorkbook 2" xfId="2445" xr:uid="{00000000-0005-0000-0000-000033090000}"/>
    <cellStyle name="_20061027Holux_ProgramWorkBook_UX Plan_0401_FP_EnterprisePortal_ProgramWorkbook 3" xfId="2446" xr:uid="{00000000-0005-0000-0000-000034090000}"/>
    <cellStyle name="_20061027Holux_ProgramWorkBook_UX Plan_0401_FP_SAP_MLP v2" xfId="2447" xr:uid="{00000000-0005-0000-0000-000035090000}"/>
    <cellStyle name="_20061027Holux_ProgramWorkBook_UX Plan_0401_FP_SAP_MLP v2 2" xfId="2448" xr:uid="{00000000-0005-0000-0000-000036090000}"/>
    <cellStyle name="_20061027Holux_ProgramWorkBook_UX Plan_0401_FP_SAP_MLP v2 3" xfId="2449" xr:uid="{00000000-0005-0000-0000-000037090000}"/>
    <cellStyle name="_20061027Holux_ProgramWorkBook_UX Plan_0401_KeyDecisions" xfId="2450" xr:uid="{00000000-0005-0000-0000-000038090000}"/>
    <cellStyle name="_20061027Holux_ProgramWorkBook_UX Plan_0401_KeyDecisions 2" xfId="2451" xr:uid="{00000000-0005-0000-0000-000039090000}"/>
    <cellStyle name="_20061027Holux_ProgramWorkBook_UX Plan_0401_KeyDecisions 3" xfId="2452" xr:uid="{00000000-0005-0000-0000-00003A090000}"/>
    <cellStyle name="_20061027Holux_ProgramWorkBook_UX Plan_0401_Sophia_Imp_ProjectWorkBook_02_18_2011" xfId="2453" xr:uid="{00000000-0005-0000-0000-00003B090000}"/>
    <cellStyle name="_20061027Holux_ProgramWorkBook_UX Plan_0401_Sophia_Imp_ProjectWorkBook_02_18_2011 2" xfId="2454" xr:uid="{00000000-0005-0000-0000-00003C090000}"/>
    <cellStyle name="_20061027Holux_ProgramWorkBook_UX Plan_0401_Sophia_Imp_ProjectWorkBook_02_18_2011 3" xfId="2455" xr:uid="{00000000-0005-0000-0000-00003D090000}"/>
    <cellStyle name="_20061027Holux_ProgramWorkBook_UX Plan_0401_t" xfId="2456" xr:uid="{00000000-0005-0000-0000-00003E090000}"/>
    <cellStyle name="_20061027Holux_ProgramWorkBook_UX Plan_0401_t 2" xfId="2457" xr:uid="{00000000-0005-0000-0000-00003F090000}"/>
    <cellStyle name="_20061027Holux_ProgramWorkBook_UX Plan_0401_t 3" xfId="2458" xr:uid="{00000000-0005-0000-0000-000040090000}"/>
    <cellStyle name="_20061027Holux_Re-engineering SLM_PM_Workbook_01252010" xfId="2459" xr:uid="{00000000-0005-0000-0000-000041090000}"/>
    <cellStyle name="_20061027Holux_Re-engineering SLM_PM_Workbook_01252010 2" xfId="2460" xr:uid="{00000000-0005-0000-0000-000042090000}"/>
    <cellStyle name="_20061027Holux_Re-engineering SLM_PM_Workbook_01252010 2 2" xfId="2461" xr:uid="{00000000-0005-0000-0000-000043090000}"/>
    <cellStyle name="_20061027Holux_Re-engineering SLM_PM_Workbook_01252010 2 3" xfId="2462" xr:uid="{00000000-0005-0000-0000-000044090000}"/>
    <cellStyle name="_20061027Holux_Re-engineering SLM_PM_Workbook_01252010 3" xfId="2463" xr:uid="{00000000-0005-0000-0000-000045090000}"/>
    <cellStyle name="_20061027Holux_Re-engineering SLM_PM_Workbook_01252010 3 2" xfId="2464" xr:uid="{00000000-0005-0000-0000-000046090000}"/>
    <cellStyle name="_20061027Holux_Re-engineering SLM_PM_Workbook_01252010 3 3" xfId="2465" xr:uid="{00000000-0005-0000-0000-000047090000}"/>
    <cellStyle name="_20061027Holux_Re-engineering SLM_PM_Workbook_01252010 4" xfId="2466" xr:uid="{00000000-0005-0000-0000-000048090000}"/>
    <cellStyle name="_20061027Holux_Re-engineering SLM_PM_Workbook_01252010 5" xfId="2467" xr:uid="{00000000-0005-0000-0000-000049090000}"/>
    <cellStyle name="_20061027Holux_Re-engineering SLM_PM_Workbook_01252010_Commissioning System Implementation_Project Workbook_06_10_2011" xfId="2468" xr:uid="{00000000-0005-0000-0000-00004A090000}"/>
    <cellStyle name="_20061027Holux_Re-engineering SLM_PM_Workbook_01252010_Commissioning System Implementation_Project Workbook_06_10_2011 2" xfId="2469" xr:uid="{00000000-0005-0000-0000-00004B090000}"/>
    <cellStyle name="_20061027Holux_Re-engineering SLM_PM_Workbook_01252010_Commissioning System Implementation_Project Workbook_06_10_2011 3" xfId="2470" xr:uid="{00000000-0005-0000-0000-00004C090000}"/>
    <cellStyle name="_20061027Holux_Re-engineering SLM_PM_Workbook_01252010_FairPoint_CampReport" xfId="2471" xr:uid="{00000000-0005-0000-0000-00004D090000}"/>
    <cellStyle name="_20061027Holux_Re-engineering SLM_PM_Workbook_01252010_FairPoint_CampReport 2" xfId="2472" xr:uid="{00000000-0005-0000-0000-00004E090000}"/>
    <cellStyle name="_20061027Holux_Re-engineering SLM_PM_Workbook_01252010_FairPoint_CampReport 3" xfId="2473" xr:uid="{00000000-0005-0000-0000-00004F090000}"/>
    <cellStyle name="_20061027Holux_Re-engineering SLM_PM_Workbook_01252010_FairPoint_FP comTechOps_ProgramWorkbook" xfId="2474" xr:uid="{00000000-0005-0000-0000-000050090000}"/>
    <cellStyle name="_20061027Holux_Re-engineering SLM_PM_Workbook_01252010_FairPoint_FP comTechOps_ProgramWorkbook 2" xfId="2475" xr:uid="{00000000-0005-0000-0000-000051090000}"/>
    <cellStyle name="_20061027Holux_Re-engineering SLM_PM_Workbook_01252010_FairPoint_FP comTechOps_ProgramWorkbook 3" xfId="2476" xr:uid="{00000000-0005-0000-0000-000052090000}"/>
    <cellStyle name="_20061027Holux_Re-engineering SLM_PM_Workbook_01252010_FairPoint_FP comTechOps_ProgramWorkbook_sachin" xfId="2477" xr:uid="{00000000-0005-0000-0000-000053090000}"/>
    <cellStyle name="_20061027Holux_Re-engineering SLM_PM_Workbook_01252010_FairPoint_FP comTechOps_ProgramWorkbook_sachin 2" xfId="2478" xr:uid="{00000000-0005-0000-0000-000054090000}"/>
    <cellStyle name="_20061027Holux_Re-engineering SLM_PM_Workbook_01252010_FairPoint_FP comTechOps_ProgramWorkbook_sachin 3" xfId="2479" xr:uid="{00000000-0005-0000-0000-000055090000}"/>
    <cellStyle name="_20061027Holux_Re-engineering SLM_PM_Workbook_01252010_FairPoint_FP comTechOps_ProgramWorkbook_sachin_v1" xfId="2480" xr:uid="{00000000-0005-0000-0000-000056090000}"/>
    <cellStyle name="_20061027Holux_Re-engineering SLM_PM_Workbook_01252010_FairPoint_FP comTechOps_ProgramWorkbook_sachin_v1 2" xfId="2481" xr:uid="{00000000-0005-0000-0000-000057090000}"/>
    <cellStyle name="_20061027Holux_Re-engineering SLM_PM_Workbook_01252010_FairPoint_FP comTechOps_ProgramWorkbook_sachin_v1 3" xfId="2482" xr:uid="{00000000-0005-0000-0000-000058090000}"/>
    <cellStyle name="_20061027Holux_Re-engineering SLM_PM_Workbook_01252010_FP_CAMP&amp;ITReporting_Maintenance_Dashboard" xfId="2483" xr:uid="{00000000-0005-0000-0000-000059090000}"/>
    <cellStyle name="_20061027Holux_Re-engineering SLM_PM_Workbook_01252010_FP_CAMP&amp;ITReporting_Maintenance_Dashboard 2" xfId="2484" xr:uid="{00000000-0005-0000-0000-00005A090000}"/>
    <cellStyle name="_20061027Holux_Re-engineering SLM_PM_Workbook_01252010_FP_CAMP&amp;ITReporting_Maintenance_Dashboard 3" xfId="2485" xr:uid="{00000000-0005-0000-0000-00005B090000}"/>
    <cellStyle name="_20061027Holux_Re-engineering SLM_PM_Workbook_01252010_FP_CAMPITReporting_Maintenance_Dashboard" xfId="2486" xr:uid="{00000000-0005-0000-0000-00005C090000}"/>
    <cellStyle name="_20061027Holux_Re-engineering SLM_PM_Workbook_01252010_FP_CAMPITReporting_Maintenance_Dashboard 2" xfId="2487" xr:uid="{00000000-0005-0000-0000-00005D090000}"/>
    <cellStyle name="_20061027Holux_Re-engineering SLM_PM_Workbook_01252010_FP_CAMPITReporting_Maintenance_Dashboard 3" xfId="2488" xr:uid="{00000000-0005-0000-0000-00005E090000}"/>
    <cellStyle name="_20061027Holux_Re-engineering SLM_PM_Workbook_01252010_FP_Commissions_Req_Dn_ProgramWorkBook_10-Dec-2010" xfId="2489" xr:uid="{00000000-0005-0000-0000-00005F090000}"/>
    <cellStyle name="_20061027Holux_Re-engineering SLM_PM_Workbook_01252010_FP_Commissions_Req_Dn_ProgramWorkBook_10-Dec-2010 2" xfId="2490" xr:uid="{00000000-0005-0000-0000-000060090000}"/>
    <cellStyle name="_20061027Holux_Re-engineering SLM_PM_Workbook_01252010_FP_Commissions_Req_Dn_ProgramWorkBook_10-Dec-2010 3" xfId="2491" xr:uid="{00000000-0005-0000-0000-000061090000}"/>
    <cellStyle name="_20061027Holux_Re-engineering SLM_PM_Workbook_01252010_FP_DW_Impl_ProgramWorkBook_07-Jan-2011" xfId="2492" xr:uid="{00000000-0005-0000-0000-000062090000}"/>
    <cellStyle name="_20061027Holux_Re-engineering SLM_PM_Workbook_01252010_FP_DW_Impl_ProgramWorkBook_07-Jan-2011 2" xfId="2493" xr:uid="{00000000-0005-0000-0000-000063090000}"/>
    <cellStyle name="_20061027Holux_Re-engineering SLM_PM_Workbook_01252010_FP_DW_Impl_ProgramWorkBook_07-Jan-2011 2 2" xfId="2494" xr:uid="{00000000-0005-0000-0000-000064090000}"/>
    <cellStyle name="_20061027Holux_Re-engineering SLM_PM_Workbook_01252010_FP_DW_Impl_ProgramWorkBook_07-Jan-2011 2 3" xfId="2495" xr:uid="{00000000-0005-0000-0000-000065090000}"/>
    <cellStyle name="_20061027Holux_Re-engineering SLM_PM_Workbook_01252010_FP_DW_Impl_ProgramWorkBook_07-Jan-2011 3" xfId="2496" xr:uid="{00000000-0005-0000-0000-000066090000}"/>
    <cellStyle name="_20061027Holux_Re-engineering SLM_PM_Workbook_01252010_FP_DW_Impl_ProgramWorkBook_07-Jan-2011 4" xfId="2497" xr:uid="{00000000-0005-0000-0000-000067090000}"/>
    <cellStyle name="_20061027Holux_Re-engineering SLM_PM_Workbook_01252010_FP_DW_Impl_ProgramWorkBook_11-Feb-2011" xfId="2498" xr:uid="{00000000-0005-0000-0000-000068090000}"/>
    <cellStyle name="_20061027Holux_Re-engineering SLM_PM_Workbook_01252010_FP_DW_Impl_ProgramWorkBook_11-Feb-2011 2" xfId="2499" xr:uid="{00000000-0005-0000-0000-000069090000}"/>
    <cellStyle name="_20061027Holux_Re-engineering SLM_PM_Workbook_01252010_FP_DW_Impl_ProgramWorkBook_11-Feb-2011 3" xfId="2500" xr:uid="{00000000-0005-0000-0000-00006A090000}"/>
    <cellStyle name="_20061027Holux_Re-engineering SLM_PM_Workbook_01252010_FP_DW_Impl_ProgramWorkBook_18-Feb-2011 - Working" xfId="2501" xr:uid="{00000000-0005-0000-0000-00006B090000}"/>
    <cellStyle name="_20061027Holux_Re-engineering SLM_PM_Workbook_01252010_FP_DW_Impl_ProgramWorkBook_18-Feb-2011 - Working 2" xfId="2502" xr:uid="{00000000-0005-0000-0000-00006C090000}"/>
    <cellStyle name="_20061027Holux_Re-engineering SLM_PM_Workbook_01252010_FP_DW_Impl_ProgramWorkBook_18-Feb-2011 - Working 3" xfId="2503" xr:uid="{00000000-0005-0000-0000-00006D090000}"/>
    <cellStyle name="_20061027Holux_Re-engineering SLM_PM_Workbook_01252010_FP_EnterprisePortal_ProgramWorkbook" xfId="2504" xr:uid="{00000000-0005-0000-0000-00006E090000}"/>
    <cellStyle name="_20061027Holux_Re-engineering SLM_PM_Workbook_01252010_FP_EnterprisePortal_ProgramWorkbook 2" xfId="2505" xr:uid="{00000000-0005-0000-0000-00006F090000}"/>
    <cellStyle name="_20061027Holux_Re-engineering SLM_PM_Workbook_01252010_FP_EnterprisePortal_ProgramWorkbook 3" xfId="2506" xr:uid="{00000000-0005-0000-0000-000070090000}"/>
    <cellStyle name="_20061027Holux_Re-engineering SLM_PM_Workbook_01252010_FP_SAP_MLP v2" xfId="2507" xr:uid="{00000000-0005-0000-0000-000071090000}"/>
    <cellStyle name="_20061027Holux_Re-engineering SLM_PM_Workbook_01252010_FP_SAP_MLP v2 2" xfId="2508" xr:uid="{00000000-0005-0000-0000-000072090000}"/>
    <cellStyle name="_20061027Holux_Re-engineering SLM_PM_Workbook_01252010_FP_SAP_MLP v2 3" xfId="2509" xr:uid="{00000000-0005-0000-0000-000073090000}"/>
    <cellStyle name="_20061027Holux_Re-engineering SLM_PM_Workbook_01252010_KeyDecisions" xfId="2510" xr:uid="{00000000-0005-0000-0000-000074090000}"/>
    <cellStyle name="_20061027Holux_Re-engineering SLM_PM_Workbook_01252010_KeyDecisions 2" xfId="2511" xr:uid="{00000000-0005-0000-0000-000075090000}"/>
    <cellStyle name="_20061027Holux_Re-engineering SLM_PM_Workbook_01252010_KeyDecisions 3" xfId="2512" xr:uid="{00000000-0005-0000-0000-000076090000}"/>
    <cellStyle name="_20061027Holux_Re-engineering SLM_PM_Workbook_01252010_Sophia_Imp_ProjectWorkBook_02_18_2011" xfId="2513" xr:uid="{00000000-0005-0000-0000-000077090000}"/>
    <cellStyle name="_20061027Holux_Re-engineering SLM_PM_Workbook_01252010_Sophia_Imp_ProjectWorkBook_02_18_2011 2" xfId="2514" xr:uid="{00000000-0005-0000-0000-000078090000}"/>
    <cellStyle name="_20061027Holux_Re-engineering SLM_PM_Workbook_01252010_Sophia_Imp_ProjectWorkBook_02_18_2011 3" xfId="2515" xr:uid="{00000000-0005-0000-0000-000079090000}"/>
    <cellStyle name="_20061027Holux_Re-engineering SLM_PM_Workbook_01252010_t" xfId="2516" xr:uid="{00000000-0005-0000-0000-00007A090000}"/>
    <cellStyle name="_20061027Holux_Re-engineering SLM_PM_Workbook_01252010_t 2" xfId="2517" xr:uid="{00000000-0005-0000-0000-00007B090000}"/>
    <cellStyle name="_20061027Holux_Re-engineering SLM_PM_Workbook_01252010_t 3" xfId="2518" xr:uid="{00000000-0005-0000-0000-00007C090000}"/>
    <cellStyle name="_20061027Holux_Re-engineering SLM_PM_Workbook_021510" xfId="2519" xr:uid="{00000000-0005-0000-0000-00007D090000}"/>
    <cellStyle name="_20061027Holux_Re-engineering SLM_PM_Workbook_021510 2" xfId="2520" xr:uid="{00000000-0005-0000-0000-00007E090000}"/>
    <cellStyle name="_20061027Holux_Re-engineering SLM_PM_Workbook_021510 2 2" xfId="2521" xr:uid="{00000000-0005-0000-0000-00007F090000}"/>
    <cellStyle name="_20061027Holux_Re-engineering SLM_PM_Workbook_021510 2 3" xfId="2522" xr:uid="{00000000-0005-0000-0000-000080090000}"/>
    <cellStyle name="_20061027Holux_Re-engineering SLM_PM_Workbook_021510 3" xfId="2523" xr:uid="{00000000-0005-0000-0000-000081090000}"/>
    <cellStyle name="_20061027Holux_Re-engineering SLM_PM_Workbook_021510 3 2" xfId="2524" xr:uid="{00000000-0005-0000-0000-000082090000}"/>
    <cellStyle name="_20061027Holux_Re-engineering SLM_PM_Workbook_021510 3 3" xfId="2525" xr:uid="{00000000-0005-0000-0000-000083090000}"/>
    <cellStyle name="_20061027Holux_Re-engineering SLM_PM_Workbook_021510 4" xfId="2526" xr:uid="{00000000-0005-0000-0000-000084090000}"/>
    <cellStyle name="_20061027Holux_Re-engineering SLM_PM_Workbook_021510 5" xfId="2527" xr:uid="{00000000-0005-0000-0000-000085090000}"/>
    <cellStyle name="_20061027Holux_Re-engineering SLM_PM_Workbook_021510_Commissioning System Implementation_Project Workbook_06_10_2011" xfId="2528" xr:uid="{00000000-0005-0000-0000-000086090000}"/>
    <cellStyle name="_20061027Holux_Re-engineering SLM_PM_Workbook_021510_Commissioning System Implementation_Project Workbook_06_10_2011 2" xfId="2529" xr:uid="{00000000-0005-0000-0000-000087090000}"/>
    <cellStyle name="_20061027Holux_Re-engineering SLM_PM_Workbook_021510_Commissioning System Implementation_Project Workbook_06_10_2011 3" xfId="2530" xr:uid="{00000000-0005-0000-0000-000088090000}"/>
    <cellStyle name="_20061027Holux_Re-engineering SLM_PM_Workbook_021510_FairPoint_CampReport" xfId="2531" xr:uid="{00000000-0005-0000-0000-000089090000}"/>
    <cellStyle name="_20061027Holux_Re-engineering SLM_PM_Workbook_021510_FairPoint_CampReport 2" xfId="2532" xr:uid="{00000000-0005-0000-0000-00008A090000}"/>
    <cellStyle name="_20061027Holux_Re-engineering SLM_PM_Workbook_021510_FairPoint_CampReport 3" xfId="2533" xr:uid="{00000000-0005-0000-0000-00008B090000}"/>
    <cellStyle name="_20061027Holux_Re-engineering SLM_PM_Workbook_021510_FairPoint_FP comTechOps_ProgramWorkbook" xfId="2534" xr:uid="{00000000-0005-0000-0000-00008C090000}"/>
    <cellStyle name="_20061027Holux_Re-engineering SLM_PM_Workbook_021510_FairPoint_FP comTechOps_ProgramWorkbook 2" xfId="2535" xr:uid="{00000000-0005-0000-0000-00008D090000}"/>
    <cellStyle name="_20061027Holux_Re-engineering SLM_PM_Workbook_021510_FairPoint_FP comTechOps_ProgramWorkbook 3" xfId="2536" xr:uid="{00000000-0005-0000-0000-00008E090000}"/>
    <cellStyle name="_20061027Holux_Re-engineering SLM_PM_Workbook_021510_FairPoint_FP comTechOps_ProgramWorkbook_sachin" xfId="2537" xr:uid="{00000000-0005-0000-0000-00008F090000}"/>
    <cellStyle name="_20061027Holux_Re-engineering SLM_PM_Workbook_021510_FairPoint_FP comTechOps_ProgramWorkbook_sachin 2" xfId="2538" xr:uid="{00000000-0005-0000-0000-000090090000}"/>
    <cellStyle name="_20061027Holux_Re-engineering SLM_PM_Workbook_021510_FairPoint_FP comTechOps_ProgramWorkbook_sachin 3" xfId="2539" xr:uid="{00000000-0005-0000-0000-000091090000}"/>
    <cellStyle name="_20061027Holux_Re-engineering SLM_PM_Workbook_021510_FairPoint_FP comTechOps_ProgramWorkbook_sachin_v1" xfId="2540" xr:uid="{00000000-0005-0000-0000-000092090000}"/>
    <cellStyle name="_20061027Holux_Re-engineering SLM_PM_Workbook_021510_FairPoint_FP comTechOps_ProgramWorkbook_sachin_v1 2" xfId="2541" xr:uid="{00000000-0005-0000-0000-000093090000}"/>
    <cellStyle name="_20061027Holux_Re-engineering SLM_PM_Workbook_021510_FairPoint_FP comTechOps_ProgramWorkbook_sachin_v1 3" xfId="2542" xr:uid="{00000000-0005-0000-0000-000094090000}"/>
    <cellStyle name="_20061027Holux_Re-engineering SLM_PM_Workbook_021510_FP_CAMP&amp;ITReporting_Maintenance_Dashboard" xfId="2543" xr:uid="{00000000-0005-0000-0000-000095090000}"/>
    <cellStyle name="_20061027Holux_Re-engineering SLM_PM_Workbook_021510_FP_CAMP&amp;ITReporting_Maintenance_Dashboard 2" xfId="2544" xr:uid="{00000000-0005-0000-0000-000096090000}"/>
    <cellStyle name="_20061027Holux_Re-engineering SLM_PM_Workbook_021510_FP_CAMP&amp;ITReporting_Maintenance_Dashboard 3" xfId="2545" xr:uid="{00000000-0005-0000-0000-000097090000}"/>
    <cellStyle name="_20061027Holux_Re-engineering SLM_PM_Workbook_021510_FP_CAMPITReporting_Maintenance_Dashboard" xfId="2546" xr:uid="{00000000-0005-0000-0000-000098090000}"/>
    <cellStyle name="_20061027Holux_Re-engineering SLM_PM_Workbook_021510_FP_CAMPITReporting_Maintenance_Dashboard 2" xfId="2547" xr:uid="{00000000-0005-0000-0000-000099090000}"/>
    <cellStyle name="_20061027Holux_Re-engineering SLM_PM_Workbook_021510_FP_CAMPITReporting_Maintenance_Dashboard 3" xfId="2548" xr:uid="{00000000-0005-0000-0000-00009A090000}"/>
    <cellStyle name="_20061027Holux_Re-engineering SLM_PM_Workbook_021510_FP_Commissions_Req_Dn_ProgramWorkBook_10-Dec-2010" xfId="2549" xr:uid="{00000000-0005-0000-0000-00009B090000}"/>
    <cellStyle name="_20061027Holux_Re-engineering SLM_PM_Workbook_021510_FP_Commissions_Req_Dn_ProgramWorkBook_10-Dec-2010 2" xfId="2550" xr:uid="{00000000-0005-0000-0000-00009C090000}"/>
    <cellStyle name="_20061027Holux_Re-engineering SLM_PM_Workbook_021510_FP_Commissions_Req_Dn_ProgramWorkBook_10-Dec-2010 3" xfId="2551" xr:uid="{00000000-0005-0000-0000-00009D090000}"/>
    <cellStyle name="_20061027Holux_Re-engineering SLM_PM_Workbook_021510_FP_DW_Impl_ProgramWorkBook_07-Jan-2011" xfId="2552" xr:uid="{00000000-0005-0000-0000-00009E090000}"/>
    <cellStyle name="_20061027Holux_Re-engineering SLM_PM_Workbook_021510_FP_DW_Impl_ProgramWorkBook_07-Jan-2011 2" xfId="2553" xr:uid="{00000000-0005-0000-0000-00009F090000}"/>
    <cellStyle name="_20061027Holux_Re-engineering SLM_PM_Workbook_021510_FP_DW_Impl_ProgramWorkBook_07-Jan-2011 2 2" xfId="2554" xr:uid="{00000000-0005-0000-0000-0000A0090000}"/>
    <cellStyle name="_20061027Holux_Re-engineering SLM_PM_Workbook_021510_FP_DW_Impl_ProgramWorkBook_07-Jan-2011 2 3" xfId="2555" xr:uid="{00000000-0005-0000-0000-0000A1090000}"/>
    <cellStyle name="_20061027Holux_Re-engineering SLM_PM_Workbook_021510_FP_DW_Impl_ProgramWorkBook_07-Jan-2011 3" xfId="2556" xr:uid="{00000000-0005-0000-0000-0000A2090000}"/>
    <cellStyle name="_20061027Holux_Re-engineering SLM_PM_Workbook_021510_FP_DW_Impl_ProgramWorkBook_07-Jan-2011 4" xfId="2557" xr:uid="{00000000-0005-0000-0000-0000A3090000}"/>
    <cellStyle name="_20061027Holux_Re-engineering SLM_PM_Workbook_021510_FP_DW_Impl_ProgramWorkBook_11-Feb-2011" xfId="2558" xr:uid="{00000000-0005-0000-0000-0000A4090000}"/>
    <cellStyle name="_20061027Holux_Re-engineering SLM_PM_Workbook_021510_FP_DW_Impl_ProgramWorkBook_11-Feb-2011 2" xfId="2559" xr:uid="{00000000-0005-0000-0000-0000A5090000}"/>
    <cellStyle name="_20061027Holux_Re-engineering SLM_PM_Workbook_021510_FP_DW_Impl_ProgramWorkBook_11-Feb-2011 3" xfId="2560" xr:uid="{00000000-0005-0000-0000-0000A6090000}"/>
    <cellStyle name="_20061027Holux_Re-engineering SLM_PM_Workbook_021510_FP_DW_Impl_ProgramWorkBook_18-Feb-2011 - Working" xfId="2561" xr:uid="{00000000-0005-0000-0000-0000A7090000}"/>
    <cellStyle name="_20061027Holux_Re-engineering SLM_PM_Workbook_021510_FP_DW_Impl_ProgramWorkBook_18-Feb-2011 - Working 2" xfId="2562" xr:uid="{00000000-0005-0000-0000-0000A8090000}"/>
    <cellStyle name="_20061027Holux_Re-engineering SLM_PM_Workbook_021510_FP_DW_Impl_ProgramWorkBook_18-Feb-2011 - Working 3" xfId="2563" xr:uid="{00000000-0005-0000-0000-0000A9090000}"/>
    <cellStyle name="_20061027Holux_Re-engineering SLM_PM_Workbook_021510_FP_EnterprisePortal_ProgramWorkbook" xfId="2564" xr:uid="{00000000-0005-0000-0000-0000AA090000}"/>
    <cellStyle name="_20061027Holux_Re-engineering SLM_PM_Workbook_021510_FP_EnterprisePortal_ProgramWorkbook 2" xfId="2565" xr:uid="{00000000-0005-0000-0000-0000AB090000}"/>
    <cellStyle name="_20061027Holux_Re-engineering SLM_PM_Workbook_021510_FP_EnterprisePortal_ProgramWorkbook 3" xfId="2566" xr:uid="{00000000-0005-0000-0000-0000AC090000}"/>
    <cellStyle name="_20061027Holux_Re-engineering SLM_PM_Workbook_021510_FP_SAP_MLP v2" xfId="2567" xr:uid="{00000000-0005-0000-0000-0000AD090000}"/>
    <cellStyle name="_20061027Holux_Re-engineering SLM_PM_Workbook_021510_FP_SAP_MLP v2 2" xfId="2568" xr:uid="{00000000-0005-0000-0000-0000AE090000}"/>
    <cellStyle name="_20061027Holux_Re-engineering SLM_PM_Workbook_021510_FP_SAP_MLP v2 3" xfId="2569" xr:uid="{00000000-0005-0000-0000-0000AF090000}"/>
    <cellStyle name="_20061027Holux_Re-engineering SLM_PM_Workbook_021510_KeyDecisions" xfId="2570" xr:uid="{00000000-0005-0000-0000-0000B0090000}"/>
    <cellStyle name="_20061027Holux_Re-engineering SLM_PM_Workbook_021510_KeyDecisions 2" xfId="2571" xr:uid="{00000000-0005-0000-0000-0000B1090000}"/>
    <cellStyle name="_20061027Holux_Re-engineering SLM_PM_Workbook_021510_KeyDecisions 3" xfId="2572" xr:uid="{00000000-0005-0000-0000-0000B2090000}"/>
    <cellStyle name="_20061027Holux_Re-engineering SLM_PM_Workbook_021510_Sophia_Imp_ProjectWorkBook_02_18_2011" xfId="2573" xr:uid="{00000000-0005-0000-0000-0000B3090000}"/>
    <cellStyle name="_20061027Holux_Re-engineering SLM_PM_Workbook_021510_Sophia_Imp_ProjectWorkBook_02_18_2011 2" xfId="2574" xr:uid="{00000000-0005-0000-0000-0000B4090000}"/>
    <cellStyle name="_20061027Holux_Re-engineering SLM_PM_Workbook_021510_Sophia_Imp_ProjectWorkBook_02_18_2011 3" xfId="2575" xr:uid="{00000000-0005-0000-0000-0000B5090000}"/>
    <cellStyle name="_20061027Holux_Re-engineering SLM_PM_Workbook_021510_t" xfId="2576" xr:uid="{00000000-0005-0000-0000-0000B6090000}"/>
    <cellStyle name="_20061027Holux_Re-engineering SLM_PM_Workbook_021510_t 2" xfId="2577" xr:uid="{00000000-0005-0000-0000-0000B7090000}"/>
    <cellStyle name="_20061027Holux_Re-engineering SLM_PM_Workbook_021510_t 3" xfId="2578" xr:uid="{00000000-0005-0000-0000-0000B8090000}"/>
    <cellStyle name="_20061027Holux_Re-engineering SLM_PM_Workbook_030810" xfId="2579" xr:uid="{00000000-0005-0000-0000-0000B9090000}"/>
    <cellStyle name="_20061027Holux_Re-engineering SLM_PM_Workbook_030810 2" xfId="2580" xr:uid="{00000000-0005-0000-0000-0000BA090000}"/>
    <cellStyle name="_20061027Holux_Re-engineering SLM_PM_Workbook_030810 2 2" xfId="2581" xr:uid="{00000000-0005-0000-0000-0000BB090000}"/>
    <cellStyle name="_20061027Holux_Re-engineering SLM_PM_Workbook_030810 2 3" xfId="2582" xr:uid="{00000000-0005-0000-0000-0000BC090000}"/>
    <cellStyle name="_20061027Holux_Re-engineering SLM_PM_Workbook_030810 3" xfId="2583" xr:uid="{00000000-0005-0000-0000-0000BD090000}"/>
    <cellStyle name="_20061027Holux_Re-engineering SLM_PM_Workbook_030810 3 2" xfId="2584" xr:uid="{00000000-0005-0000-0000-0000BE090000}"/>
    <cellStyle name="_20061027Holux_Re-engineering SLM_PM_Workbook_030810 3 3" xfId="2585" xr:uid="{00000000-0005-0000-0000-0000BF090000}"/>
    <cellStyle name="_20061027Holux_Re-engineering SLM_PM_Workbook_030810 4" xfId="2586" xr:uid="{00000000-0005-0000-0000-0000C0090000}"/>
    <cellStyle name="_20061027Holux_Re-engineering SLM_PM_Workbook_030810 5" xfId="2587" xr:uid="{00000000-0005-0000-0000-0000C1090000}"/>
    <cellStyle name="_20061027Holux_Re-engineering SLM_PM_Workbook_030810_Commissioning System Implementation_Project Workbook_06_10_2011" xfId="2588" xr:uid="{00000000-0005-0000-0000-0000C2090000}"/>
    <cellStyle name="_20061027Holux_Re-engineering SLM_PM_Workbook_030810_Commissioning System Implementation_Project Workbook_06_10_2011 2" xfId="2589" xr:uid="{00000000-0005-0000-0000-0000C3090000}"/>
    <cellStyle name="_20061027Holux_Re-engineering SLM_PM_Workbook_030810_Commissioning System Implementation_Project Workbook_06_10_2011 3" xfId="2590" xr:uid="{00000000-0005-0000-0000-0000C4090000}"/>
    <cellStyle name="_20061027Holux_Re-engineering SLM_PM_Workbook_030810_FairPoint_CampReport" xfId="2591" xr:uid="{00000000-0005-0000-0000-0000C5090000}"/>
    <cellStyle name="_20061027Holux_Re-engineering SLM_PM_Workbook_030810_FairPoint_CampReport 2" xfId="2592" xr:uid="{00000000-0005-0000-0000-0000C6090000}"/>
    <cellStyle name="_20061027Holux_Re-engineering SLM_PM_Workbook_030810_FairPoint_CampReport 3" xfId="2593" xr:uid="{00000000-0005-0000-0000-0000C7090000}"/>
    <cellStyle name="_20061027Holux_Re-engineering SLM_PM_Workbook_030810_FairPoint_FP comTechOps_ProgramWorkbook" xfId="2594" xr:uid="{00000000-0005-0000-0000-0000C8090000}"/>
    <cellStyle name="_20061027Holux_Re-engineering SLM_PM_Workbook_030810_FairPoint_FP comTechOps_ProgramWorkbook 2" xfId="2595" xr:uid="{00000000-0005-0000-0000-0000C9090000}"/>
    <cellStyle name="_20061027Holux_Re-engineering SLM_PM_Workbook_030810_FairPoint_FP comTechOps_ProgramWorkbook 3" xfId="2596" xr:uid="{00000000-0005-0000-0000-0000CA090000}"/>
    <cellStyle name="_20061027Holux_Re-engineering SLM_PM_Workbook_030810_FairPoint_FP comTechOps_ProgramWorkbook_sachin" xfId="2597" xr:uid="{00000000-0005-0000-0000-0000CB090000}"/>
    <cellStyle name="_20061027Holux_Re-engineering SLM_PM_Workbook_030810_FairPoint_FP comTechOps_ProgramWorkbook_sachin 2" xfId="2598" xr:uid="{00000000-0005-0000-0000-0000CC090000}"/>
    <cellStyle name="_20061027Holux_Re-engineering SLM_PM_Workbook_030810_FairPoint_FP comTechOps_ProgramWorkbook_sachin 3" xfId="2599" xr:uid="{00000000-0005-0000-0000-0000CD090000}"/>
    <cellStyle name="_20061027Holux_Re-engineering SLM_PM_Workbook_030810_FairPoint_FP comTechOps_ProgramWorkbook_sachin_v1" xfId="2600" xr:uid="{00000000-0005-0000-0000-0000CE090000}"/>
    <cellStyle name="_20061027Holux_Re-engineering SLM_PM_Workbook_030810_FairPoint_FP comTechOps_ProgramWorkbook_sachin_v1 2" xfId="2601" xr:uid="{00000000-0005-0000-0000-0000CF090000}"/>
    <cellStyle name="_20061027Holux_Re-engineering SLM_PM_Workbook_030810_FairPoint_FP comTechOps_ProgramWorkbook_sachin_v1 3" xfId="2602" xr:uid="{00000000-0005-0000-0000-0000D0090000}"/>
    <cellStyle name="_20061027Holux_Re-engineering SLM_PM_Workbook_030810_FP_CAMP&amp;ITReporting_Maintenance_Dashboard" xfId="2603" xr:uid="{00000000-0005-0000-0000-0000D1090000}"/>
    <cellStyle name="_20061027Holux_Re-engineering SLM_PM_Workbook_030810_FP_CAMP&amp;ITReporting_Maintenance_Dashboard 2" xfId="2604" xr:uid="{00000000-0005-0000-0000-0000D2090000}"/>
    <cellStyle name="_20061027Holux_Re-engineering SLM_PM_Workbook_030810_FP_CAMP&amp;ITReporting_Maintenance_Dashboard 3" xfId="2605" xr:uid="{00000000-0005-0000-0000-0000D3090000}"/>
    <cellStyle name="_20061027Holux_Re-engineering SLM_PM_Workbook_030810_FP_CAMPITReporting_Maintenance_Dashboard" xfId="2606" xr:uid="{00000000-0005-0000-0000-0000D4090000}"/>
    <cellStyle name="_20061027Holux_Re-engineering SLM_PM_Workbook_030810_FP_CAMPITReporting_Maintenance_Dashboard 2" xfId="2607" xr:uid="{00000000-0005-0000-0000-0000D5090000}"/>
    <cellStyle name="_20061027Holux_Re-engineering SLM_PM_Workbook_030810_FP_CAMPITReporting_Maintenance_Dashboard 3" xfId="2608" xr:uid="{00000000-0005-0000-0000-0000D6090000}"/>
    <cellStyle name="_20061027Holux_Re-engineering SLM_PM_Workbook_030810_FP_Commissions_Req_Dn_ProgramWorkBook_10-Dec-2010" xfId="2609" xr:uid="{00000000-0005-0000-0000-0000D7090000}"/>
    <cellStyle name="_20061027Holux_Re-engineering SLM_PM_Workbook_030810_FP_Commissions_Req_Dn_ProgramWorkBook_10-Dec-2010 2" xfId="2610" xr:uid="{00000000-0005-0000-0000-0000D8090000}"/>
    <cellStyle name="_20061027Holux_Re-engineering SLM_PM_Workbook_030810_FP_Commissions_Req_Dn_ProgramWorkBook_10-Dec-2010 3" xfId="2611" xr:uid="{00000000-0005-0000-0000-0000D9090000}"/>
    <cellStyle name="_20061027Holux_Re-engineering SLM_PM_Workbook_030810_FP_DW_Impl_ProgramWorkBook_07-Jan-2011" xfId="2612" xr:uid="{00000000-0005-0000-0000-0000DA090000}"/>
    <cellStyle name="_20061027Holux_Re-engineering SLM_PM_Workbook_030810_FP_DW_Impl_ProgramWorkBook_07-Jan-2011 2" xfId="2613" xr:uid="{00000000-0005-0000-0000-0000DB090000}"/>
    <cellStyle name="_20061027Holux_Re-engineering SLM_PM_Workbook_030810_FP_DW_Impl_ProgramWorkBook_07-Jan-2011 2 2" xfId="2614" xr:uid="{00000000-0005-0000-0000-0000DC090000}"/>
    <cellStyle name="_20061027Holux_Re-engineering SLM_PM_Workbook_030810_FP_DW_Impl_ProgramWorkBook_07-Jan-2011 2 3" xfId="2615" xr:uid="{00000000-0005-0000-0000-0000DD090000}"/>
    <cellStyle name="_20061027Holux_Re-engineering SLM_PM_Workbook_030810_FP_DW_Impl_ProgramWorkBook_07-Jan-2011 3" xfId="2616" xr:uid="{00000000-0005-0000-0000-0000DE090000}"/>
    <cellStyle name="_20061027Holux_Re-engineering SLM_PM_Workbook_030810_FP_DW_Impl_ProgramWorkBook_07-Jan-2011 4" xfId="2617" xr:uid="{00000000-0005-0000-0000-0000DF090000}"/>
    <cellStyle name="_20061027Holux_Re-engineering SLM_PM_Workbook_030810_FP_DW_Impl_ProgramWorkBook_11-Feb-2011" xfId="2618" xr:uid="{00000000-0005-0000-0000-0000E0090000}"/>
    <cellStyle name="_20061027Holux_Re-engineering SLM_PM_Workbook_030810_FP_DW_Impl_ProgramWorkBook_11-Feb-2011 2" xfId="2619" xr:uid="{00000000-0005-0000-0000-0000E1090000}"/>
    <cellStyle name="_20061027Holux_Re-engineering SLM_PM_Workbook_030810_FP_DW_Impl_ProgramWorkBook_11-Feb-2011 3" xfId="2620" xr:uid="{00000000-0005-0000-0000-0000E2090000}"/>
    <cellStyle name="_20061027Holux_Re-engineering SLM_PM_Workbook_030810_FP_DW_Impl_ProgramWorkBook_18-Feb-2011 - Working" xfId="2621" xr:uid="{00000000-0005-0000-0000-0000E3090000}"/>
    <cellStyle name="_20061027Holux_Re-engineering SLM_PM_Workbook_030810_FP_DW_Impl_ProgramWorkBook_18-Feb-2011 - Working 2" xfId="2622" xr:uid="{00000000-0005-0000-0000-0000E4090000}"/>
    <cellStyle name="_20061027Holux_Re-engineering SLM_PM_Workbook_030810_FP_DW_Impl_ProgramWorkBook_18-Feb-2011 - Working 3" xfId="2623" xr:uid="{00000000-0005-0000-0000-0000E5090000}"/>
    <cellStyle name="_20061027Holux_Re-engineering SLM_PM_Workbook_030810_FP_EnterprisePortal_ProgramWorkbook" xfId="2624" xr:uid="{00000000-0005-0000-0000-0000E6090000}"/>
    <cellStyle name="_20061027Holux_Re-engineering SLM_PM_Workbook_030810_FP_EnterprisePortal_ProgramWorkbook 2" xfId="2625" xr:uid="{00000000-0005-0000-0000-0000E7090000}"/>
    <cellStyle name="_20061027Holux_Re-engineering SLM_PM_Workbook_030810_FP_EnterprisePortal_ProgramWorkbook 3" xfId="2626" xr:uid="{00000000-0005-0000-0000-0000E8090000}"/>
    <cellStyle name="_20061027Holux_Re-engineering SLM_PM_Workbook_030810_FP_SAP_MLP v2" xfId="2627" xr:uid="{00000000-0005-0000-0000-0000E9090000}"/>
    <cellStyle name="_20061027Holux_Re-engineering SLM_PM_Workbook_030810_FP_SAP_MLP v2 2" xfId="2628" xr:uid="{00000000-0005-0000-0000-0000EA090000}"/>
    <cellStyle name="_20061027Holux_Re-engineering SLM_PM_Workbook_030810_FP_SAP_MLP v2 3" xfId="2629" xr:uid="{00000000-0005-0000-0000-0000EB090000}"/>
    <cellStyle name="_20061027Holux_Re-engineering SLM_PM_Workbook_030810_KeyDecisions" xfId="2630" xr:uid="{00000000-0005-0000-0000-0000EC090000}"/>
    <cellStyle name="_20061027Holux_Re-engineering SLM_PM_Workbook_030810_KeyDecisions 2" xfId="2631" xr:uid="{00000000-0005-0000-0000-0000ED090000}"/>
    <cellStyle name="_20061027Holux_Re-engineering SLM_PM_Workbook_030810_KeyDecisions 3" xfId="2632" xr:uid="{00000000-0005-0000-0000-0000EE090000}"/>
    <cellStyle name="_20061027Holux_Re-engineering SLM_PM_Workbook_030810_Sophia_Imp_ProjectWorkBook_02_18_2011" xfId="2633" xr:uid="{00000000-0005-0000-0000-0000EF090000}"/>
    <cellStyle name="_20061027Holux_Re-engineering SLM_PM_Workbook_030810_Sophia_Imp_ProjectWorkBook_02_18_2011 2" xfId="2634" xr:uid="{00000000-0005-0000-0000-0000F0090000}"/>
    <cellStyle name="_20061027Holux_Re-engineering SLM_PM_Workbook_030810_Sophia_Imp_ProjectWorkBook_02_18_2011 3" xfId="2635" xr:uid="{00000000-0005-0000-0000-0000F1090000}"/>
    <cellStyle name="_20061027Holux_Re-engineering SLM_PM_Workbook_030810_t" xfId="2636" xr:uid="{00000000-0005-0000-0000-0000F2090000}"/>
    <cellStyle name="_20061027Holux_Re-engineering SLM_PM_Workbook_030810_t 2" xfId="2637" xr:uid="{00000000-0005-0000-0000-0000F3090000}"/>
    <cellStyle name="_20061027Holux_Re-engineering SLM_PM_Workbook_030810_t 3" xfId="2638" xr:uid="{00000000-0005-0000-0000-0000F4090000}"/>
    <cellStyle name="_20061027Holux_Scope and Deliverable Summary" xfId="2639" xr:uid="{00000000-0005-0000-0000-0000F5090000}"/>
    <cellStyle name="_20061027Holux_Scope and Deliverable Summary 2" xfId="2640" xr:uid="{00000000-0005-0000-0000-0000F6090000}"/>
    <cellStyle name="_20061027Holux_Scope and Deliverable Summary 2 2" xfId="2641" xr:uid="{00000000-0005-0000-0000-0000F7090000}"/>
    <cellStyle name="_20061027Holux_Scope and Deliverable Summary 2 3" xfId="2642" xr:uid="{00000000-0005-0000-0000-0000F8090000}"/>
    <cellStyle name="_20061027Holux_Scope and Deliverable Summary 3" xfId="2643" xr:uid="{00000000-0005-0000-0000-0000F9090000}"/>
    <cellStyle name="_20061027Holux_Scope and Deliverable Summary 3 2" xfId="2644" xr:uid="{00000000-0005-0000-0000-0000FA090000}"/>
    <cellStyle name="_20061027Holux_Scope and Deliverable Summary 3 3" xfId="2645" xr:uid="{00000000-0005-0000-0000-0000FB090000}"/>
    <cellStyle name="_20061027Holux_Scope and Deliverable Summary 4" xfId="2646" xr:uid="{00000000-0005-0000-0000-0000FC090000}"/>
    <cellStyle name="_20061027Holux_Scope and Deliverable Summary 5" xfId="2647" xr:uid="{00000000-0005-0000-0000-0000FD090000}"/>
    <cellStyle name="_20061027Holux_Scope and Deliverable Summary_Commissioning System Implementation_Project Workbook_06_10_2011" xfId="2648" xr:uid="{00000000-0005-0000-0000-0000FE090000}"/>
    <cellStyle name="_20061027Holux_Scope and Deliverable Summary_Commissioning System Implementation_Project Workbook_06_10_2011 2" xfId="2649" xr:uid="{00000000-0005-0000-0000-0000FF090000}"/>
    <cellStyle name="_20061027Holux_Scope and Deliverable Summary_Commissioning System Implementation_Project Workbook_06_10_2011 3" xfId="2650" xr:uid="{00000000-0005-0000-0000-0000000A0000}"/>
    <cellStyle name="_20061027Holux_Scope and Deliverable Summary_FairPoint_CampReport" xfId="2651" xr:uid="{00000000-0005-0000-0000-0000010A0000}"/>
    <cellStyle name="_20061027Holux_Scope and Deliverable Summary_FairPoint_CampReport 2" xfId="2652" xr:uid="{00000000-0005-0000-0000-0000020A0000}"/>
    <cellStyle name="_20061027Holux_Scope and Deliverable Summary_FairPoint_CampReport 3" xfId="2653" xr:uid="{00000000-0005-0000-0000-0000030A0000}"/>
    <cellStyle name="_20061027Holux_Scope and Deliverable Summary_FairPoint_FP comTechOps_ProgramWorkbook" xfId="2654" xr:uid="{00000000-0005-0000-0000-0000040A0000}"/>
    <cellStyle name="_20061027Holux_Scope and Deliverable Summary_FairPoint_FP comTechOps_ProgramWorkbook 2" xfId="2655" xr:uid="{00000000-0005-0000-0000-0000050A0000}"/>
    <cellStyle name="_20061027Holux_Scope and Deliverable Summary_FairPoint_FP comTechOps_ProgramWorkbook 3" xfId="2656" xr:uid="{00000000-0005-0000-0000-0000060A0000}"/>
    <cellStyle name="_20061027Holux_Scope and Deliverable Summary_FairPoint_FP comTechOps_ProgramWorkbook_sachin" xfId="2657" xr:uid="{00000000-0005-0000-0000-0000070A0000}"/>
    <cellStyle name="_20061027Holux_Scope and Deliverable Summary_FairPoint_FP comTechOps_ProgramWorkbook_sachin 2" xfId="2658" xr:uid="{00000000-0005-0000-0000-0000080A0000}"/>
    <cellStyle name="_20061027Holux_Scope and Deliverable Summary_FairPoint_FP comTechOps_ProgramWorkbook_sachin 3" xfId="2659" xr:uid="{00000000-0005-0000-0000-0000090A0000}"/>
    <cellStyle name="_20061027Holux_Scope and Deliverable Summary_FairPoint_FP comTechOps_ProgramWorkbook_sachin_v1" xfId="2660" xr:uid="{00000000-0005-0000-0000-00000A0A0000}"/>
    <cellStyle name="_20061027Holux_Scope and Deliverable Summary_FairPoint_FP comTechOps_ProgramWorkbook_sachin_v1 2" xfId="2661" xr:uid="{00000000-0005-0000-0000-00000B0A0000}"/>
    <cellStyle name="_20061027Holux_Scope and Deliverable Summary_FairPoint_FP comTechOps_ProgramWorkbook_sachin_v1 3" xfId="2662" xr:uid="{00000000-0005-0000-0000-00000C0A0000}"/>
    <cellStyle name="_20061027Holux_Scope and Deliverable Summary_FP_CAMP&amp;ITReporting_Maintenance_Dashboard" xfId="2663" xr:uid="{00000000-0005-0000-0000-00000D0A0000}"/>
    <cellStyle name="_20061027Holux_Scope and Deliverable Summary_FP_CAMP&amp;ITReporting_Maintenance_Dashboard 2" xfId="2664" xr:uid="{00000000-0005-0000-0000-00000E0A0000}"/>
    <cellStyle name="_20061027Holux_Scope and Deliverable Summary_FP_CAMP&amp;ITReporting_Maintenance_Dashboard 3" xfId="2665" xr:uid="{00000000-0005-0000-0000-00000F0A0000}"/>
    <cellStyle name="_20061027Holux_Scope and Deliverable Summary_FP_CAMPITReporting_Maintenance_Dashboard" xfId="2666" xr:uid="{00000000-0005-0000-0000-0000100A0000}"/>
    <cellStyle name="_20061027Holux_Scope and Deliverable Summary_FP_CAMPITReporting_Maintenance_Dashboard 2" xfId="2667" xr:uid="{00000000-0005-0000-0000-0000110A0000}"/>
    <cellStyle name="_20061027Holux_Scope and Deliverable Summary_FP_CAMPITReporting_Maintenance_Dashboard 3" xfId="2668" xr:uid="{00000000-0005-0000-0000-0000120A0000}"/>
    <cellStyle name="_20061027Holux_Scope and Deliverable Summary_FP_Commissions_Req_Dn_ProgramWorkBook_10-Dec-2010" xfId="2669" xr:uid="{00000000-0005-0000-0000-0000130A0000}"/>
    <cellStyle name="_20061027Holux_Scope and Deliverable Summary_FP_Commissions_Req_Dn_ProgramWorkBook_10-Dec-2010 2" xfId="2670" xr:uid="{00000000-0005-0000-0000-0000140A0000}"/>
    <cellStyle name="_20061027Holux_Scope and Deliverable Summary_FP_Commissions_Req_Dn_ProgramWorkBook_10-Dec-2010 3" xfId="2671" xr:uid="{00000000-0005-0000-0000-0000150A0000}"/>
    <cellStyle name="_20061027Holux_Scope and Deliverable Summary_FP_DW_Impl_ProgramWorkBook_07-Jan-2011" xfId="2672" xr:uid="{00000000-0005-0000-0000-0000160A0000}"/>
    <cellStyle name="_20061027Holux_Scope and Deliverable Summary_FP_DW_Impl_ProgramWorkBook_07-Jan-2011 2" xfId="2673" xr:uid="{00000000-0005-0000-0000-0000170A0000}"/>
    <cellStyle name="_20061027Holux_Scope and Deliverable Summary_FP_DW_Impl_ProgramWorkBook_07-Jan-2011 2 2" xfId="2674" xr:uid="{00000000-0005-0000-0000-0000180A0000}"/>
    <cellStyle name="_20061027Holux_Scope and Deliverable Summary_FP_DW_Impl_ProgramWorkBook_07-Jan-2011 2 3" xfId="2675" xr:uid="{00000000-0005-0000-0000-0000190A0000}"/>
    <cellStyle name="_20061027Holux_Scope and Deliverable Summary_FP_DW_Impl_ProgramWorkBook_07-Jan-2011 3" xfId="2676" xr:uid="{00000000-0005-0000-0000-00001A0A0000}"/>
    <cellStyle name="_20061027Holux_Scope and Deliverable Summary_FP_DW_Impl_ProgramWorkBook_07-Jan-2011 4" xfId="2677" xr:uid="{00000000-0005-0000-0000-00001B0A0000}"/>
    <cellStyle name="_20061027Holux_Scope and Deliverable Summary_FP_DW_Impl_ProgramWorkBook_11-Feb-2011" xfId="2678" xr:uid="{00000000-0005-0000-0000-00001C0A0000}"/>
    <cellStyle name="_20061027Holux_Scope and Deliverable Summary_FP_DW_Impl_ProgramWorkBook_11-Feb-2011 2" xfId="2679" xr:uid="{00000000-0005-0000-0000-00001D0A0000}"/>
    <cellStyle name="_20061027Holux_Scope and Deliverable Summary_FP_DW_Impl_ProgramWorkBook_11-Feb-2011 3" xfId="2680" xr:uid="{00000000-0005-0000-0000-00001E0A0000}"/>
    <cellStyle name="_20061027Holux_Scope and Deliverable Summary_FP_DW_Impl_ProgramWorkBook_18-Feb-2011 - Working" xfId="2681" xr:uid="{00000000-0005-0000-0000-00001F0A0000}"/>
    <cellStyle name="_20061027Holux_Scope and Deliverable Summary_FP_DW_Impl_ProgramWorkBook_18-Feb-2011 - Working 2" xfId="2682" xr:uid="{00000000-0005-0000-0000-0000200A0000}"/>
    <cellStyle name="_20061027Holux_Scope and Deliverable Summary_FP_DW_Impl_ProgramWorkBook_18-Feb-2011 - Working 3" xfId="2683" xr:uid="{00000000-0005-0000-0000-0000210A0000}"/>
    <cellStyle name="_20061027Holux_Scope and Deliverable Summary_FP_EnterprisePortal_ProgramWorkbook" xfId="2684" xr:uid="{00000000-0005-0000-0000-0000220A0000}"/>
    <cellStyle name="_20061027Holux_Scope and Deliverable Summary_FP_EnterprisePortal_ProgramWorkbook 2" xfId="2685" xr:uid="{00000000-0005-0000-0000-0000230A0000}"/>
    <cellStyle name="_20061027Holux_Scope and Deliverable Summary_FP_EnterprisePortal_ProgramWorkbook 3" xfId="2686" xr:uid="{00000000-0005-0000-0000-0000240A0000}"/>
    <cellStyle name="_20061027Holux_Scope and Deliverable Summary_FP_SAP_MLP v2" xfId="2687" xr:uid="{00000000-0005-0000-0000-0000250A0000}"/>
    <cellStyle name="_20061027Holux_Scope and Deliverable Summary_FP_SAP_MLP v2 2" xfId="2688" xr:uid="{00000000-0005-0000-0000-0000260A0000}"/>
    <cellStyle name="_20061027Holux_Scope and Deliverable Summary_FP_SAP_MLP v2 3" xfId="2689" xr:uid="{00000000-0005-0000-0000-0000270A0000}"/>
    <cellStyle name="_20061027Holux_Scope and Deliverable Summary_KeyDecisions" xfId="2690" xr:uid="{00000000-0005-0000-0000-0000280A0000}"/>
    <cellStyle name="_20061027Holux_Scope and Deliverable Summary_KeyDecisions 2" xfId="2691" xr:uid="{00000000-0005-0000-0000-0000290A0000}"/>
    <cellStyle name="_20061027Holux_Scope and Deliverable Summary_KeyDecisions 3" xfId="2692" xr:uid="{00000000-0005-0000-0000-00002A0A0000}"/>
    <cellStyle name="_20061027Holux_Scope and Deliverable Summary_Sophia_Imp_ProjectWorkBook_02_18_2011" xfId="2693" xr:uid="{00000000-0005-0000-0000-00002B0A0000}"/>
    <cellStyle name="_20061027Holux_Scope and Deliverable Summary_Sophia_Imp_ProjectWorkBook_02_18_2011 2" xfId="2694" xr:uid="{00000000-0005-0000-0000-00002C0A0000}"/>
    <cellStyle name="_20061027Holux_Scope and Deliverable Summary_Sophia_Imp_ProjectWorkBook_02_18_2011 3" xfId="2695" xr:uid="{00000000-0005-0000-0000-00002D0A0000}"/>
    <cellStyle name="_20061027Holux_Scope and Deliverable Summary_t" xfId="2696" xr:uid="{00000000-0005-0000-0000-00002E0A0000}"/>
    <cellStyle name="_20061027Holux_Scope and Deliverable Summary_t 2" xfId="2697" xr:uid="{00000000-0005-0000-0000-00002F0A0000}"/>
    <cellStyle name="_20061027Holux_Scope and Deliverable Summary_t 3" xfId="2698" xr:uid="{00000000-0005-0000-0000-0000300A0000}"/>
    <cellStyle name="_20061027Holux_Scope and Deliverables Summary_0320" xfId="2699" xr:uid="{00000000-0005-0000-0000-0000310A0000}"/>
    <cellStyle name="_20061027Holux_Scope and Deliverables Summary_0320 2" xfId="2700" xr:uid="{00000000-0005-0000-0000-0000320A0000}"/>
    <cellStyle name="_20061027Holux_Scope and Deliverables Summary_0320 2 2" xfId="2701" xr:uid="{00000000-0005-0000-0000-0000330A0000}"/>
    <cellStyle name="_20061027Holux_Scope and Deliverables Summary_0320 2 3" xfId="2702" xr:uid="{00000000-0005-0000-0000-0000340A0000}"/>
    <cellStyle name="_20061027Holux_Scope and Deliverables Summary_0320 3" xfId="2703" xr:uid="{00000000-0005-0000-0000-0000350A0000}"/>
    <cellStyle name="_20061027Holux_Scope and Deliverables Summary_0320 3 2" xfId="2704" xr:uid="{00000000-0005-0000-0000-0000360A0000}"/>
    <cellStyle name="_20061027Holux_Scope and Deliverables Summary_0320 3 3" xfId="2705" xr:uid="{00000000-0005-0000-0000-0000370A0000}"/>
    <cellStyle name="_20061027Holux_Scope and Deliverables Summary_0320 4" xfId="2706" xr:uid="{00000000-0005-0000-0000-0000380A0000}"/>
    <cellStyle name="_20061027Holux_Scope and Deliverables Summary_0320 5" xfId="2707" xr:uid="{00000000-0005-0000-0000-0000390A0000}"/>
    <cellStyle name="_20061027Holux_Scope and Deliverables Summary_0320_Commissioning System Implementation_Project Workbook_06_10_2011" xfId="2708" xr:uid="{00000000-0005-0000-0000-00003A0A0000}"/>
    <cellStyle name="_20061027Holux_Scope and Deliverables Summary_0320_Commissioning System Implementation_Project Workbook_06_10_2011 2" xfId="2709" xr:uid="{00000000-0005-0000-0000-00003B0A0000}"/>
    <cellStyle name="_20061027Holux_Scope and Deliverables Summary_0320_Commissioning System Implementation_Project Workbook_06_10_2011 3" xfId="2710" xr:uid="{00000000-0005-0000-0000-00003C0A0000}"/>
    <cellStyle name="_20061027Holux_Scope and Deliverables Summary_0320_FairPoint_CampReport" xfId="2711" xr:uid="{00000000-0005-0000-0000-00003D0A0000}"/>
    <cellStyle name="_20061027Holux_Scope and Deliverables Summary_0320_FairPoint_CampReport 2" xfId="2712" xr:uid="{00000000-0005-0000-0000-00003E0A0000}"/>
    <cellStyle name="_20061027Holux_Scope and Deliverables Summary_0320_FairPoint_CampReport 3" xfId="2713" xr:uid="{00000000-0005-0000-0000-00003F0A0000}"/>
    <cellStyle name="_20061027Holux_Scope and Deliverables Summary_0320_FairPoint_FP comTechOps_ProgramWorkbook" xfId="2714" xr:uid="{00000000-0005-0000-0000-0000400A0000}"/>
    <cellStyle name="_20061027Holux_Scope and Deliverables Summary_0320_FairPoint_FP comTechOps_ProgramWorkbook 2" xfId="2715" xr:uid="{00000000-0005-0000-0000-0000410A0000}"/>
    <cellStyle name="_20061027Holux_Scope and Deliverables Summary_0320_FairPoint_FP comTechOps_ProgramWorkbook 3" xfId="2716" xr:uid="{00000000-0005-0000-0000-0000420A0000}"/>
    <cellStyle name="_20061027Holux_Scope and Deliverables Summary_0320_FairPoint_FP comTechOps_ProgramWorkbook_sachin" xfId="2717" xr:uid="{00000000-0005-0000-0000-0000430A0000}"/>
    <cellStyle name="_20061027Holux_Scope and Deliverables Summary_0320_FairPoint_FP comTechOps_ProgramWorkbook_sachin 2" xfId="2718" xr:uid="{00000000-0005-0000-0000-0000440A0000}"/>
    <cellStyle name="_20061027Holux_Scope and Deliverables Summary_0320_FairPoint_FP comTechOps_ProgramWorkbook_sachin 3" xfId="2719" xr:uid="{00000000-0005-0000-0000-0000450A0000}"/>
    <cellStyle name="_20061027Holux_Scope and Deliverables Summary_0320_FairPoint_FP comTechOps_ProgramWorkbook_sachin_v1" xfId="2720" xr:uid="{00000000-0005-0000-0000-0000460A0000}"/>
    <cellStyle name="_20061027Holux_Scope and Deliverables Summary_0320_FairPoint_FP comTechOps_ProgramWorkbook_sachin_v1 2" xfId="2721" xr:uid="{00000000-0005-0000-0000-0000470A0000}"/>
    <cellStyle name="_20061027Holux_Scope and Deliverables Summary_0320_FairPoint_FP comTechOps_ProgramWorkbook_sachin_v1 3" xfId="2722" xr:uid="{00000000-0005-0000-0000-0000480A0000}"/>
    <cellStyle name="_20061027Holux_Scope and Deliverables Summary_0320_FP_CAMP&amp;ITReporting_Maintenance_Dashboard" xfId="2723" xr:uid="{00000000-0005-0000-0000-0000490A0000}"/>
    <cellStyle name="_20061027Holux_Scope and Deliverables Summary_0320_FP_CAMP&amp;ITReporting_Maintenance_Dashboard 2" xfId="2724" xr:uid="{00000000-0005-0000-0000-00004A0A0000}"/>
    <cellStyle name="_20061027Holux_Scope and Deliverables Summary_0320_FP_CAMP&amp;ITReporting_Maintenance_Dashboard 3" xfId="2725" xr:uid="{00000000-0005-0000-0000-00004B0A0000}"/>
    <cellStyle name="_20061027Holux_Scope and Deliverables Summary_0320_FP_CAMPITReporting_Maintenance_Dashboard" xfId="2726" xr:uid="{00000000-0005-0000-0000-00004C0A0000}"/>
    <cellStyle name="_20061027Holux_Scope and Deliverables Summary_0320_FP_CAMPITReporting_Maintenance_Dashboard 2" xfId="2727" xr:uid="{00000000-0005-0000-0000-00004D0A0000}"/>
    <cellStyle name="_20061027Holux_Scope and Deliverables Summary_0320_FP_CAMPITReporting_Maintenance_Dashboard 3" xfId="2728" xr:uid="{00000000-0005-0000-0000-00004E0A0000}"/>
    <cellStyle name="_20061027Holux_Scope and Deliverables Summary_0320_FP_Commissions_Req_Dn_ProgramWorkBook_10-Dec-2010" xfId="2729" xr:uid="{00000000-0005-0000-0000-00004F0A0000}"/>
    <cellStyle name="_20061027Holux_Scope and Deliverables Summary_0320_FP_Commissions_Req_Dn_ProgramWorkBook_10-Dec-2010 2" xfId="2730" xr:uid="{00000000-0005-0000-0000-0000500A0000}"/>
    <cellStyle name="_20061027Holux_Scope and Deliverables Summary_0320_FP_Commissions_Req_Dn_ProgramWorkBook_10-Dec-2010 3" xfId="2731" xr:uid="{00000000-0005-0000-0000-0000510A0000}"/>
    <cellStyle name="_20061027Holux_Scope and Deliverables Summary_0320_FP_DW_Impl_ProgramWorkBook_07-Jan-2011" xfId="2732" xr:uid="{00000000-0005-0000-0000-0000520A0000}"/>
    <cellStyle name="_20061027Holux_Scope and Deliverables Summary_0320_FP_DW_Impl_ProgramWorkBook_07-Jan-2011 2" xfId="2733" xr:uid="{00000000-0005-0000-0000-0000530A0000}"/>
    <cellStyle name="_20061027Holux_Scope and Deliverables Summary_0320_FP_DW_Impl_ProgramWorkBook_07-Jan-2011 2 2" xfId="2734" xr:uid="{00000000-0005-0000-0000-0000540A0000}"/>
    <cellStyle name="_20061027Holux_Scope and Deliverables Summary_0320_FP_DW_Impl_ProgramWorkBook_07-Jan-2011 2 3" xfId="2735" xr:uid="{00000000-0005-0000-0000-0000550A0000}"/>
    <cellStyle name="_20061027Holux_Scope and Deliverables Summary_0320_FP_DW_Impl_ProgramWorkBook_07-Jan-2011 3" xfId="2736" xr:uid="{00000000-0005-0000-0000-0000560A0000}"/>
    <cellStyle name="_20061027Holux_Scope and Deliverables Summary_0320_FP_DW_Impl_ProgramWorkBook_07-Jan-2011 4" xfId="2737" xr:uid="{00000000-0005-0000-0000-0000570A0000}"/>
    <cellStyle name="_20061027Holux_Scope and Deliverables Summary_0320_FP_DW_Impl_ProgramWorkBook_11-Feb-2011" xfId="2738" xr:uid="{00000000-0005-0000-0000-0000580A0000}"/>
    <cellStyle name="_20061027Holux_Scope and Deliverables Summary_0320_FP_DW_Impl_ProgramWorkBook_11-Feb-2011 2" xfId="2739" xr:uid="{00000000-0005-0000-0000-0000590A0000}"/>
    <cellStyle name="_20061027Holux_Scope and Deliverables Summary_0320_FP_DW_Impl_ProgramWorkBook_11-Feb-2011 3" xfId="2740" xr:uid="{00000000-0005-0000-0000-00005A0A0000}"/>
    <cellStyle name="_20061027Holux_Scope and Deliverables Summary_0320_FP_DW_Impl_ProgramWorkBook_18-Feb-2011 - Working" xfId="2741" xr:uid="{00000000-0005-0000-0000-00005B0A0000}"/>
    <cellStyle name="_20061027Holux_Scope and Deliverables Summary_0320_FP_DW_Impl_ProgramWorkBook_18-Feb-2011 - Working 2" xfId="2742" xr:uid="{00000000-0005-0000-0000-00005C0A0000}"/>
    <cellStyle name="_20061027Holux_Scope and Deliverables Summary_0320_FP_DW_Impl_ProgramWorkBook_18-Feb-2011 - Working 3" xfId="2743" xr:uid="{00000000-0005-0000-0000-00005D0A0000}"/>
    <cellStyle name="_20061027Holux_Scope and Deliverables Summary_0320_FP_EnterprisePortal_ProgramWorkbook" xfId="2744" xr:uid="{00000000-0005-0000-0000-00005E0A0000}"/>
    <cellStyle name="_20061027Holux_Scope and Deliverables Summary_0320_FP_EnterprisePortal_ProgramWorkbook 2" xfId="2745" xr:uid="{00000000-0005-0000-0000-00005F0A0000}"/>
    <cellStyle name="_20061027Holux_Scope and Deliverables Summary_0320_FP_EnterprisePortal_ProgramWorkbook 3" xfId="2746" xr:uid="{00000000-0005-0000-0000-0000600A0000}"/>
    <cellStyle name="_20061027Holux_Scope and Deliverables Summary_0320_FP_SAP_MLP v2" xfId="2747" xr:uid="{00000000-0005-0000-0000-0000610A0000}"/>
    <cellStyle name="_20061027Holux_Scope and Deliverables Summary_0320_FP_SAP_MLP v2 2" xfId="2748" xr:uid="{00000000-0005-0000-0000-0000620A0000}"/>
    <cellStyle name="_20061027Holux_Scope and Deliverables Summary_0320_FP_SAP_MLP v2 3" xfId="2749" xr:uid="{00000000-0005-0000-0000-0000630A0000}"/>
    <cellStyle name="_20061027Holux_Scope and Deliverables Summary_0320_KeyDecisions" xfId="2750" xr:uid="{00000000-0005-0000-0000-0000640A0000}"/>
    <cellStyle name="_20061027Holux_Scope and Deliverables Summary_0320_KeyDecisions 2" xfId="2751" xr:uid="{00000000-0005-0000-0000-0000650A0000}"/>
    <cellStyle name="_20061027Holux_Scope and Deliverables Summary_0320_KeyDecisions 3" xfId="2752" xr:uid="{00000000-0005-0000-0000-0000660A0000}"/>
    <cellStyle name="_20061027Holux_Scope and Deliverables Summary_0320_Sophia_Imp_ProjectWorkBook_02_18_2011" xfId="2753" xr:uid="{00000000-0005-0000-0000-0000670A0000}"/>
    <cellStyle name="_20061027Holux_Scope and Deliverables Summary_0320_Sophia_Imp_ProjectWorkBook_02_18_2011 2" xfId="2754" xr:uid="{00000000-0005-0000-0000-0000680A0000}"/>
    <cellStyle name="_20061027Holux_Scope and Deliverables Summary_0320_Sophia_Imp_ProjectWorkBook_02_18_2011 3" xfId="2755" xr:uid="{00000000-0005-0000-0000-0000690A0000}"/>
    <cellStyle name="_20061027Holux_Scope and Deliverables Summary_0320_t" xfId="2756" xr:uid="{00000000-0005-0000-0000-00006A0A0000}"/>
    <cellStyle name="_20061027Holux_Scope and Deliverables Summary_0320_t 2" xfId="2757" xr:uid="{00000000-0005-0000-0000-00006B0A0000}"/>
    <cellStyle name="_20061027Holux_Scope and Deliverables Summary_0320_t 3" xfId="2758" xr:uid="{00000000-0005-0000-0000-00006C0A0000}"/>
    <cellStyle name="_20061027Holux_Scope and Deliverables Summary_0323" xfId="2759" xr:uid="{00000000-0005-0000-0000-00006D0A0000}"/>
    <cellStyle name="_20061027Holux_Scope and Deliverables Summary_0323 2" xfId="2760" xr:uid="{00000000-0005-0000-0000-00006E0A0000}"/>
    <cellStyle name="_20061027Holux_Scope and Deliverables Summary_0323 2 2" xfId="2761" xr:uid="{00000000-0005-0000-0000-00006F0A0000}"/>
    <cellStyle name="_20061027Holux_Scope and Deliverables Summary_0323 2 3" xfId="2762" xr:uid="{00000000-0005-0000-0000-0000700A0000}"/>
    <cellStyle name="_20061027Holux_Scope and Deliverables Summary_0323 3" xfId="2763" xr:uid="{00000000-0005-0000-0000-0000710A0000}"/>
    <cellStyle name="_20061027Holux_Scope and Deliverables Summary_0323 3 2" xfId="2764" xr:uid="{00000000-0005-0000-0000-0000720A0000}"/>
    <cellStyle name="_20061027Holux_Scope and Deliverables Summary_0323 3 3" xfId="2765" xr:uid="{00000000-0005-0000-0000-0000730A0000}"/>
    <cellStyle name="_20061027Holux_Scope and Deliverables Summary_0323 4" xfId="2766" xr:uid="{00000000-0005-0000-0000-0000740A0000}"/>
    <cellStyle name="_20061027Holux_Scope and Deliverables Summary_0323 5" xfId="2767" xr:uid="{00000000-0005-0000-0000-0000750A0000}"/>
    <cellStyle name="_20061027Holux_Scope and Deliverables Summary_0323_Commissioning System Implementation_Project Workbook_06_10_2011" xfId="2768" xr:uid="{00000000-0005-0000-0000-0000760A0000}"/>
    <cellStyle name="_20061027Holux_Scope and Deliverables Summary_0323_Commissioning System Implementation_Project Workbook_06_10_2011 2" xfId="2769" xr:uid="{00000000-0005-0000-0000-0000770A0000}"/>
    <cellStyle name="_20061027Holux_Scope and Deliverables Summary_0323_Commissioning System Implementation_Project Workbook_06_10_2011 3" xfId="2770" xr:uid="{00000000-0005-0000-0000-0000780A0000}"/>
    <cellStyle name="_20061027Holux_Scope and Deliverables Summary_0323_FairPoint_CampReport" xfId="2771" xr:uid="{00000000-0005-0000-0000-0000790A0000}"/>
    <cellStyle name="_20061027Holux_Scope and Deliverables Summary_0323_FairPoint_CampReport 2" xfId="2772" xr:uid="{00000000-0005-0000-0000-00007A0A0000}"/>
    <cellStyle name="_20061027Holux_Scope and Deliverables Summary_0323_FairPoint_CampReport 3" xfId="2773" xr:uid="{00000000-0005-0000-0000-00007B0A0000}"/>
    <cellStyle name="_20061027Holux_Scope and Deliverables Summary_0323_FairPoint_FP comTechOps_ProgramWorkbook" xfId="2774" xr:uid="{00000000-0005-0000-0000-00007C0A0000}"/>
    <cellStyle name="_20061027Holux_Scope and Deliverables Summary_0323_FairPoint_FP comTechOps_ProgramWorkbook 2" xfId="2775" xr:uid="{00000000-0005-0000-0000-00007D0A0000}"/>
    <cellStyle name="_20061027Holux_Scope and Deliverables Summary_0323_FairPoint_FP comTechOps_ProgramWorkbook 3" xfId="2776" xr:uid="{00000000-0005-0000-0000-00007E0A0000}"/>
    <cellStyle name="_20061027Holux_Scope and Deliverables Summary_0323_FairPoint_FP comTechOps_ProgramWorkbook_sachin" xfId="2777" xr:uid="{00000000-0005-0000-0000-00007F0A0000}"/>
    <cellStyle name="_20061027Holux_Scope and Deliverables Summary_0323_FairPoint_FP comTechOps_ProgramWorkbook_sachin 2" xfId="2778" xr:uid="{00000000-0005-0000-0000-0000800A0000}"/>
    <cellStyle name="_20061027Holux_Scope and Deliverables Summary_0323_FairPoint_FP comTechOps_ProgramWorkbook_sachin 3" xfId="2779" xr:uid="{00000000-0005-0000-0000-0000810A0000}"/>
    <cellStyle name="_20061027Holux_Scope and Deliverables Summary_0323_FairPoint_FP comTechOps_ProgramWorkbook_sachin_v1" xfId="2780" xr:uid="{00000000-0005-0000-0000-0000820A0000}"/>
    <cellStyle name="_20061027Holux_Scope and Deliverables Summary_0323_FairPoint_FP comTechOps_ProgramWorkbook_sachin_v1 2" xfId="2781" xr:uid="{00000000-0005-0000-0000-0000830A0000}"/>
    <cellStyle name="_20061027Holux_Scope and Deliverables Summary_0323_FairPoint_FP comTechOps_ProgramWorkbook_sachin_v1 3" xfId="2782" xr:uid="{00000000-0005-0000-0000-0000840A0000}"/>
    <cellStyle name="_20061027Holux_Scope and Deliverables Summary_0323_FP_CAMP&amp;ITReporting_Maintenance_Dashboard" xfId="2783" xr:uid="{00000000-0005-0000-0000-0000850A0000}"/>
    <cellStyle name="_20061027Holux_Scope and Deliverables Summary_0323_FP_CAMP&amp;ITReporting_Maintenance_Dashboard 2" xfId="2784" xr:uid="{00000000-0005-0000-0000-0000860A0000}"/>
    <cellStyle name="_20061027Holux_Scope and Deliverables Summary_0323_FP_CAMP&amp;ITReporting_Maintenance_Dashboard 3" xfId="2785" xr:uid="{00000000-0005-0000-0000-0000870A0000}"/>
    <cellStyle name="_20061027Holux_Scope and Deliverables Summary_0323_FP_CAMPITReporting_Maintenance_Dashboard" xfId="2786" xr:uid="{00000000-0005-0000-0000-0000880A0000}"/>
    <cellStyle name="_20061027Holux_Scope and Deliverables Summary_0323_FP_CAMPITReporting_Maintenance_Dashboard 2" xfId="2787" xr:uid="{00000000-0005-0000-0000-0000890A0000}"/>
    <cellStyle name="_20061027Holux_Scope and Deliverables Summary_0323_FP_CAMPITReporting_Maintenance_Dashboard 3" xfId="2788" xr:uid="{00000000-0005-0000-0000-00008A0A0000}"/>
    <cellStyle name="_20061027Holux_Scope and Deliverables Summary_0323_FP_Commissions_Req_Dn_ProgramWorkBook_10-Dec-2010" xfId="2789" xr:uid="{00000000-0005-0000-0000-00008B0A0000}"/>
    <cellStyle name="_20061027Holux_Scope and Deliverables Summary_0323_FP_Commissions_Req_Dn_ProgramWorkBook_10-Dec-2010 2" xfId="2790" xr:uid="{00000000-0005-0000-0000-00008C0A0000}"/>
    <cellStyle name="_20061027Holux_Scope and Deliverables Summary_0323_FP_Commissions_Req_Dn_ProgramWorkBook_10-Dec-2010 3" xfId="2791" xr:uid="{00000000-0005-0000-0000-00008D0A0000}"/>
    <cellStyle name="_20061027Holux_Scope and Deliverables Summary_0323_FP_DW_Impl_ProgramWorkBook_07-Jan-2011" xfId="2792" xr:uid="{00000000-0005-0000-0000-00008E0A0000}"/>
    <cellStyle name="_20061027Holux_Scope and Deliverables Summary_0323_FP_DW_Impl_ProgramWorkBook_07-Jan-2011 2" xfId="2793" xr:uid="{00000000-0005-0000-0000-00008F0A0000}"/>
    <cellStyle name="_20061027Holux_Scope and Deliverables Summary_0323_FP_DW_Impl_ProgramWorkBook_07-Jan-2011 2 2" xfId="2794" xr:uid="{00000000-0005-0000-0000-0000900A0000}"/>
    <cellStyle name="_20061027Holux_Scope and Deliverables Summary_0323_FP_DW_Impl_ProgramWorkBook_07-Jan-2011 2 3" xfId="2795" xr:uid="{00000000-0005-0000-0000-0000910A0000}"/>
    <cellStyle name="_20061027Holux_Scope and Deliverables Summary_0323_FP_DW_Impl_ProgramWorkBook_07-Jan-2011 3" xfId="2796" xr:uid="{00000000-0005-0000-0000-0000920A0000}"/>
    <cellStyle name="_20061027Holux_Scope and Deliverables Summary_0323_FP_DW_Impl_ProgramWorkBook_07-Jan-2011 4" xfId="2797" xr:uid="{00000000-0005-0000-0000-0000930A0000}"/>
    <cellStyle name="_20061027Holux_Scope and Deliverables Summary_0323_FP_DW_Impl_ProgramWorkBook_11-Feb-2011" xfId="2798" xr:uid="{00000000-0005-0000-0000-0000940A0000}"/>
    <cellStyle name="_20061027Holux_Scope and Deliverables Summary_0323_FP_DW_Impl_ProgramWorkBook_11-Feb-2011 2" xfId="2799" xr:uid="{00000000-0005-0000-0000-0000950A0000}"/>
    <cellStyle name="_20061027Holux_Scope and Deliverables Summary_0323_FP_DW_Impl_ProgramWorkBook_11-Feb-2011 3" xfId="2800" xr:uid="{00000000-0005-0000-0000-0000960A0000}"/>
    <cellStyle name="_20061027Holux_Scope and Deliverables Summary_0323_FP_DW_Impl_ProgramWorkBook_18-Feb-2011 - Working" xfId="2801" xr:uid="{00000000-0005-0000-0000-0000970A0000}"/>
    <cellStyle name="_20061027Holux_Scope and Deliverables Summary_0323_FP_DW_Impl_ProgramWorkBook_18-Feb-2011 - Working 2" xfId="2802" xr:uid="{00000000-0005-0000-0000-0000980A0000}"/>
    <cellStyle name="_20061027Holux_Scope and Deliverables Summary_0323_FP_DW_Impl_ProgramWorkBook_18-Feb-2011 - Working 3" xfId="2803" xr:uid="{00000000-0005-0000-0000-0000990A0000}"/>
    <cellStyle name="_20061027Holux_Scope and Deliverables Summary_0323_FP_EnterprisePortal_ProgramWorkbook" xfId="2804" xr:uid="{00000000-0005-0000-0000-00009A0A0000}"/>
    <cellStyle name="_20061027Holux_Scope and Deliverables Summary_0323_FP_EnterprisePortal_ProgramWorkbook 2" xfId="2805" xr:uid="{00000000-0005-0000-0000-00009B0A0000}"/>
    <cellStyle name="_20061027Holux_Scope and Deliverables Summary_0323_FP_EnterprisePortal_ProgramWorkbook 3" xfId="2806" xr:uid="{00000000-0005-0000-0000-00009C0A0000}"/>
    <cellStyle name="_20061027Holux_Scope and Deliverables Summary_0323_FP_SAP_MLP v2" xfId="2807" xr:uid="{00000000-0005-0000-0000-00009D0A0000}"/>
    <cellStyle name="_20061027Holux_Scope and Deliverables Summary_0323_FP_SAP_MLP v2 2" xfId="2808" xr:uid="{00000000-0005-0000-0000-00009E0A0000}"/>
    <cellStyle name="_20061027Holux_Scope and Deliverables Summary_0323_FP_SAP_MLP v2 3" xfId="2809" xr:uid="{00000000-0005-0000-0000-00009F0A0000}"/>
    <cellStyle name="_20061027Holux_Scope and Deliverables Summary_0323_KeyDecisions" xfId="2810" xr:uid="{00000000-0005-0000-0000-0000A00A0000}"/>
    <cellStyle name="_20061027Holux_Scope and Deliverables Summary_0323_KeyDecisions 2" xfId="2811" xr:uid="{00000000-0005-0000-0000-0000A10A0000}"/>
    <cellStyle name="_20061027Holux_Scope and Deliverables Summary_0323_KeyDecisions 3" xfId="2812" xr:uid="{00000000-0005-0000-0000-0000A20A0000}"/>
    <cellStyle name="_20061027Holux_Scope and Deliverables Summary_0323_Sophia_Imp_ProjectWorkBook_02_18_2011" xfId="2813" xr:uid="{00000000-0005-0000-0000-0000A30A0000}"/>
    <cellStyle name="_20061027Holux_Scope and Deliverables Summary_0323_Sophia_Imp_ProjectWorkBook_02_18_2011 2" xfId="2814" xr:uid="{00000000-0005-0000-0000-0000A40A0000}"/>
    <cellStyle name="_20061027Holux_Scope and Deliverables Summary_0323_Sophia_Imp_ProjectWorkBook_02_18_2011 3" xfId="2815" xr:uid="{00000000-0005-0000-0000-0000A50A0000}"/>
    <cellStyle name="_20061027Holux_Scope and Deliverables Summary_0323_t" xfId="2816" xr:uid="{00000000-0005-0000-0000-0000A60A0000}"/>
    <cellStyle name="_20061027Holux_Scope and Deliverables Summary_0323_t 2" xfId="2817" xr:uid="{00000000-0005-0000-0000-0000A70A0000}"/>
    <cellStyle name="_20061027Holux_Scope and Deliverables Summary_0323_t 3" xfId="2818" xr:uid="{00000000-0005-0000-0000-0000A80A0000}"/>
    <cellStyle name="_20061027Holux_Scope and Deliverables Summary_CMS_0609" xfId="2819" xr:uid="{00000000-0005-0000-0000-0000A90A0000}"/>
    <cellStyle name="_20061027Holux_Scope and Deliverables Summary_CMS_0609 2" xfId="2820" xr:uid="{00000000-0005-0000-0000-0000AA0A0000}"/>
    <cellStyle name="_20061027Holux_Scope and Deliverables Summary_CMS_0609 2 2" xfId="2821" xr:uid="{00000000-0005-0000-0000-0000AB0A0000}"/>
    <cellStyle name="_20061027Holux_Scope and Deliverables Summary_CMS_0609 2 3" xfId="2822" xr:uid="{00000000-0005-0000-0000-0000AC0A0000}"/>
    <cellStyle name="_20061027Holux_Scope and Deliverables Summary_CMS_0609 3" xfId="2823" xr:uid="{00000000-0005-0000-0000-0000AD0A0000}"/>
    <cellStyle name="_20061027Holux_Scope and Deliverables Summary_CMS_0609 3 2" xfId="2824" xr:uid="{00000000-0005-0000-0000-0000AE0A0000}"/>
    <cellStyle name="_20061027Holux_Scope and Deliverables Summary_CMS_0609 3 3" xfId="2825" xr:uid="{00000000-0005-0000-0000-0000AF0A0000}"/>
    <cellStyle name="_20061027Holux_Scope and Deliverables Summary_CMS_0609 4" xfId="2826" xr:uid="{00000000-0005-0000-0000-0000B00A0000}"/>
    <cellStyle name="_20061027Holux_Scope and Deliverables Summary_CMS_0609 5" xfId="2827" xr:uid="{00000000-0005-0000-0000-0000B10A0000}"/>
    <cellStyle name="_20061027Holux_Scope and Deliverables Summary_CMS_0609_Commissioning System Implementation_Project Workbook_06_10_2011" xfId="2828" xr:uid="{00000000-0005-0000-0000-0000B20A0000}"/>
    <cellStyle name="_20061027Holux_Scope and Deliverables Summary_CMS_0609_Commissioning System Implementation_Project Workbook_06_10_2011 2" xfId="2829" xr:uid="{00000000-0005-0000-0000-0000B30A0000}"/>
    <cellStyle name="_20061027Holux_Scope and Deliverables Summary_CMS_0609_Commissioning System Implementation_Project Workbook_06_10_2011 3" xfId="2830" xr:uid="{00000000-0005-0000-0000-0000B40A0000}"/>
    <cellStyle name="_20061027Holux_Scope and Deliverables Summary_CMS_0609_FairPoint_CampReport" xfId="2831" xr:uid="{00000000-0005-0000-0000-0000B50A0000}"/>
    <cellStyle name="_20061027Holux_Scope and Deliverables Summary_CMS_0609_FairPoint_CampReport 2" xfId="2832" xr:uid="{00000000-0005-0000-0000-0000B60A0000}"/>
    <cellStyle name="_20061027Holux_Scope and Deliverables Summary_CMS_0609_FairPoint_CampReport 3" xfId="2833" xr:uid="{00000000-0005-0000-0000-0000B70A0000}"/>
    <cellStyle name="_20061027Holux_Scope and Deliverables Summary_CMS_0609_FairPoint_FP comTechOps_ProgramWorkbook" xfId="2834" xr:uid="{00000000-0005-0000-0000-0000B80A0000}"/>
    <cellStyle name="_20061027Holux_Scope and Deliverables Summary_CMS_0609_FairPoint_FP comTechOps_ProgramWorkbook 2" xfId="2835" xr:uid="{00000000-0005-0000-0000-0000B90A0000}"/>
    <cellStyle name="_20061027Holux_Scope and Deliverables Summary_CMS_0609_FairPoint_FP comTechOps_ProgramWorkbook 3" xfId="2836" xr:uid="{00000000-0005-0000-0000-0000BA0A0000}"/>
    <cellStyle name="_20061027Holux_Scope and Deliverables Summary_CMS_0609_FairPoint_FP comTechOps_ProgramWorkbook_sachin" xfId="2837" xr:uid="{00000000-0005-0000-0000-0000BB0A0000}"/>
    <cellStyle name="_20061027Holux_Scope and Deliverables Summary_CMS_0609_FairPoint_FP comTechOps_ProgramWorkbook_sachin 2" xfId="2838" xr:uid="{00000000-0005-0000-0000-0000BC0A0000}"/>
    <cellStyle name="_20061027Holux_Scope and Deliverables Summary_CMS_0609_FairPoint_FP comTechOps_ProgramWorkbook_sachin 3" xfId="2839" xr:uid="{00000000-0005-0000-0000-0000BD0A0000}"/>
    <cellStyle name="_20061027Holux_Scope and Deliverables Summary_CMS_0609_FairPoint_FP comTechOps_ProgramWorkbook_sachin_v1" xfId="2840" xr:uid="{00000000-0005-0000-0000-0000BE0A0000}"/>
    <cellStyle name="_20061027Holux_Scope and Deliverables Summary_CMS_0609_FairPoint_FP comTechOps_ProgramWorkbook_sachin_v1 2" xfId="2841" xr:uid="{00000000-0005-0000-0000-0000BF0A0000}"/>
    <cellStyle name="_20061027Holux_Scope and Deliverables Summary_CMS_0609_FairPoint_FP comTechOps_ProgramWorkbook_sachin_v1 3" xfId="2842" xr:uid="{00000000-0005-0000-0000-0000C00A0000}"/>
    <cellStyle name="_20061027Holux_Scope and Deliverables Summary_CMS_0609_FP_CAMP&amp;ITReporting_Maintenance_Dashboard" xfId="2843" xr:uid="{00000000-0005-0000-0000-0000C10A0000}"/>
    <cellStyle name="_20061027Holux_Scope and Deliverables Summary_CMS_0609_FP_CAMP&amp;ITReporting_Maintenance_Dashboard 2" xfId="2844" xr:uid="{00000000-0005-0000-0000-0000C20A0000}"/>
    <cellStyle name="_20061027Holux_Scope and Deliverables Summary_CMS_0609_FP_CAMP&amp;ITReporting_Maintenance_Dashboard 3" xfId="2845" xr:uid="{00000000-0005-0000-0000-0000C30A0000}"/>
    <cellStyle name="_20061027Holux_Scope and Deliverables Summary_CMS_0609_FP_CAMPITReporting_Maintenance_Dashboard" xfId="2846" xr:uid="{00000000-0005-0000-0000-0000C40A0000}"/>
    <cellStyle name="_20061027Holux_Scope and Deliverables Summary_CMS_0609_FP_CAMPITReporting_Maintenance_Dashboard 2" xfId="2847" xr:uid="{00000000-0005-0000-0000-0000C50A0000}"/>
    <cellStyle name="_20061027Holux_Scope and Deliverables Summary_CMS_0609_FP_CAMPITReporting_Maintenance_Dashboard 3" xfId="2848" xr:uid="{00000000-0005-0000-0000-0000C60A0000}"/>
    <cellStyle name="_20061027Holux_Scope and Deliverables Summary_CMS_0609_FP_Commissions_Req_Dn_ProgramWorkBook_10-Dec-2010" xfId="2849" xr:uid="{00000000-0005-0000-0000-0000C70A0000}"/>
    <cellStyle name="_20061027Holux_Scope and Deliverables Summary_CMS_0609_FP_Commissions_Req_Dn_ProgramWorkBook_10-Dec-2010 2" xfId="2850" xr:uid="{00000000-0005-0000-0000-0000C80A0000}"/>
    <cellStyle name="_20061027Holux_Scope and Deliverables Summary_CMS_0609_FP_Commissions_Req_Dn_ProgramWorkBook_10-Dec-2010 3" xfId="2851" xr:uid="{00000000-0005-0000-0000-0000C90A0000}"/>
    <cellStyle name="_20061027Holux_Scope and Deliverables Summary_CMS_0609_FP_DW_Impl_ProgramWorkBook_07-Jan-2011" xfId="2852" xr:uid="{00000000-0005-0000-0000-0000CA0A0000}"/>
    <cellStyle name="_20061027Holux_Scope and Deliverables Summary_CMS_0609_FP_DW_Impl_ProgramWorkBook_07-Jan-2011 2" xfId="2853" xr:uid="{00000000-0005-0000-0000-0000CB0A0000}"/>
    <cellStyle name="_20061027Holux_Scope and Deliverables Summary_CMS_0609_FP_DW_Impl_ProgramWorkBook_07-Jan-2011 2 2" xfId="2854" xr:uid="{00000000-0005-0000-0000-0000CC0A0000}"/>
    <cellStyle name="_20061027Holux_Scope and Deliverables Summary_CMS_0609_FP_DW_Impl_ProgramWorkBook_07-Jan-2011 2 3" xfId="2855" xr:uid="{00000000-0005-0000-0000-0000CD0A0000}"/>
    <cellStyle name="_20061027Holux_Scope and Deliverables Summary_CMS_0609_FP_DW_Impl_ProgramWorkBook_07-Jan-2011 3" xfId="2856" xr:uid="{00000000-0005-0000-0000-0000CE0A0000}"/>
    <cellStyle name="_20061027Holux_Scope and Deliverables Summary_CMS_0609_FP_DW_Impl_ProgramWorkBook_07-Jan-2011 4" xfId="2857" xr:uid="{00000000-0005-0000-0000-0000CF0A0000}"/>
    <cellStyle name="_20061027Holux_Scope and Deliverables Summary_CMS_0609_FP_DW_Impl_ProgramWorkBook_11-Feb-2011" xfId="2858" xr:uid="{00000000-0005-0000-0000-0000D00A0000}"/>
    <cellStyle name="_20061027Holux_Scope and Deliverables Summary_CMS_0609_FP_DW_Impl_ProgramWorkBook_11-Feb-2011 2" xfId="2859" xr:uid="{00000000-0005-0000-0000-0000D10A0000}"/>
    <cellStyle name="_20061027Holux_Scope and Deliverables Summary_CMS_0609_FP_DW_Impl_ProgramWorkBook_11-Feb-2011 3" xfId="2860" xr:uid="{00000000-0005-0000-0000-0000D20A0000}"/>
    <cellStyle name="_20061027Holux_Scope and Deliverables Summary_CMS_0609_FP_DW_Impl_ProgramWorkBook_18-Feb-2011 - Working" xfId="2861" xr:uid="{00000000-0005-0000-0000-0000D30A0000}"/>
    <cellStyle name="_20061027Holux_Scope and Deliverables Summary_CMS_0609_FP_DW_Impl_ProgramWorkBook_18-Feb-2011 - Working 2" xfId="2862" xr:uid="{00000000-0005-0000-0000-0000D40A0000}"/>
    <cellStyle name="_20061027Holux_Scope and Deliverables Summary_CMS_0609_FP_DW_Impl_ProgramWorkBook_18-Feb-2011 - Working 3" xfId="2863" xr:uid="{00000000-0005-0000-0000-0000D50A0000}"/>
    <cellStyle name="_20061027Holux_Scope and Deliverables Summary_CMS_0609_FP_EnterprisePortal_ProgramWorkbook" xfId="2864" xr:uid="{00000000-0005-0000-0000-0000D60A0000}"/>
    <cellStyle name="_20061027Holux_Scope and Deliverables Summary_CMS_0609_FP_EnterprisePortal_ProgramWorkbook 2" xfId="2865" xr:uid="{00000000-0005-0000-0000-0000D70A0000}"/>
    <cellStyle name="_20061027Holux_Scope and Deliverables Summary_CMS_0609_FP_EnterprisePortal_ProgramWorkbook 3" xfId="2866" xr:uid="{00000000-0005-0000-0000-0000D80A0000}"/>
    <cellStyle name="_20061027Holux_Scope and Deliverables Summary_CMS_0609_FP_SAP_MLP v2" xfId="2867" xr:uid="{00000000-0005-0000-0000-0000D90A0000}"/>
    <cellStyle name="_20061027Holux_Scope and Deliverables Summary_CMS_0609_FP_SAP_MLP v2 2" xfId="2868" xr:uid="{00000000-0005-0000-0000-0000DA0A0000}"/>
    <cellStyle name="_20061027Holux_Scope and Deliverables Summary_CMS_0609_FP_SAP_MLP v2 3" xfId="2869" xr:uid="{00000000-0005-0000-0000-0000DB0A0000}"/>
    <cellStyle name="_20061027Holux_Scope and Deliverables Summary_CMS_0609_KeyDecisions" xfId="2870" xr:uid="{00000000-0005-0000-0000-0000DC0A0000}"/>
    <cellStyle name="_20061027Holux_Scope and Deliverables Summary_CMS_0609_KeyDecisions 2" xfId="2871" xr:uid="{00000000-0005-0000-0000-0000DD0A0000}"/>
    <cellStyle name="_20061027Holux_Scope and Deliverables Summary_CMS_0609_KeyDecisions 3" xfId="2872" xr:uid="{00000000-0005-0000-0000-0000DE0A0000}"/>
    <cellStyle name="_20061027Holux_Scope and Deliverables Summary_CMS_0609_Sophia_Imp_ProjectWorkBook_02_18_2011" xfId="2873" xr:uid="{00000000-0005-0000-0000-0000DF0A0000}"/>
    <cellStyle name="_20061027Holux_Scope and Deliverables Summary_CMS_0609_Sophia_Imp_ProjectWorkBook_02_18_2011 2" xfId="2874" xr:uid="{00000000-0005-0000-0000-0000E00A0000}"/>
    <cellStyle name="_20061027Holux_Scope and Deliverables Summary_CMS_0609_Sophia_Imp_ProjectWorkBook_02_18_2011 3" xfId="2875" xr:uid="{00000000-0005-0000-0000-0000E10A0000}"/>
    <cellStyle name="_20061027Holux_Scope and Deliverables Summary_CMS_0609_t" xfId="2876" xr:uid="{00000000-0005-0000-0000-0000E20A0000}"/>
    <cellStyle name="_20061027Holux_Scope and Deliverables Summary_CMS_0609_t 2" xfId="2877" xr:uid="{00000000-0005-0000-0000-0000E30A0000}"/>
    <cellStyle name="_20061027Holux_Scope and Deliverables Summary_CMS_0609_t 3" xfId="2878" xr:uid="{00000000-0005-0000-0000-0000E40A0000}"/>
    <cellStyle name="_20061027Holux_SLM -CMS &amp; Storefront PM Workbook" xfId="2879" xr:uid="{00000000-0005-0000-0000-0000E50A0000}"/>
    <cellStyle name="_20061027Holux_SLM -CMS &amp; Storefront PM Workbook 2" xfId="2880" xr:uid="{00000000-0005-0000-0000-0000E60A0000}"/>
    <cellStyle name="_20061027Holux_SLM -CMS &amp; Storefront PM Workbook 2 2" xfId="2881" xr:uid="{00000000-0005-0000-0000-0000E70A0000}"/>
    <cellStyle name="_20061027Holux_SLM -CMS &amp; Storefront PM Workbook 2 3" xfId="2882" xr:uid="{00000000-0005-0000-0000-0000E80A0000}"/>
    <cellStyle name="_20061027Holux_SLM -CMS &amp; Storefront PM Workbook 3" xfId="2883" xr:uid="{00000000-0005-0000-0000-0000E90A0000}"/>
    <cellStyle name="_20061027Holux_SLM -CMS &amp; Storefront PM Workbook 3 2" xfId="2884" xr:uid="{00000000-0005-0000-0000-0000EA0A0000}"/>
    <cellStyle name="_20061027Holux_SLM -CMS &amp; Storefront PM Workbook 3 3" xfId="2885" xr:uid="{00000000-0005-0000-0000-0000EB0A0000}"/>
    <cellStyle name="_20061027Holux_SLM -CMS &amp; Storefront PM Workbook 4" xfId="2886" xr:uid="{00000000-0005-0000-0000-0000EC0A0000}"/>
    <cellStyle name="_20061027Holux_SLM -CMS &amp; Storefront PM Workbook 5" xfId="2887" xr:uid="{00000000-0005-0000-0000-0000ED0A0000}"/>
    <cellStyle name="_20061027Holux_SLM -CMS &amp; Storefront PM Workbook_Commissioning System Implementation_Project Workbook_06_10_2011" xfId="2888" xr:uid="{00000000-0005-0000-0000-0000EE0A0000}"/>
    <cellStyle name="_20061027Holux_SLM -CMS &amp; Storefront PM Workbook_Commissioning System Implementation_Project Workbook_06_10_2011 2" xfId="2889" xr:uid="{00000000-0005-0000-0000-0000EF0A0000}"/>
    <cellStyle name="_20061027Holux_SLM -CMS &amp; Storefront PM Workbook_Commissioning System Implementation_Project Workbook_06_10_2011 3" xfId="2890" xr:uid="{00000000-0005-0000-0000-0000F00A0000}"/>
    <cellStyle name="_20061027Holux_SLM -CMS &amp; Storefront PM Workbook_FairPoint_CampReport" xfId="2891" xr:uid="{00000000-0005-0000-0000-0000F10A0000}"/>
    <cellStyle name="_20061027Holux_SLM -CMS &amp; Storefront PM Workbook_FairPoint_CampReport 2" xfId="2892" xr:uid="{00000000-0005-0000-0000-0000F20A0000}"/>
    <cellStyle name="_20061027Holux_SLM -CMS &amp; Storefront PM Workbook_FairPoint_CampReport 3" xfId="2893" xr:uid="{00000000-0005-0000-0000-0000F30A0000}"/>
    <cellStyle name="_20061027Holux_SLM -CMS &amp; Storefront PM Workbook_FairPoint_FP comTechOps_ProgramWorkbook" xfId="2894" xr:uid="{00000000-0005-0000-0000-0000F40A0000}"/>
    <cellStyle name="_20061027Holux_SLM -CMS &amp; Storefront PM Workbook_FairPoint_FP comTechOps_ProgramWorkbook 2" xfId="2895" xr:uid="{00000000-0005-0000-0000-0000F50A0000}"/>
    <cellStyle name="_20061027Holux_SLM -CMS &amp; Storefront PM Workbook_FairPoint_FP comTechOps_ProgramWorkbook 3" xfId="2896" xr:uid="{00000000-0005-0000-0000-0000F60A0000}"/>
    <cellStyle name="_20061027Holux_SLM -CMS &amp; Storefront PM Workbook_FairPoint_FP comTechOps_ProgramWorkbook_sachin" xfId="2897" xr:uid="{00000000-0005-0000-0000-0000F70A0000}"/>
    <cellStyle name="_20061027Holux_SLM -CMS &amp; Storefront PM Workbook_FairPoint_FP comTechOps_ProgramWorkbook_sachin 2" xfId="2898" xr:uid="{00000000-0005-0000-0000-0000F80A0000}"/>
    <cellStyle name="_20061027Holux_SLM -CMS &amp; Storefront PM Workbook_FairPoint_FP comTechOps_ProgramWorkbook_sachin 3" xfId="2899" xr:uid="{00000000-0005-0000-0000-0000F90A0000}"/>
    <cellStyle name="_20061027Holux_SLM -CMS &amp; Storefront PM Workbook_FairPoint_FP comTechOps_ProgramWorkbook_sachin_v1" xfId="2900" xr:uid="{00000000-0005-0000-0000-0000FA0A0000}"/>
    <cellStyle name="_20061027Holux_SLM -CMS &amp; Storefront PM Workbook_FairPoint_FP comTechOps_ProgramWorkbook_sachin_v1 2" xfId="2901" xr:uid="{00000000-0005-0000-0000-0000FB0A0000}"/>
    <cellStyle name="_20061027Holux_SLM -CMS &amp; Storefront PM Workbook_FairPoint_FP comTechOps_ProgramWorkbook_sachin_v1 3" xfId="2902" xr:uid="{00000000-0005-0000-0000-0000FC0A0000}"/>
    <cellStyle name="_20061027Holux_SLM -CMS &amp; Storefront PM Workbook_FP_CAMP&amp;ITReporting_Maintenance_Dashboard" xfId="2903" xr:uid="{00000000-0005-0000-0000-0000FD0A0000}"/>
    <cellStyle name="_20061027Holux_SLM -CMS &amp; Storefront PM Workbook_FP_CAMP&amp;ITReporting_Maintenance_Dashboard 2" xfId="2904" xr:uid="{00000000-0005-0000-0000-0000FE0A0000}"/>
    <cellStyle name="_20061027Holux_SLM -CMS &amp; Storefront PM Workbook_FP_CAMP&amp;ITReporting_Maintenance_Dashboard 3" xfId="2905" xr:uid="{00000000-0005-0000-0000-0000FF0A0000}"/>
    <cellStyle name="_20061027Holux_SLM -CMS &amp; Storefront PM Workbook_FP_CAMPITReporting_Maintenance_Dashboard" xfId="2906" xr:uid="{00000000-0005-0000-0000-0000000B0000}"/>
    <cellStyle name="_20061027Holux_SLM -CMS &amp; Storefront PM Workbook_FP_CAMPITReporting_Maintenance_Dashboard 2" xfId="2907" xr:uid="{00000000-0005-0000-0000-0000010B0000}"/>
    <cellStyle name="_20061027Holux_SLM -CMS &amp; Storefront PM Workbook_FP_CAMPITReporting_Maintenance_Dashboard 3" xfId="2908" xr:uid="{00000000-0005-0000-0000-0000020B0000}"/>
    <cellStyle name="_20061027Holux_SLM -CMS &amp; Storefront PM Workbook_FP_Commissions_Req_Dn_ProgramWorkBook_10-Dec-2010" xfId="2909" xr:uid="{00000000-0005-0000-0000-0000030B0000}"/>
    <cellStyle name="_20061027Holux_SLM -CMS &amp; Storefront PM Workbook_FP_Commissions_Req_Dn_ProgramWorkBook_10-Dec-2010 2" xfId="2910" xr:uid="{00000000-0005-0000-0000-0000040B0000}"/>
    <cellStyle name="_20061027Holux_SLM -CMS &amp; Storefront PM Workbook_FP_Commissions_Req_Dn_ProgramWorkBook_10-Dec-2010 3" xfId="2911" xr:uid="{00000000-0005-0000-0000-0000050B0000}"/>
    <cellStyle name="_20061027Holux_SLM -CMS &amp; Storefront PM Workbook_FP_DW_Impl_ProgramWorkBook_07-Jan-2011" xfId="2912" xr:uid="{00000000-0005-0000-0000-0000060B0000}"/>
    <cellStyle name="_20061027Holux_SLM -CMS &amp; Storefront PM Workbook_FP_DW_Impl_ProgramWorkBook_07-Jan-2011 2" xfId="2913" xr:uid="{00000000-0005-0000-0000-0000070B0000}"/>
    <cellStyle name="_20061027Holux_SLM -CMS &amp; Storefront PM Workbook_FP_DW_Impl_ProgramWorkBook_07-Jan-2011 2 2" xfId="2914" xr:uid="{00000000-0005-0000-0000-0000080B0000}"/>
    <cellStyle name="_20061027Holux_SLM -CMS &amp; Storefront PM Workbook_FP_DW_Impl_ProgramWorkBook_07-Jan-2011 2 3" xfId="2915" xr:uid="{00000000-0005-0000-0000-0000090B0000}"/>
    <cellStyle name="_20061027Holux_SLM -CMS &amp; Storefront PM Workbook_FP_DW_Impl_ProgramWorkBook_07-Jan-2011 3" xfId="2916" xr:uid="{00000000-0005-0000-0000-00000A0B0000}"/>
    <cellStyle name="_20061027Holux_SLM -CMS &amp; Storefront PM Workbook_FP_DW_Impl_ProgramWorkBook_07-Jan-2011 4" xfId="2917" xr:uid="{00000000-0005-0000-0000-00000B0B0000}"/>
    <cellStyle name="_20061027Holux_SLM -CMS &amp; Storefront PM Workbook_FP_DW_Impl_ProgramWorkBook_11-Feb-2011" xfId="2918" xr:uid="{00000000-0005-0000-0000-00000C0B0000}"/>
    <cellStyle name="_20061027Holux_SLM -CMS &amp; Storefront PM Workbook_FP_DW_Impl_ProgramWorkBook_11-Feb-2011 2" xfId="2919" xr:uid="{00000000-0005-0000-0000-00000D0B0000}"/>
    <cellStyle name="_20061027Holux_SLM -CMS &amp; Storefront PM Workbook_FP_DW_Impl_ProgramWorkBook_11-Feb-2011 3" xfId="2920" xr:uid="{00000000-0005-0000-0000-00000E0B0000}"/>
    <cellStyle name="_20061027Holux_SLM -CMS &amp; Storefront PM Workbook_FP_DW_Impl_ProgramWorkBook_18-Feb-2011 - Working" xfId="2921" xr:uid="{00000000-0005-0000-0000-00000F0B0000}"/>
    <cellStyle name="_20061027Holux_SLM -CMS &amp; Storefront PM Workbook_FP_DW_Impl_ProgramWorkBook_18-Feb-2011 - Working 2" xfId="2922" xr:uid="{00000000-0005-0000-0000-0000100B0000}"/>
    <cellStyle name="_20061027Holux_SLM -CMS &amp; Storefront PM Workbook_FP_DW_Impl_ProgramWorkBook_18-Feb-2011 - Working 3" xfId="2923" xr:uid="{00000000-0005-0000-0000-0000110B0000}"/>
    <cellStyle name="_20061027Holux_SLM -CMS &amp; Storefront PM Workbook_FP_EnterprisePortal_ProgramWorkbook" xfId="2924" xr:uid="{00000000-0005-0000-0000-0000120B0000}"/>
    <cellStyle name="_20061027Holux_SLM -CMS &amp; Storefront PM Workbook_FP_EnterprisePortal_ProgramWorkbook 2" xfId="2925" xr:uid="{00000000-0005-0000-0000-0000130B0000}"/>
    <cellStyle name="_20061027Holux_SLM -CMS &amp; Storefront PM Workbook_FP_EnterprisePortal_ProgramWorkbook 3" xfId="2926" xr:uid="{00000000-0005-0000-0000-0000140B0000}"/>
    <cellStyle name="_20061027Holux_SLM -CMS &amp; Storefront PM Workbook_FP_SAP_MLP v2" xfId="2927" xr:uid="{00000000-0005-0000-0000-0000150B0000}"/>
    <cellStyle name="_20061027Holux_SLM -CMS &amp; Storefront PM Workbook_FP_SAP_MLP v2 2" xfId="2928" xr:uid="{00000000-0005-0000-0000-0000160B0000}"/>
    <cellStyle name="_20061027Holux_SLM -CMS &amp; Storefront PM Workbook_FP_SAP_MLP v2 3" xfId="2929" xr:uid="{00000000-0005-0000-0000-0000170B0000}"/>
    <cellStyle name="_20061027Holux_SLM -CMS &amp; Storefront PM Workbook_KeyDecisions" xfId="2930" xr:uid="{00000000-0005-0000-0000-0000180B0000}"/>
    <cellStyle name="_20061027Holux_SLM -CMS &amp; Storefront PM Workbook_KeyDecisions 2" xfId="2931" xr:uid="{00000000-0005-0000-0000-0000190B0000}"/>
    <cellStyle name="_20061027Holux_SLM -CMS &amp; Storefront PM Workbook_KeyDecisions 3" xfId="2932" xr:uid="{00000000-0005-0000-0000-00001A0B0000}"/>
    <cellStyle name="_20061027Holux_SLM -CMS &amp; Storefront PM Workbook_Sophia_Imp_ProjectWorkBook_02_18_2011" xfId="2933" xr:uid="{00000000-0005-0000-0000-00001B0B0000}"/>
    <cellStyle name="_20061027Holux_SLM -CMS &amp; Storefront PM Workbook_Sophia_Imp_ProjectWorkBook_02_18_2011 2" xfId="2934" xr:uid="{00000000-0005-0000-0000-00001C0B0000}"/>
    <cellStyle name="_20061027Holux_SLM -CMS &amp; Storefront PM Workbook_Sophia_Imp_ProjectWorkBook_02_18_2011 3" xfId="2935" xr:uid="{00000000-0005-0000-0000-00001D0B0000}"/>
    <cellStyle name="_20061027Holux_SLM -CMS &amp; Storefront PM Workbook_t" xfId="2936" xr:uid="{00000000-0005-0000-0000-00001E0B0000}"/>
    <cellStyle name="_20061027Holux_SLM -CMS &amp; Storefront PM Workbook_t 2" xfId="2937" xr:uid="{00000000-0005-0000-0000-00001F0B0000}"/>
    <cellStyle name="_20061027Holux_SLM -CMS &amp; Storefront PM Workbook_t 3" xfId="2938" xr:uid="{00000000-0005-0000-0000-0000200B0000}"/>
    <cellStyle name="_20061027Holux_SLM Web Design Plan_0510" xfId="2939" xr:uid="{00000000-0005-0000-0000-0000210B0000}"/>
    <cellStyle name="_20061027Holux_SLM Web Design Plan_0510 2" xfId="2940" xr:uid="{00000000-0005-0000-0000-0000220B0000}"/>
    <cellStyle name="_20061027Holux_SLM Web Design Plan_0510 3" xfId="2941" xr:uid="{00000000-0005-0000-0000-0000230B0000}"/>
    <cellStyle name="_20061027Holux_SLM_CMS_DesignPlan_0524" xfId="2942" xr:uid="{00000000-0005-0000-0000-0000240B0000}"/>
    <cellStyle name="_20061027Holux_SLM_CMS_DesignPlan_0524 2" xfId="2943" xr:uid="{00000000-0005-0000-0000-0000250B0000}"/>
    <cellStyle name="_20061027Holux_SLM_CMS_DesignPlan_0524 3" xfId="2944" xr:uid="{00000000-0005-0000-0000-0000260B0000}"/>
    <cellStyle name="_20061027Holux_SLM_CMS_DesignPlan_Tasks_0614" xfId="2945" xr:uid="{00000000-0005-0000-0000-0000270B0000}"/>
    <cellStyle name="_20061027Holux_SLM_CMS_DesignPlan_Tasks_0614 2" xfId="2946" xr:uid="{00000000-0005-0000-0000-0000280B0000}"/>
    <cellStyle name="_20061027Holux_SLM_CMS_DesignPlan_Tasks_0614 3" xfId="2947" xr:uid="{00000000-0005-0000-0000-0000290B0000}"/>
    <cellStyle name="_20061027Holux_slm_llp_0520" xfId="2948" xr:uid="{00000000-0005-0000-0000-00002A0B0000}"/>
    <cellStyle name="_20061027Holux_slm_llp_0520 2" xfId="2949" xr:uid="{00000000-0005-0000-0000-00002B0B0000}"/>
    <cellStyle name="_20061027Holux_slm_llp_0520 2 2" xfId="2950" xr:uid="{00000000-0005-0000-0000-00002C0B0000}"/>
    <cellStyle name="_20061027Holux_slm_llp_0520 2 3" xfId="2951" xr:uid="{00000000-0005-0000-0000-00002D0B0000}"/>
    <cellStyle name="_20061027Holux_slm_llp_0520 3" xfId="2952" xr:uid="{00000000-0005-0000-0000-00002E0B0000}"/>
    <cellStyle name="_20061027Holux_slm_llp_0520 3 2" xfId="2953" xr:uid="{00000000-0005-0000-0000-00002F0B0000}"/>
    <cellStyle name="_20061027Holux_slm_llp_0520 3 3" xfId="2954" xr:uid="{00000000-0005-0000-0000-0000300B0000}"/>
    <cellStyle name="_20061027Holux_slm_llp_0520 4" xfId="2955" xr:uid="{00000000-0005-0000-0000-0000310B0000}"/>
    <cellStyle name="_20061027Holux_slm_llp_0520 5" xfId="2956" xr:uid="{00000000-0005-0000-0000-0000320B0000}"/>
    <cellStyle name="_20061027Holux_slm_llp_0520_Commissioning System Implementation_Project Workbook_06_10_2011" xfId="2957" xr:uid="{00000000-0005-0000-0000-0000330B0000}"/>
    <cellStyle name="_20061027Holux_slm_llp_0520_Commissioning System Implementation_Project Workbook_06_10_2011 2" xfId="2958" xr:uid="{00000000-0005-0000-0000-0000340B0000}"/>
    <cellStyle name="_20061027Holux_slm_llp_0520_Commissioning System Implementation_Project Workbook_06_10_2011 3" xfId="2959" xr:uid="{00000000-0005-0000-0000-0000350B0000}"/>
    <cellStyle name="_20061027Holux_slm_llp_0520_FairPoint_CampReport" xfId="2960" xr:uid="{00000000-0005-0000-0000-0000360B0000}"/>
    <cellStyle name="_20061027Holux_slm_llp_0520_FairPoint_CampReport 2" xfId="2961" xr:uid="{00000000-0005-0000-0000-0000370B0000}"/>
    <cellStyle name="_20061027Holux_slm_llp_0520_FairPoint_CampReport 3" xfId="2962" xr:uid="{00000000-0005-0000-0000-0000380B0000}"/>
    <cellStyle name="_20061027Holux_slm_llp_0520_FairPoint_FP comTechOps_ProgramWorkbook" xfId="2963" xr:uid="{00000000-0005-0000-0000-0000390B0000}"/>
    <cellStyle name="_20061027Holux_slm_llp_0520_FairPoint_FP comTechOps_ProgramWorkbook 2" xfId="2964" xr:uid="{00000000-0005-0000-0000-00003A0B0000}"/>
    <cellStyle name="_20061027Holux_slm_llp_0520_FairPoint_FP comTechOps_ProgramWorkbook 3" xfId="2965" xr:uid="{00000000-0005-0000-0000-00003B0B0000}"/>
    <cellStyle name="_20061027Holux_slm_llp_0520_FairPoint_FP comTechOps_ProgramWorkbook_sachin" xfId="2966" xr:uid="{00000000-0005-0000-0000-00003C0B0000}"/>
    <cellStyle name="_20061027Holux_slm_llp_0520_FairPoint_FP comTechOps_ProgramWorkbook_sachin 2" xfId="2967" xr:uid="{00000000-0005-0000-0000-00003D0B0000}"/>
    <cellStyle name="_20061027Holux_slm_llp_0520_FairPoint_FP comTechOps_ProgramWorkbook_sachin 3" xfId="2968" xr:uid="{00000000-0005-0000-0000-00003E0B0000}"/>
    <cellStyle name="_20061027Holux_slm_llp_0520_FairPoint_FP comTechOps_ProgramWorkbook_sachin_v1" xfId="2969" xr:uid="{00000000-0005-0000-0000-00003F0B0000}"/>
    <cellStyle name="_20061027Holux_slm_llp_0520_FairPoint_FP comTechOps_ProgramWorkbook_sachin_v1 2" xfId="2970" xr:uid="{00000000-0005-0000-0000-0000400B0000}"/>
    <cellStyle name="_20061027Holux_slm_llp_0520_FairPoint_FP comTechOps_ProgramWorkbook_sachin_v1 3" xfId="2971" xr:uid="{00000000-0005-0000-0000-0000410B0000}"/>
    <cellStyle name="_20061027Holux_slm_llp_0520_FP_CAMP&amp;ITReporting_Maintenance_Dashboard" xfId="2972" xr:uid="{00000000-0005-0000-0000-0000420B0000}"/>
    <cellStyle name="_20061027Holux_slm_llp_0520_FP_CAMP&amp;ITReporting_Maintenance_Dashboard 2" xfId="2973" xr:uid="{00000000-0005-0000-0000-0000430B0000}"/>
    <cellStyle name="_20061027Holux_slm_llp_0520_FP_CAMP&amp;ITReporting_Maintenance_Dashboard 3" xfId="2974" xr:uid="{00000000-0005-0000-0000-0000440B0000}"/>
    <cellStyle name="_20061027Holux_slm_llp_0520_FP_CAMPITReporting_Maintenance_Dashboard" xfId="2975" xr:uid="{00000000-0005-0000-0000-0000450B0000}"/>
    <cellStyle name="_20061027Holux_slm_llp_0520_FP_CAMPITReporting_Maintenance_Dashboard 2" xfId="2976" xr:uid="{00000000-0005-0000-0000-0000460B0000}"/>
    <cellStyle name="_20061027Holux_slm_llp_0520_FP_CAMPITReporting_Maintenance_Dashboard 3" xfId="2977" xr:uid="{00000000-0005-0000-0000-0000470B0000}"/>
    <cellStyle name="_20061027Holux_slm_llp_0520_FP_Commissions_Req_Dn_ProgramWorkBook_10-Dec-2010" xfId="2978" xr:uid="{00000000-0005-0000-0000-0000480B0000}"/>
    <cellStyle name="_20061027Holux_slm_llp_0520_FP_Commissions_Req_Dn_ProgramWorkBook_10-Dec-2010 2" xfId="2979" xr:uid="{00000000-0005-0000-0000-0000490B0000}"/>
    <cellStyle name="_20061027Holux_slm_llp_0520_FP_Commissions_Req_Dn_ProgramWorkBook_10-Dec-2010 3" xfId="2980" xr:uid="{00000000-0005-0000-0000-00004A0B0000}"/>
    <cellStyle name="_20061027Holux_slm_llp_0520_FP_DW_Impl_ProgramWorkBook_07-Jan-2011" xfId="2981" xr:uid="{00000000-0005-0000-0000-00004B0B0000}"/>
    <cellStyle name="_20061027Holux_slm_llp_0520_FP_DW_Impl_ProgramWorkBook_07-Jan-2011 2" xfId="2982" xr:uid="{00000000-0005-0000-0000-00004C0B0000}"/>
    <cellStyle name="_20061027Holux_slm_llp_0520_FP_DW_Impl_ProgramWorkBook_07-Jan-2011 2 2" xfId="2983" xr:uid="{00000000-0005-0000-0000-00004D0B0000}"/>
    <cellStyle name="_20061027Holux_slm_llp_0520_FP_DW_Impl_ProgramWorkBook_07-Jan-2011 2 3" xfId="2984" xr:uid="{00000000-0005-0000-0000-00004E0B0000}"/>
    <cellStyle name="_20061027Holux_slm_llp_0520_FP_DW_Impl_ProgramWorkBook_07-Jan-2011 3" xfId="2985" xr:uid="{00000000-0005-0000-0000-00004F0B0000}"/>
    <cellStyle name="_20061027Holux_slm_llp_0520_FP_DW_Impl_ProgramWorkBook_07-Jan-2011 4" xfId="2986" xr:uid="{00000000-0005-0000-0000-0000500B0000}"/>
    <cellStyle name="_20061027Holux_slm_llp_0520_FP_DW_Impl_ProgramWorkBook_11-Feb-2011" xfId="2987" xr:uid="{00000000-0005-0000-0000-0000510B0000}"/>
    <cellStyle name="_20061027Holux_slm_llp_0520_FP_DW_Impl_ProgramWorkBook_11-Feb-2011 2" xfId="2988" xr:uid="{00000000-0005-0000-0000-0000520B0000}"/>
    <cellStyle name="_20061027Holux_slm_llp_0520_FP_DW_Impl_ProgramWorkBook_11-Feb-2011 3" xfId="2989" xr:uid="{00000000-0005-0000-0000-0000530B0000}"/>
    <cellStyle name="_20061027Holux_slm_llp_0520_FP_DW_Impl_ProgramWorkBook_18-Feb-2011 - Working" xfId="2990" xr:uid="{00000000-0005-0000-0000-0000540B0000}"/>
    <cellStyle name="_20061027Holux_slm_llp_0520_FP_DW_Impl_ProgramWorkBook_18-Feb-2011 - Working 2" xfId="2991" xr:uid="{00000000-0005-0000-0000-0000550B0000}"/>
    <cellStyle name="_20061027Holux_slm_llp_0520_FP_DW_Impl_ProgramWorkBook_18-Feb-2011 - Working 3" xfId="2992" xr:uid="{00000000-0005-0000-0000-0000560B0000}"/>
    <cellStyle name="_20061027Holux_slm_llp_0520_FP_EnterprisePortal_ProgramWorkbook" xfId="2993" xr:uid="{00000000-0005-0000-0000-0000570B0000}"/>
    <cellStyle name="_20061027Holux_slm_llp_0520_FP_EnterprisePortal_ProgramWorkbook 2" xfId="2994" xr:uid="{00000000-0005-0000-0000-0000580B0000}"/>
    <cellStyle name="_20061027Holux_slm_llp_0520_FP_EnterprisePortal_ProgramWorkbook 3" xfId="2995" xr:uid="{00000000-0005-0000-0000-0000590B0000}"/>
    <cellStyle name="_20061027Holux_slm_llp_0520_FP_SAP_MLP v2" xfId="2996" xr:uid="{00000000-0005-0000-0000-00005A0B0000}"/>
    <cellStyle name="_20061027Holux_slm_llp_0520_FP_SAP_MLP v2 2" xfId="2997" xr:uid="{00000000-0005-0000-0000-00005B0B0000}"/>
    <cellStyle name="_20061027Holux_slm_llp_0520_FP_SAP_MLP v2 3" xfId="2998" xr:uid="{00000000-0005-0000-0000-00005C0B0000}"/>
    <cellStyle name="_20061027Holux_slm_llp_0520_KeyDecisions" xfId="2999" xr:uid="{00000000-0005-0000-0000-00005D0B0000}"/>
    <cellStyle name="_20061027Holux_slm_llp_0520_KeyDecisions 2" xfId="3000" xr:uid="{00000000-0005-0000-0000-00005E0B0000}"/>
    <cellStyle name="_20061027Holux_slm_llp_0520_KeyDecisions 3" xfId="3001" xr:uid="{00000000-0005-0000-0000-00005F0B0000}"/>
    <cellStyle name="_20061027Holux_slm_llp_0520_Sophia_Imp_ProjectWorkBook_02_18_2011" xfId="3002" xr:uid="{00000000-0005-0000-0000-0000600B0000}"/>
    <cellStyle name="_20061027Holux_slm_llp_0520_Sophia_Imp_ProjectWorkBook_02_18_2011 2" xfId="3003" xr:uid="{00000000-0005-0000-0000-0000610B0000}"/>
    <cellStyle name="_20061027Holux_slm_llp_0520_Sophia_Imp_ProjectWorkBook_02_18_2011 3" xfId="3004" xr:uid="{00000000-0005-0000-0000-0000620B0000}"/>
    <cellStyle name="_20061027Holux_slm_llp_0520_t" xfId="3005" xr:uid="{00000000-0005-0000-0000-0000630B0000}"/>
    <cellStyle name="_20061027Holux_slm_llp_0520_t 2" xfId="3006" xr:uid="{00000000-0005-0000-0000-0000640B0000}"/>
    <cellStyle name="_20061027Holux_slm_llp_0520_t 3" xfId="3007" xr:uid="{00000000-0005-0000-0000-0000650B0000}"/>
    <cellStyle name="_20061027Holux_SLM_PM_Workbook_053110" xfId="3008" xr:uid="{00000000-0005-0000-0000-0000660B0000}"/>
    <cellStyle name="_20061027Holux_SLM_PM_Workbook_053110 2" xfId="3009" xr:uid="{00000000-0005-0000-0000-0000670B0000}"/>
    <cellStyle name="_20061027Holux_SLM_PM_Workbook_053110 2 2" xfId="3010" xr:uid="{00000000-0005-0000-0000-0000680B0000}"/>
    <cellStyle name="_20061027Holux_SLM_PM_Workbook_053110 2 3" xfId="3011" xr:uid="{00000000-0005-0000-0000-0000690B0000}"/>
    <cellStyle name="_20061027Holux_SLM_PM_Workbook_053110 3" xfId="3012" xr:uid="{00000000-0005-0000-0000-00006A0B0000}"/>
    <cellStyle name="_20061027Holux_SLM_PM_Workbook_053110 3 2" xfId="3013" xr:uid="{00000000-0005-0000-0000-00006B0B0000}"/>
    <cellStyle name="_20061027Holux_SLM_PM_Workbook_053110 3 3" xfId="3014" xr:uid="{00000000-0005-0000-0000-00006C0B0000}"/>
    <cellStyle name="_20061027Holux_SLM_PM_Workbook_053110 4" xfId="3015" xr:uid="{00000000-0005-0000-0000-00006D0B0000}"/>
    <cellStyle name="_20061027Holux_SLM_PM_Workbook_053110 5" xfId="3016" xr:uid="{00000000-0005-0000-0000-00006E0B0000}"/>
    <cellStyle name="_20061027Holux_SLM_PM_Workbook_053110_Commissioning System Implementation_Project Workbook_06_10_2011" xfId="3017" xr:uid="{00000000-0005-0000-0000-00006F0B0000}"/>
    <cellStyle name="_20061027Holux_SLM_PM_Workbook_053110_Commissioning System Implementation_Project Workbook_06_10_2011 2" xfId="3018" xr:uid="{00000000-0005-0000-0000-0000700B0000}"/>
    <cellStyle name="_20061027Holux_SLM_PM_Workbook_053110_Commissioning System Implementation_Project Workbook_06_10_2011 3" xfId="3019" xr:uid="{00000000-0005-0000-0000-0000710B0000}"/>
    <cellStyle name="_20061027Holux_SLM_PM_Workbook_053110_FairPoint_CampReport" xfId="3020" xr:uid="{00000000-0005-0000-0000-0000720B0000}"/>
    <cellStyle name="_20061027Holux_SLM_PM_Workbook_053110_FairPoint_CampReport 2" xfId="3021" xr:uid="{00000000-0005-0000-0000-0000730B0000}"/>
    <cellStyle name="_20061027Holux_SLM_PM_Workbook_053110_FairPoint_CampReport 3" xfId="3022" xr:uid="{00000000-0005-0000-0000-0000740B0000}"/>
    <cellStyle name="_20061027Holux_SLM_PM_Workbook_053110_FairPoint_FP comTechOps_ProgramWorkbook" xfId="3023" xr:uid="{00000000-0005-0000-0000-0000750B0000}"/>
    <cellStyle name="_20061027Holux_SLM_PM_Workbook_053110_FairPoint_FP comTechOps_ProgramWorkbook 2" xfId="3024" xr:uid="{00000000-0005-0000-0000-0000760B0000}"/>
    <cellStyle name="_20061027Holux_SLM_PM_Workbook_053110_FairPoint_FP comTechOps_ProgramWorkbook 3" xfId="3025" xr:uid="{00000000-0005-0000-0000-0000770B0000}"/>
    <cellStyle name="_20061027Holux_SLM_PM_Workbook_053110_FairPoint_FP comTechOps_ProgramWorkbook_sachin" xfId="3026" xr:uid="{00000000-0005-0000-0000-0000780B0000}"/>
    <cellStyle name="_20061027Holux_SLM_PM_Workbook_053110_FairPoint_FP comTechOps_ProgramWorkbook_sachin 2" xfId="3027" xr:uid="{00000000-0005-0000-0000-0000790B0000}"/>
    <cellStyle name="_20061027Holux_SLM_PM_Workbook_053110_FairPoint_FP comTechOps_ProgramWorkbook_sachin 3" xfId="3028" xr:uid="{00000000-0005-0000-0000-00007A0B0000}"/>
    <cellStyle name="_20061027Holux_SLM_PM_Workbook_053110_FairPoint_FP comTechOps_ProgramWorkbook_sachin_v1" xfId="3029" xr:uid="{00000000-0005-0000-0000-00007B0B0000}"/>
    <cellStyle name="_20061027Holux_SLM_PM_Workbook_053110_FairPoint_FP comTechOps_ProgramWorkbook_sachin_v1 2" xfId="3030" xr:uid="{00000000-0005-0000-0000-00007C0B0000}"/>
    <cellStyle name="_20061027Holux_SLM_PM_Workbook_053110_FairPoint_FP comTechOps_ProgramWorkbook_sachin_v1 3" xfId="3031" xr:uid="{00000000-0005-0000-0000-00007D0B0000}"/>
    <cellStyle name="_20061027Holux_SLM_PM_Workbook_053110_FP_CAMP&amp;ITReporting_Maintenance_Dashboard" xfId="3032" xr:uid="{00000000-0005-0000-0000-00007E0B0000}"/>
    <cellStyle name="_20061027Holux_SLM_PM_Workbook_053110_FP_CAMP&amp;ITReporting_Maintenance_Dashboard 2" xfId="3033" xr:uid="{00000000-0005-0000-0000-00007F0B0000}"/>
    <cellStyle name="_20061027Holux_SLM_PM_Workbook_053110_FP_CAMP&amp;ITReporting_Maintenance_Dashboard 3" xfId="3034" xr:uid="{00000000-0005-0000-0000-0000800B0000}"/>
    <cellStyle name="_20061027Holux_SLM_PM_Workbook_053110_FP_CAMPITReporting_Maintenance_Dashboard" xfId="3035" xr:uid="{00000000-0005-0000-0000-0000810B0000}"/>
    <cellStyle name="_20061027Holux_SLM_PM_Workbook_053110_FP_CAMPITReporting_Maintenance_Dashboard 2" xfId="3036" xr:uid="{00000000-0005-0000-0000-0000820B0000}"/>
    <cellStyle name="_20061027Holux_SLM_PM_Workbook_053110_FP_CAMPITReporting_Maintenance_Dashboard 3" xfId="3037" xr:uid="{00000000-0005-0000-0000-0000830B0000}"/>
    <cellStyle name="_20061027Holux_SLM_PM_Workbook_053110_FP_Commissions_Req_Dn_ProgramWorkBook_10-Dec-2010" xfId="3038" xr:uid="{00000000-0005-0000-0000-0000840B0000}"/>
    <cellStyle name="_20061027Holux_SLM_PM_Workbook_053110_FP_Commissions_Req_Dn_ProgramWorkBook_10-Dec-2010 2" xfId="3039" xr:uid="{00000000-0005-0000-0000-0000850B0000}"/>
    <cellStyle name="_20061027Holux_SLM_PM_Workbook_053110_FP_Commissions_Req_Dn_ProgramWorkBook_10-Dec-2010 3" xfId="3040" xr:uid="{00000000-0005-0000-0000-0000860B0000}"/>
    <cellStyle name="_20061027Holux_SLM_PM_Workbook_053110_FP_DW_Impl_ProgramWorkBook_07-Jan-2011" xfId="3041" xr:uid="{00000000-0005-0000-0000-0000870B0000}"/>
    <cellStyle name="_20061027Holux_SLM_PM_Workbook_053110_FP_DW_Impl_ProgramWorkBook_07-Jan-2011 2" xfId="3042" xr:uid="{00000000-0005-0000-0000-0000880B0000}"/>
    <cellStyle name="_20061027Holux_SLM_PM_Workbook_053110_FP_DW_Impl_ProgramWorkBook_07-Jan-2011 2 2" xfId="3043" xr:uid="{00000000-0005-0000-0000-0000890B0000}"/>
    <cellStyle name="_20061027Holux_SLM_PM_Workbook_053110_FP_DW_Impl_ProgramWorkBook_07-Jan-2011 2 3" xfId="3044" xr:uid="{00000000-0005-0000-0000-00008A0B0000}"/>
    <cellStyle name="_20061027Holux_SLM_PM_Workbook_053110_FP_DW_Impl_ProgramWorkBook_07-Jan-2011 3" xfId="3045" xr:uid="{00000000-0005-0000-0000-00008B0B0000}"/>
    <cellStyle name="_20061027Holux_SLM_PM_Workbook_053110_FP_DW_Impl_ProgramWorkBook_07-Jan-2011 4" xfId="3046" xr:uid="{00000000-0005-0000-0000-00008C0B0000}"/>
    <cellStyle name="_20061027Holux_SLM_PM_Workbook_053110_FP_DW_Impl_ProgramWorkBook_11-Feb-2011" xfId="3047" xr:uid="{00000000-0005-0000-0000-00008D0B0000}"/>
    <cellStyle name="_20061027Holux_SLM_PM_Workbook_053110_FP_DW_Impl_ProgramWorkBook_11-Feb-2011 2" xfId="3048" xr:uid="{00000000-0005-0000-0000-00008E0B0000}"/>
    <cellStyle name="_20061027Holux_SLM_PM_Workbook_053110_FP_DW_Impl_ProgramWorkBook_11-Feb-2011 3" xfId="3049" xr:uid="{00000000-0005-0000-0000-00008F0B0000}"/>
    <cellStyle name="_20061027Holux_SLM_PM_Workbook_053110_FP_DW_Impl_ProgramWorkBook_18-Feb-2011 - Working" xfId="3050" xr:uid="{00000000-0005-0000-0000-0000900B0000}"/>
    <cellStyle name="_20061027Holux_SLM_PM_Workbook_053110_FP_DW_Impl_ProgramWorkBook_18-Feb-2011 - Working 2" xfId="3051" xr:uid="{00000000-0005-0000-0000-0000910B0000}"/>
    <cellStyle name="_20061027Holux_SLM_PM_Workbook_053110_FP_DW_Impl_ProgramWorkBook_18-Feb-2011 - Working 3" xfId="3052" xr:uid="{00000000-0005-0000-0000-0000920B0000}"/>
    <cellStyle name="_20061027Holux_SLM_PM_Workbook_053110_FP_EnterprisePortal_ProgramWorkbook" xfId="3053" xr:uid="{00000000-0005-0000-0000-0000930B0000}"/>
    <cellStyle name="_20061027Holux_SLM_PM_Workbook_053110_FP_EnterprisePortal_ProgramWorkbook 2" xfId="3054" xr:uid="{00000000-0005-0000-0000-0000940B0000}"/>
    <cellStyle name="_20061027Holux_SLM_PM_Workbook_053110_FP_EnterprisePortal_ProgramWorkbook 3" xfId="3055" xr:uid="{00000000-0005-0000-0000-0000950B0000}"/>
    <cellStyle name="_20061027Holux_SLM_PM_Workbook_053110_FP_SAP_MLP v2" xfId="3056" xr:uid="{00000000-0005-0000-0000-0000960B0000}"/>
    <cellStyle name="_20061027Holux_SLM_PM_Workbook_053110_FP_SAP_MLP v2 2" xfId="3057" xr:uid="{00000000-0005-0000-0000-0000970B0000}"/>
    <cellStyle name="_20061027Holux_SLM_PM_Workbook_053110_FP_SAP_MLP v2 3" xfId="3058" xr:uid="{00000000-0005-0000-0000-0000980B0000}"/>
    <cellStyle name="_20061027Holux_SLM_PM_Workbook_053110_KeyDecisions" xfId="3059" xr:uid="{00000000-0005-0000-0000-0000990B0000}"/>
    <cellStyle name="_20061027Holux_SLM_PM_Workbook_053110_KeyDecisions 2" xfId="3060" xr:uid="{00000000-0005-0000-0000-00009A0B0000}"/>
    <cellStyle name="_20061027Holux_SLM_PM_Workbook_053110_KeyDecisions 3" xfId="3061" xr:uid="{00000000-0005-0000-0000-00009B0B0000}"/>
    <cellStyle name="_20061027Holux_SLM_PM_Workbook_053110_Sophia_Imp_ProjectWorkBook_02_18_2011" xfId="3062" xr:uid="{00000000-0005-0000-0000-00009C0B0000}"/>
    <cellStyle name="_20061027Holux_SLM_PM_Workbook_053110_Sophia_Imp_ProjectWorkBook_02_18_2011 2" xfId="3063" xr:uid="{00000000-0005-0000-0000-00009D0B0000}"/>
    <cellStyle name="_20061027Holux_SLM_PM_Workbook_053110_Sophia_Imp_ProjectWorkBook_02_18_2011 3" xfId="3064" xr:uid="{00000000-0005-0000-0000-00009E0B0000}"/>
    <cellStyle name="_20061027Holux_SLM_PM_Workbook_053110_t" xfId="3065" xr:uid="{00000000-0005-0000-0000-00009F0B0000}"/>
    <cellStyle name="_20061027Holux_SLM_PM_Workbook_053110_t 2" xfId="3066" xr:uid="{00000000-0005-0000-0000-0000A00B0000}"/>
    <cellStyle name="_20061027Holux_SLM_PM_Workbook_053110_t 3" xfId="3067" xr:uid="{00000000-0005-0000-0000-0000A10B0000}"/>
    <cellStyle name="_20061027Holux_SLM_PMO_Workbook_060910" xfId="3068" xr:uid="{00000000-0005-0000-0000-0000A20B0000}"/>
    <cellStyle name="_20061027Holux_SLM_PMO_Workbook_060910 2" xfId="3069" xr:uid="{00000000-0005-0000-0000-0000A30B0000}"/>
    <cellStyle name="_20061027Holux_SLM_PMO_Workbook_060910 2 2" xfId="3070" xr:uid="{00000000-0005-0000-0000-0000A40B0000}"/>
    <cellStyle name="_20061027Holux_SLM_PMO_Workbook_060910 2 3" xfId="3071" xr:uid="{00000000-0005-0000-0000-0000A50B0000}"/>
    <cellStyle name="_20061027Holux_SLM_PMO_Workbook_060910 3" xfId="3072" xr:uid="{00000000-0005-0000-0000-0000A60B0000}"/>
    <cellStyle name="_20061027Holux_SLM_PMO_Workbook_060910 3 2" xfId="3073" xr:uid="{00000000-0005-0000-0000-0000A70B0000}"/>
    <cellStyle name="_20061027Holux_SLM_PMO_Workbook_060910 3 3" xfId="3074" xr:uid="{00000000-0005-0000-0000-0000A80B0000}"/>
    <cellStyle name="_20061027Holux_SLM_PMO_Workbook_060910 4" xfId="3075" xr:uid="{00000000-0005-0000-0000-0000A90B0000}"/>
    <cellStyle name="_20061027Holux_SLM_PMO_Workbook_060910 5" xfId="3076" xr:uid="{00000000-0005-0000-0000-0000AA0B0000}"/>
    <cellStyle name="_20061027Holux_SLM_PMO_Workbook_060910_Commissioning System Implementation_Project Workbook_06_10_2011" xfId="3077" xr:uid="{00000000-0005-0000-0000-0000AB0B0000}"/>
    <cellStyle name="_20061027Holux_SLM_PMO_Workbook_060910_Commissioning System Implementation_Project Workbook_06_10_2011 2" xfId="3078" xr:uid="{00000000-0005-0000-0000-0000AC0B0000}"/>
    <cellStyle name="_20061027Holux_SLM_PMO_Workbook_060910_Commissioning System Implementation_Project Workbook_06_10_2011 3" xfId="3079" xr:uid="{00000000-0005-0000-0000-0000AD0B0000}"/>
    <cellStyle name="_20061027Holux_SLM_PMO_Workbook_060910_FairPoint_CampReport" xfId="3080" xr:uid="{00000000-0005-0000-0000-0000AE0B0000}"/>
    <cellStyle name="_20061027Holux_SLM_PMO_Workbook_060910_FairPoint_CampReport 2" xfId="3081" xr:uid="{00000000-0005-0000-0000-0000AF0B0000}"/>
    <cellStyle name="_20061027Holux_SLM_PMO_Workbook_060910_FairPoint_CampReport 3" xfId="3082" xr:uid="{00000000-0005-0000-0000-0000B00B0000}"/>
    <cellStyle name="_20061027Holux_SLM_PMO_Workbook_060910_FairPoint_FP comTechOps_ProgramWorkbook" xfId="3083" xr:uid="{00000000-0005-0000-0000-0000B10B0000}"/>
    <cellStyle name="_20061027Holux_SLM_PMO_Workbook_060910_FairPoint_FP comTechOps_ProgramWorkbook 2" xfId="3084" xr:uid="{00000000-0005-0000-0000-0000B20B0000}"/>
    <cellStyle name="_20061027Holux_SLM_PMO_Workbook_060910_FairPoint_FP comTechOps_ProgramWorkbook 3" xfId="3085" xr:uid="{00000000-0005-0000-0000-0000B30B0000}"/>
    <cellStyle name="_20061027Holux_SLM_PMO_Workbook_060910_FairPoint_FP comTechOps_ProgramWorkbook_sachin" xfId="3086" xr:uid="{00000000-0005-0000-0000-0000B40B0000}"/>
    <cellStyle name="_20061027Holux_SLM_PMO_Workbook_060910_FairPoint_FP comTechOps_ProgramWorkbook_sachin 2" xfId="3087" xr:uid="{00000000-0005-0000-0000-0000B50B0000}"/>
    <cellStyle name="_20061027Holux_SLM_PMO_Workbook_060910_FairPoint_FP comTechOps_ProgramWorkbook_sachin 3" xfId="3088" xr:uid="{00000000-0005-0000-0000-0000B60B0000}"/>
    <cellStyle name="_20061027Holux_SLM_PMO_Workbook_060910_FairPoint_FP comTechOps_ProgramWorkbook_sachin_v1" xfId="3089" xr:uid="{00000000-0005-0000-0000-0000B70B0000}"/>
    <cellStyle name="_20061027Holux_SLM_PMO_Workbook_060910_FairPoint_FP comTechOps_ProgramWorkbook_sachin_v1 2" xfId="3090" xr:uid="{00000000-0005-0000-0000-0000B80B0000}"/>
    <cellStyle name="_20061027Holux_SLM_PMO_Workbook_060910_FairPoint_FP comTechOps_ProgramWorkbook_sachin_v1 3" xfId="3091" xr:uid="{00000000-0005-0000-0000-0000B90B0000}"/>
    <cellStyle name="_20061027Holux_SLM_PMO_Workbook_060910_FP_CAMP&amp;ITReporting_Maintenance_Dashboard" xfId="3092" xr:uid="{00000000-0005-0000-0000-0000BA0B0000}"/>
    <cellStyle name="_20061027Holux_SLM_PMO_Workbook_060910_FP_CAMP&amp;ITReporting_Maintenance_Dashboard 2" xfId="3093" xr:uid="{00000000-0005-0000-0000-0000BB0B0000}"/>
    <cellStyle name="_20061027Holux_SLM_PMO_Workbook_060910_FP_CAMP&amp;ITReporting_Maintenance_Dashboard 3" xfId="3094" xr:uid="{00000000-0005-0000-0000-0000BC0B0000}"/>
    <cellStyle name="_20061027Holux_SLM_PMO_Workbook_060910_FP_CAMPITReporting_Maintenance_Dashboard" xfId="3095" xr:uid="{00000000-0005-0000-0000-0000BD0B0000}"/>
    <cellStyle name="_20061027Holux_SLM_PMO_Workbook_060910_FP_CAMPITReporting_Maintenance_Dashboard 2" xfId="3096" xr:uid="{00000000-0005-0000-0000-0000BE0B0000}"/>
    <cellStyle name="_20061027Holux_SLM_PMO_Workbook_060910_FP_CAMPITReporting_Maintenance_Dashboard 3" xfId="3097" xr:uid="{00000000-0005-0000-0000-0000BF0B0000}"/>
    <cellStyle name="_20061027Holux_SLM_PMO_Workbook_060910_FP_Commissions_Req_Dn_ProgramWorkBook_10-Dec-2010" xfId="3098" xr:uid="{00000000-0005-0000-0000-0000C00B0000}"/>
    <cellStyle name="_20061027Holux_SLM_PMO_Workbook_060910_FP_Commissions_Req_Dn_ProgramWorkBook_10-Dec-2010 2" xfId="3099" xr:uid="{00000000-0005-0000-0000-0000C10B0000}"/>
    <cellStyle name="_20061027Holux_SLM_PMO_Workbook_060910_FP_Commissions_Req_Dn_ProgramWorkBook_10-Dec-2010 3" xfId="3100" xr:uid="{00000000-0005-0000-0000-0000C20B0000}"/>
    <cellStyle name="_20061027Holux_SLM_PMO_Workbook_060910_FP_DW_Impl_ProgramWorkBook_07-Jan-2011" xfId="3101" xr:uid="{00000000-0005-0000-0000-0000C30B0000}"/>
    <cellStyle name="_20061027Holux_SLM_PMO_Workbook_060910_FP_DW_Impl_ProgramWorkBook_07-Jan-2011 2" xfId="3102" xr:uid="{00000000-0005-0000-0000-0000C40B0000}"/>
    <cellStyle name="_20061027Holux_SLM_PMO_Workbook_060910_FP_DW_Impl_ProgramWorkBook_07-Jan-2011 2 2" xfId="3103" xr:uid="{00000000-0005-0000-0000-0000C50B0000}"/>
    <cellStyle name="_20061027Holux_SLM_PMO_Workbook_060910_FP_DW_Impl_ProgramWorkBook_07-Jan-2011 2 3" xfId="3104" xr:uid="{00000000-0005-0000-0000-0000C60B0000}"/>
    <cellStyle name="_20061027Holux_SLM_PMO_Workbook_060910_FP_DW_Impl_ProgramWorkBook_07-Jan-2011 3" xfId="3105" xr:uid="{00000000-0005-0000-0000-0000C70B0000}"/>
    <cellStyle name="_20061027Holux_SLM_PMO_Workbook_060910_FP_DW_Impl_ProgramWorkBook_07-Jan-2011 4" xfId="3106" xr:uid="{00000000-0005-0000-0000-0000C80B0000}"/>
    <cellStyle name="_20061027Holux_SLM_PMO_Workbook_060910_FP_DW_Impl_ProgramWorkBook_11-Feb-2011" xfId="3107" xr:uid="{00000000-0005-0000-0000-0000C90B0000}"/>
    <cellStyle name="_20061027Holux_SLM_PMO_Workbook_060910_FP_DW_Impl_ProgramWorkBook_11-Feb-2011 2" xfId="3108" xr:uid="{00000000-0005-0000-0000-0000CA0B0000}"/>
    <cellStyle name="_20061027Holux_SLM_PMO_Workbook_060910_FP_DW_Impl_ProgramWorkBook_11-Feb-2011 3" xfId="3109" xr:uid="{00000000-0005-0000-0000-0000CB0B0000}"/>
    <cellStyle name="_20061027Holux_SLM_PMO_Workbook_060910_FP_DW_Impl_ProgramWorkBook_18-Feb-2011 - Working" xfId="3110" xr:uid="{00000000-0005-0000-0000-0000CC0B0000}"/>
    <cellStyle name="_20061027Holux_SLM_PMO_Workbook_060910_FP_DW_Impl_ProgramWorkBook_18-Feb-2011 - Working 2" xfId="3111" xr:uid="{00000000-0005-0000-0000-0000CD0B0000}"/>
    <cellStyle name="_20061027Holux_SLM_PMO_Workbook_060910_FP_DW_Impl_ProgramWorkBook_18-Feb-2011 - Working 3" xfId="3112" xr:uid="{00000000-0005-0000-0000-0000CE0B0000}"/>
    <cellStyle name="_20061027Holux_SLM_PMO_Workbook_060910_FP_EnterprisePortal_ProgramWorkbook" xfId="3113" xr:uid="{00000000-0005-0000-0000-0000CF0B0000}"/>
    <cellStyle name="_20061027Holux_SLM_PMO_Workbook_060910_FP_EnterprisePortal_ProgramWorkbook 2" xfId="3114" xr:uid="{00000000-0005-0000-0000-0000D00B0000}"/>
    <cellStyle name="_20061027Holux_SLM_PMO_Workbook_060910_FP_EnterprisePortal_ProgramWorkbook 3" xfId="3115" xr:uid="{00000000-0005-0000-0000-0000D10B0000}"/>
    <cellStyle name="_20061027Holux_SLM_PMO_Workbook_060910_FP_SAP_MLP v2" xfId="3116" xr:uid="{00000000-0005-0000-0000-0000D20B0000}"/>
    <cellStyle name="_20061027Holux_SLM_PMO_Workbook_060910_FP_SAP_MLP v2 2" xfId="3117" xr:uid="{00000000-0005-0000-0000-0000D30B0000}"/>
    <cellStyle name="_20061027Holux_SLM_PMO_Workbook_060910_FP_SAP_MLP v2 3" xfId="3118" xr:uid="{00000000-0005-0000-0000-0000D40B0000}"/>
    <cellStyle name="_20061027Holux_SLM_PMO_Workbook_060910_KeyDecisions" xfId="3119" xr:uid="{00000000-0005-0000-0000-0000D50B0000}"/>
    <cellStyle name="_20061027Holux_SLM_PMO_Workbook_060910_KeyDecisions 2" xfId="3120" xr:uid="{00000000-0005-0000-0000-0000D60B0000}"/>
    <cellStyle name="_20061027Holux_SLM_PMO_Workbook_060910_KeyDecisions 3" xfId="3121" xr:uid="{00000000-0005-0000-0000-0000D70B0000}"/>
    <cellStyle name="_20061027Holux_SLM_PMO_Workbook_060910_Sophia_Imp_ProjectWorkBook_02_18_2011" xfId="3122" xr:uid="{00000000-0005-0000-0000-0000D80B0000}"/>
    <cellStyle name="_20061027Holux_SLM_PMO_Workbook_060910_Sophia_Imp_ProjectWorkBook_02_18_2011 2" xfId="3123" xr:uid="{00000000-0005-0000-0000-0000D90B0000}"/>
    <cellStyle name="_20061027Holux_SLM_PMO_Workbook_060910_Sophia_Imp_ProjectWorkBook_02_18_2011 3" xfId="3124" xr:uid="{00000000-0005-0000-0000-0000DA0B0000}"/>
    <cellStyle name="_20061027Holux_SLM_PMO_Workbook_060910_t" xfId="3125" xr:uid="{00000000-0005-0000-0000-0000DB0B0000}"/>
    <cellStyle name="_20061027Holux_SLM_PMO_Workbook_060910_t 2" xfId="3126" xr:uid="{00000000-0005-0000-0000-0000DC0B0000}"/>
    <cellStyle name="_20061027Holux_SLM_PMO_Workbook_060910_t 3" xfId="3127" xr:uid="{00000000-0005-0000-0000-0000DD0B0000}"/>
    <cellStyle name="_20061027Holux_Sophia_Imp_ProjectWorkBook_02_18_2011" xfId="3128" xr:uid="{00000000-0005-0000-0000-0000DE0B0000}"/>
    <cellStyle name="_20061027Holux_Sophia_Imp_ProjectWorkBook_02_18_2011 2" xfId="3129" xr:uid="{00000000-0005-0000-0000-0000DF0B0000}"/>
    <cellStyle name="_20061027Holux_Sophia_Imp_ProjectWorkBook_02_18_2011 3" xfId="3130" xr:uid="{00000000-0005-0000-0000-0000E00B0000}"/>
    <cellStyle name="_20061027Holux_t" xfId="3131" xr:uid="{00000000-0005-0000-0000-0000E10B0000}"/>
    <cellStyle name="_20061027Holux_t 2" xfId="3132" xr:uid="{00000000-0005-0000-0000-0000E20B0000}"/>
    <cellStyle name="_20061027Holux_t 3" xfId="3133" xr:uid="{00000000-0005-0000-0000-0000E30B0000}"/>
    <cellStyle name="_20061027Holux_UX Plan_0401" xfId="3134" xr:uid="{00000000-0005-0000-0000-0000E40B0000}"/>
    <cellStyle name="_20061027Holux_UX Plan_0401 2" xfId="3135" xr:uid="{00000000-0005-0000-0000-0000E50B0000}"/>
    <cellStyle name="_20061027Holux_UX Plan_0401 2 2" xfId="3136" xr:uid="{00000000-0005-0000-0000-0000E60B0000}"/>
    <cellStyle name="_20061027Holux_UX Plan_0401 2 3" xfId="3137" xr:uid="{00000000-0005-0000-0000-0000E70B0000}"/>
    <cellStyle name="_20061027Holux_UX Plan_0401 3" xfId="3138" xr:uid="{00000000-0005-0000-0000-0000E80B0000}"/>
    <cellStyle name="_20061027Holux_UX Plan_0401 3 2" xfId="3139" xr:uid="{00000000-0005-0000-0000-0000E90B0000}"/>
    <cellStyle name="_20061027Holux_UX Plan_0401 3 3" xfId="3140" xr:uid="{00000000-0005-0000-0000-0000EA0B0000}"/>
    <cellStyle name="_20061027Holux_UX Plan_0401 4" xfId="3141" xr:uid="{00000000-0005-0000-0000-0000EB0B0000}"/>
    <cellStyle name="_20061027Holux_UX Plan_0401 5" xfId="3142" xr:uid="{00000000-0005-0000-0000-0000EC0B0000}"/>
    <cellStyle name="_20061027Holux_UX Plan_0401_Commissioning System Implementation_Project Workbook_06_10_2011" xfId="3143" xr:uid="{00000000-0005-0000-0000-0000ED0B0000}"/>
    <cellStyle name="_20061027Holux_UX Plan_0401_Commissioning System Implementation_Project Workbook_06_10_2011 2" xfId="3144" xr:uid="{00000000-0005-0000-0000-0000EE0B0000}"/>
    <cellStyle name="_20061027Holux_UX Plan_0401_Commissioning System Implementation_Project Workbook_06_10_2011 3" xfId="3145" xr:uid="{00000000-0005-0000-0000-0000EF0B0000}"/>
    <cellStyle name="_20061027Holux_UX Plan_0401_FairPoint_CampReport" xfId="3146" xr:uid="{00000000-0005-0000-0000-0000F00B0000}"/>
    <cellStyle name="_20061027Holux_UX Plan_0401_FairPoint_CampReport 2" xfId="3147" xr:uid="{00000000-0005-0000-0000-0000F10B0000}"/>
    <cellStyle name="_20061027Holux_UX Plan_0401_FairPoint_CampReport 3" xfId="3148" xr:uid="{00000000-0005-0000-0000-0000F20B0000}"/>
    <cellStyle name="_20061027Holux_UX Plan_0401_FairPoint_FP comTechOps_ProgramWorkbook" xfId="3149" xr:uid="{00000000-0005-0000-0000-0000F30B0000}"/>
    <cellStyle name="_20061027Holux_UX Plan_0401_FairPoint_FP comTechOps_ProgramWorkbook 2" xfId="3150" xr:uid="{00000000-0005-0000-0000-0000F40B0000}"/>
    <cellStyle name="_20061027Holux_UX Plan_0401_FairPoint_FP comTechOps_ProgramWorkbook 3" xfId="3151" xr:uid="{00000000-0005-0000-0000-0000F50B0000}"/>
    <cellStyle name="_20061027Holux_UX Plan_0401_FairPoint_FP comTechOps_ProgramWorkbook_sachin" xfId="3152" xr:uid="{00000000-0005-0000-0000-0000F60B0000}"/>
    <cellStyle name="_20061027Holux_UX Plan_0401_FairPoint_FP comTechOps_ProgramWorkbook_sachin 2" xfId="3153" xr:uid="{00000000-0005-0000-0000-0000F70B0000}"/>
    <cellStyle name="_20061027Holux_UX Plan_0401_FairPoint_FP comTechOps_ProgramWorkbook_sachin 3" xfId="3154" xr:uid="{00000000-0005-0000-0000-0000F80B0000}"/>
    <cellStyle name="_20061027Holux_UX Plan_0401_FairPoint_FP comTechOps_ProgramWorkbook_sachin_v1" xfId="3155" xr:uid="{00000000-0005-0000-0000-0000F90B0000}"/>
    <cellStyle name="_20061027Holux_UX Plan_0401_FairPoint_FP comTechOps_ProgramWorkbook_sachin_v1 2" xfId="3156" xr:uid="{00000000-0005-0000-0000-0000FA0B0000}"/>
    <cellStyle name="_20061027Holux_UX Plan_0401_FairPoint_FP comTechOps_ProgramWorkbook_sachin_v1 3" xfId="3157" xr:uid="{00000000-0005-0000-0000-0000FB0B0000}"/>
    <cellStyle name="_20061027Holux_UX Plan_0401_FP_CAMP&amp;ITReporting_Maintenance_Dashboard" xfId="3158" xr:uid="{00000000-0005-0000-0000-0000FC0B0000}"/>
    <cellStyle name="_20061027Holux_UX Plan_0401_FP_CAMP&amp;ITReporting_Maintenance_Dashboard 2" xfId="3159" xr:uid="{00000000-0005-0000-0000-0000FD0B0000}"/>
    <cellStyle name="_20061027Holux_UX Plan_0401_FP_CAMP&amp;ITReporting_Maintenance_Dashboard 3" xfId="3160" xr:uid="{00000000-0005-0000-0000-0000FE0B0000}"/>
    <cellStyle name="_20061027Holux_UX Plan_0401_FP_CAMPITReporting_Maintenance_Dashboard" xfId="3161" xr:uid="{00000000-0005-0000-0000-0000FF0B0000}"/>
    <cellStyle name="_20061027Holux_UX Plan_0401_FP_CAMPITReporting_Maintenance_Dashboard 2" xfId="3162" xr:uid="{00000000-0005-0000-0000-0000000C0000}"/>
    <cellStyle name="_20061027Holux_UX Plan_0401_FP_CAMPITReporting_Maintenance_Dashboard 3" xfId="3163" xr:uid="{00000000-0005-0000-0000-0000010C0000}"/>
    <cellStyle name="_20061027Holux_UX Plan_0401_FP_Commissions_Req_Dn_ProgramWorkBook_10-Dec-2010" xfId="3164" xr:uid="{00000000-0005-0000-0000-0000020C0000}"/>
    <cellStyle name="_20061027Holux_UX Plan_0401_FP_Commissions_Req_Dn_ProgramWorkBook_10-Dec-2010 2" xfId="3165" xr:uid="{00000000-0005-0000-0000-0000030C0000}"/>
    <cellStyle name="_20061027Holux_UX Plan_0401_FP_Commissions_Req_Dn_ProgramWorkBook_10-Dec-2010 3" xfId="3166" xr:uid="{00000000-0005-0000-0000-0000040C0000}"/>
    <cellStyle name="_20061027Holux_UX Plan_0401_FP_DW_Impl_ProgramWorkBook_07-Jan-2011" xfId="3167" xr:uid="{00000000-0005-0000-0000-0000050C0000}"/>
    <cellStyle name="_20061027Holux_UX Plan_0401_FP_DW_Impl_ProgramWorkBook_07-Jan-2011 2" xfId="3168" xr:uid="{00000000-0005-0000-0000-0000060C0000}"/>
    <cellStyle name="_20061027Holux_UX Plan_0401_FP_DW_Impl_ProgramWorkBook_07-Jan-2011 2 2" xfId="3169" xr:uid="{00000000-0005-0000-0000-0000070C0000}"/>
    <cellStyle name="_20061027Holux_UX Plan_0401_FP_DW_Impl_ProgramWorkBook_07-Jan-2011 2 3" xfId="3170" xr:uid="{00000000-0005-0000-0000-0000080C0000}"/>
    <cellStyle name="_20061027Holux_UX Plan_0401_FP_DW_Impl_ProgramWorkBook_07-Jan-2011 3" xfId="3171" xr:uid="{00000000-0005-0000-0000-0000090C0000}"/>
    <cellStyle name="_20061027Holux_UX Plan_0401_FP_DW_Impl_ProgramWorkBook_07-Jan-2011 4" xfId="3172" xr:uid="{00000000-0005-0000-0000-00000A0C0000}"/>
    <cellStyle name="_20061027Holux_UX Plan_0401_FP_DW_Impl_ProgramWorkBook_11-Feb-2011" xfId="3173" xr:uid="{00000000-0005-0000-0000-00000B0C0000}"/>
    <cellStyle name="_20061027Holux_UX Plan_0401_FP_DW_Impl_ProgramWorkBook_11-Feb-2011 2" xfId="3174" xr:uid="{00000000-0005-0000-0000-00000C0C0000}"/>
    <cellStyle name="_20061027Holux_UX Plan_0401_FP_DW_Impl_ProgramWorkBook_11-Feb-2011 3" xfId="3175" xr:uid="{00000000-0005-0000-0000-00000D0C0000}"/>
    <cellStyle name="_20061027Holux_UX Plan_0401_FP_DW_Impl_ProgramWorkBook_18-Feb-2011 - Working" xfId="3176" xr:uid="{00000000-0005-0000-0000-00000E0C0000}"/>
    <cellStyle name="_20061027Holux_UX Plan_0401_FP_DW_Impl_ProgramWorkBook_18-Feb-2011 - Working 2" xfId="3177" xr:uid="{00000000-0005-0000-0000-00000F0C0000}"/>
    <cellStyle name="_20061027Holux_UX Plan_0401_FP_DW_Impl_ProgramWorkBook_18-Feb-2011 - Working 3" xfId="3178" xr:uid="{00000000-0005-0000-0000-0000100C0000}"/>
    <cellStyle name="_20061027Holux_UX Plan_0401_FP_EnterprisePortal_ProgramWorkbook" xfId="3179" xr:uid="{00000000-0005-0000-0000-0000110C0000}"/>
    <cellStyle name="_20061027Holux_UX Plan_0401_FP_EnterprisePortal_ProgramWorkbook 2" xfId="3180" xr:uid="{00000000-0005-0000-0000-0000120C0000}"/>
    <cellStyle name="_20061027Holux_UX Plan_0401_FP_EnterprisePortal_ProgramWorkbook 3" xfId="3181" xr:uid="{00000000-0005-0000-0000-0000130C0000}"/>
    <cellStyle name="_20061027Holux_UX Plan_0401_FP_SAP_MLP v2" xfId="3182" xr:uid="{00000000-0005-0000-0000-0000140C0000}"/>
    <cellStyle name="_20061027Holux_UX Plan_0401_FP_SAP_MLP v2 2" xfId="3183" xr:uid="{00000000-0005-0000-0000-0000150C0000}"/>
    <cellStyle name="_20061027Holux_UX Plan_0401_FP_SAP_MLP v2 3" xfId="3184" xr:uid="{00000000-0005-0000-0000-0000160C0000}"/>
    <cellStyle name="_20061027Holux_UX Plan_0401_KeyDecisions" xfId="3185" xr:uid="{00000000-0005-0000-0000-0000170C0000}"/>
    <cellStyle name="_20061027Holux_UX Plan_0401_KeyDecisions 2" xfId="3186" xr:uid="{00000000-0005-0000-0000-0000180C0000}"/>
    <cellStyle name="_20061027Holux_UX Plan_0401_KeyDecisions 3" xfId="3187" xr:uid="{00000000-0005-0000-0000-0000190C0000}"/>
    <cellStyle name="_20061027Holux_UX Plan_0401_Sophia_Imp_ProjectWorkBook_02_18_2011" xfId="3188" xr:uid="{00000000-0005-0000-0000-00001A0C0000}"/>
    <cellStyle name="_20061027Holux_UX Plan_0401_Sophia_Imp_ProjectWorkBook_02_18_2011 2" xfId="3189" xr:uid="{00000000-0005-0000-0000-00001B0C0000}"/>
    <cellStyle name="_20061027Holux_UX Plan_0401_Sophia_Imp_ProjectWorkBook_02_18_2011 3" xfId="3190" xr:uid="{00000000-0005-0000-0000-00001C0C0000}"/>
    <cellStyle name="_20061027Holux_UX Plan_0401_t" xfId="3191" xr:uid="{00000000-0005-0000-0000-00001D0C0000}"/>
    <cellStyle name="_20061027Holux_UX Plan_0401_t 2" xfId="3192" xr:uid="{00000000-0005-0000-0000-00001E0C0000}"/>
    <cellStyle name="_20061027Holux_UX Plan_0401_t 3" xfId="3193" xr:uid="{00000000-0005-0000-0000-00001F0C0000}"/>
    <cellStyle name="_20061027Holux_WorldBankCMSScope" xfId="3194" xr:uid="{00000000-0005-0000-0000-0000200C0000}"/>
    <cellStyle name="_20061027Holux_WorldBankCMSScope 2" xfId="3195" xr:uid="{00000000-0005-0000-0000-0000210C0000}"/>
    <cellStyle name="_20061027Holux_WorldBankCMSScope 2 2" xfId="3196" xr:uid="{00000000-0005-0000-0000-0000220C0000}"/>
    <cellStyle name="_20061027Holux_WorldBankCMSScope 2 3" xfId="3197" xr:uid="{00000000-0005-0000-0000-0000230C0000}"/>
    <cellStyle name="_20061027Holux_WorldBankCMSScope 3" xfId="3198" xr:uid="{00000000-0005-0000-0000-0000240C0000}"/>
    <cellStyle name="_20061027Holux_WorldBankCMSScope 4" xfId="3199" xr:uid="{00000000-0005-0000-0000-0000250C0000}"/>
    <cellStyle name="_20061027Holux_WorldBankCMSScope_CMS_SOW_Deliverables_0430" xfId="3200" xr:uid="{00000000-0005-0000-0000-0000260C0000}"/>
    <cellStyle name="_20061027Holux_WorldBankCMSScope_CMS_SOW_Deliverables_0430 2" xfId="3201" xr:uid="{00000000-0005-0000-0000-0000270C0000}"/>
    <cellStyle name="_20061027Holux_WorldBankCMSScope_CMS_SOW_Deliverables_0430 2 2" xfId="3202" xr:uid="{00000000-0005-0000-0000-0000280C0000}"/>
    <cellStyle name="_20061027Holux_WorldBankCMSScope_CMS_SOW_Deliverables_0430 2 3" xfId="3203" xr:uid="{00000000-0005-0000-0000-0000290C0000}"/>
    <cellStyle name="_20061027Holux_WorldBankCMSScope_CMS_SOW_Deliverables_0430 3" xfId="3204" xr:uid="{00000000-0005-0000-0000-00002A0C0000}"/>
    <cellStyle name="_20061027Holux_WorldBankCMSScope_CMS_SOW_Deliverables_0430 4" xfId="3205" xr:uid="{00000000-0005-0000-0000-00002B0C0000}"/>
    <cellStyle name="_20061027Holux_WorldBankCMSScope_CMS_SOW_Deliverables_0430_Commissioning System Implementation_Project Workbook_06_10_2011" xfId="3206" xr:uid="{00000000-0005-0000-0000-00002C0C0000}"/>
    <cellStyle name="_20061027Holux_WorldBankCMSScope_CMS_SOW_Deliverables_0430_Commissioning System Implementation_Project Workbook_06_10_2011 2" xfId="3207" xr:uid="{00000000-0005-0000-0000-00002D0C0000}"/>
    <cellStyle name="_20061027Holux_WorldBankCMSScope_CMS_SOW_Deliverables_0430_Commissioning System Implementation_Project Workbook_06_10_2011 3" xfId="3208" xr:uid="{00000000-0005-0000-0000-00002E0C0000}"/>
    <cellStyle name="_20061027Holux_WorldBankCMSScope_CMS_SOW_Deliverables_0430_FairPoint_CampReport" xfId="3209" xr:uid="{00000000-0005-0000-0000-00002F0C0000}"/>
    <cellStyle name="_20061027Holux_WorldBankCMSScope_CMS_SOW_Deliverables_0430_FairPoint_CampReport 2" xfId="3210" xr:uid="{00000000-0005-0000-0000-0000300C0000}"/>
    <cellStyle name="_20061027Holux_WorldBankCMSScope_CMS_SOW_Deliverables_0430_FairPoint_CampReport 3" xfId="3211" xr:uid="{00000000-0005-0000-0000-0000310C0000}"/>
    <cellStyle name="_20061027Holux_WorldBankCMSScope_CMS_SOW_Deliverables_0430_FairPoint_FP comTechOps_ProgramWorkbook" xfId="3212" xr:uid="{00000000-0005-0000-0000-0000320C0000}"/>
    <cellStyle name="_20061027Holux_WorldBankCMSScope_CMS_SOW_Deliverables_0430_FairPoint_FP comTechOps_ProgramWorkbook 2" xfId="3213" xr:uid="{00000000-0005-0000-0000-0000330C0000}"/>
    <cellStyle name="_20061027Holux_WorldBankCMSScope_CMS_SOW_Deliverables_0430_FairPoint_FP comTechOps_ProgramWorkbook 3" xfId="3214" xr:uid="{00000000-0005-0000-0000-0000340C0000}"/>
    <cellStyle name="_20061027Holux_WorldBankCMSScope_CMS_SOW_Deliverables_0430_FairPoint_FP comTechOps_ProgramWorkbook_sachin" xfId="3215" xr:uid="{00000000-0005-0000-0000-0000350C0000}"/>
    <cellStyle name="_20061027Holux_WorldBankCMSScope_CMS_SOW_Deliverables_0430_FairPoint_FP comTechOps_ProgramWorkbook_sachin 2" xfId="3216" xr:uid="{00000000-0005-0000-0000-0000360C0000}"/>
    <cellStyle name="_20061027Holux_WorldBankCMSScope_CMS_SOW_Deliverables_0430_FairPoint_FP comTechOps_ProgramWorkbook_sachin 3" xfId="3217" xr:uid="{00000000-0005-0000-0000-0000370C0000}"/>
    <cellStyle name="_20061027Holux_WorldBankCMSScope_CMS_SOW_Deliverables_0430_FairPoint_FP comTechOps_ProgramWorkbook_sachin_v1" xfId="3218" xr:uid="{00000000-0005-0000-0000-0000380C0000}"/>
    <cellStyle name="_20061027Holux_WorldBankCMSScope_CMS_SOW_Deliverables_0430_FairPoint_FP comTechOps_ProgramWorkbook_sachin_v1 2" xfId="3219" xr:uid="{00000000-0005-0000-0000-0000390C0000}"/>
    <cellStyle name="_20061027Holux_WorldBankCMSScope_CMS_SOW_Deliverables_0430_FairPoint_FP comTechOps_ProgramWorkbook_sachin_v1 3" xfId="3220" xr:uid="{00000000-0005-0000-0000-00003A0C0000}"/>
    <cellStyle name="_20061027Holux_WorldBankCMSScope_CMS_SOW_Deliverables_0430_FP_CAMP&amp;ITReporting_Maintenance_Dashboard" xfId="3221" xr:uid="{00000000-0005-0000-0000-00003B0C0000}"/>
    <cellStyle name="_20061027Holux_WorldBankCMSScope_CMS_SOW_Deliverables_0430_FP_CAMP&amp;ITReporting_Maintenance_Dashboard 2" xfId="3222" xr:uid="{00000000-0005-0000-0000-00003C0C0000}"/>
    <cellStyle name="_20061027Holux_WorldBankCMSScope_CMS_SOW_Deliverables_0430_FP_CAMP&amp;ITReporting_Maintenance_Dashboard 3" xfId="3223" xr:uid="{00000000-0005-0000-0000-00003D0C0000}"/>
    <cellStyle name="_20061027Holux_WorldBankCMSScope_CMS_SOW_Deliverables_0430_FP_CAMPITReporting_Maintenance_Dashboard" xfId="3224" xr:uid="{00000000-0005-0000-0000-00003E0C0000}"/>
    <cellStyle name="_20061027Holux_WorldBankCMSScope_CMS_SOW_Deliverables_0430_FP_CAMPITReporting_Maintenance_Dashboard 2" xfId="3225" xr:uid="{00000000-0005-0000-0000-00003F0C0000}"/>
    <cellStyle name="_20061027Holux_WorldBankCMSScope_CMS_SOW_Deliverables_0430_FP_CAMPITReporting_Maintenance_Dashboard 3" xfId="3226" xr:uid="{00000000-0005-0000-0000-0000400C0000}"/>
    <cellStyle name="_20061027Holux_WorldBankCMSScope_CMS_SOW_Deliverables_0430_FP_Commissions_Req_Dn_ProgramWorkBook_10-Dec-2010" xfId="3227" xr:uid="{00000000-0005-0000-0000-0000410C0000}"/>
    <cellStyle name="_20061027Holux_WorldBankCMSScope_CMS_SOW_Deliverables_0430_FP_Commissions_Req_Dn_ProgramWorkBook_10-Dec-2010 2" xfId="3228" xr:uid="{00000000-0005-0000-0000-0000420C0000}"/>
    <cellStyle name="_20061027Holux_WorldBankCMSScope_CMS_SOW_Deliverables_0430_FP_Commissions_Req_Dn_ProgramWorkBook_10-Dec-2010 3" xfId="3229" xr:uid="{00000000-0005-0000-0000-0000430C0000}"/>
    <cellStyle name="_20061027Holux_WorldBankCMSScope_CMS_SOW_Deliverables_0430_FP_DW_Impl_ProgramWorkBook_07-Jan-2011" xfId="3230" xr:uid="{00000000-0005-0000-0000-0000440C0000}"/>
    <cellStyle name="_20061027Holux_WorldBankCMSScope_CMS_SOW_Deliverables_0430_FP_DW_Impl_ProgramWorkBook_07-Jan-2011 2" xfId="3231" xr:uid="{00000000-0005-0000-0000-0000450C0000}"/>
    <cellStyle name="_20061027Holux_WorldBankCMSScope_CMS_SOW_Deliverables_0430_FP_DW_Impl_ProgramWorkBook_07-Jan-2011 2 2" xfId="3232" xr:uid="{00000000-0005-0000-0000-0000460C0000}"/>
    <cellStyle name="_20061027Holux_WorldBankCMSScope_CMS_SOW_Deliverables_0430_FP_DW_Impl_ProgramWorkBook_07-Jan-2011 2 3" xfId="3233" xr:uid="{00000000-0005-0000-0000-0000470C0000}"/>
    <cellStyle name="_20061027Holux_WorldBankCMSScope_CMS_SOW_Deliverables_0430_FP_DW_Impl_ProgramWorkBook_07-Jan-2011 3" xfId="3234" xr:uid="{00000000-0005-0000-0000-0000480C0000}"/>
    <cellStyle name="_20061027Holux_WorldBankCMSScope_CMS_SOW_Deliverables_0430_FP_DW_Impl_ProgramWorkBook_07-Jan-2011 4" xfId="3235" xr:uid="{00000000-0005-0000-0000-0000490C0000}"/>
    <cellStyle name="_20061027Holux_WorldBankCMSScope_CMS_SOW_Deliverables_0430_FP_DW_Impl_ProgramWorkBook_11-Feb-2011" xfId="3236" xr:uid="{00000000-0005-0000-0000-00004A0C0000}"/>
    <cellStyle name="_20061027Holux_WorldBankCMSScope_CMS_SOW_Deliverables_0430_FP_DW_Impl_ProgramWorkBook_11-Feb-2011 2" xfId="3237" xr:uid="{00000000-0005-0000-0000-00004B0C0000}"/>
    <cellStyle name="_20061027Holux_WorldBankCMSScope_CMS_SOW_Deliverables_0430_FP_DW_Impl_ProgramWorkBook_11-Feb-2011 3" xfId="3238" xr:uid="{00000000-0005-0000-0000-00004C0C0000}"/>
    <cellStyle name="_20061027Holux_WorldBankCMSScope_CMS_SOW_Deliverables_0430_FP_DW_Impl_ProgramWorkBook_18-Feb-2011 - Working" xfId="3239" xr:uid="{00000000-0005-0000-0000-00004D0C0000}"/>
    <cellStyle name="_20061027Holux_WorldBankCMSScope_CMS_SOW_Deliverables_0430_FP_DW_Impl_ProgramWorkBook_18-Feb-2011 - Working 2" xfId="3240" xr:uid="{00000000-0005-0000-0000-00004E0C0000}"/>
    <cellStyle name="_20061027Holux_WorldBankCMSScope_CMS_SOW_Deliverables_0430_FP_DW_Impl_ProgramWorkBook_18-Feb-2011 - Working 3" xfId="3241" xr:uid="{00000000-0005-0000-0000-00004F0C0000}"/>
    <cellStyle name="_20061027Holux_WorldBankCMSScope_CMS_SOW_Deliverables_0430_FP_EnterprisePortal_ProgramWorkbook" xfId="3242" xr:uid="{00000000-0005-0000-0000-0000500C0000}"/>
    <cellStyle name="_20061027Holux_WorldBankCMSScope_CMS_SOW_Deliverables_0430_FP_EnterprisePortal_ProgramWorkbook 2" xfId="3243" xr:uid="{00000000-0005-0000-0000-0000510C0000}"/>
    <cellStyle name="_20061027Holux_WorldBankCMSScope_CMS_SOW_Deliverables_0430_FP_EnterprisePortal_ProgramWorkbook 3" xfId="3244" xr:uid="{00000000-0005-0000-0000-0000520C0000}"/>
    <cellStyle name="_20061027Holux_WorldBankCMSScope_CMS_SOW_Deliverables_0430_FP_SAP_MLP v2" xfId="3245" xr:uid="{00000000-0005-0000-0000-0000530C0000}"/>
    <cellStyle name="_20061027Holux_WorldBankCMSScope_CMS_SOW_Deliverables_0430_FP_SAP_MLP v2 2" xfId="3246" xr:uid="{00000000-0005-0000-0000-0000540C0000}"/>
    <cellStyle name="_20061027Holux_WorldBankCMSScope_CMS_SOW_Deliverables_0430_FP_SAP_MLP v2 3" xfId="3247" xr:uid="{00000000-0005-0000-0000-0000550C0000}"/>
    <cellStyle name="_20061027Holux_WorldBankCMSScope_CMS_SOW_Deliverables_0430_KeyDecisions" xfId="3248" xr:uid="{00000000-0005-0000-0000-0000560C0000}"/>
    <cellStyle name="_20061027Holux_WorldBankCMSScope_CMS_SOW_Deliverables_0430_KeyDecisions 2" xfId="3249" xr:uid="{00000000-0005-0000-0000-0000570C0000}"/>
    <cellStyle name="_20061027Holux_WorldBankCMSScope_CMS_SOW_Deliverables_0430_KeyDecisions 3" xfId="3250" xr:uid="{00000000-0005-0000-0000-0000580C0000}"/>
    <cellStyle name="_20061027Holux_WorldBankCMSScope_CMS_SOW_Deliverables_0430_Sophia_Imp_ProjectWorkBook_02_18_2011" xfId="3251" xr:uid="{00000000-0005-0000-0000-0000590C0000}"/>
    <cellStyle name="_20061027Holux_WorldBankCMSScope_CMS_SOW_Deliverables_0430_Sophia_Imp_ProjectWorkBook_02_18_2011 2" xfId="3252" xr:uid="{00000000-0005-0000-0000-00005A0C0000}"/>
    <cellStyle name="_20061027Holux_WorldBankCMSScope_CMS_SOW_Deliverables_0430_Sophia_Imp_ProjectWorkBook_02_18_2011 3" xfId="3253" xr:uid="{00000000-0005-0000-0000-00005B0C0000}"/>
    <cellStyle name="_20061027Holux_WorldBankCMSScope_CMS_SOW_Deliverables_0430_t" xfId="3254" xr:uid="{00000000-0005-0000-0000-00005C0C0000}"/>
    <cellStyle name="_20061027Holux_WorldBankCMSScope_CMS_SOW_Deliverables_0430_t 2" xfId="3255" xr:uid="{00000000-0005-0000-0000-00005D0C0000}"/>
    <cellStyle name="_20061027Holux_WorldBankCMSScope_CMS_SOW_Deliverables_0430_t 3" xfId="3256" xr:uid="{00000000-0005-0000-0000-00005E0C0000}"/>
    <cellStyle name="_20061027Holux_WorldBankCMSScope_CMS_Web_Design_Phase_Deliverables_0610" xfId="3257" xr:uid="{00000000-0005-0000-0000-00005F0C0000}"/>
    <cellStyle name="_20061027Holux_WorldBankCMSScope_CMS_Web_Design_Phase_Deliverables_0610 2" xfId="3258" xr:uid="{00000000-0005-0000-0000-0000600C0000}"/>
    <cellStyle name="_20061027Holux_WorldBankCMSScope_CMS_Web_Design_Phase_Deliverables_0610 2 2" xfId="3259" xr:uid="{00000000-0005-0000-0000-0000610C0000}"/>
    <cellStyle name="_20061027Holux_WorldBankCMSScope_CMS_Web_Design_Phase_Deliverables_0610 2 3" xfId="3260" xr:uid="{00000000-0005-0000-0000-0000620C0000}"/>
    <cellStyle name="_20061027Holux_WorldBankCMSScope_CMS_Web_Design_Phase_Deliverables_0610 3" xfId="3261" xr:uid="{00000000-0005-0000-0000-0000630C0000}"/>
    <cellStyle name="_20061027Holux_WorldBankCMSScope_CMS_Web_Design_Phase_Deliverables_0610 4" xfId="3262" xr:uid="{00000000-0005-0000-0000-0000640C0000}"/>
    <cellStyle name="_20061027Holux_WorldBankCMSScope_CMS_Web_Design_Phase_Deliverables_0610_Commissioning System Implementation_Project Workbook_06_10_2011" xfId="3263" xr:uid="{00000000-0005-0000-0000-0000650C0000}"/>
    <cellStyle name="_20061027Holux_WorldBankCMSScope_CMS_Web_Design_Phase_Deliverables_0610_Commissioning System Implementation_Project Workbook_06_10_2011 2" xfId="3264" xr:uid="{00000000-0005-0000-0000-0000660C0000}"/>
    <cellStyle name="_20061027Holux_WorldBankCMSScope_CMS_Web_Design_Phase_Deliverables_0610_Commissioning System Implementation_Project Workbook_06_10_2011 3" xfId="3265" xr:uid="{00000000-0005-0000-0000-0000670C0000}"/>
    <cellStyle name="_20061027Holux_WorldBankCMSScope_CMS_Web_Design_Phase_Deliverables_0610_FairPoint_CampReport" xfId="3266" xr:uid="{00000000-0005-0000-0000-0000680C0000}"/>
    <cellStyle name="_20061027Holux_WorldBankCMSScope_CMS_Web_Design_Phase_Deliverables_0610_FairPoint_CampReport 2" xfId="3267" xr:uid="{00000000-0005-0000-0000-0000690C0000}"/>
    <cellStyle name="_20061027Holux_WorldBankCMSScope_CMS_Web_Design_Phase_Deliverables_0610_FairPoint_CampReport 3" xfId="3268" xr:uid="{00000000-0005-0000-0000-00006A0C0000}"/>
    <cellStyle name="_20061027Holux_WorldBankCMSScope_CMS_Web_Design_Phase_Deliverables_0610_FairPoint_FP comTechOps_ProgramWorkbook" xfId="3269" xr:uid="{00000000-0005-0000-0000-00006B0C0000}"/>
    <cellStyle name="_20061027Holux_WorldBankCMSScope_CMS_Web_Design_Phase_Deliverables_0610_FairPoint_FP comTechOps_ProgramWorkbook 2" xfId="3270" xr:uid="{00000000-0005-0000-0000-00006C0C0000}"/>
    <cellStyle name="_20061027Holux_WorldBankCMSScope_CMS_Web_Design_Phase_Deliverables_0610_FairPoint_FP comTechOps_ProgramWorkbook 3" xfId="3271" xr:uid="{00000000-0005-0000-0000-00006D0C0000}"/>
    <cellStyle name="_20061027Holux_WorldBankCMSScope_CMS_Web_Design_Phase_Deliverables_0610_FairPoint_FP comTechOps_ProgramWorkbook_sachin" xfId="3272" xr:uid="{00000000-0005-0000-0000-00006E0C0000}"/>
    <cellStyle name="_20061027Holux_WorldBankCMSScope_CMS_Web_Design_Phase_Deliverables_0610_FairPoint_FP comTechOps_ProgramWorkbook_sachin 2" xfId="3273" xr:uid="{00000000-0005-0000-0000-00006F0C0000}"/>
    <cellStyle name="_20061027Holux_WorldBankCMSScope_CMS_Web_Design_Phase_Deliverables_0610_FairPoint_FP comTechOps_ProgramWorkbook_sachin 3" xfId="3274" xr:uid="{00000000-0005-0000-0000-0000700C0000}"/>
    <cellStyle name="_20061027Holux_WorldBankCMSScope_CMS_Web_Design_Phase_Deliverables_0610_FairPoint_FP comTechOps_ProgramWorkbook_sachin_v1" xfId="3275" xr:uid="{00000000-0005-0000-0000-0000710C0000}"/>
    <cellStyle name="_20061027Holux_WorldBankCMSScope_CMS_Web_Design_Phase_Deliverables_0610_FairPoint_FP comTechOps_ProgramWorkbook_sachin_v1 2" xfId="3276" xr:uid="{00000000-0005-0000-0000-0000720C0000}"/>
    <cellStyle name="_20061027Holux_WorldBankCMSScope_CMS_Web_Design_Phase_Deliverables_0610_FairPoint_FP comTechOps_ProgramWorkbook_sachin_v1 3" xfId="3277" xr:uid="{00000000-0005-0000-0000-0000730C0000}"/>
    <cellStyle name="_20061027Holux_WorldBankCMSScope_CMS_Web_Design_Phase_Deliverables_0610_FP_CAMP&amp;ITReporting_Maintenance_Dashboard" xfId="3278" xr:uid="{00000000-0005-0000-0000-0000740C0000}"/>
    <cellStyle name="_20061027Holux_WorldBankCMSScope_CMS_Web_Design_Phase_Deliverables_0610_FP_CAMP&amp;ITReporting_Maintenance_Dashboard 2" xfId="3279" xr:uid="{00000000-0005-0000-0000-0000750C0000}"/>
    <cellStyle name="_20061027Holux_WorldBankCMSScope_CMS_Web_Design_Phase_Deliverables_0610_FP_CAMP&amp;ITReporting_Maintenance_Dashboard 3" xfId="3280" xr:uid="{00000000-0005-0000-0000-0000760C0000}"/>
    <cellStyle name="_20061027Holux_WorldBankCMSScope_CMS_Web_Design_Phase_Deliverables_0610_FP_CAMPITReporting_Maintenance_Dashboard" xfId="3281" xr:uid="{00000000-0005-0000-0000-0000770C0000}"/>
    <cellStyle name="_20061027Holux_WorldBankCMSScope_CMS_Web_Design_Phase_Deliverables_0610_FP_CAMPITReporting_Maintenance_Dashboard 2" xfId="3282" xr:uid="{00000000-0005-0000-0000-0000780C0000}"/>
    <cellStyle name="_20061027Holux_WorldBankCMSScope_CMS_Web_Design_Phase_Deliverables_0610_FP_CAMPITReporting_Maintenance_Dashboard 3" xfId="3283" xr:uid="{00000000-0005-0000-0000-0000790C0000}"/>
    <cellStyle name="_20061027Holux_WorldBankCMSScope_CMS_Web_Design_Phase_Deliverables_0610_FP_Commissions_Req_Dn_ProgramWorkBook_10-Dec-2010" xfId="3284" xr:uid="{00000000-0005-0000-0000-00007A0C0000}"/>
    <cellStyle name="_20061027Holux_WorldBankCMSScope_CMS_Web_Design_Phase_Deliverables_0610_FP_Commissions_Req_Dn_ProgramWorkBook_10-Dec-2010 2" xfId="3285" xr:uid="{00000000-0005-0000-0000-00007B0C0000}"/>
    <cellStyle name="_20061027Holux_WorldBankCMSScope_CMS_Web_Design_Phase_Deliverables_0610_FP_Commissions_Req_Dn_ProgramWorkBook_10-Dec-2010 3" xfId="3286" xr:uid="{00000000-0005-0000-0000-00007C0C0000}"/>
    <cellStyle name="_20061027Holux_WorldBankCMSScope_CMS_Web_Design_Phase_Deliverables_0610_FP_DW_Impl_ProgramWorkBook_07-Jan-2011" xfId="3287" xr:uid="{00000000-0005-0000-0000-00007D0C0000}"/>
    <cellStyle name="_20061027Holux_WorldBankCMSScope_CMS_Web_Design_Phase_Deliverables_0610_FP_DW_Impl_ProgramWorkBook_07-Jan-2011 2" xfId="3288" xr:uid="{00000000-0005-0000-0000-00007E0C0000}"/>
    <cellStyle name="_20061027Holux_WorldBankCMSScope_CMS_Web_Design_Phase_Deliverables_0610_FP_DW_Impl_ProgramWorkBook_07-Jan-2011 2 2" xfId="3289" xr:uid="{00000000-0005-0000-0000-00007F0C0000}"/>
    <cellStyle name="_20061027Holux_WorldBankCMSScope_CMS_Web_Design_Phase_Deliverables_0610_FP_DW_Impl_ProgramWorkBook_07-Jan-2011 2 3" xfId="3290" xr:uid="{00000000-0005-0000-0000-0000800C0000}"/>
    <cellStyle name="_20061027Holux_WorldBankCMSScope_CMS_Web_Design_Phase_Deliverables_0610_FP_DW_Impl_ProgramWorkBook_07-Jan-2011 3" xfId="3291" xr:uid="{00000000-0005-0000-0000-0000810C0000}"/>
    <cellStyle name="_20061027Holux_WorldBankCMSScope_CMS_Web_Design_Phase_Deliverables_0610_FP_DW_Impl_ProgramWorkBook_07-Jan-2011 4" xfId="3292" xr:uid="{00000000-0005-0000-0000-0000820C0000}"/>
    <cellStyle name="_20061027Holux_WorldBankCMSScope_CMS_Web_Design_Phase_Deliverables_0610_FP_DW_Impl_ProgramWorkBook_11-Feb-2011" xfId="3293" xr:uid="{00000000-0005-0000-0000-0000830C0000}"/>
    <cellStyle name="_20061027Holux_WorldBankCMSScope_CMS_Web_Design_Phase_Deliverables_0610_FP_DW_Impl_ProgramWorkBook_11-Feb-2011 2" xfId="3294" xr:uid="{00000000-0005-0000-0000-0000840C0000}"/>
    <cellStyle name="_20061027Holux_WorldBankCMSScope_CMS_Web_Design_Phase_Deliverables_0610_FP_DW_Impl_ProgramWorkBook_11-Feb-2011 3" xfId="3295" xr:uid="{00000000-0005-0000-0000-0000850C0000}"/>
    <cellStyle name="_20061027Holux_WorldBankCMSScope_CMS_Web_Design_Phase_Deliverables_0610_FP_DW_Impl_ProgramWorkBook_18-Feb-2011 - Working" xfId="3296" xr:uid="{00000000-0005-0000-0000-0000860C0000}"/>
    <cellStyle name="_20061027Holux_WorldBankCMSScope_CMS_Web_Design_Phase_Deliverables_0610_FP_DW_Impl_ProgramWorkBook_18-Feb-2011 - Working 2" xfId="3297" xr:uid="{00000000-0005-0000-0000-0000870C0000}"/>
    <cellStyle name="_20061027Holux_WorldBankCMSScope_CMS_Web_Design_Phase_Deliverables_0610_FP_DW_Impl_ProgramWorkBook_18-Feb-2011 - Working 3" xfId="3298" xr:uid="{00000000-0005-0000-0000-0000880C0000}"/>
    <cellStyle name="_20061027Holux_WorldBankCMSScope_CMS_Web_Design_Phase_Deliverables_0610_FP_EnterprisePortal_ProgramWorkbook" xfId="3299" xr:uid="{00000000-0005-0000-0000-0000890C0000}"/>
    <cellStyle name="_20061027Holux_WorldBankCMSScope_CMS_Web_Design_Phase_Deliverables_0610_FP_EnterprisePortal_ProgramWorkbook 2" xfId="3300" xr:uid="{00000000-0005-0000-0000-00008A0C0000}"/>
    <cellStyle name="_20061027Holux_WorldBankCMSScope_CMS_Web_Design_Phase_Deliverables_0610_FP_EnterprisePortal_ProgramWorkbook 3" xfId="3301" xr:uid="{00000000-0005-0000-0000-00008B0C0000}"/>
    <cellStyle name="_20061027Holux_WorldBankCMSScope_CMS_Web_Design_Phase_Deliverables_0610_FP_SAP_MLP v2" xfId="3302" xr:uid="{00000000-0005-0000-0000-00008C0C0000}"/>
    <cellStyle name="_20061027Holux_WorldBankCMSScope_CMS_Web_Design_Phase_Deliverables_0610_FP_SAP_MLP v2 2" xfId="3303" xr:uid="{00000000-0005-0000-0000-00008D0C0000}"/>
    <cellStyle name="_20061027Holux_WorldBankCMSScope_CMS_Web_Design_Phase_Deliverables_0610_FP_SAP_MLP v2 3" xfId="3304" xr:uid="{00000000-0005-0000-0000-00008E0C0000}"/>
    <cellStyle name="_20061027Holux_WorldBankCMSScope_CMS_Web_Design_Phase_Deliverables_0610_KeyDecisions" xfId="3305" xr:uid="{00000000-0005-0000-0000-00008F0C0000}"/>
    <cellStyle name="_20061027Holux_WorldBankCMSScope_CMS_Web_Design_Phase_Deliverables_0610_KeyDecisions 2" xfId="3306" xr:uid="{00000000-0005-0000-0000-0000900C0000}"/>
    <cellStyle name="_20061027Holux_WorldBankCMSScope_CMS_Web_Design_Phase_Deliverables_0610_KeyDecisions 3" xfId="3307" xr:uid="{00000000-0005-0000-0000-0000910C0000}"/>
    <cellStyle name="_20061027Holux_WorldBankCMSScope_CMS_Web_Design_Phase_Deliverables_0610_Sophia_Imp_ProjectWorkBook_02_18_2011" xfId="3308" xr:uid="{00000000-0005-0000-0000-0000920C0000}"/>
    <cellStyle name="_20061027Holux_WorldBankCMSScope_CMS_Web_Design_Phase_Deliverables_0610_Sophia_Imp_ProjectWorkBook_02_18_2011 2" xfId="3309" xr:uid="{00000000-0005-0000-0000-0000930C0000}"/>
    <cellStyle name="_20061027Holux_WorldBankCMSScope_CMS_Web_Design_Phase_Deliverables_0610_Sophia_Imp_ProjectWorkBook_02_18_2011 3" xfId="3310" xr:uid="{00000000-0005-0000-0000-0000940C0000}"/>
    <cellStyle name="_20061027Holux_WorldBankCMSScope_CMS_Web_Design_Phase_Deliverables_0610_t" xfId="3311" xr:uid="{00000000-0005-0000-0000-0000950C0000}"/>
    <cellStyle name="_20061027Holux_WorldBankCMSScope_CMS_Web_Design_Phase_Deliverables_0610_t 2" xfId="3312" xr:uid="{00000000-0005-0000-0000-0000960C0000}"/>
    <cellStyle name="_20061027Holux_WorldBankCMSScope_CMS_Web_Design_Phase_Deliverables_0610_t 3" xfId="3313" xr:uid="{00000000-0005-0000-0000-0000970C0000}"/>
    <cellStyle name="_20061027Holux_WorldBankCMSScope_CMS_Web_Design_Phase_Deliverables_0618a" xfId="3314" xr:uid="{00000000-0005-0000-0000-0000980C0000}"/>
    <cellStyle name="_20061027Holux_WorldBankCMSScope_CMS_Web_Design_Phase_Deliverables_0618a 2" xfId="3315" xr:uid="{00000000-0005-0000-0000-0000990C0000}"/>
    <cellStyle name="_20061027Holux_WorldBankCMSScope_CMS_Web_Design_Phase_Deliverables_0618a 2 2" xfId="3316" xr:uid="{00000000-0005-0000-0000-00009A0C0000}"/>
    <cellStyle name="_20061027Holux_WorldBankCMSScope_CMS_Web_Design_Phase_Deliverables_0618a 2 3" xfId="3317" xr:uid="{00000000-0005-0000-0000-00009B0C0000}"/>
    <cellStyle name="_20061027Holux_WorldBankCMSScope_CMS_Web_Design_Phase_Deliverables_0618a 3" xfId="3318" xr:uid="{00000000-0005-0000-0000-00009C0C0000}"/>
    <cellStyle name="_20061027Holux_WorldBankCMSScope_CMS_Web_Design_Phase_Deliverables_0618a 4" xfId="3319" xr:uid="{00000000-0005-0000-0000-00009D0C0000}"/>
    <cellStyle name="_20061027Holux_WorldBankCMSScope_CMS_Web_Design_Phase_Deliverables_0618a_Commissioning System Implementation_Project Workbook_06_10_2011" xfId="3320" xr:uid="{00000000-0005-0000-0000-00009E0C0000}"/>
    <cellStyle name="_20061027Holux_WorldBankCMSScope_CMS_Web_Design_Phase_Deliverables_0618a_Commissioning System Implementation_Project Workbook_06_10_2011 2" xfId="3321" xr:uid="{00000000-0005-0000-0000-00009F0C0000}"/>
    <cellStyle name="_20061027Holux_WorldBankCMSScope_CMS_Web_Design_Phase_Deliverables_0618a_Commissioning System Implementation_Project Workbook_06_10_2011 3" xfId="3322" xr:uid="{00000000-0005-0000-0000-0000A00C0000}"/>
    <cellStyle name="_20061027Holux_WorldBankCMSScope_CMS_Web_Design_Phase_Deliverables_0618a_FairPoint_CampReport" xfId="3323" xr:uid="{00000000-0005-0000-0000-0000A10C0000}"/>
    <cellStyle name="_20061027Holux_WorldBankCMSScope_CMS_Web_Design_Phase_Deliverables_0618a_FairPoint_CampReport 2" xfId="3324" xr:uid="{00000000-0005-0000-0000-0000A20C0000}"/>
    <cellStyle name="_20061027Holux_WorldBankCMSScope_CMS_Web_Design_Phase_Deliverables_0618a_FairPoint_CampReport 3" xfId="3325" xr:uid="{00000000-0005-0000-0000-0000A30C0000}"/>
    <cellStyle name="_20061027Holux_WorldBankCMSScope_CMS_Web_Design_Phase_Deliverables_0618a_FairPoint_FP comTechOps_ProgramWorkbook" xfId="3326" xr:uid="{00000000-0005-0000-0000-0000A40C0000}"/>
    <cellStyle name="_20061027Holux_WorldBankCMSScope_CMS_Web_Design_Phase_Deliverables_0618a_FairPoint_FP comTechOps_ProgramWorkbook 2" xfId="3327" xr:uid="{00000000-0005-0000-0000-0000A50C0000}"/>
    <cellStyle name="_20061027Holux_WorldBankCMSScope_CMS_Web_Design_Phase_Deliverables_0618a_FairPoint_FP comTechOps_ProgramWorkbook 3" xfId="3328" xr:uid="{00000000-0005-0000-0000-0000A60C0000}"/>
    <cellStyle name="_20061027Holux_WorldBankCMSScope_CMS_Web_Design_Phase_Deliverables_0618a_FairPoint_FP comTechOps_ProgramWorkbook_sachin" xfId="3329" xr:uid="{00000000-0005-0000-0000-0000A70C0000}"/>
    <cellStyle name="_20061027Holux_WorldBankCMSScope_CMS_Web_Design_Phase_Deliverables_0618a_FairPoint_FP comTechOps_ProgramWorkbook_sachin 2" xfId="3330" xr:uid="{00000000-0005-0000-0000-0000A80C0000}"/>
    <cellStyle name="_20061027Holux_WorldBankCMSScope_CMS_Web_Design_Phase_Deliverables_0618a_FairPoint_FP comTechOps_ProgramWorkbook_sachin 3" xfId="3331" xr:uid="{00000000-0005-0000-0000-0000A90C0000}"/>
    <cellStyle name="_20061027Holux_WorldBankCMSScope_CMS_Web_Design_Phase_Deliverables_0618a_FairPoint_FP comTechOps_ProgramWorkbook_sachin_v1" xfId="3332" xr:uid="{00000000-0005-0000-0000-0000AA0C0000}"/>
    <cellStyle name="_20061027Holux_WorldBankCMSScope_CMS_Web_Design_Phase_Deliverables_0618a_FairPoint_FP comTechOps_ProgramWorkbook_sachin_v1 2" xfId="3333" xr:uid="{00000000-0005-0000-0000-0000AB0C0000}"/>
    <cellStyle name="_20061027Holux_WorldBankCMSScope_CMS_Web_Design_Phase_Deliverables_0618a_FairPoint_FP comTechOps_ProgramWorkbook_sachin_v1 3" xfId="3334" xr:uid="{00000000-0005-0000-0000-0000AC0C0000}"/>
    <cellStyle name="_20061027Holux_WorldBankCMSScope_CMS_Web_Design_Phase_Deliverables_0618a_FP_CAMP&amp;ITReporting_Maintenance_Dashboard" xfId="3335" xr:uid="{00000000-0005-0000-0000-0000AD0C0000}"/>
    <cellStyle name="_20061027Holux_WorldBankCMSScope_CMS_Web_Design_Phase_Deliverables_0618a_FP_CAMP&amp;ITReporting_Maintenance_Dashboard 2" xfId="3336" xr:uid="{00000000-0005-0000-0000-0000AE0C0000}"/>
    <cellStyle name="_20061027Holux_WorldBankCMSScope_CMS_Web_Design_Phase_Deliverables_0618a_FP_CAMP&amp;ITReporting_Maintenance_Dashboard 3" xfId="3337" xr:uid="{00000000-0005-0000-0000-0000AF0C0000}"/>
    <cellStyle name="_20061027Holux_WorldBankCMSScope_CMS_Web_Design_Phase_Deliverables_0618a_FP_CAMPITReporting_Maintenance_Dashboard" xfId="3338" xr:uid="{00000000-0005-0000-0000-0000B00C0000}"/>
    <cellStyle name="_20061027Holux_WorldBankCMSScope_CMS_Web_Design_Phase_Deliverables_0618a_FP_CAMPITReporting_Maintenance_Dashboard 2" xfId="3339" xr:uid="{00000000-0005-0000-0000-0000B10C0000}"/>
    <cellStyle name="_20061027Holux_WorldBankCMSScope_CMS_Web_Design_Phase_Deliverables_0618a_FP_CAMPITReporting_Maintenance_Dashboard 3" xfId="3340" xr:uid="{00000000-0005-0000-0000-0000B20C0000}"/>
    <cellStyle name="_20061027Holux_WorldBankCMSScope_CMS_Web_Design_Phase_Deliverables_0618a_FP_Commissions_Req_Dn_ProgramWorkBook_10-Dec-2010" xfId="3341" xr:uid="{00000000-0005-0000-0000-0000B30C0000}"/>
    <cellStyle name="_20061027Holux_WorldBankCMSScope_CMS_Web_Design_Phase_Deliverables_0618a_FP_Commissions_Req_Dn_ProgramWorkBook_10-Dec-2010 2" xfId="3342" xr:uid="{00000000-0005-0000-0000-0000B40C0000}"/>
    <cellStyle name="_20061027Holux_WorldBankCMSScope_CMS_Web_Design_Phase_Deliverables_0618a_FP_Commissions_Req_Dn_ProgramWorkBook_10-Dec-2010 3" xfId="3343" xr:uid="{00000000-0005-0000-0000-0000B50C0000}"/>
    <cellStyle name="_20061027Holux_WorldBankCMSScope_CMS_Web_Design_Phase_Deliverables_0618a_FP_DW_Impl_ProgramWorkBook_07-Jan-2011" xfId="3344" xr:uid="{00000000-0005-0000-0000-0000B60C0000}"/>
    <cellStyle name="_20061027Holux_WorldBankCMSScope_CMS_Web_Design_Phase_Deliverables_0618a_FP_DW_Impl_ProgramWorkBook_07-Jan-2011 2" xfId="3345" xr:uid="{00000000-0005-0000-0000-0000B70C0000}"/>
    <cellStyle name="_20061027Holux_WorldBankCMSScope_CMS_Web_Design_Phase_Deliverables_0618a_FP_DW_Impl_ProgramWorkBook_07-Jan-2011 2 2" xfId="3346" xr:uid="{00000000-0005-0000-0000-0000B80C0000}"/>
    <cellStyle name="_20061027Holux_WorldBankCMSScope_CMS_Web_Design_Phase_Deliverables_0618a_FP_DW_Impl_ProgramWorkBook_07-Jan-2011 2 3" xfId="3347" xr:uid="{00000000-0005-0000-0000-0000B90C0000}"/>
    <cellStyle name="_20061027Holux_WorldBankCMSScope_CMS_Web_Design_Phase_Deliverables_0618a_FP_DW_Impl_ProgramWorkBook_07-Jan-2011 3" xfId="3348" xr:uid="{00000000-0005-0000-0000-0000BA0C0000}"/>
    <cellStyle name="_20061027Holux_WorldBankCMSScope_CMS_Web_Design_Phase_Deliverables_0618a_FP_DW_Impl_ProgramWorkBook_07-Jan-2011 4" xfId="3349" xr:uid="{00000000-0005-0000-0000-0000BB0C0000}"/>
    <cellStyle name="_20061027Holux_WorldBankCMSScope_CMS_Web_Design_Phase_Deliverables_0618a_FP_DW_Impl_ProgramWorkBook_11-Feb-2011" xfId="3350" xr:uid="{00000000-0005-0000-0000-0000BC0C0000}"/>
    <cellStyle name="_20061027Holux_WorldBankCMSScope_CMS_Web_Design_Phase_Deliverables_0618a_FP_DW_Impl_ProgramWorkBook_11-Feb-2011 2" xfId="3351" xr:uid="{00000000-0005-0000-0000-0000BD0C0000}"/>
    <cellStyle name="_20061027Holux_WorldBankCMSScope_CMS_Web_Design_Phase_Deliverables_0618a_FP_DW_Impl_ProgramWorkBook_11-Feb-2011 3" xfId="3352" xr:uid="{00000000-0005-0000-0000-0000BE0C0000}"/>
    <cellStyle name="_20061027Holux_WorldBankCMSScope_CMS_Web_Design_Phase_Deliverables_0618a_FP_DW_Impl_ProgramWorkBook_18-Feb-2011 - Working" xfId="3353" xr:uid="{00000000-0005-0000-0000-0000BF0C0000}"/>
    <cellStyle name="_20061027Holux_WorldBankCMSScope_CMS_Web_Design_Phase_Deliverables_0618a_FP_DW_Impl_ProgramWorkBook_18-Feb-2011 - Working 2" xfId="3354" xr:uid="{00000000-0005-0000-0000-0000C00C0000}"/>
    <cellStyle name="_20061027Holux_WorldBankCMSScope_CMS_Web_Design_Phase_Deliverables_0618a_FP_DW_Impl_ProgramWorkBook_18-Feb-2011 - Working 3" xfId="3355" xr:uid="{00000000-0005-0000-0000-0000C10C0000}"/>
    <cellStyle name="_20061027Holux_WorldBankCMSScope_CMS_Web_Design_Phase_Deliverables_0618a_FP_EnterprisePortal_ProgramWorkbook" xfId="3356" xr:uid="{00000000-0005-0000-0000-0000C20C0000}"/>
    <cellStyle name="_20061027Holux_WorldBankCMSScope_CMS_Web_Design_Phase_Deliverables_0618a_FP_EnterprisePortal_ProgramWorkbook 2" xfId="3357" xr:uid="{00000000-0005-0000-0000-0000C30C0000}"/>
    <cellStyle name="_20061027Holux_WorldBankCMSScope_CMS_Web_Design_Phase_Deliverables_0618a_FP_EnterprisePortal_ProgramWorkbook 3" xfId="3358" xr:uid="{00000000-0005-0000-0000-0000C40C0000}"/>
    <cellStyle name="_20061027Holux_WorldBankCMSScope_CMS_Web_Design_Phase_Deliverables_0618a_FP_SAP_MLP v2" xfId="3359" xr:uid="{00000000-0005-0000-0000-0000C50C0000}"/>
    <cellStyle name="_20061027Holux_WorldBankCMSScope_CMS_Web_Design_Phase_Deliverables_0618a_FP_SAP_MLP v2 2" xfId="3360" xr:uid="{00000000-0005-0000-0000-0000C60C0000}"/>
    <cellStyle name="_20061027Holux_WorldBankCMSScope_CMS_Web_Design_Phase_Deliverables_0618a_FP_SAP_MLP v2 3" xfId="3361" xr:uid="{00000000-0005-0000-0000-0000C70C0000}"/>
    <cellStyle name="_20061027Holux_WorldBankCMSScope_CMS_Web_Design_Phase_Deliverables_0618a_KeyDecisions" xfId="3362" xr:uid="{00000000-0005-0000-0000-0000C80C0000}"/>
    <cellStyle name="_20061027Holux_WorldBankCMSScope_CMS_Web_Design_Phase_Deliverables_0618a_KeyDecisions 2" xfId="3363" xr:uid="{00000000-0005-0000-0000-0000C90C0000}"/>
    <cellStyle name="_20061027Holux_WorldBankCMSScope_CMS_Web_Design_Phase_Deliverables_0618a_KeyDecisions 3" xfId="3364" xr:uid="{00000000-0005-0000-0000-0000CA0C0000}"/>
    <cellStyle name="_20061027Holux_WorldBankCMSScope_CMS_Web_Design_Phase_Deliverables_0618a_Sophia_Imp_ProjectWorkBook_02_18_2011" xfId="3365" xr:uid="{00000000-0005-0000-0000-0000CB0C0000}"/>
    <cellStyle name="_20061027Holux_WorldBankCMSScope_CMS_Web_Design_Phase_Deliverables_0618a_Sophia_Imp_ProjectWorkBook_02_18_2011 2" xfId="3366" xr:uid="{00000000-0005-0000-0000-0000CC0C0000}"/>
    <cellStyle name="_20061027Holux_WorldBankCMSScope_CMS_Web_Design_Phase_Deliverables_0618a_Sophia_Imp_ProjectWorkBook_02_18_2011 3" xfId="3367" xr:uid="{00000000-0005-0000-0000-0000CD0C0000}"/>
    <cellStyle name="_20061027Holux_WorldBankCMSScope_CMS_Web_Design_Phase_Deliverables_0618a_t" xfId="3368" xr:uid="{00000000-0005-0000-0000-0000CE0C0000}"/>
    <cellStyle name="_20061027Holux_WorldBankCMSScope_CMS_Web_Design_Phase_Deliverables_0618a_t 2" xfId="3369" xr:uid="{00000000-0005-0000-0000-0000CF0C0000}"/>
    <cellStyle name="_20061027Holux_WorldBankCMSScope_CMS_Web_Design_Phase_Deliverables_0618a_t 3" xfId="3370" xr:uid="{00000000-0005-0000-0000-0000D00C0000}"/>
    <cellStyle name="_20061027Holux_WorldBankCMSScope_CMS_Web_Design_Phase_Deliverables_0621" xfId="3371" xr:uid="{00000000-0005-0000-0000-0000D10C0000}"/>
    <cellStyle name="_20061027Holux_WorldBankCMSScope_CMS_Web_Design_Phase_Deliverables_0621 2" xfId="3372" xr:uid="{00000000-0005-0000-0000-0000D20C0000}"/>
    <cellStyle name="_20061027Holux_WorldBankCMSScope_CMS_Web_Design_Phase_Deliverables_0621 2 2" xfId="3373" xr:uid="{00000000-0005-0000-0000-0000D30C0000}"/>
    <cellStyle name="_20061027Holux_WorldBankCMSScope_CMS_Web_Design_Phase_Deliverables_0621 2 3" xfId="3374" xr:uid="{00000000-0005-0000-0000-0000D40C0000}"/>
    <cellStyle name="_20061027Holux_WorldBankCMSScope_CMS_Web_Design_Phase_Deliverables_0621 3" xfId="3375" xr:uid="{00000000-0005-0000-0000-0000D50C0000}"/>
    <cellStyle name="_20061027Holux_WorldBankCMSScope_CMS_Web_Design_Phase_Deliverables_0621 4" xfId="3376" xr:uid="{00000000-0005-0000-0000-0000D60C0000}"/>
    <cellStyle name="_20061027Holux_WorldBankCMSScope_CMS_Web_Design_Phase_Deliverables_0621_Commissioning System Implementation_Project Workbook_06_10_2011" xfId="3377" xr:uid="{00000000-0005-0000-0000-0000D70C0000}"/>
    <cellStyle name="_20061027Holux_WorldBankCMSScope_CMS_Web_Design_Phase_Deliverables_0621_Commissioning System Implementation_Project Workbook_06_10_2011 2" xfId="3378" xr:uid="{00000000-0005-0000-0000-0000D80C0000}"/>
    <cellStyle name="_20061027Holux_WorldBankCMSScope_CMS_Web_Design_Phase_Deliverables_0621_Commissioning System Implementation_Project Workbook_06_10_2011 3" xfId="3379" xr:uid="{00000000-0005-0000-0000-0000D90C0000}"/>
    <cellStyle name="_20061027Holux_WorldBankCMSScope_CMS_Web_Design_Phase_Deliverables_0621_FairPoint_CampReport" xfId="3380" xr:uid="{00000000-0005-0000-0000-0000DA0C0000}"/>
    <cellStyle name="_20061027Holux_WorldBankCMSScope_CMS_Web_Design_Phase_Deliverables_0621_FairPoint_CampReport 2" xfId="3381" xr:uid="{00000000-0005-0000-0000-0000DB0C0000}"/>
    <cellStyle name="_20061027Holux_WorldBankCMSScope_CMS_Web_Design_Phase_Deliverables_0621_FairPoint_CampReport 3" xfId="3382" xr:uid="{00000000-0005-0000-0000-0000DC0C0000}"/>
    <cellStyle name="_20061027Holux_WorldBankCMSScope_CMS_Web_Design_Phase_Deliverables_0621_FairPoint_FP comTechOps_ProgramWorkbook" xfId="3383" xr:uid="{00000000-0005-0000-0000-0000DD0C0000}"/>
    <cellStyle name="_20061027Holux_WorldBankCMSScope_CMS_Web_Design_Phase_Deliverables_0621_FairPoint_FP comTechOps_ProgramWorkbook 2" xfId="3384" xr:uid="{00000000-0005-0000-0000-0000DE0C0000}"/>
    <cellStyle name="_20061027Holux_WorldBankCMSScope_CMS_Web_Design_Phase_Deliverables_0621_FairPoint_FP comTechOps_ProgramWorkbook 3" xfId="3385" xr:uid="{00000000-0005-0000-0000-0000DF0C0000}"/>
    <cellStyle name="_20061027Holux_WorldBankCMSScope_CMS_Web_Design_Phase_Deliverables_0621_FairPoint_FP comTechOps_ProgramWorkbook_sachin" xfId="3386" xr:uid="{00000000-0005-0000-0000-0000E00C0000}"/>
    <cellStyle name="_20061027Holux_WorldBankCMSScope_CMS_Web_Design_Phase_Deliverables_0621_FairPoint_FP comTechOps_ProgramWorkbook_sachin 2" xfId="3387" xr:uid="{00000000-0005-0000-0000-0000E10C0000}"/>
    <cellStyle name="_20061027Holux_WorldBankCMSScope_CMS_Web_Design_Phase_Deliverables_0621_FairPoint_FP comTechOps_ProgramWorkbook_sachin 3" xfId="3388" xr:uid="{00000000-0005-0000-0000-0000E20C0000}"/>
    <cellStyle name="_20061027Holux_WorldBankCMSScope_CMS_Web_Design_Phase_Deliverables_0621_FairPoint_FP comTechOps_ProgramWorkbook_sachin_v1" xfId="3389" xr:uid="{00000000-0005-0000-0000-0000E30C0000}"/>
    <cellStyle name="_20061027Holux_WorldBankCMSScope_CMS_Web_Design_Phase_Deliverables_0621_FairPoint_FP comTechOps_ProgramWorkbook_sachin_v1 2" xfId="3390" xr:uid="{00000000-0005-0000-0000-0000E40C0000}"/>
    <cellStyle name="_20061027Holux_WorldBankCMSScope_CMS_Web_Design_Phase_Deliverables_0621_FairPoint_FP comTechOps_ProgramWorkbook_sachin_v1 3" xfId="3391" xr:uid="{00000000-0005-0000-0000-0000E50C0000}"/>
    <cellStyle name="_20061027Holux_WorldBankCMSScope_CMS_Web_Design_Phase_Deliverables_0621_FP_CAMP&amp;ITReporting_Maintenance_Dashboard" xfId="3392" xr:uid="{00000000-0005-0000-0000-0000E60C0000}"/>
    <cellStyle name="_20061027Holux_WorldBankCMSScope_CMS_Web_Design_Phase_Deliverables_0621_FP_CAMP&amp;ITReporting_Maintenance_Dashboard 2" xfId="3393" xr:uid="{00000000-0005-0000-0000-0000E70C0000}"/>
    <cellStyle name="_20061027Holux_WorldBankCMSScope_CMS_Web_Design_Phase_Deliverables_0621_FP_CAMP&amp;ITReporting_Maintenance_Dashboard 3" xfId="3394" xr:uid="{00000000-0005-0000-0000-0000E80C0000}"/>
    <cellStyle name="_20061027Holux_WorldBankCMSScope_CMS_Web_Design_Phase_Deliverables_0621_FP_CAMPITReporting_Maintenance_Dashboard" xfId="3395" xr:uid="{00000000-0005-0000-0000-0000E90C0000}"/>
    <cellStyle name="_20061027Holux_WorldBankCMSScope_CMS_Web_Design_Phase_Deliverables_0621_FP_CAMPITReporting_Maintenance_Dashboard 2" xfId="3396" xr:uid="{00000000-0005-0000-0000-0000EA0C0000}"/>
    <cellStyle name="_20061027Holux_WorldBankCMSScope_CMS_Web_Design_Phase_Deliverables_0621_FP_CAMPITReporting_Maintenance_Dashboard 3" xfId="3397" xr:uid="{00000000-0005-0000-0000-0000EB0C0000}"/>
    <cellStyle name="_20061027Holux_WorldBankCMSScope_CMS_Web_Design_Phase_Deliverables_0621_FP_Commissions_Req_Dn_ProgramWorkBook_10-Dec-2010" xfId="3398" xr:uid="{00000000-0005-0000-0000-0000EC0C0000}"/>
    <cellStyle name="_20061027Holux_WorldBankCMSScope_CMS_Web_Design_Phase_Deliverables_0621_FP_Commissions_Req_Dn_ProgramWorkBook_10-Dec-2010 2" xfId="3399" xr:uid="{00000000-0005-0000-0000-0000ED0C0000}"/>
    <cellStyle name="_20061027Holux_WorldBankCMSScope_CMS_Web_Design_Phase_Deliverables_0621_FP_Commissions_Req_Dn_ProgramWorkBook_10-Dec-2010 3" xfId="3400" xr:uid="{00000000-0005-0000-0000-0000EE0C0000}"/>
    <cellStyle name="_20061027Holux_WorldBankCMSScope_CMS_Web_Design_Phase_Deliverables_0621_FP_DW_Impl_ProgramWorkBook_07-Jan-2011" xfId="3401" xr:uid="{00000000-0005-0000-0000-0000EF0C0000}"/>
    <cellStyle name="_20061027Holux_WorldBankCMSScope_CMS_Web_Design_Phase_Deliverables_0621_FP_DW_Impl_ProgramWorkBook_07-Jan-2011 2" xfId="3402" xr:uid="{00000000-0005-0000-0000-0000F00C0000}"/>
    <cellStyle name="_20061027Holux_WorldBankCMSScope_CMS_Web_Design_Phase_Deliverables_0621_FP_DW_Impl_ProgramWorkBook_07-Jan-2011 2 2" xfId="3403" xr:uid="{00000000-0005-0000-0000-0000F10C0000}"/>
    <cellStyle name="_20061027Holux_WorldBankCMSScope_CMS_Web_Design_Phase_Deliverables_0621_FP_DW_Impl_ProgramWorkBook_07-Jan-2011 2 3" xfId="3404" xr:uid="{00000000-0005-0000-0000-0000F20C0000}"/>
    <cellStyle name="_20061027Holux_WorldBankCMSScope_CMS_Web_Design_Phase_Deliverables_0621_FP_DW_Impl_ProgramWorkBook_07-Jan-2011 3" xfId="3405" xr:uid="{00000000-0005-0000-0000-0000F30C0000}"/>
    <cellStyle name="_20061027Holux_WorldBankCMSScope_CMS_Web_Design_Phase_Deliverables_0621_FP_DW_Impl_ProgramWorkBook_07-Jan-2011 4" xfId="3406" xr:uid="{00000000-0005-0000-0000-0000F40C0000}"/>
    <cellStyle name="_20061027Holux_WorldBankCMSScope_CMS_Web_Design_Phase_Deliverables_0621_FP_DW_Impl_ProgramWorkBook_11-Feb-2011" xfId="3407" xr:uid="{00000000-0005-0000-0000-0000F50C0000}"/>
    <cellStyle name="_20061027Holux_WorldBankCMSScope_CMS_Web_Design_Phase_Deliverables_0621_FP_DW_Impl_ProgramWorkBook_11-Feb-2011 2" xfId="3408" xr:uid="{00000000-0005-0000-0000-0000F60C0000}"/>
    <cellStyle name="_20061027Holux_WorldBankCMSScope_CMS_Web_Design_Phase_Deliverables_0621_FP_DW_Impl_ProgramWorkBook_11-Feb-2011 3" xfId="3409" xr:uid="{00000000-0005-0000-0000-0000F70C0000}"/>
    <cellStyle name="_20061027Holux_WorldBankCMSScope_CMS_Web_Design_Phase_Deliverables_0621_FP_DW_Impl_ProgramWorkBook_18-Feb-2011 - Working" xfId="3410" xr:uid="{00000000-0005-0000-0000-0000F80C0000}"/>
    <cellStyle name="_20061027Holux_WorldBankCMSScope_CMS_Web_Design_Phase_Deliverables_0621_FP_DW_Impl_ProgramWorkBook_18-Feb-2011 - Working 2" xfId="3411" xr:uid="{00000000-0005-0000-0000-0000F90C0000}"/>
    <cellStyle name="_20061027Holux_WorldBankCMSScope_CMS_Web_Design_Phase_Deliverables_0621_FP_DW_Impl_ProgramWorkBook_18-Feb-2011 - Working 3" xfId="3412" xr:uid="{00000000-0005-0000-0000-0000FA0C0000}"/>
    <cellStyle name="_20061027Holux_WorldBankCMSScope_CMS_Web_Design_Phase_Deliverables_0621_FP_EnterprisePortal_ProgramWorkbook" xfId="3413" xr:uid="{00000000-0005-0000-0000-0000FB0C0000}"/>
    <cellStyle name="_20061027Holux_WorldBankCMSScope_CMS_Web_Design_Phase_Deliverables_0621_FP_EnterprisePortal_ProgramWorkbook 2" xfId="3414" xr:uid="{00000000-0005-0000-0000-0000FC0C0000}"/>
    <cellStyle name="_20061027Holux_WorldBankCMSScope_CMS_Web_Design_Phase_Deliverables_0621_FP_EnterprisePortal_ProgramWorkbook 3" xfId="3415" xr:uid="{00000000-0005-0000-0000-0000FD0C0000}"/>
    <cellStyle name="_20061027Holux_WorldBankCMSScope_CMS_Web_Design_Phase_Deliverables_0621_FP_SAP_MLP v2" xfId="3416" xr:uid="{00000000-0005-0000-0000-0000FE0C0000}"/>
    <cellStyle name="_20061027Holux_WorldBankCMSScope_CMS_Web_Design_Phase_Deliverables_0621_FP_SAP_MLP v2 2" xfId="3417" xr:uid="{00000000-0005-0000-0000-0000FF0C0000}"/>
    <cellStyle name="_20061027Holux_WorldBankCMSScope_CMS_Web_Design_Phase_Deliverables_0621_FP_SAP_MLP v2 3" xfId="3418" xr:uid="{00000000-0005-0000-0000-0000000D0000}"/>
    <cellStyle name="_20061027Holux_WorldBankCMSScope_CMS_Web_Design_Phase_Deliverables_0621_KeyDecisions" xfId="3419" xr:uid="{00000000-0005-0000-0000-0000010D0000}"/>
    <cellStyle name="_20061027Holux_WorldBankCMSScope_CMS_Web_Design_Phase_Deliverables_0621_KeyDecisions 2" xfId="3420" xr:uid="{00000000-0005-0000-0000-0000020D0000}"/>
    <cellStyle name="_20061027Holux_WorldBankCMSScope_CMS_Web_Design_Phase_Deliverables_0621_KeyDecisions 3" xfId="3421" xr:uid="{00000000-0005-0000-0000-0000030D0000}"/>
    <cellStyle name="_20061027Holux_WorldBankCMSScope_CMS_Web_Design_Phase_Deliverables_0621_Sophia_Imp_ProjectWorkBook_02_18_2011" xfId="3422" xr:uid="{00000000-0005-0000-0000-0000040D0000}"/>
    <cellStyle name="_20061027Holux_WorldBankCMSScope_CMS_Web_Design_Phase_Deliverables_0621_Sophia_Imp_ProjectWorkBook_02_18_2011 2" xfId="3423" xr:uid="{00000000-0005-0000-0000-0000050D0000}"/>
    <cellStyle name="_20061027Holux_WorldBankCMSScope_CMS_Web_Design_Phase_Deliverables_0621_Sophia_Imp_ProjectWorkBook_02_18_2011 3" xfId="3424" xr:uid="{00000000-0005-0000-0000-0000060D0000}"/>
    <cellStyle name="_20061027Holux_WorldBankCMSScope_CMS_Web_Design_Phase_Deliverables_0621_t" xfId="3425" xr:uid="{00000000-0005-0000-0000-0000070D0000}"/>
    <cellStyle name="_20061027Holux_WorldBankCMSScope_CMS_Web_Design_Phase_Deliverables_0621_t 2" xfId="3426" xr:uid="{00000000-0005-0000-0000-0000080D0000}"/>
    <cellStyle name="_20061027Holux_WorldBankCMSScope_CMS_Web_Design_Phase_Deliverables_0621_t 3" xfId="3427" xr:uid="{00000000-0005-0000-0000-0000090D0000}"/>
    <cellStyle name="_20061027Holux_WorldBankCMSScope_CMS_Web_Design_Phase_Deliverables_0625" xfId="3428" xr:uid="{00000000-0005-0000-0000-00000A0D0000}"/>
    <cellStyle name="_20061027Holux_WorldBankCMSScope_CMS_Web_Design_Phase_Deliverables_0625 2" xfId="3429" xr:uid="{00000000-0005-0000-0000-00000B0D0000}"/>
    <cellStyle name="_20061027Holux_WorldBankCMSScope_CMS_Web_Design_Phase_Deliverables_0625 2 2" xfId="3430" xr:uid="{00000000-0005-0000-0000-00000C0D0000}"/>
    <cellStyle name="_20061027Holux_WorldBankCMSScope_CMS_Web_Design_Phase_Deliverables_0625 2 3" xfId="3431" xr:uid="{00000000-0005-0000-0000-00000D0D0000}"/>
    <cellStyle name="_20061027Holux_WorldBankCMSScope_CMS_Web_Design_Phase_Deliverables_0625 3" xfId="3432" xr:uid="{00000000-0005-0000-0000-00000E0D0000}"/>
    <cellStyle name="_20061027Holux_WorldBankCMSScope_CMS_Web_Design_Phase_Deliverables_0625 4" xfId="3433" xr:uid="{00000000-0005-0000-0000-00000F0D0000}"/>
    <cellStyle name="_20061027Holux_WorldBankCMSScope_CMS_Web_Design_Phase_Deliverables_0625_Commissioning System Implementation_Project Workbook_06_10_2011" xfId="3434" xr:uid="{00000000-0005-0000-0000-0000100D0000}"/>
    <cellStyle name="_20061027Holux_WorldBankCMSScope_CMS_Web_Design_Phase_Deliverables_0625_Commissioning System Implementation_Project Workbook_06_10_2011 2" xfId="3435" xr:uid="{00000000-0005-0000-0000-0000110D0000}"/>
    <cellStyle name="_20061027Holux_WorldBankCMSScope_CMS_Web_Design_Phase_Deliverables_0625_Commissioning System Implementation_Project Workbook_06_10_2011 3" xfId="3436" xr:uid="{00000000-0005-0000-0000-0000120D0000}"/>
    <cellStyle name="_20061027Holux_WorldBankCMSScope_CMS_Web_Design_Phase_Deliverables_0625_FairPoint_CampReport" xfId="3437" xr:uid="{00000000-0005-0000-0000-0000130D0000}"/>
    <cellStyle name="_20061027Holux_WorldBankCMSScope_CMS_Web_Design_Phase_Deliverables_0625_FairPoint_CampReport 2" xfId="3438" xr:uid="{00000000-0005-0000-0000-0000140D0000}"/>
    <cellStyle name="_20061027Holux_WorldBankCMSScope_CMS_Web_Design_Phase_Deliverables_0625_FairPoint_CampReport 3" xfId="3439" xr:uid="{00000000-0005-0000-0000-0000150D0000}"/>
    <cellStyle name="_20061027Holux_WorldBankCMSScope_CMS_Web_Design_Phase_Deliverables_0625_FairPoint_FP comTechOps_ProgramWorkbook" xfId="3440" xr:uid="{00000000-0005-0000-0000-0000160D0000}"/>
    <cellStyle name="_20061027Holux_WorldBankCMSScope_CMS_Web_Design_Phase_Deliverables_0625_FairPoint_FP comTechOps_ProgramWorkbook 2" xfId="3441" xr:uid="{00000000-0005-0000-0000-0000170D0000}"/>
    <cellStyle name="_20061027Holux_WorldBankCMSScope_CMS_Web_Design_Phase_Deliverables_0625_FairPoint_FP comTechOps_ProgramWorkbook 3" xfId="3442" xr:uid="{00000000-0005-0000-0000-0000180D0000}"/>
    <cellStyle name="_20061027Holux_WorldBankCMSScope_CMS_Web_Design_Phase_Deliverables_0625_FairPoint_FP comTechOps_ProgramWorkbook_sachin" xfId="3443" xr:uid="{00000000-0005-0000-0000-0000190D0000}"/>
    <cellStyle name="_20061027Holux_WorldBankCMSScope_CMS_Web_Design_Phase_Deliverables_0625_FairPoint_FP comTechOps_ProgramWorkbook_sachin 2" xfId="3444" xr:uid="{00000000-0005-0000-0000-00001A0D0000}"/>
    <cellStyle name="_20061027Holux_WorldBankCMSScope_CMS_Web_Design_Phase_Deliverables_0625_FairPoint_FP comTechOps_ProgramWorkbook_sachin 3" xfId="3445" xr:uid="{00000000-0005-0000-0000-00001B0D0000}"/>
    <cellStyle name="_20061027Holux_WorldBankCMSScope_CMS_Web_Design_Phase_Deliverables_0625_FairPoint_FP comTechOps_ProgramWorkbook_sachin_v1" xfId="3446" xr:uid="{00000000-0005-0000-0000-00001C0D0000}"/>
    <cellStyle name="_20061027Holux_WorldBankCMSScope_CMS_Web_Design_Phase_Deliverables_0625_FairPoint_FP comTechOps_ProgramWorkbook_sachin_v1 2" xfId="3447" xr:uid="{00000000-0005-0000-0000-00001D0D0000}"/>
    <cellStyle name="_20061027Holux_WorldBankCMSScope_CMS_Web_Design_Phase_Deliverables_0625_FairPoint_FP comTechOps_ProgramWorkbook_sachin_v1 3" xfId="3448" xr:uid="{00000000-0005-0000-0000-00001E0D0000}"/>
    <cellStyle name="_20061027Holux_WorldBankCMSScope_CMS_Web_Design_Phase_Deliverables_0625_FP_CAMP&amp;ITReporting_Maintenance_Dashboard" xfId="3449" xr:uid="{00000000-0005-0000-0000-00001F0D0000}"/>
    <cellStyle name="_20061027Holux_WorldBankCMSScope_CMS_Web_Design_Phase_Deliverables_0625_FP_CAMP&amp;ITReporting_Maintenance_Dashboard 2" xfId="3450" xr:uid="{00000000-0005-0000-0000-0000200D0000}"/>
    <cellStyle name="_20061027Holux_WorldBankCMSScope_CMS_Web_Design_Phase_Deliverables_0625_FP_CAMP&amp;ITReporting_Maintenance_Dashboard 3" xfId="3451" xr:uid="{00000000-0005-0000-0000-0000210D0000}"/>
    <cellStyle name="_20061027Holux_WorldBankCMSScope_CMS_Web_Design_Phase_Deliverables_0625_FP_CAMPITReporting_Maintenance_Dashboard" xfId="3452" xr:uid="{00000000-0005-0000-0000-0000220D0000}"/>
    <cellStyle name="_20061027Holux_WorldBankCMSScope_CMS_Web_Design_Phase_Deliverables_0625_FP_CAMPITReporting_Maintenance_Dashboard 2" xfId="3453" xr:uid="{00000000-0005-0000-0000-0000230D0000}"/>
    <cellStyle name="_20061027Holux_WorldBankCMSScope_CMS_Web_Design_Phase_Deliverables_0625_FP_CAMPITReporting_Maintenance_Dashboard 3" xfId="3454" xr:uid="{00000000-0005-0000-0000-0000240D0000}"/>
    <cellStyle name="_20061027Holux_WorldBankCMSScope_CMS_Web_Design_Phase_Deliverables_0625_FP_Commissions_Req_Dn_ProgramWorkBook_10-Dec-2010" xfId="3455" xr:uid="{00000000-0005-0000-0000-0000250D0000}"/>
    <cellStyle name="_20061027Holux_WorldBankCMSScope_CMS_Web_Design_Phase_Deliverables_0625_FP_Commissions_Req_Dn_ProgramWorkBook_10-Dec-2010 2" xfId="3456" xr:uid="{00000000-0005-0000-0000-0000260D0000}"/>
    <cellStyle name="_20061027Holux_WorldBankCMSScope_CMS_Web_Design_Phase_Deliverables_0625_FP_Commissions_Req_Dn_ProgramWorkBook_10-Dec-2010 3" xfId="3457" xr:uid="{00000000-0005-0000-0000-0000270D0000}"/>
    <cellStyle name="_20061027Holux_WorldBankCMSScope_CMS_Web_Design_Phase_Deliverables_0625_FP_DW_Impl_ProgramWorkBook_07-Jan-2011" xfId="3458" xr:uid="{00000000-0005-0000-0000-0000280D0000}"/>
    <cellStyle name="_20061027Holux_WorldBankCMSScope_CMS_Web_Design_Phase_Deliverables_0625_FP_DW_Impl_ProgramWorkBook_07-Jan-2011 2" xfId="3459" xr:uid="{00000000-0005-0000-0000-0000290D0000}"/>
    <cellStyle name="_20061027Holux_WorldBankCMSScope_CMS_Web_Design_Phase_Deliverables_0625_FP_DW_Impl_ProgramWorkBook_07-Jan-2011 2 2" xfId="3460" xr:uid="{00000000-0005-0000-0000-00002A0D0000}"/>
    <cellStyle name="_20061027Holux_WorldBankCMSScope_CMS_Web_Design_Phase_Deliverables_0625_FP_DW_Impl_ProgramWorkBook_07-Jan-2011 2 3" xfId="3461" xr:uid="{00000000-0005-0000-0000-00002B0D0000}"/>
    <cellStyle name="_20061027Holux_WorldBankCMSScope_CMS_Web_Design_Phase_Deliverables_0625_FP_DW_Impl_ProgramWorkBook_07-Jan-2011 3" xfId="3462" xr:uid="{00000000-0005-0000-0000-00002C0D0000}"/>
    <cellStyle name="_20061027Holux_WorldBankCMSScope_CMS_Web_Design_Phase_Deliverables_0625_FP_DW_Impl_ProgramWorkBook_07-Jan-2011 4" xfId="3463" xr:uid="{00000000-0005-0000-0000-00002D0D0000}"/>
    <cellStyle name="_20061027Holux_WorldBankCMSScope_CMS_Web_Design_Phase_Deliverables_0625_FP_DW_Impl_ProgramWorkBook_11-Feb-2011" xfId="3464" xr:uid="{00000000-0005-0000-0000-00002E0D0000}"/>
    <cellStyle name="_20061027Holux_WorldBankCMSScope_CMS_Web_Design_Phase_Deliverables_0625_FP_DW_Impl_ProgramWorkBook_11-Feb-2011 2" xfId="3465" xr:uid="{00000000-0005-0000-0000-00002F0D0000}"/>
    <cellStyle name="_20061027Holux_WorldBankCMSScope_CMS_Web_Design_Phase_Deliverables_0625_FP_DW_Impl_ProgramWorkBook_11-Feb-2011 3" xfId="3466" xr:uid="{00000000-0005-0000-0000-0000300D0000}"/>
    <cellStyle name="_20061027Holux_WorldBankCMSScope_CMS_Web_Design_Phase_Deliverables_0625_FP_DW_Impl_ProgramWorkBook_18-Feb-2011 - Working" xfId="3467" xr:uid="{00000000-0005-0000-0000-0000310D0000}"/>
    <cellStyle name="_20061027Holux_WorldBankCMSScope_CMS_Web_Design_Phase_Deliverables_0625_FP_DW_Impl_ProgramWorkBook_18-Feb-2011 - Working 2" xfId="3468" xr:uid="{00000000-0005-0000-0000-0000320D0000}"/>
    <cellStyle name="_20061027Holux_WorldBankCMSScope_CMS_Web_Design_Phase_Deliverables_0625_FP_DW_Impl_ProgramWorkBook_18-Feb-2011 - Working 3" xfId="3469" xr:uid="{00000000-0005-0000-0000-0000330D0000}"/>
    <cellStyle name="_20061027Holux_WorldBankCMSScope_CMS_Web_Design_Phase_Deliverables_0625_FP_EnterprisePortal_ProgramWorkbook" xfId="3470" xr:uid="{00000000-0005-0000-0000-0000340D0000}"/>
    <cellStyle name="_20061027Holux_WorldBankCMSScope_CMS_Web_Design_Phase_Deliverables_0625_FP_EnterprisePortal_ProgramWorkbook 2" xfId="3471" xr:uid="{00000000-0005-0000-0000-0000350D0000}"/>
    <cellStyle name="_20061027Holux_WorldBankCMSScope_CMS_Web_Design_Phase_Deliverables_0625_FP_EnterprisePortal_ProgramWorkbook 3" xfId="3472" xr:uid="{00000000-0005-0000-0000-0000360D0000}"/>
    <cellStyle name="_20061027Holux_WorldBankCMSScope_CMS_Web_Design_Phase_Deliverables_0625_FP_SAP_MLP v2" xfId="3473" xr:uid="{00000000-0005-0000-0000-0000370D0000}"/>
    <cellStyle name="_20061027Holux_WorldBankCMSScope_CMS_Web_Design_Phase_Deliverables_0625_FP_SAP_MLP v2 2" xfId="3474" xr:uid="{00000000-0005-0000-0000-0000380D0000}"/>
    <cellStyle name="_20061027Holux_WorldBankCMSScope_CMS_Web_Design_Phase_Deliverables_0625_FP_SAP_MLP v2 3" xfId="3475" xr:uid="{00000000-0005-0000-0000-0000390D0000}"/>
    <cellStyle name="_20061027Holux_WorldBankCMSScope_CMS_Web_Design_Phase_Deliverables_0625_KeyDecisions" xfId="3476" xr:uid="{00000000-0005-0000-0000-00003A0D0000}"/>
    <cellStyle name="_20061027Holux_WorldBankCMSScope_CMS_Web_Design_Phase_Deliverables_0625_KeyDecisions 2" xfId="3477" xr:uid="{00000000-0005-0000-0000-00003B0D0000}"/>
    <cellStyle name="_20061027Holux_WorldBankCMSScope_CMS_Web_Design_Phase_Deliverables_0625_KeyDecisions 3" xfId="3478" xr:uid="{00000000-0005-0000-0000-00003C0D0000}"/>
    <cellStyle name="_20061027Holux_WorldBankCMSScope_CMS_Web_Design_Phase_Deliverables_0625_Sophia_Imp_ProjectWorkBook_02_18_2011" xfId="3479" xr:uid="{00000000-0005-0000-0000-00003D0D0000}"/>
    <cellStyle name="_20061027Holux_WorldBankCMSScope_CMS_Web_Design_Phase_Deliverables_0625_Sophia_Imp_ProjectWorkBook_02_18_2011 2" xfId="3480" xr:uid="{00000000-0005-0000-0000-00003E0D0000}"/>
    <cellStyle name="_20061027Holux_WorldBankCMSScope_CMS_Web_Design_Phase_Deliverables_0625_Sophia_Imp_ProjectWorkBook_02_18_2011 3" xfId="3481" xr:uid="{00000000-0005-0000-0000-00003F0D0000}"/>
    <cellStyle name="_20061027Holux_WorldBankCMSScope_CMS_Web_Design_Phase_Deliverables_0625_t" xfId="3482" xr:uid="{00000000-0005-0000-0000-0000400D0000}"/>
    <cellStyle name="_20061027Holux_WorldBankCMSScope_CMS_Web_Design_Phase_Deliverables_0625_t 2" xfId="3483" xr:uid="{00000000-0005-0000-0000-0000410D0000}"/>
    <cellStyle name="_20061027Holux_WorldBankCMSScope_CMS_Web_Design_Phase_Deliverables_0625_t 3" xfId="3484" xr:uid="{00000000-0005-0000-0000-0000420D0000}"/>
    <cellStyle name="_20061027Holux_WorldBankCMSScope_CMS_Web_Design_Phase_Deliverables_MLP_0627" xfId="3485" xr:uid="{00000000-0005-0000-0000-0000430D0000}"/>
    <cellStyle name="_20061027Holux_WorldBankCMSScope_CMS_Web_Design_Phase_Deliverables_MLP_0627 2" xfId="3486" xr:uid="{00000000-0005-0000-0000-0000440D0000}"/>
    <cellStyle name="_20061027Holux_WorldBankCMSScope_CMS_Web_Design_Phase_Deliverables_MLP_0627 2 2" xfId="3487" xr:uid="{00000000-0005-0000-0000-0000450D0000}"/>
    <cellStyle name="_20061027Holux_WorldBankCMSScope_CMS_Web_Design_Phase_Deliverables_MLP_0627 2 3" xfId="3488" xr:uid="{00000000-0005-0000-0000-0000460D0000}"/>
    <cellStyle name="_20061027Holux_WorldBankCMSScope_CMS_Web_Design_Phase_Deliverables_MLP_0627 3" xfId="3489" xr:uid="{00000000-0005-0000-0000-0000470D0000}"/>
    <cellStyle name="_20061027Holux_WorldBankCMSScope_CMS_Web_Design_Phase_Deliverables_MLP_0627 4" xfId="3490" xr:uid="{00000000-0005-0000-0000-0000480D0000}"/>
    <cellStyle name="_20061027Holux_WorldBankCMSScope_CMS_Web_Design_Phase_Deliverables_MLP_0627_Commissioning System Implementation_Project Workbook_06_10_2011" xfId="3491" xr:uid="{00000000-0005-0000-0000-0000490D0000}"/>
    <cellStyle name="_20061027Holux_WorldBankCMSScope_CMS_Web_Design_Phase_Deliverables_MLP_0627_Commissioning System Implementation_Project Workbook_06_10_2011 2" xfId="3492" xr:uid="{00000000-0005-0000-0000-00004A0D0000}"/>
    <cellStyle name="_20061027Holux_WorldBankCMSScope_CMS_Web_Design_Phase_Deliverables_MLP_0627_Commissioning System Implementation_Project Workbook_06_10_2011 3" xfId="3493" xr:uid="{00000000-0005-0000-0000-00004B0D0000}"/>
    <cellStyle name="_20061027Holux_WorldBankCMSScope_CMS_Web_Design_Phase_Deliverables_MLP_0627_FairPoint_CampReport" xfId="3494" xr:uid="{00000000-0005-0000-0000-00004C0D0000}"/>
    <cellStyle name="_20061027Holux_WorldBankCMSScope_CMS_Web_Design_Phase_Deliverables_MLP_0627_FairPoint_CampReport 2" xfId="3495" xr:uid="{00000000-0005-0000-0000-00004D0D0000}"/>
    <cellStyle name="_20061027Holux_WorldBankCMSScope_CMS_Web_Design_Phase_Deliverables_MLP_0627_FairPoint_CampReport 3" xfId="3496" xr:uid="{00000000-0005-0000-0000-00004E0D0000}"/>
    <cellStyle name="_20061027Holux_WorldBankCMSScope_CMS_Web_Design_Phase_Deliverables_MLP_0627_FairPoint_FP comTechOps_ProgramWorkbook" xfId="3497" xr:uid="{00000000-0005-0000-0000-00004F0D0000}"/>
    <cellStyle name="_20061027Holux_WorldBankCMSScope_CMS_Web_Design_Phase_Deliverables_MLP_0627_FairPoint_FP comTechOps_ProgramWorkbook 2" xfId="3498" xr:uid="{00000000-0005-0000-0000-0000500D0000}"/>
    <cellStyle name="_20061027Holux_WorldBankCMSScope_CMS_Web_Design_Phase_Deliverables_MLP_0627_FairPoint_FP comTechOps_ProgramWorkbook 3" xfId="3499" xr:uid="{00000000-0005-0000-0000-0000510D0000}"/>
    <cellStyle name="_20061027Holux_WorldBankCMSScope_CMS_Web_Design_Phase_Deliverables_MLP_0627_FairPoint_FP comTechOps_ProgramWorkbook_sachin" xfId="3500" xr:uid="{00000000-0005-0000-0000-0000520D0000}"/>
    <cellStyle name="_20061027Holux_WorldBankCMSScope_CMS_Web_Design_Phase_Deliverables_MLP_0627_FairPoint_FP comTechOps_ProgramWorkbook_sachin 2" xfId="3501" xr:uid="{00000000-0005-0000-0000-0000530D0000}"/>
    <cellStyle name="_20061027Holux_WorldBankCMSScope_CMS_Web_Design_Phase_Deliverables_MLP_0627_FairPoint_FP comTechOps_ProgramWorkbook_sachin 3" xfId="3502" xr:uid="{00000000-0005-0000-0000-0000540D0000}"/>
    <cellStyle name="_20061027Holux_WorldBankCMSScope_CMS_Web_Design_Phase_Deliverables_MLP_0627_FairPoint_FP comTechOps_ProgramWorkbook_sachin_v1" xfId="3503" xr:uid="{00000000-0005-0000-0000-0000550D0000}"/>
    <cellStyle name="_20061027Holux_WorldBankCMSScope_CMS_Web_Design_Phase_Deliverables_MLP_0627_FairPoint_FP comTechOps_ProgramWorkbook_sachin_v1 2" xfId="3504" xr:uid="{00000000-0005-0000-0000-0000560D0000}"/>
    <cellStyle name="_20061027Holux_WorldBankCMSScope_CMS_Web_Design_Phase_Deliverables_MLP_0627_FairPoint_FP comTechOps_ProgramWorkbook_sachin_v1 3" xfId="3505" xr:uid="{00000000-0005-0000-0000-0000570D0000}"/>
    <cellStyle name="_20061027Holux_WorldBankCMSScope_CMS_Web_Design_Phase_Deliverables_MLP_0627_FP_CAMP&amp;ITReporting_Maintenance_Dashboard" xfId="3506" xr:uid="{00000000-0005-0000-0000-0000580D0000}"/>
    <cellStyle name="_20061027Holux_WorldBankCMSScope_CMS_Web_Design_Phase_Deliverables_MLP_0627_FP_CAMP&amp;ITReporting_Maintenance_Dashboard 2" xfId="3507" xr:uid="{00000000-0005-0000-0000-0000590D0000}"/>
    <cellStyle name="_20061027Holux_WorldBankCMSScope_CMS_Web_Design_Phase_Deliverables_MLP_0627_FP_CAMP&amp;ITReporting_Maintenance_Dashboard 3" xfId="3508" xr:uid="{00000000-0005-0000-0000-00005A0D0000}"/>
    <cellStyle name="_20061027Holux_WorldBankCMSScope_CMS_Web_Design_Phase_Deliverables_MLP_0627_FP_CAMPITReporting_Maintenance_Dashboard" xfId="3509" xr:uid="{00000000-0005-0000-0000-00005B0D0000}"/>
    <cellStyle name="_20061027Holux_WorldBankCMSScope_CMS_Web_Design_Phase_Deliverables_MLP_0627_FP_CAMPITReporting_Maintenance_Dashboard 2" xfId="3510" xr:uid="{00000000-0005-0000-0000-00005C0D0000}"/>
    <cellStyle name="_20061027Holux_WorldBankCMSScope_CMS_Web_Design_Phase_Deliverables_MLP_0627_FP_CAMPITReporting_Maintenance_Dashboard 3" xfId="3511" xr:uid="{00000000-0005-0000-0000-00005D0D0000}"/>
    <cellStyle name="_20061027Holux_WorldBankCMSScope_CMS_Web_Design_Phase_Deliverables_MLP_0627_FP_Commissions_Req_Dn_ProgramWorkBook_10-Dec-2010" xfId="3512" xr:uid="{00000000-0005-0000-0000-00005E0D0000}"/>
    <cellStyle name="_20061027Holux_WorldBankCMSScope_CMS_Web_Design_Phase_Deliverables_MLP_0627_FP_Commissions_Req_Dn_ProgramWorkBook_10-Dec-2010 2" xfId="3513" xr:uid="{00000000-0005-0000-0000-00005F0D0000}"/>
    <cellStyle name="_20061027Holux_WorldBankCMSScope_CMS_Web_Design_Phase_Deliverables_MLP_0627_FP_Commissions_Req_Dn_ProgramWorkBook_10-Dec-2010 3" xfId="3514" xr:uid="{00000000-0005-0000-0000-0000600D0000}"/>
    <cellStyle name="_20061027Holux_WorldBankCMSScope_CMS_Web_Design_Phase_Deliverables_MLP_0627_FP_DW_Impl_ProgramWorkBook_07-Jan-2011" xfId="3515" xr:uid="{00000000-0005-0000-0000-0000610D0000}"/>
    <cellStyle name="_20061027Holux_WorldBankCMSScope_CMS_Web_Design_Phase_Deliverables_MLP_0627_FP_DW_Impl_ProgramWorkBook_07-Jan-2011 2" xfId="3516" xr:uid="{00000000-0005-0000-0000-0000620D0000}"/>
    <cellStyle name="_20061027Holux_WorldBankCMSScope_CMS_Web_Design_Phase_Deliverables_MLP_0627_FP_DW_Impl_ProgramWorkBook_07-Jan-2011 2 2" xfId="3517" xr:uid="{00000000-0005-0000-0000-0000630D0000}"/>
    <cellStyle name="_20061027Holux_WorldBankCMSScope_CMS_Web_Design_Phase_Deliverables_MLP_0627_FP_DW_Impl_ProgramWorkBook_07-Jan-2011 2 3" xfId="3518" xr:uid="{00000000-0005-0000-0000-0000640D0000}"/>
    <cellStyle name="_20061027Holux_WorldBankCMSScope_CMS_Web_Design_Phase_Deliverables_MLP_0627_FP_DW_Impl_ProgramWorkBook_07-Jan-2011 3" xfId="3519" xr:uid="{00000000-0005-0000-0000-0000650D0000}"/>
    <cellStyle name="_20061027Holux_WorldBankCMSScope_CMS_Web_Design_Phase_Deliverables_MLP_0627_FP_DW_Impl_ProgramWorkBook_07-Jan-2011 4" xfId="3520" xr:uid="{00000000-0005-0000-0000-0000660D0000}"/>
    <cellStyle name="_20061027Holux_WorldBankCMSScope_CMS_Web_Design_Phase_Deliverables_MLP_0627_FP_DW_Impl_ProgramWorkBook_11-Feb-2011" xfId="3521" xr:uid="{00000000-0005-0000-0000-0000670D0000}"/>
    <cellStyle name="_20061027Holux_WorldBankCMSScope_CMS_Web_Design_Phase_Deliverables_MLP_0627_FP_DW_Impl_ProgramWorkBook_11-Feb-2011 2" xfId="3522" xr:uid="{00000000-0005-0000-0000-0000680D0000}"/>
    <cellStyle name="_20061027Holux_WorldBankCMSScope_CMS_Web_Design_Phase_Deliverables_MLP_0627_FP_DW_Impl_ProgramWorkBook_11-Feb-2011 3" xfId="3523" xr:uid="{00000000-0005-0000-0000-0000690D0000}"/>
    <cellStyle name="_20061027Holux_WorldBankCMSScope_CMS_Web_Design_Phase_Deliverables_MLP_0627_FP_DW_Impl_ProgramWorkBook_18-Feb-2011 - Working" xfId="3524" xr:uid="{00000000-0005-0000-0000-00006A0D0000}"/>
    <cellStyle name="_20061027Holux_WorldBankCMSScope_CMS_Web_Design_Phase_Deliverables_MLP_0627_FP_DW_Impl_ProgramWorkBook_18-Feb-2011 - Working 2" xfId="3525" xr:uid="{00000000-0005-0000-0000-00006B0D0000}"/>
    <cellStyle name="_20061027Holux_WorldBankCMSScope_CMS_Web_Design_Phase_Deliverables_MLP_0627_FP_DW_Impl_ProgramWorkBook_18-Feb-2011 - Working 3" xfId="3526" xr:uid="{00000000-0005-0000-0000-00006C0D0000}"/>
    <cellStyle name="_20061027Holux_WorldBankCMSScope_CMS_Web_Design_Phase_Deliverables_MLP_0627_FP_EnterprisePortal_ProgramWorkbook" xfId="3527" xr:uid="{00000000-0005-0000-0000-00006D0D0000}"/>
    <cellStyle name="_20061027Holux_WorldBankCMSScope_CMS_Web_Design_Phase_Deliverables_MLP_0627_FP_EnterprisePortal_ProgramWorkbook 2" xfId="3528" xr:uid="{00000000-0005-0000-0000-00006E0D0000}"/>
    <cellStyle name="_20061027Holux_WorldBankCMSScope_CMS_Web_Design_Phase_Deliverables_MLP_0627_FP_EnterprisePortal_ProgramWorkbook 3" xfId="3529" xr:uid="{00000000-0005-0000-0000-00006F0D0000}"/>
    <cellStyle name="_20061027Holux_WorldBankCMSScope_CMS_Web_Design_Phase_Deliverables_MLP_0627_FP_SAP_MLP v2" xfId="3530" xr:uid="{00000000-0005-0000-0000-0000700D0000}"/>
    <cellStyle name="_20061027Holux_WorldBankCMSScope_CMS_Web_Design_Phase_Deliverables_MLP_0627_FP_SAP_MLP v2 2" xfId="3531" xr:uid="{00000000-0005-0000-0000-0000710D0000}"/>
    <cellStyle name="_20061027Holux_WorldBankCMSScope_CMS_Web_Design_Phase_Deliverables_MLP_0627_FP_SAP_MLP v2 3" xfId="3532" xr:uid="{00000000-0005-0000-0000-0000720D0000}"/>
    <cellStyle name="_20061027Holux_WorldBankCMSScope_CMS_Web_Design_Phase_Deliverables_MLP_0627_KeyDecisions" xfId="3533" xr:uid="{00000000-0005-0000-0000-0000730D0000}"/>
    <cellStyle name="_20061027Holux_WorldBankCMSScope_CMS_Web_Design_Phase_Deliverables_MLP_0627_KeyDecisions 2" xfId="3534" xr:uid="{00000000-0005-0000-0000-0000740D0000}"/>
    <cellStyle name="_20061027Holux_WorldBankCMSScope_CMS_Web_Design_Phase_Deliverables_MLP_0627_KeyDecisions 3" xfId="3535" xr:uid="{00000000-0005-0000-0000-0000750D0000}"/>
    <cellStyle name="_20061027Holux_WorldBankCMSScope_CMS_Web_Design_Phase_Deliverables_MLP_0627_Sophia_Imp_ProjectWorkBook_02_18_2011" xfId="3536" xr:uid="{00000000-0005-0000-0000-0000760D0000}"/>
    <cellStyle name="_20061027Holux_WorldBankCMSScope_CMS_Web_Design_Phase_Deliverables_MLP_0627_Sophia_Imp_ProjectWorkBook_02_18_2011 2" xfId="3537" xr:uid="{00000000-0005-0000-0000-0000770D0000}"/>
    <cellStyle name="_20061027Holux_WorldBankCMSScope_CMS_Web_Design_Phase_Deliverables_MLP_0627_Sophia_Imp_ProjectWorkBook_02_18_2011 3" xfId="3538" xr:uid="{00000000-0005-0000-0000-0000780D0000}"/>
    <cellStyle name="_20061027Holux_WorldBankCMSScope_CMS_Web_Design_Phase_Deliverables_MLP_0627_t" xfId="3539" xr:uid="{00000000-0005-0000-0000-0000790D0000}"/>
    <cellStyle name="_20061027Holux_WorldBankCMSScope_CMS_Web_Design_Phase_Deliverables_MLP_0627_t 2" xfId="3540" xr:uid="{00000000-0005-0000-0000-00007A0D0000}"/>
    <cellStyle name="_20061027Holux_WorldBankCMSScope_CMS_Web_Design_Phase_Deliverables_MLP_0627_t 3" xfId="3541" xr:uid="{00000000-0005-0000-0000-00007B0D0000}"/>
    <cellStyle name="_20061027Holux_WorldBankCMSScope_CMS_Web_Design_Phase_Deliverables_MLP_LLP_7-12-2010_Combined" xfId="3542" xr:uid="{00000000-0005-0000-0000-00007C0D0000}"/>
    <cellStyle name="_20061027Holux_WorldBankCMSScope_CMS_Web_Design_Phase_Deliverables_MLP_LLP_7-12-2010_Combined 2" xfId="3543" xr:uid="{00000000-0005-0000-0000-00007D0D0000}"/>
    <cellStyle name="_20061027Holux_WorldBankCMSScope_CMS_Web_Design_Phase_Deliverables_MLP_LLP_7-12-2010_Combined 2 2" xfId="3544" xr:uid="{00000000-0005-0000-0000-00007E0D0000}"/>
    <cellStyle name="_20061027Holux_WorldBankCMSScope_CMS_Web_Design_Phase_Deliverables_MLP_LLP_7-12-2010_Combined 2 3" xfId="3545" xr:uid="{00000000-0005-0000-0000-00007F0D0000}"/>
    <cellStyle name="_20061027Holux_WorldBankCMSScope_CMS_Web_Design_Phase_Deliverables_MLP_LLP_7-12-2010_Combined 3" xfId="3546" xr:uid="{00000000-0005-0000-0000-0000800D0000}"/>
    <cellStyle name="_20061027Holux_WorldBankCMSScope_CMS_Web_Design_Phase_Deliverables_MLP_LLP_7-12-2010_Combined 4" xfId="3547" xr:uid="{00000000-0005-0000-0000-0000810D0000}"/>
    <cellStyle name="_20061027Holux_WorldBankCMSScope_CMS_Web_Design_Phase_Deliverables_MLP_LLP_7-12-2010_Combined_Commissioning System Implementation_Project Workbook_06_10_2011" xfId="3548" xr:uid="{00000000-0005-0000-0000-0000820D0000}"/>
    <cellStyle name="_20061027Holux_WorldBankCMSScope_CMS_Web_Design_Phase_Deliverables_MLP_LLP_7-12-2010_Combined_Commissioning System Implementation_Project Workbook_06_10_2011 2" xfId="3549" xr:uid="{00000000-0005-0000-0000-0000830D0000}"/>
    <cellStyle name="_20061027Holux_WorldBankCMSScope_CMS_Web_Design_Phase_Deliverables_MLP_LLP_7-12-2010_Combined_Commissioning System Implementation_Project Workbook_06_10_2011 3" xfId="3550" xr:uid="{00000000-0005-0000-0000-0000840D0000}"/>
    <cellStyle name="_20061027Holux_WorldBankCMSScope_CMS_Web_Design_Phase_Deliverables_MLP_LLP_7-12-2010_Combined_FairPoint_CampReport" xfId="3551" xr:uid="{00000000-0005-0000-0000-0000850D0000}"/>
    <cellStyle name="_20061027Holux_WorldBankCMSScope_CMS_Web_Design_Phase_Deliverables_MLP_LLP_7-12-2010_Combined_FairPoint_CampReport 2" xfId="3552" xr:uid="{00000000-0005-0000-0000-0000860D0000}"/>
    <cellStyle name="_20061027Holux_WorldBankCMSScope_CMS_Web_Design_Phase_Deliverables_MLP_LLP_7-12-2010_Combined_FairPoint_CampReport 3" xfId="3553" xr:uid="{00000000-0005-0000-0000-0000870D0000}"/>
    <cellStyle name="_20061027Holux_WorldBankCMSScope_CMS_Web_Design_Phase_Deliverables_MLP_LLP_7-12-2010_Combined_FairPoint_FP comTechOps_ProgramWorkbook" xfId="3554" xr:uid="{00000000-0005-0000-0000-0000880D0000}"/>
    <cellStyle name="_20061027Holux_WorldBankCMSScope_CMS_Web_Design_Phase_Deliverables_MLP_LLP_7-12-2010_Combined_FairPoint_FP comTechOps_ProgramWorkbook 2" xfId="3555" xr:uid="{00000000-0005-0000-0000-0000890D0000}"/>
    <cellStyle name="_20061027Holux_WorldBankCMSScope_CMS_Web_Design_Phase_Deliverables_MLP_LLP_7-12-2010_Combined_FairPoint_FP comTechOps_ProgramWorkbook 3" xfId="3556" xr:uid="{00000000-0005-0000-0000-00008A0D0000}"/>
    <cellStyle name="_20061027Holux_WorldBankCMSScope_CMS_Web_Design_Phase_Deliverables_MLP_LLP_7-12-2010_Combined_FairPoint_FP comTechOps_ProgramWorkbook_sachin" xfId="3557" xr:uid="{00000000-0005-0000-0000-00008B0D0000}"/>
    <cellStyle name="_20061027Holux_WorldBankCMSScope_CMS_Web_Design_Phase_Deliverables_MLP_LLP_7-12-2010_Combined_FairPoint_FP comTechOps_ProgramWorkbook_sachin 2" xfId="3558" xr:uid="{00000000-0005-0000-0000-00008C0D0000}"/>
    <cellStyle name="_20061027Holux_WorldBankCMSScope_CMS_Web_Design_Phase_Deliverables_MLP_LLP_7-12-2010_Combined_FairPoint_FP comTechOps_ProgramWorkbook_sachin 3" xfId="3559" xr:uid="{00000000-0005-0000-0000-00008D0D0000}"/>
    <cellStyle name="_20061027Holux_WorldBankCMSScope_CMS_Web_Design_Phase_Deliverables_MLP_LLP_7-12-2010_Combined_FairPoint_FP comTechOps_ProgramWorkbook_sachin_v1" xfId="3560" xr:uid="{00000000-0005-0000-0000-00008E0D0000}"/>
    <cellStyle name="_20061027Holux_WorldBankCMSScope_CMS_Web_Design_Phase_Deliverables_MLP_LLP_7-12-2010_Combined_FairPoint_FP comTechOps_ProgramWorkbook_sachin_v1 2" xfId="3561" xr:uid="{00000000-0005-0000-0000-00008F0D0000}"/>
    <cellStyle name="_20061027Holux_WorldBankCMSScope_CMS_Web_Design_Phase_Deliverables_MLP_LLP_7-12-2010_Combined_FairPoint_FP comTechOps_ProgramWorkbook_sachin_v1 3" xfId="3562" xr:uid="{00000000-0005-0000-0000-0000900D0000}"/>
    <cellStyle name="_20061027Holux_WorldBankCMSScope_CMS_Web_Design_Phase_Deliverables_MLP_LLP_7-12-2010_Combined_FP_CAMP&amp;ITReporting_Maintenance_Dashboard" xfId="3563" xr:uid="{00000000-0005-0000-0000-0000910D0000}"/>
    <cellStyle name="_20061027Holux_WorldBankCMSScope_CMS_Web_Design_Phase_Deliverables_MLP_LLP_7-12-2010_Combined_FP_CAMP&amp;ITReporting_Maintenance_Dashboard 2" xfId="3564" xr:uid="{00000000-0005-0000-0000-0000920D0000}"/>
    <cellStyle name="_20061027Holux_WorldBankCMSScope_CMS_Web_Design_Phase_Deliverables_MLP_LLP_7-12-2010_Combined_FP_CAMP&amp;ITReporting_Maintenance_Dashboard 3" xfId="3565" xr:uid="{00000000-0005-0000-0000-0000930D0000}"/>
    <cellStyle name="_20061027Holux_WorldBankCMSScope_CMS_Web_Design_Phase_Deliverables_MLP_LLP_7-12-2010_Combined_FP_CAMPITReporting_Maintenance_Dashboard" xfId="3566" xr:uid="{00000000-0005-0000-0000-0000940D0000}"/>
    <cellStyle name="_20061027Holux_WorldBankCMSScope_CMS_Web_Design_Phase_Deliverables_MLP_LLP_7-12-2010_Combined_FP_CAMPITReporting_Maintenance_Dashboard 2" xfId="3567" xr:uid="{00000000-0005-0000-0000-0000950D0000}"/>
    <cellStyle name="_20061027Holux_WorldBankCMSScope_CMS_Web_Design_Phase_Deliverables_MLP_LLP_7-12-2010_Combined_FP_CAMPITReporting_Maintenance_Dashboard 3" xfId="3568" xr:uid="{00000000-0005-0000-0000-0000960D0000}"/>
    <cellStyle name="_20061027Holux_WorldBankCMSScope_CMS_Web_Design_Phase_Deliverables_MLP_LLP_7-12-2010_Combined_FP_Commissions_Req_Dn_ProgramWorkBook_10-Dec-2010" xfId="3569" xr:uid="{00000000-0005-0000-0000-0000970D0000}"/>
    <cellStyle name="_20061027Holux_WorldBankCMSScope_CMS_Web_Design_Phase_Deliverables_MLP_LLP_7-12-2010_Combined_FP_Commissions_Req_Dn_ProgramWorkBook_10-Dec-2010 2" xfId="3570" xr:uid="{00000000-0005-0000-0000-0000980D0000}"/>
    <cellStyle name="_20061027Holux_WorldBankCMSScope_CMS_Web_Design_Phase_Deliverables_MLP_LLP_7-12-2010_Combined_FP_Commissions_Req_Dn_ProgramWorkBook_10-Dec-2010 3" xfId="3571" xr:uid="{00000000-0005-0000-0000-0000990D0000}"/>
    <cellStyle name="_20061027Holux_WorldBankCMSScope_CMS_Web_Design_Phase_Deliverables_MLP_LLP_7-12-2010_Combined_FP_DW_Impl_ProgramWorkBook_07-Jan-2011" xfId="3572" xr:uid="{00000000-0005-0000-0000-00009A0D0000}"/>
    <cellStyle name="_20061027Holux_WorldBankCMSScope_CMS_Web_Design_Phase_Deliverables_MLP_LLP_7-12-2010_Combined_FP_DW_Impl_ProgramWorkBook_07-Jan-2011 2" xfId="3573" xr:uid="{00000000-0005-0000-0000-00009B0D0000}"/>
    <cellStyle name="_20061027Holux_WorldBankCMSScope_CMS_Web_Design_Phase_Deliverables_MLP_LLP_7-12-2010_Combined_FP_DW_Impl_ProgramWorkBook_07-Jan-2011 2 2" xfId="3574" xr:uid="{00000000-0005-0000-0000-00009C0D0000}"/>
    <cellStyle name="_20061027Holux_WorldBankCMSScope_CMS_Web_Design_Phase_Deliverables_MLP_LLP_7-12-2010_Combined_FP_DW_Impl_ProgramWorkBook_07-Jan-2011 2 3" xfId="3575" xr:uid="{00000000-0005-0000-0000-00009D0D0000}"/>
    <cellStyle name="_20061027Holux_WorldBankCMSScope_CMS_Web_Design_Phase_Deliverables_MLP_LLP_7-12-2010_Combined_FP_DW_Impl_ProgramWorkBook_07-Jan-2011 3" xfId="3576" xr:uid="{00000000-0005-0000-0000-00009E0D0000}"/>
    <cellStyle name="_20061027Holux_WorldBankCMSScope_CMS_Web_Design_Phase_Deliverables_MLP_LLP_7-12-2010_Combined_FP_DW_Impl_ProgramWorkBook_07-Jan-2011 4" xfId="3577" xr:uid="{00000000-0005-0000-0000-00009F0D0000}"/>
    <cellStyle name="_20061027Holux_WorldBankCMSScope_CMS_Web_Design_Phase_Deliverables_MLP_LLP_7-12-2010_Combined_FP_DW_Impl_ProgramWorkBook_11-Feb-2011" xfId="3578" xr:uid="{00000000-0005-0000-0000-0000A00D0000}"/>
    <cellStyle name="_20061027Holux_WorldBankCMSScope_CMS_Web_Design_Phase_Deliverables_MLP_LLP_7-12-2010_Combined_FP_DW_Impl_ProgramWorkBook_11-Feb-2011 2" xfId="3579" xr:uid="{00000000-0005-0000-0000-0000A10D0000}"/>
    <cellStyle name="_20061027Holux_WorldBankCMSScope_CMS_Web_Design_Phase_Deliverables_MLP_LLP_7-12-2010_Combined_FP_DW_Impl_ProgramWorkBook_11-Feb-2011 3" xfId="3580" xr:uid="{00000000-0005-0000-0000-0000A20D0000}"/>
    <cellStyle name="_20061027Holux_WorldBankCMSScope_CMS_Web_Design_Phase_Deliverables_MLP_LLP_7-12-2010_Combined_FP_DW_Impl_ProgramWorkBook_18-Feb-2011 - Working" xfId="3581" xr:uid="{00000000-0005-0000-0000-0000A30D0000}"/>
    <cellStyle name="_20061027Holux_WorldBankCMSScope_CMS_Web_Design_Phase_Deliverables_MLP_LLP_7-12-2010_Combined_FP_DW_Impl_ProgramWorkBook_18-Feb-2011 - Working 2" xfId="3582" xr:uid="{00000000-0005-0000-0000-0000A40D0000}"/>
    <cellStyle name="_20061027Holux_WorldBankCMSScope_CMS_Web_Design_Phase_Deliverables_MLP_LLP_7-12-2010_Combined_FP_DW_Impl_ProgramWorkBook_18-Feb-2011 - Working 3" xfId="3583" xr:uid="{00000000-0005-0000-0000-0000A50D0000}"/>
    <cellStyle name="_20061027Holux_WorldBankCMSScope_CMS_Web_Design_Phase_Deliverables_MLP_LLP_7-12-2010_Combined_FP_EnterprisePortal_ProgramWorkbook" xfId="3584" xr:uid="{00000000-0005-0000-0000-0000A60D0000}"/>
    <cellStyle name="_20061027Holux_WorldBankCMSScope_CMS_Web_Design_Phase_Deliverables_MLP_LLP_7-12-2010_Combined_FP_EnterprisePortal_ProgramWorkbook 2" xfId="3585" xr:uid="{00000000-0005-0000-0000-0000A70D0000}"/>
    <cellStyle name="_20061027Holux_WorldBankCMSScope_CMS_Web_Design_Phase_Deliverables_MLP_LLP_7-12-2010_Combined_FP_EnterprisePortal_ProgramWorkbook 3" xfId="3586" xr:uid="{00000000-0005-0000-0000-0000A80D0000}"/>
    <cellStyle name="_20061027Holux_WorldBankCMSScope_CMS_Web_Design_Phase_Deliverables_MLP_LLP_7-12-2010_Combined_FP_SAP_MLP v2" xfId="3587" xr:uid="{00000000-0005-0000-0000-0000A90D0000}"/>
    <cellStyle name="_20061027Holux_WorldBankCMSScope_CMS_Web_Design_Phase_Deliverables_MLP_LLP_7-12-2010_Combined_FP_SAP_MLP v2 2" xfId="3588" xr:uid="{00000000-0005-0000-0000-0000AA0D0000}"/>
    <cellStyle name="_20061027Holux_WorldBankCMSScope_CMS_Web_Design_Phase_Deliverables_MLP_LLP_7-12-2010_Combined_FP_SAP_MLP v2 3" xfId="3589" xr:uid="{00000000-0005-0000-0000-0000AB0D0000}"/>
    <cellStyle name="_20061027Holux_WorldBankCMSScope_CMS_Web_Design_Phase_Deliverables_MLP_LLP_7-12-2010_Combined_KeyDecisions" xfId="3590" xr:uid="{00000000-0005-0000-0000-0000AC0D0000}"/>
    <cellStyle name="_20061027Holux_WorldBankCMSScope_CMS_Web_Design_Phase_Deliverables_MLP_LLP_7-12-2010_Combined_KeyDecisions 2" xfId="3591" xr:uid="{00000000-0005-0000-0000-0000AD0D0000}"/>
    <cellStyle name="_20061027Holux_WorldBankCMSScope_CMS_Web_Design_Phase_Deliverables_MLP_LLP_7-12-2010_Combined_KeyDecisions 3" xfId="3592" xr:uid="{00000000-0005-0000-0000-0000AE0D0000}"/>
    <cellStyle name="_20061027Holux_WorldBankCMSScope_CMS_Web_Design_Phase_Deliverables_MLP_LLP_7-12-2010_Combined_Sophia_Imp_ProjectWorkBook_02_18_2011" xfId="3593" xr:uid="{00000000-0005-0000-0000-0000AF0D0000}"/>
    <cellStyle name="_20061027Holux_WorldBankCMSScope_CMS_Web_Design_Phase_Deliverables_MLP_LLP_7-12-2010_Combined_Sophia_Imp_ProjectWorkBook_02_18_2011 2" xfId="3594" xr:uid="{00000000-0005-0000-0000-0000B00D0000}"/>
    <cellStyle name="_20061027Holux_WorldBankCMSScope_CMS_Web_Design_Phase_Deliverables_MLP_LLP_7-12-2010_Combined_Sophia_Imp_ProjectWorkBook_02_18_2011 3" xfId="3595" xr:uid="{00000000-0005-0000-0000-0000B10D0000}"/>
    <cellStyle name="_20061027Holux_WorldBankCMSScope_CMS_Web_Design_Phase_Deliverables_MLP_LLP_7-12-2010_Combined_t" xfId="3596" xr:uid="{00000000-0005-0000-0000-0000B20D0000}"/>
    <cellStyle name="_20061027Holux_WorldBankCMSScope_CMS_Web_Design_Phase_Deliverables_MLP_LLP_7-12-2010_Combined_t 2" xfId="3597" xr:uid="{00000000-0005-0000-0000-0000B30D0000}"/>
    <cellStyle name="_20061027Holux_WorldBankCMSScope_CMS_Web_Design_Phase_Deliverables_MLP_LLP_7-12-2010_Combined_t 3" xfId="3598" xr:uid="{00000000-0005-0000-0000-0000B40D0000}"/>
    <cellStyle name="_20061027Holux_WorldBankCMSScope_CMS_Web_Design_Phase_Deliverables_MLP_LLP_7-14-2010_Combined" xfId="3599" xr:uid="{00000000-0005-0000-0000-0000B50D0000}"/>
    <cellStyle name="_20061027Holux_WorldBankCMSScope_CMS_Web_Design_Phase_Deliverables_MLP_LLP_7-14-2010_Combined 2" xfId="3600" xr:uid="{00000000-0005-0000-0000-0000B60D0000}"/>
    <cellStyle name="_20061027Holux_WorldBankCMSScope_CMS_Web_Design_Phase_Deliverables_MLP_LLP_7-14-2010_Combined 2 2" xfId="3601" xr:uid="{00000000-0005-0000-0000-0000B70D0000}"/>
    <cellStyle name="_20061027Holux_WorldBankCMSScope_CMS_Web_Design_Phase_Deliverables_MLP_LLP_7-14-2010_Combined 2 3" xfId="3602" xr:uid="{00000000-0005-0000-0000-0000B80D0000}"/>
    <cellStyle name="_20061027Holux_WorldBankCMSScope_CMS_Web_Design_Phase_Deliverables_MLP_LLP_7-14-2010_Combined 3" xfId="3603" xr:uid="{00000000-0005-0000-0000-0000B90D0000}"/>
    <cellStyle name="_20061027Holux_WorldBankCMSScope_CMS_Web_Design_Phase_Deliverables_MLP_LLP_7-14-2010_Combined 4" xfId="3604" xr:uid="{00000000-0005-0000-0000-0000BA0D0000}"/>
    <cellStyle name="_20061027Holux_WorldBankCMSScope_CMS_Web_Design_Phase_Deliverables_MLP_LLP_7-14-2010_Combined_Commissioning System Implementation_Project Workbook_06_10_2011" xfId="3605" xr:uid="{00000000-0005-0000-0000-0000BB0D0000}"/>
    <cellStyle name="_20061027Holux_WorldBankCMSScope_CMS_Web_Design_Phase_Deliverables_MLP_LLP_7-14-2010_Combined_Commissioning System Implementation_Project Workbook_06_10_2011 2" xfId="3606" xr:uid="{00000000-0005-0000-0000-0000BC0D0000}"/>
    <cellStyle name="_20061027Holux_WorldBankCMSScope_CMS_Web_Design_Phase_Deliverables_MLP_LLP_7-14-2010_Combined_Commissioning System Implementation_Project Workbook_06_10_2011 3" xfId="3607" xr:uid="{00000000-0005-0000-0000-0000BD0D0000}"/>
    <cellStyle name="_20061027Holux_WorldBankCMSScope_CMS_Web_Design_Phase_Deliverables_MLP_LLP_7-14-2010_Combined_FairPoint_CampReport" xfId="3608" xr:uid="{00000000-0005-0000-0000-0000BE0D0000}"/>
    <cellStyle name="_20061027Holux_WorldBankCMSScope_CMS_Web_Design_Phase_Deliverables_MLP_LLP_7-14-2010_Combined_FairPoint_CampReport 2" xfId="3609" xr:uid="{00000000-0005-0000-0000-0000BF0D0000}"/>
    <cellStyle name="_20061027Holux_WorldBankCMSScope_CMS_Web_Design_Phase_Deliverables_MLP_LLP_7-14-2010_Combined_FairPoint_CampReport 3" xfId="3610" xr:uid="{00000000-0005-0000-0000-0000C00D0000}"/>
    <cellStyle name="_20061027Holux_WorldBankCMSScope_CMS_Web_Design_Phase_Deliverables_MLP_LLP_7-14-2010_Combined_FairPoint_FP comTechOps_ProgramWorkbook" xfId="3611" xr:uid="{00000000-0005-0000-0000-0000C10D0000}"/>
    <cellStyle name="_20061027Holux_WorldBankCMSScope_CMS_Web_Design_Phase_Deliverables_MLP_LLP_7-14-2010_Combined_FairPoint_FP comTechOps_ProgramWorkbook 2" xfId="3612" xr:uid="{00000000-0005-0000-0000-0000C20D0000}"/>
    <cellStyle name="_20061027Holux_WorldBankCMSScope_CMS_Web_Design_Phase_Deliverables_MLP_LLP_7-14-2010_Combined_FairPoint_FP comTechOps_ProgramWorkbook 3" xfId="3613" xr:uid="{00000000-0005-0000-0000-0000C30D0000}"/>
    <cellStyle name="_20061027Holux_WorldBankCMSScope_CMS_Web_Design_Phase_Deliverables_MLP_LLP_7-14-2010_Combined_FairPoint_FP comTechOps_ProgramWorkbook_sachin" xfId="3614" xr:uid="{00000000-0005-0000-0000-0000C40D0000}"/>
    <cellStyle name="_20061027Holux_WorldBankCMSScope_CMS_Web_Design_Phase_Deliverables_MLP_LLP_7-14-2010_Combined_FairPoint_FP comTechOps_ProgramWorkbook_sachin 2" xfId="3615" xr:uid="{00000000-0005-0000-0000-0000C50D0000}"/>
    <cellStyle name="_20061027Holux_WorldBankCMSScope_CMS_Web_Design_Phase_Deliverables_MLP_LLP_7-14-2010_Combined_FairPoint_FP comTechOps_ProgramWorkbook_sachin 3" xfId="3616" xr:uid="{00000000-0005-0000-0000-0000C60D0000}"/>
    <cellStyle name="_20061027Holux_WorldBankCMSScope_CMS_Web_Design_Phase_Deliverables_MLP_LLP_7-14-2010_Combined_FairPoint_FP comTechOps_ProgramWorkbook_sachin_v1" xfId="3617" xr:uid="{00000000-0005-0000-0000-0000C70D0000}"/>
    <cellStyle name="_20061027Holux_WorldBankCMSScope_CMS_Web_Design_Phase_Deliverables_MLP_LLP_7-14-2010_Combined_FairPoint_FP comTechOps_ProgramWorkbook_sachin_v1 2" xfId="3618" xr:uid="{00000000-0005-0000-0000-0000C80D0000}"/>
    <cellStyle name="_20061027Holux_WorldBankCMSScope_CMS_Web_Design_Phase_Deliverables_MLP_LLP_7-14-2010_Combined_FairPoint_FP comTechOps_ProgramWorkbook_sachin_v1 3" xfId="3619" xr:uid="{00000000-0005-0000-0000-0000C90D0000}"/>
    <cellStyle name="_20061027Holux_WorldBankCMSScope_CMS_Web_Design_Phase_Deliverables_MLP_LLP_7-14-2010_Combined_FP_CAMP&amp;ITReporting_Maintenance_Dashboard" xfId="3620" xr:uid="{00000000-0005-0000-0000-0000CA0D0000}"/>
    <cellStyle name="_20061027Holux_WorldBankCMSScope_CMS_Web_Design_Phase_Deliverables_MLP_LLP_7-14-2010_Combined_FP_CAMP&amp;ITReporting_Maintenance_Dashboard 2" xfId="3621" xr:uid="{00000000-0005-0000-0000-0000CB0D0000}"/>
    <cellStyle name="_20061027Holux_WorldBankCMSScope_CMS_Web_Design_Phase_Deliverables_MLP_LLP_7-14-2010_Combined_FP_CAMP&amp;ITReporting_Maintenance_Dashboard 3" xfId="3622" xr:uid="{00000000-0005-0000-0000-0000CC0D0000}"/>
    <cellStyle name="_20061027Holux_WorldBankCMSScope_CMS_Web_Design_Phase_Deliverables_MLP_LLP_7-14-2010_Combined_FP_CAMPITReporting_Maintenance_Dashboard" xfId="3623" xr:uid="{00000000-0005-0000-0000-0000CD0D0000}"/>
    <cellStyle name="_20061027Holux_WorldBankCMSScope_CMS_Web_Design_Phase_Deliverables_MLP_LLP_7-14-2010_Combined_FP_CAMPITReporting_Maintenance_Dashboard 2" xfId="3624" xr:uid="{00000000-0005-0000-0000-0000CE0D0000}"/>
    <cellStyle name="_20061027Holux_WorldBankCMSScope_CMS_Web_Design_Phase_Deliverables_MLP_LLP_7-14-2010_Combined_FP_CAMPITReporting_Maintenance_Dashboard 3" xfId="3625" xr:uid="{00000000-0005-0000-0000-0000CF0D0000}"/>
    <cellStyle name="_20061027Holux_WorldBankCMSScope_CMS_Web_Design_Phase_Deliverables_MLP_LLP_7-14-2010_Combined_FP_Commissions_Req_Dn_ProgramWorkBook_10-Dec-2010" xfId="3626" xr:uid="{00000000-0005-0000-0000-0000D00D0000}"/>
    <cellStyle name="_20061027Holux_WorldBankCMSScope_CMS_Web_Design_Phase_Deliverables_MLP_LLP_7-14-2010_Combined_FP_Commissions_Req_Dn_ProgramWorkBook_10-Dec-2010 2" xfId="3627" xr:uid="{00000000-0005-0000-0000-0000D10D0000}"/>
    <cellStyle name="_20061027Holux_WorldBankCMSScope_CMS_Web_Design_Phase_Deliverables_MLP_LLP_7-14-2010_Combined_FP_Commissions_Req_Dn_ProgramWorkBook_10-Dec-2010 3" xfId="3628" xr:uid="{00000000-0005-0000-0000-0000D20D0000}"/>
    <cellStyle name="_20061027Holux_WorldBankCMSScope_CMS_Web_Design_Phase_Deliverables_MLP_LLP_7-14-2010_Combined_FP_DW_Impl_ProgramWorkBook_07-Jan-2011" xfId="3629" xr:uid="{00000000-0005-0000-0000-0000D30D0000}"/>
    <cellStyle name="_20061027Holux_WorldBankCMSScope_CMS_Web_Design_Phase_Deliverables_MLP_LLP_7-14-2010_Combined_FP_DW_Impl_ProgramWorkBook_07-Jan-2011 2" xfId="3630" xr:uid="{00000000-0005-0000-0000-0000D40D0000}"/>
    <cellStyle name="_20061027Holux_WorldBankCMSScope_CMS_Web_Design_Phase_Deliverables_MLP_LLP_7-14-2010_Combined_FP_DW_Impl_ProgramWorkBook_07-Jan-2011 2 2" xfId="3631" xr:uid="{00000000-0005-0000-0000-0000D50D0000}"/>
    <cellStyle name="_20061027Holux_WorldBankCMSScope_CMS_Web_Design_Phase_Deliverables_MLP_LLP_7-14-2010_Combined_FP_DW_Impl_ProgramWorkBook_07-Jan-2011 2 3" xfId="3632" xr:uid="{00000000-0005-0000-0000-0000D60D0000}"/>
    <cellStyle name="_20061027Holux_WorldBankCMSScope_CMS_Web_Design_Phase_Deliverables_MLP_LLP_7-14-2010_Combined_FP_DW_Impl_ProgramWorkBook_07-Jan-2011 3" xfId="3633" xr:uid="{00000000-0005-0000-0000-0000D70D0000}"/>
    <cellStyle name="_20061027Holux_WorldBankCMSScope_CMS_Web_Design_Phase_Deliverables_MLP_LLP_7-14-2010_Combined_FP_DW_Impl_ProgramWorkBook_07-Jan-2011 4" xfId="3634" xr:uid="{00000000-0005-0000-0000-0000D80D0000}"/>
    <cellStyle name="_20061027Holux_WorldBankCMSScope_CMS_Web_Design_Phase_Deliverables_MLP_LLP_7-14-2010_Combined_FP_DW_Impl_ProgramWorkBook_11-Feb-2011" xfId="3635" xr:uid="{00000000-0005-0000-0000-0000D90D0000}"/>
    <cellStyle name="_20061027Holux_WorldBankCMSScope_CMS_Web_Design_Phase_Deliverables_MLP_LLP_7-14-2010_Combined_FP_DW_Impl_ProgramWorkBook_11-Feb-2011 2" xfId="3636" xr:uid="{00000000-0005-0000-0000-0000DA0D0000}"/>
    <cellStyle name="_20061027Holux_WorldBankCMSScope_CMS_Web_Design_Phase_Deliverables_MLP_LLP_7-14-2010_Combined_FP_DW_Impl_ProgramWorkBook_11-Feb-2011 3" xfId="3637" xr:uid="{00000000-0005-0000-0000-0000DB0D0000}"/>
    <cellStyle name="_20061027Holux_WorldBankCMSScope_CMS_Web_Design_Phase_Deliverables_MLP_LLP_7-14-2010_Combined_FP_DW_Impl_ProgramWorkBook_18-Feb-2011 - Working" xfId="3638" xr:uid="{00000000-0005-0000-0000-0000DC0D0000}"/>
    <cellStyle name="_20061027Holux_WorldBankCMSScope_CMS_Web_Design_Phase_Deliverables_MLP_LLP_7-14-2010_Combined_FP_DW_Impl_ProgramWorkBook_18-Feb-2011 - Working 2" xfId="3639" xr:uid="{00000000-0005-0000-0000-0000DD0D0000}"/>
    <cellStyle name="_20061027Holux_WorldBankCMSScope_CMS_Web_Design_Phase_Deliverables_MLP_LLP_7-14-2010_Combined_FP_DW_Impl_ProgramWorkBook_18-Feb-2011 - Working 3" xfId="3640" xr:uid="{00000000-0005-0000-0000-0000DE0D0000}"/>
    <cellStyle name="_20061027Holux_WorldBankCMSScope_CMS_Web_Design_Phase_Deliverables_MLP_LLP_7-14-2010_Combined_FP_EnterprisePortal_ProgramWorkbook" xfId="3641" xr:uid="{00000000-0005-0000-0000-0000DF0D0000}"/>
    <cellStyle name="_20061027Holux_WorldBankCMSScope_CMS_Web_Design_Phase_Deliverables_MLP_LLP_7-14-2010_Combined_FP_EnterprisePortal_ProgramWorkbook 2" xfId="3642" xr:uid="{00000000-0005-0000-0000-0000E00D0000}"/>
    <cellStyle name="_20061027Holux_WorldBankCMSScope_CMS_Web_Design_Phase_Deliverables_MLP_LLP_7-14-2010_Combined_FP_EnterprisePortal_ProgramWorkbook 3" xfId="3643" xr:uid="{00000000-0005-0000-0000-0000E10D0000}"/>
    <cellStyle name="_20061027Holux_WorldBankCMSScope_CMS_Web_Design_Phase_Deliverables_MLP_LLP_7-14-2010_Combined_FP_SAP_MLP v2" xfId="3644" xr:uid="{00000000-0005-0000-0000-0000E20D0000}"/>
    <cellStyle name="_20061027Holux_WorldBankCMSScope_CMS_Web_Design_Phase_Deliverables_MLP_LLP_7-14-2010_Combined_FP_SAP_MLP v2 2" xfId="3645" xr:uid="{00000000-0005-0000-0000-0000E30D0000}"/>
    <cellStyle name="_20061027Holux_WorldBankCMSScope_CMS_Web_Design_Phase_Deliverables_MLP_LLP_7-14-2010_Combined_FP_SAP_MLP v2 3" xfId="3646" xr:uid="{00000000-0005-0000-0000-0000E40D0000}"/>
    <cellStyle name="_20061027Holux_WorldBankCMSScope_CMS_Web_Design_Phase_Deliverables_MLP_LLP_7-14-2010_Combined_KeyDecisions" xfId="3647" xr:uid="{00000000-0005-0000-0000-0000E50D0000}"/>
    <cellStyle name="_20061027Holux_WorldBankCMSScope_CMS_Web_Design_Phase_Deliverables_MLP_LLP_7-14-2010_Combined_KeyDecisions 2" xfId="3648" xr:uid="{00000000-0005-0000-0000-0000E60D0000}"/>
    <cellStyle name="_20061027Holux_WorldBankCMSScope_CMS_Web_Design_Phase_Deliverables_MLP_LLP_7-14-2010_Combined_KeyDecisions 3" xfId="3649" xr:uid="{00000000-0005-0000-0000-0000E70D0000}"/>
    <cellStyle name="_20061027Holux_WorldBankCMSScope_CMS_Web_Design_Phase_Deliverables_MLP_LLP_7-14-2010_Combined_Sophia_Imp_ProjectWorkBook_02_18_2011" xfId="3650" xr:uid="{00000000-0005-0000-0000-0000E80D0000}"/>
    <cellStyle name="_20061027Holux_WorldBankCMSScope_CMS_Web_Design_Phase_Deliverables_MLP_LLP_7-14-2010_Combined_Sophia_Imp_ProjectWorkBook_02_18_2011 2" xfId="3651" xr:uid="{00000000-0005-0000-0000-0000E90D0000}"/>
    <cellStyle name="_20061027Holux_WorldBankCMSScope_CMS_Web_Design_Phase_Deliverables_MLP_LLP_7-14-2010_Combined_Sophia_Imp_ProjectWorkBook_02_18_2011 3" xfId="3652" xr:uid="{00000000-0005-0000-0000-0000EA0D0000}"/>
    <cellStyle name="_20061027Holux_WorldBankCMSScope_CMS_Web_Design_Phase_Deliverables_MLP_LLP_7-14-2010_Combined_t" xfId="3653" xr:uid="{00000000-0005-0000-0000-0000EB0D0000}"/>
    <cellStyle name="_20061027Holux_WorldBankCMSScope_CMS_Web_Design_Phase_Deliverables_MLP_LLP_7-14-2010_Combined_t 2" xfId="3654" xr:uid="{00000000-0005-0000-0000-0000EC0D0000}"/>
    <cellStyle name="_20061027Holux_WorldBankCMSScope_CMS_Web_Design_Phase_Deliverables_MLP_LLP_7-14-2010_Combined_t 3" xfId="3655" xr:uid="{00000000-0005-0000-0000-0000ED0D0000}"/>
    <cellStyle name="_20061027Holux_WorldBankCMSScope_Commissioning System Implementation_Project Workbook_06_10_2011" xfId="3656" xr:uid="{00000000-0005-0000-0000-0000EE0D0000}"/>
    <cellStyle name="_20061027Holux_WorldBankCMSScope_Commissioning System Implementation_Project Workbook_06_10_2011 2" xfId="3657" xr:uid="{00000000-0005-0000-0000-0000EF0D0000}"/>
    <cellStyle name="_20061027Holux_WorldBankCMSScope_Commissioning System Implementation_Project Workbook_06_10_2011 3" xfId="3658" xr:uid="{00000000-0005-0000-0000-0000F00D0000}"/>
    <cellStyle name="_20061027Holux_WorldBankCMSScope_Detailed_Requirements_Plan" xfId="3659" xr:uid="{00000000-0005-0000-0000-0000F10D0000}"/>
    <cellStyle name="_20061027Holux_WorldBankCMSScope_Detailed_Requirements_Plan 2" xfId="3660" xr:uid="{00000000-0005-0000-0000-0000F20D0000}"/>
    <cellStyle name="_20061027Holux_WorldBankCMSScope_Detailed_Requirements_Plan 3" xfId="3661" xr:uid="{00000000-0005-0000-0000-0000F30D0000}"/>
    <cellStyle name="_20061027Holux_WorldBankCMSScope_Doneness Matrix v2" xfId="3662" xr:uid="{00000000-0005-0000-0000-0000F40D0000}"/>
    <cellStyle name="_20061027Holux_WorldBankCMSScope_Doneness Matrix v2 2" xfId="3663" xr:uid="{00000000-0005-0000-0000-0000F50D0000}"/>
    <cellStyle name="_20061027Holux_WorldBankCMSScope_Doneness Matrix v2 2 2" xfId="3664" xr:uid="{00000000-0005-0000-0000-0000F60D0000}"/>
    <cellStyle name="_20061027Holux_WorldBankCMSScope_Doneness Matrix v2 2 3" xfId="3665" xr:uid="{00000000-0005-0000-0000-0000F70D0000}"/>
    <cellStyle name="_20061027Holux_WorldBankCMSScope_Doneness Matrix v2 3" xfId="3666" xr:uid="{00000000-0005-0000-0000-0000F80D0000}"/>
    <cellStyle name="_20061027Holux_WorldBankCMSScope_Doneness Matrix v2 4" xfId="3667" xr:uid="{00000000-0005-0000-0000-0000F90D0000}"/>
    <cellStyle name="_20061027Holux_WorldBankCMSScope_Doneness Matrix v2_Commissioning System Implementation_Project Workbook_06_10_2011" xfId="3668" xr:uid="{00000000-0005-0000-0000-0000FA0D0000}"/>
    <cellStyle name="_20061027Holux_WorldBankCMSScope_Doneness Matrix v2_Commissioning System Implementation_Project Workbook_06_10_2011 2" xfId="3669" xr:uid="{00000000-0005-0000-0000-0000FB0D0000}"/>
    <cellStyle name="_20061027Holux_WorldBankCMSScope_Doneness Matrix v2_Commissioning System Implementation_Project Workbook_06_10_2011 3" xfId="3670" xr:uid="{00000000-0005-0000-0000-0000FC0D0000}"/>
    <cellStyle name="_20061027Holux_WorldBankCMSScope_Doneness Matrix v2_FairPoint_CampReport" xfId="3671" xr:uid="{00000000-0005-0000-0000-0000FD0D0000}"/>
    <cellStyle name="_20061027Holux_WorldBankCMSScope_Doneness Matrix v2_FairPoint_CampReport 2" xfId="3672" xr:uid="{00000000-0005-0000-0000-0000FE0D0000}"/>
    <cellStyle name="_20061027Holux_WorldBankCMSScope_Doneness Matrix v2_FairPoint_CampReport 3" xfId="3673" xr:uid="{00000000-0005-0000-0000-0000FF0D0000}"/>
    <cellStyle name="_20061027Holux_WorldBankCMSScope_Doneness Matrix v2_FairPoint_FP comTechOps_ProgramWorkbook" xfId="3674" xr:uid="{00000000-0005-0000-0000-0000000E0000}"/>
    <cellStyle name="_20061027Holux_WorldBankCMSScope_Doneness Matrix v2_FairPoint_FP comTechOps_ProgramWorkbook 2" xfId="3675" xr:uid="{00000000-0005-0000-0000-0000010E0000}"/>
    <cellStyle name="_20061027Holux_WorldBankCMSScope_Doneness Matrix v2_FairPoint_FP comTechOps_ProgramWorkbook 3" xfId="3676" xr:uid="{00000000-0005-0000-0000-0000020E0000}"/>
    <cellStyle name="_20061027Holux_WorldBankCMSScope_Doneness Matrix v2_FairPoint_FP comTechOps_ProgramWorkbook_sachin" xfId="3677" xr:uid="{00000000-0005-0000-0000-0000030E0000}"/>
    <cellStyle name="_20061027Holux_WorldBankCMSScope_Doneness Matrix v2_FairPoint_FP comTechOps_ProgramWorkbook_sachin 2" xfId="3678" xr:uid="{00000000-0005-0000-0000-0000040E0000}"/>
    <cellStyle name="_20061027Holux_WorldBankCMSScope_Doneness Matrix v2_FairPoint_FP comTechOps_ProgramWorkbook_sachin 3" xfId="3679" xr:uid="{00000000-0005-0000-0000-0000050E0000}"/>
    <cellStyle name="_20061027Holux_WorldBankCMSScope_Doneness Matrix v2_FairPoint_FP comTechOps_ProgramWorkbook_sachin_v1" xfId="3680" xr:uid="{00000000-0005-0000-0000-0000060E0000}"/>
    <cellStyle name="_20061027Holux_WorldBankCMSScope_Doneness Matrix v2_FairPoint_FP comTechOps_ProgramWorkbook_sachin_v1 2" xfId="3681" xr:uid="{00000000-0005-0000-0000-0000070E0000}"/>
    <cellStyle name="_20061027Holux_WorldBankCMSScope_Doneness Matrix v2_FairPoint_FP comTechOps_ProgramWorkbook_sachin_v1 3" xfId="3682" xr:uid="{00000000-0005-0000-0000-0000080E0000}"/>
    <cellStyle name="_20061027Holux_WorldBankCMSScope_Doneness Matrix v2_FP_CAMP&amp;ITReporting_Maintenance_Dashboard" xfId="3683" xr:uid="{00000000-0005-0000-0000-0000090E0000}"/>
    <cellStyle name="_20061027Holux_WorldBankCMSScope_Doneness Matrix v2_FP_CAMP&amp;ITReporting_Maintenance_Dashboard 2" xfId="3684" xr:uid="{00000000-0005-0000-0000-00000A0E0000}"/>
    <cellStyle name="_20061027Holux_WorldBankCMSScope_Doneness Matrix v2_FP_CAMP&amp;ITReporting_Maintenance_Dashboard 3" xfId="3685" xr:uid="{00000000-0005-0000-0000-00000B0E0000}"/>
    <cellStyle name="_20061027Holux_WorldBankCMSScope_Doneness Matrix v2_FP_CAMPITReporting_Maintenance_Dashboard" xfId="3686" xr:uid="{00000000-0005-0000-0000-00000C0E0000}"/>
    <cellStyle name="_20061027Holux_WorldBankCMSScope_Doneness Matrix v2_FP_CAMPITReporting_Maintenance_Dashboard 2" xfId="3687" xr:uid="{00000000-0005-0000-0000-00000D0E0000}"/>
    <cellStyle name="_20061027Holux_WorldBankCMSScope_Doneness Matrix v2_FP_CAMPITReporting_Maintenance_Dashboard 3" xfId="3688" xr:uid="{00000000-0005-0000-0000-00000E0E0000}"/>
    <cellStyle name="_20061027Holux_WorldBankCMSScope_Doneness Matrix v2_FP_Commissions_Req_Dn_ProgramWorkBook_10-Dec-2010" xfId="3689" xr:uid="{00000000-0005-0000-0000-00000F0E0000}"/>
    <cellStyle name="_20061027Holux_WorldBankCMSScope_Doneness Matrix v2_FP_Commissions_Req_Dn_ProgramWorkBook_10-Dec-2010 2" xfId="3690" xr:uid="{00000000-0005-0000-0000-0000100E0000}"/>
    <cellStyle name="_20061027Holux_WorldBankCMSScope_Doneness Matrix v2_FP_Commissions_Req_Dn_ProgramWorkBook_10-Dec-2010 3" xfId="3691" xr:uid="{00000000-0005-0000-0000-0000110E0000}"/>
    <cellStyle name="_20061027Holux_WorldBankCMSScope_Doneness Matrix v2_FP_DW_Impl_ProgramWorkBook_07-Jan-2011" xfId="3692" xr:uid="{00000000-0005-0000-0000-0000120E0000}"/>
    <cellStyle name="_20061027Holux_WorldBankCMSScope_Doneness Matrix v2_FP_DW_Impl_ProgramWorkBook_07-Jan-2011 2" xfId="3693" xr:uid="{00000000-0005-0000-0000-0000130E0000}"/>
    <cellStyle name="_20061027Holux_WorldBankCMSScope_Doneness Matrix v2_FP_DW_Impl_ProgramWorkBook_07-Jan-2011 2 2" xfId="3694" xr:uid="{00000000-0005-0000-0000-0000140E0000}"/>
    <cellStyle name="_20061027Holux_WorldBankCMSScope_Doneness Matrix v2_FP_DW_Impl_ProgramWorkBook_07-Jan-2011 2 3" xfId="3695" xr:uid="{00000000-0005-0000-0000-0000150E0000}"/>
    <cellStyle name="_20061027Holux_WorldBankCMSScope_Doneness Matrix v2_FP_DW_Impl_ProgramWorkBook_07-Jan-2011 3" xfId="3696" xr:uid="{00000000-0005-0000-0000-0000160E0000}"/>
    <cellStyle name="_20061027Holux_WorldBankCMSScope_Doneness Matrix v2_FP_DW_Impl_ProgramWorkBook_07-Jan-2011 4" xfId="3697" xr:uid="{00000000-0005-0000-0000-0000170E0000}"/>
    <cellStyle name="_20061027Holux_WorldBankCMSScope_Doneness Matrix v2_FP_DW_Impl_ProgramWorkBook_11-Feb-2011" xfId="3698" xr:uid="{00000000-0005-0000-0000-0000180E0000}"/>
    <cellStyle name="_20061027Holux_WorldBankCMSScope_Doneness Matrix v2_FP_DW_Impl_ProgramWorkBook_11-Feb-2011 2" xfId="3699" xr:uid="{00000000-0005-0000-0000-0000190E0000}"/>
    <cellStyle name="_20061027Holux_WorldBankCMSScope_Doneness Matrix v2_FP_DW_Impl_ProgramWorkBook_11-Feb-2011 3" xfId="3700" xr:uid="{00000000-0005-0000-0000-00001A0E0000}"/>
    <cellStyle name="_20061027Holux_WorldBankCMSScope_Doneness Matrix v2_FP_DW_Impl_ProgramWorkBook_18-Feb-2011 - Working" xfId="3701" xr:uid="{00000000-0005-0000-0000-00001B0E0000}"/>
    <cellStyle name="_20061027Holux_WorldBankCMSScope_Doneness Matrix v2_FP_DW_Impl_ProgramWorkBook_18-Feb-2011 - Working 2" xfId="3702" xr:uid="{00000000-0005-0000-0000-00001C0E0000}"/>
    <cellStyle name="_20061027Holux_WorldBankCMSScope_Doneness Matrix v2_FP_DW_Impl_ProgramWorkBook_18-Feb-2011 - Working 3" xfId="3703" xr:uid="{00000000-0005-0000-0000-00001D0E0000}"/>
    <cellStyle name="_20061027Holux_WorldBankCMSScope_Doneness Matrix v2_FP_EnterprisePortal_ProgramWorkbook" xfId="3704" xr:uid="{00000000-0005-0000-0000-00001E0E0000}"/>
    <cellStyle name="_20061027Holux_WorldBankCMSScope_Doneness Matrix v2_FP_EnterprisePortal_ProgramWorkbook 2" xfId="3705" xr:uid="{00000000-0005-0000-0000-00001F0E0000}"/>
    <cellStyle name="_20061027Holux_WorldBankCMSScope_Doneness Matrix v2_FP_EnterprisePortal_ProgramWorkbook 3" xfId="3706" xr:uid="{00000000-0005-0000-0000-0000200E0000}"/>
    <cellStyle name="_20061027Holux_WorldBankCMSScope_Doneness Matrix v2_FP_SAP_MLP v2" xfId="3707" xr:uid="{00000000-0005-0000-0000-0000210E0000}"/>
    <cellStyle name="_20061027Holux_WorldBankCMSScope_Doneness Matrix v2_FP_SAP_MLP v2 2" xfId="3708" xr:uid="{00000000-0005-0000-0000-0000220E0000}"/>
    <cellStyle name="_20061027Holux_WorldBankCMSScope_Doneness Matrix v2_FP_SAP_MLP v2 3" xfId="3709" xr:uid="{00000000-0005-0000-0000-0000230E0000}"/>
    <cellStyle name="_20061027Holux_WorldBankCMSScope_Doneness Matrix v2_KeyDecisions" xfId="3710" xr:uid="{00000000-0005-0000-0000-0000240E0000}"/>
    <cellStyle name="_20061027Holux_WorldBankCMSScope_Doneness Matrix v2_KeyDecisions 2" xfId="3711" xr:uid="{00000000-0005-0000-0000-0000250E0000}"/>
    <cellStyle name="_20061027Holux_WorldBankCMSScope_Doneness Matrix v2_KeyDecisions 3" xfId="3712" xr:uid="{00000000-0005-0000-0000-0000260E0000}"/>
    <cellStyle name="_20061027Holux_WorldBankCMSScope_Doneness Matrix v2_Sophia_Imp_ProjectWorkBook_02_18_2011" xfId="3713" xr:uid="{00000000-0005-0000-0000-0000270E0000}"/>
    <cellStyle name="_20061027Holux_WorldBankCMSScope_Doneness Matrix v2_Sophia_Imp_ProjectWorkBook_02_18_2011 2" xfId="3714" xr:uid="{00000000-0005-0000-0000-0000280E0000}"/>
    <cellStyle name="_20061027Holux_WorldBankCMSScope_Doneness Matrix v2_Sophia_Imp_ProjectWorkBook_02_18_2011 3" xfId="3715" xr:uid="{00000000-0005-0000-0000-0000290E0000}"/>
    <cellStyle name="_20061027Holux_WorldBankCMSScope_Doneness Matrix v2_t" xfId="3716" xr:uid="{00000000-0005-0000-0000-00002A0E0000}"/>
    <cellStyle name="_20061027Holux_WorldBankCMSScope_Doneness Matrix v2_t 2" xfId="3717" xr:uid="{00000000-0005-0000-0000-00002B0E0000}"/>
    <cellStyle name="_20061027Holux_WorldBankCMSScope_Doneness Matrix v2_t 3" xfId="3718" xr:uid="{00000000-0005-0000-0000-00002C0E0000}"/>
    <cellStyle name="_20061027Holux_WorldBankCMSScope_EnterprisePortalRequirements_PMWorkbook" xfId="3719" xr:uid="{00000000-0005-0000-0000-00002D0E0000}"/>
    <cellStyle name="_20061027Holux_WorldBankCMSScope_EnterprisePortalRequirements_PMWorkbook (2)" xfId="3720" xr:uid="{00000000-0005-0000-0000-00002E0E0000}"/>
    <cellStyle name="_20061027Holux_WorldBankCMSScope_EnterprisePortalRequirements_PMWorkbook (2) 2" xfId="3721" xr:uid="{00000000-0005-0000-0000-00002F0E0000}"/>
    <cellStyle name="_20061027Holux_WorldBankCMSScope_EnterprisePortalRequirements_PMWorkbook (2) 3" xfId="3722" xr:uid="{00000000-0005-0000-0000-0000300E0000}"/>
    <cellStyle name="_20061027Holux_WorldBankCMSScope_EnterprisePortalRequirements_PMWorkbook 10" xfId="3723" xr:uid="{00000000-0005-0000-0000-0000310E0000}"/>
    <cellStyle name="_20061027Holux_WorldBankCMSScope_EnterprisePortalRequirements_PMWorkbook 2" xfId="3724" xr:uid="{00000000-0005-0000-0000-0000320E0000}"/>
    <cellStyle name="_20061027Holux_WorldBankCMSScope_EnterprisePortalRequirements_PMWorkbook 3" xfId="3725" xr:uid="{00000000-0005-0000-0000-0000330E0000}"/>
    <cellStyle name="_20061027Holux_WorldBankCMSScope_EnterprisePortalRequirements_PMWorkbook 4" xfId="3726" xr:uid="{00000000-0005-0000-0000-0000340E0000}"/>
    <cellStyle name="_20061027Holux_WorldBankCMSScope_EnterprisePortalRequirements_PMWorkbook 5" xfId="3727" xr:uid="{00000000-0005-0000-0000-0000350E0000}"/>
    <cellStyle name="_20061027Holux_WorldBankCMSScope_EnterprisePortalRequirements_PMWorkbook 6" xfId="3728" xr:uid="{00000000-0005-0000-0000-0000360E0000}"/>
    <cellStyle name="_20061027Holux_WorldBankCMSScope_EnterprisePortalRequirements_PMWorkbook 7" xfId="3729" xr:uid="{00000000-0005-0000-0000-0000370E0000}"/>
    <cellStyle name="_20061027Holux_WorldBankCMSScope_EnterprisePortalRequirements_PMWorkbook 8" xfId="3730" xr:uid="{00000000-0005-0000-0000-0000380E0000}"/>
    <cellStyle name="_20061027Holux_WorldBankCMSScope_EnterprisePortalRequirements_PMWorkbook 9" xfId="3731" xr:uid="{00000000-0005-0000-0000-0000390E0000}"/>
    <cellStyle name="_20061027Holux_WorldBankCMSScope_FairPoint_CampReport" xfId="3732" xr:uid="{00000000-0005-0000-0000-00003A0E0000}"/>
    <cellStyle name="_20061027Holux_WorldBankCMSScope_FairPoint_CampReport 2" xfId="3733" xr:uid="{00000000-0005-0000-0000-00003B0E0000}"/>
    <cellStyle name="_20061027Holux_WorldBankCMSScope_FairPoint_CampReport 3" xfId="3734" xr:uid="{00000000-0005-0000-0000-00003C0E0000}"/>
    <cellStyle name="_20061027Holux_WorldBankCMSScope_FairPoint_FP comTechOps_ProgramWorkbook" xfId="3735" xr:uid="{00000000-0005-0000-0000-00003D0E0000}"/>
    <cellStyle name="_20061027Holux_WorldBankCMSScope_FairPoint_FP comTechOps_ProgramWorkbook 2" xfId="3736" xr:uid="{00000000-0005-0000-0000-00003E0E0000}"/>
    <cellStyle name="_20061027Holux_WorldBankCMSScope_FairPoint_FP comTechOps_ProgramWorkbook 3" xfId="3737" xr:uid="{00000000-0005-0000-0000-00003F0E0000}"/>
    <cellStyle name="_20061027Holux_WorldBankCMSScope_FairPoint_FP comTechOps_ProgramWorkbook_sachin" xfId="3738" xr:uid="{00000000-0005-0000-0000-0000400E0000}"/>
    <cellStyle name="_20061027Holux_WorldBankCMSScope_FairPoint_FP comTechOps_ProgramWorkbook_sachin 2" xfId="3739" xr:uid="{00000000-0005-0000-0000-0000410E0000}"/>
    <cellStyle name="_20061027Holux_WorldBankCMSScope_FairPoint_FP comTechOps_ProgramWorkbook_sachin 3" xfId="3740" xr:uid="{00000000-0005-0000-0000-0000420E0000}"/>
    <cellStyle name="_20061027Holux_WorldBankCMSScope_FairPoint_FP comTechOps_ProgramWorkbook_sachin_v1" xfId="3741" xr:uid="{00000000-0005-0000-0000-0000430E0000}"/>
    <cellStyle name="_20061027Holux_WorldBankCMSScope_FairPoint_FP comTechOps_ProgramWorkbook_sachin_v1 2" xfId="3742" xr:uid="{00000000-0005-0000-0000-0000440E0000}"/>
    <cellStyle name="_20061027Holux_WorldBankCMSScope_FairPoint_FP comTechOps_ProgramWorkbook_sachin_v1 3" xfId="3743" xr:uid="{00000000-0005-0000-0000-0000450E0000}"/>
    <cellStyle name="_20061027Holux_WorldBankCMSScope_FairPoint_IntialSetup_Focus" xfId="3744" xr:uid="{00000000-0005-0000-0000-0000460E0000}"/>
    <cellStyle name="_20061027Holux_WorldBankCMSScope_FairPoint_IntialSetup_Focus 2" xfId="3745" xr:uid="{00000000-0005-0000-0000-0000470E0000}"/>
    <cellStyle name="_20061027Holux_WorldBankCMSScope_FairPoint_IntialSetup_Focus 2 2" xfId="3746" xr:uid="{00000000-0005-0000-0000-0000480E0000}"/>
    <cellStyle name="_20061027Holux_WorldBankCMSScope_FairPoint_IntialSetup_Focus 2 3" xfId="3747" xr:uid="{00000000-0005-0000-0000-0000490E0000}"/>
    <cellStyle name="_20061027Holux_WorldBankCMSScope_FairPoint_IntialSetup_Focus 3" xfId="3748" xr:uid="{00000000-0005-0000-0000-00004A0E0000}"/>
    <cellStyle name="_20061027Holux_WorldBankCMSScope_FairPoint_IntialSetup_Focus 4" xfId="3749" xr:uid="{00000000-0005-0000-0000-00004B0E0000}"/>
    <cellStyle name="_20061027Holux_WorldBankCMSScope_FairPoint_IntialSetup_Focus_Commissioning System Implementation_Project Workbook_06_10_2011" xfId="3750" xr:uid="{00000000-0005-0000-0000-00004C0E0000}"/>
    <cellStyle name="_20061027Holux_WorldBankCMSScope_FairPoint_IntialSetup_Focus_Commissioning System Implementation_Project Workbook_06_10_2011 2" xfId="3751" xr:uid="{00000000-0005-0000-0000-00004D0E0000}"/>
    <cellStyle name="_20061027Holux_WorldBankCMSScope_FairPoint_IntialSetup_Focus_Commissioning System Implementation_Project Workbook_06_10_2011 3" xfId="3752" xr:uid="{00000000-0005-0000-0000-00004E0E0000}"/>
    <cellStyle name="_20061027Holux_WorldBankCMSScope_FairPoint_IntialSetup_Focus_FairPoint_CampReport" xfId="3753" xr:uid="{00000000-0005-0000-0000-00004F0E0000}"/>
    <cellStyle name="_20061027Holux_WorldBankCMSScope_FairPoint_IntialSetup_Focus_FairPoint_CampReport 2" xfId="3754" xr:uid="{00000000-0005-0000-0000-0000500E0000}"/>
    <cellStyle name="_20061027Holux_WorldBankCMSScope_FairPoint_IntialSetup_Focus_FairPoint_CampReport 3" xfId="3755" xr:uid="{00000000-0005-0000-0000-0000510E0000}"/>
    <cellStyle name="_20061027Holux_WorldBankCMSScope_FairPoint_IntialSetup_Focus_FairPoint_FP comTechOps_ProgramWorkbook" xfId="3756" xr:uid="{00000000-0005-0000-0000-0000520E0000}"/>
    <cellStyle name="_20061027Holux_WorldBankCMSScope_FairPoint_IntialSetup_Focus_FairPoint_FP comTechOps_ProgramWorkbook 2" xfId="3757" xr:uid="{00000000-0005-0000-0000-0000530E0000}"/>
    <cellStyle name="_20061027Holux_WorldBankCMSScope_FairPoint_IntialSetup_Focus_FairPoint_FP comTechOps_ProgramWorkbook 3" xfId="3758" xr:uid="{00000000-0005-0000-0000-0000540E0000}"/>
    <cellStyle name="_20061027Holux_WorldBankCMSScope_FairPoint_IntialSetup_Focus_FairPoint_FP comTechOps_ProgramWorkbook_sachin" xfId="3759" xr:uid="{00000000-0005-0000-0000-0000550E0000}"/>
    <cellStyle name="_20061027Holux_WorldBankCMSScope_FairPoint_IntialSetup_Focus_FairPoint_FP comTechOps_ProgramWorkbook_sachin 2" xfId="3760" xr:uid="{00000000-0005-0000-0000-0000560E0000}"/>
    <cellStyle name="_20061027Holux_WorldBankCMSScope_FairPoint_IntialSetup_Focus_FairPoint_FP comTechOps_ProgramWorkbook_sachin 3" xfId="3761" xr:uid="{00000000-0005-0000-0000-0000570E0000}"/>
    <cellStyle name="_20061027Holux_WorldBankCMSScope_FairPoint_IntialSetup_Focus_FairPoint_FP comTechOps_ProgramWorkbook_sachin_v1" xfId="3762" xr:uid="{00000000-0005-0000-0000-0000580E0000}"/>
    <cellStyle name="_20061027Holux_WorldBankCMSScope_FairPoint_IntialSetup_Focus_FairPoint_FP comTechOps_ProgramWorkbook_sachin_v1 2" xfId="3763" xr:uid="{00000000-0005-0000-0000-0000590E0000}"/>
    <cellStyle name="_20061027Holux_WorldBankCMSScope_FairPoint_IntialSetup_Focus_FairPoint_FP comTechOps_ProgramWorkbook_sachin_v1 3" xfId="3764" xr:uid="{00000000-0005-0000-0000-00005A0E0000}"/>
    <cellStyle name="_20061027Holux_WorldBankCMSScope_FairPoint_IntialSetup_Focus_FP_CAMP&amp;ITReporting_Maintenance_Dashboard" xfId="3765" xr:uid="{00000000-0005-0000-0000-00005B0E0000}"/>
    <cellStyle name="_20061027Holux_WorldBankCMSScope_FairPoint_IntialSetup_Focus_FP_CAMP&amp;ITReporting_Maintenance_Dashboard 2" xfId="3766" xr:uid="{00000000-0005-0000-0000-00005C0E0000}"/>
    <cellStyle name="_20061027Holux_WorldBankCMSScope_FairPoint_IntialSetup_Focus_FP_CAMP&amp;ITReporting_Maintenance_Dashboard 3" xfId="3767" xr:uid="{00000000-0005-0000-0000-00005D0E0000}"/>
    <cellStyle name="_20061027Holux_WorldBankCMSScope_FairPoint_IntialSetup_Focus_FP_CAMPITReporting_Maintenance_Dashboard" xfId="3768" xr:uid="{00000000-0005-0000-0000-00005E0E0000}"/>
    <cellStyle name="_20061027Holux_WorldBankCMSScope_FairPoint_IntialSetup_Focus_FP_CAMPITReporting_Maintenance_Dashboard 2" xfId="3769" xr:uid="{00000000-0005-0000-0000-00005F0E0000}"/>
    <cellStyle name="_20061027Holux_WorldBankCMSScope_FairPoint_IntialSetup_Focus_FP_CAMPITReporting_Maintenance_Dashboard 3" xfId="3770" xr:uid="{00000000-0005-0000-0000-0000600E0000}"/>
    <cellStyle name="_20061027Holux_WorldBankCMSScope_FairPoint_IntialSetup_Focus_FP_Commissions_Req_Dn_ProgramWorkBook_10-Dec-2010" xfId="3771" xr:uid="{00000000-0005-0000-0000-0000610E0000}"/>
    <cellStyle name="_20061027Holux_WorldBankCMSScope_FairPoint_IntialSetup_Focus_FP_Commissions_Req_Dn_ProgramWorkBook_10-Dec-2010 2" xfId="3772" xr:uid="{00000000-0005-0000-0000-0000620E0000}"/>
    <cellStyle name="_20061027Holux_WorldBankCMSScope_FairPoint_IntialSetup_Focus_FP_Commissions_Req_Dn_ProgramWorkBook_10-Dec-2010 3" xfId="3773" xr:uid="{00000000-0005-0000-0000-0000630E0000}"/>
    <cellStyle name="_20061027Holux_WorldBankCMSScope_FairPoint_IntialSetup_Focus_FP_DW_Impl_ProgramWorkBook_07-Jan-2011" xfId="3774" xr:uid="{00000000-0005-0000-0000-0000640E0000}"/>
    <cellStyle name="_20061027Holux_WorldBankCMSScope_FairPoint_IntialSetup_Focus_FP_DW_Impl_ProgramWorkBook_07-Jan-2011 2" xfId="3775" xr:uid="{00000000-0005-0000-0000-0000650E0000}"/>
    <cellStyle name="_20061027Holux_WorldBankCMSScope_FairPoint_IntialSetup_Focus_FP_DW_Impl_ProgramWorkBook_07-Jan-2011 2 2" xfId="3776" xr:uid="{00000000-0005-0000-0000-0000660E0000}"/>
    <cellStyle name="_20061027Holux_WorldBankCMSScope_FairPoint_IntialSetup_Focus_FP_DW_Impl_ProgramWorkBook_07-Jan-2011 2 3" xfId="3777" xr:uid="{00000000-0005-0000-0000-0000670E0000}"/>
    <cellStyle name="_20061027Holux_WorldBankCMSScope_FairPoint_IntialSetup_Focus_FP_DW_Impl_ProgramWorkBook_07-Jan-2011 3" xfId="3778" xr:uid="{00000000-0005-0000-0000-0000680E0000}"/>
    <cellStyle name="_20061027Holux_WorldBankCMSScope_FairPoint_IntialSetup_Focus_FP_DW_Impl_ProgramWorkBook_07-Jan-2011 4" xfId="3779" xr:uid="{00000000-0005-0000-0000-0000690E0000}"/>
    <cellStyle name="_20061027Holux_WorldBankCMSScope_FairPoint_IntialSetup_Focus_FP_DW_Impl_ProgramWorkBook_11-Feb-2011" xfId="3780" xr:uid="{00000000-0005-0000-0000-00006A0E0000}"/>
    <cellStyle name="_20061027Holux_WorldBankCMSScope_FairPoint_IntialSetup_Focus_FP_DW_Impl_ProgramWorkBook_11-Feb-2011 2" xfId="3781" xr:uid="{00000000-0005-0000-0000-00006B0E0000}"/>
    <cellStyle name="_20061027Holux_WorldBankCMSScope_FairPoint_IntialSetup_Focus_FP_DW_Impl_ProgramWorkBook_11-Feb-2011 3" xfId="3782" xr:uid="{00000000-0005-0000-0000-00006C0E0000}"/>
    <cellStyle name="_20061027Holux_WorldBankCMSScope_FairPoint_IntialSetup_Focus_FP_DW_Impl_ProgramWorkBook_18-Feb-2011 - Working" xfId="3783" xr:uid="{00000000-0005-0000-0000-00006D0E0000}"/>
    <cellStyle name="_20061027Holux_WorldBankCMSScope_FairPoint_IntialSetup_Focus_FP_DW_Impl_ProgramWorkBook_18-Feb-2011 - Working 2" xfId="3784" xr:uid="{00000000-0005-0000-0000-00006E0E0000}"/>
    <cellStyle name="_20061027Holux_WorldBankCMSScope_FairPoint_IntialSetup_Focus_FP_DW_Impl_ProgramWorkBook_18-Feb-2011 - Working 3" xfId="3785" xr:uid="{00000000-0005-0000-0000-00006F0E0000}"/>
    <cellStyle name="_20061027Holux_WorldBankCMSScope_FairPoint_IntialSetup_Focus_FP_EnterprisePortal_ProgramWorkbook" xfId="3786" xr:uid="{00000000-0005-0000-0000-0000700E0000}"/>
    <cellStyle name="_20061027Holux_WorldBankCMSScope_FairPoint_IntialSetup_Focus_FP_EnterprisePortal_ProgramWorkbook 2" xfId="3787" xr:uid="{00000000-0005-0000-0000-0000710E0000}"/>
    <cellStyle name="_20061027Holux_WorldBankCMSScope_FairPoint_IntialSetup_Focus_FP_EnterprisePortal_ProgramWorkbook 3" xfId="3788" xr:uid="{00000000-0005-0000-0000-0000720E0000}"/>
    <cellStyle name="_20061027Holux_WorldBankCMSScope_FairPoint_IntialSetup_Focus_FP_SAP_MLP v2" xfId="3789" xr:uid="{00000000-0005-0000-0000-0000730E0000}"/>
    <cellStyle name="_20061027Holux_WorldBankCMSScope_FairPoint_IntialSetup_Focus_FP_SAP_MLP v2 2" xfId="3790" xr:uid="{00000000-0005-0000-0000-0000740E0000}"/>
    <cellStyle name="_20061027Holux_WorldBankCMSScope_FairPoint_IntialSetup_Focus_FP_SAP_MLP v2 3" xfId="3791" xr:uid="{00000000-0005-0000-0000-0000750E0000}"/>
    <cellStyle name="_20061027Holux_WorldBankCMSScope_FairPoint_IntialSetup_Focus_KeyDecisions" xfId="3792" xr:uid="{00000000-0005-0000-0000-0000760E0000}"/>
    <cellStyle name="_20061027Holux_WorldBankCMSScope_FairPoint_IntialSetup_Focus_KeyDecisions 2" xfId="3793" xr:uid="{00000000-0005-0000-0000-0000770E0000}"/>
    <cellStyle name="_20061027Holux_WorldBankCMSScope_FairPoint_IntialSetup_Focus_KeyDecisions 3" xfId="3794" xr:uid="{00000000-0005-0000-0000-0000780E0000}"/>
    <cellStyle name="_20061027Holux_WorldBankCMSScope_FairPoint_IntialSetup_Focus_Sophia_Imp_ProjectWorkBook_02_18_2011" xfId="3795" xr:uid="{00000000-0005-0000-0000-0000790E0000}"/>
    <cellStyle name="_20061027Holux_WorldBankCMSScope_FairPoint_IntialSetup_Focus_Sophia_Imp_ProjectWorkBook_02_18_2011 2" xfId="3796" xr:uid="{00000000-0005-0000-0000-00007A0E0000}"/>
    <cellStyle name="_20061027Holux_WorldBankCMSScope_FairPoint_IntialSetup_Focus_Sophia_Imp_ProjectWorkBook_02_18_2011 3" xfId="3797" xr:uid="{00000000-0005-0000-0000-00007B0E0000}"/>
    <cellStyle name="_20061027Holux_WorldBankCMSScope_FairPoint_IntialSetup_Focus_t" xfId="3798" xr:uid="{00000000-0005-0000-0000-00007C0E0000}"/>
    <cellStyle name="_20061027Holux_WorldBankCMSScope_FairPoint_IntialSetup_Focus_t 2" xfId="3799" xr:uid="{00000000-0005-0000-0000-00007D0E0000}"/>
    <cellStyle name="_20061027Holux_WorldBankCMSScope_FairPoint_IntialSetup_Focus_t 3" xfId="3800" xr:uid="{00000000-0005-0000-0000-00007E0E0000}"/>
    <cellStyle name="_20061027Holux_WorldBankCMSScope_FairPoint_TechnicalImplementation_Plan" xfId="3801" xr:uid="{00000000-0005-0000-0000-00007F0E0000}"/>
    <cellStyle name="_20061027Holux_WorldBankCMSScope_FairPoint_TechnicalImplementation_Plan 2" xfId="3802" xr:uid="{00000000-0005-0000-0000-0000800E0000}"/>
    <cellStyle name="_20061027Holux_WorldBankCMSScope_FairPoint_TechnicalImplementation_Plan 2 2" xfId="3803" xr:uid="{00000000-0005-0000-0000-0000810E0000}"/>
    <cellStyle name="_20061027Holux_WorldBankCMSScope_FairPoint_TechnicalImplementation_Plan 2 3" xfId="3804" xr:uid="{00000000-0005-0000-0000-0000820E0000}"/>
    <cellStyle name="_20061027Holux_WorldBankCMSScope_FairPoint_TechnicalImplementation_Plan 3" xfId="3805" xr:uid="{00000000-0005-0000-0000-0000830E0000}"/>
    <cellStyle name="_20061027Holux_WorldBankCMSScope_FairPoint_TechnicalImplementation_Plan 4" xfId="3806" xr:uid="{00000000-0005-0000-0000-0000840E0000}"/>
    <cellStyle name="_20061027Holux_WorldBankCMSScope_FairPoint_TechnicalImplementation_Plan_Commissioning System Implementation_Project Workbook_06_10_2011" xfId="3807" xr:uid="{00000000-0005-0000-0000-0000850E0000}"/>
    <cellStyle name="_20061027Holux_WorldBankCMSScope_FairPoint_TechnicalImplementation_Plan_Commissioning System Implementation_Project Workbook_06_10_2011 2" xfId="3808" xr:uid="{00000000-0005-0000-0000-0000860E0000}"/>
    <cellStyle name="_20061027Holux_WorldBankCMSScope_FairPoint_TechnicalImplementation_Plan_Commissioning System Implementation_Project Workbook_06_10_2011 3" xfId="3809" xr:uid="{00000000-0005-0000-0000-0000870E0000}"/>
    <cellStyle name="_20061027Holux_WorldBankCMSScope_FairPoint_TechnicalImplementation_Plan_FairPoint_CampReport" xfId="3810" xr:uid="{00000000-0005-0000-0000-0000880E0000}"/>
    <cellStyle name="_20061027Holux_WorldBankCMSScope_FairPoint_TechnicalImplementation_Plan_FairPoint_CampReport 2" xfId="3811" xr:uid="{00000000-0005-0000-0000-0000890E0000}"/>
    <cellStyle name="_20061027Holux_WorldBankCMSScope_FairPoint_TechnicalImplementation_Plan_FairPoint_CampReport 3" xfId="3812" xr:uid="{00000000-0005-0000-0000-00008A0E0000}"/>
    <cellStyle name="_20061027Holux_WorldBankCMSScope_FairPoint_TechnicalImplementation_Plan_FairPoint_FP comTechOps_ProgramWorkbook" xfId="3813" xr:uid="{00000000-0005-0000-0000-00008B0E0000}"/>
    <cellStyle name="_20061027Holux_WorldBankCMSScope_FairPoint_TechnicalImplementation_Plan_FairPoint_FP comTechOps_ProgramWorkbook 2" xfId="3814" xr:uid="{00000000-0005-0000-0000-00008C0E0000}"/>
    <cellStyle name="_20061027Holux_WorldBankCMSScope_FairPoint_TechnicalImplementation_Plan_FairPoint_FP comTechOps_ProgramWorkbook 3" xfId="3815" xr:uid="{00000000-0005-0000-0000-00008D0E0000}"/>
    <cellStyle name="_20061027Holux_WorldBankCMSScope_FairPoint_TechnicalImplementation_Plan_FairPoint_FP comTechOps_ProgramWorkbook_sachin" xfId="3816" xr:uid="{00000000-0005-0000-0000-00008E0E0000}"/>
    <cellStyle name="_20061027Holux_WorldBankCMSScope_FairPoint_TechnicalImplementation_Plan_FairPoint_FP comTechOps_ProgramWorkbook_sachin 2" xfId="3817" xr:uid="{00000000-0005-0000-0000-00008F0E0000}"/>
    <cellStyle name="_20061027Holux_WorldBankCMSScope_FairPoint_TechnicalImplementation_Plan_FairPoint_FP comTechOps_ProgramWorkbook_sachin 3" xfId="3818" xr:uid="{00000000-0005-0000-0000-0000900E0000}"/>
    <cellStyle name="_20061027Holux_WorldBankCMSScope_FairPoint_TechnicalImplementation_Plan_FairPoint_FP comTechOps_ProgramWorkbook_sachin_v1" xfId="3819" xr:uid="{00000000-0005-0000-0000-0000910E0000}"/>
    <cellStyle name="_20061027Holux_WorldBankCMSScope_FairPoint_TechnicalImplementation_Plan_FairPoint_FP comTechOps_ProgramWorkbook_sachin_v1 2" xfId="3820" xr:uid="{00000000-0005-0000-0000-0000920E0000}"/>
    <cellStyle name="_20061027Holux_WorldBankCMSScope_FairPoint_TechnicalImplementation_Plan_FairPoint_FP comTechOps_ProgramWorkbook_sachin_v1 3" xfId="3821" xr:uid="{00000000-0005-0000-0000-0000930E0000}"/>
    <cellStyle name="_20061027Holux_WorldBankCMSScope_FairPoint_TechnicalImplementation_Plan_FP_CAMP&amp;ITReporting_Maintenance_Dashboard" xfId="3822" xr:uid="{00000000-0005-0000-0000-0000940E0000}"/>
    <cellStyle name="_20061027Holux_WorldBankCMSScope_FairPoint_TechnicalImplementation_Plan_FP_CAMP&amp;ITReporting_Maintenance_Dashboard 2" xfId="3823" xr:uid="{00000000-0005-0000-0000-0000950E0000}"/>
    <cellStyle name="_20061027Holux_WorldBankCMSScope_FairPoint_TechnicalImplementation_Plan_FP_CAMP&amp;ITReporting_Maintenance_Dashboard 3" xfId="3824" xr:uid="{00000000-0005-0000-0000-0000960E0000}"/>
    <cellStyle name="_20061027Holux_WorldBankCMSScope_FairPoint_TechnicalImplementation_Plan_FP_CAMPITReporting_Maintenance_Dashboard" xfId="3825" xr:uid="{00000000-0005-0000-0000-0000970E0000}"/>
    <cellStyle name="_20061027Holux_WorldBankCMSScope_FairPoint_TechnicalImplementation_Plan_FP_CAMPITReporting_Maintenance_Dashboard 2" xfId="3826" xr:uid="{00000000-0005-0000-0000-0000980E0000}"/>
    <cellStyle name="_20061027Holux_WorldBankCMSScope_FairPoint_TechnicalImplementation_Plan_FP_CAMPITReporting_Maintenance_Dashboard 3" xfId="3827" xr:uid="{00000000-0005-0000-0000-0000990E0000}"/>
    <cellStyle name="_20061027Holux_WorldBankCMSScope_FairPoint_TechnicalImplementation_Plan_FP_Commissions_Req_Dn_ProgramWorkBook_10-Dec-2010" xfId="3828" xr:uid="{00000000-0005-0000-0000-00009A0E0000}"/>
    <cellStyle name="_20061027Holux_WorldBankCMSScope_FairPoint_TechnicalImplementation_Plan_FP_Commissions_Req_Dn_ProgramWorkBook_10-Dec-2010 2" xfId="3829" xr:uid="{00000000-0005-0000-0000-00009B0E0000}"/>
    <cellStyle name="_20061027Holux_WorldBankCMSScope_FairPoint_TechnicalImplementation_Plan_FP_Commissions_Req_Dn_ProgramWorkBook_10-Dec-2010 3" xfId="3830" xr:uid="{00000000-0005-0000-0000-00009C0E0000}"/>
    <cellStyle name="_20061027Holux_WorldBankCMSScope_FairPoint_TechnicalImplementation_Plan_FP_DW_Impl_ProgramWorkBook_07-Jan-2011" xfId="3831" xr:uid="{00000000-0005-0000-0000-00009D0E0000}"/>
    <cellStyle name="_20061027Holux_WorldBankCMSScope_FairPoint_TechnicalImplementation_Plan_FP_DW_Impl_ProgramWorkBook_07-Jan-2011 2" xfId="3832" xr:uid="{00000000-0005-0000-0000-00009E0E0000}"/>
    <cellStyle name="_20061027Holux_WorldBankCMSScope_FairPoint_TechnicalImplementation_Plan_FP_DW_Impl_ProgramWorkBook_07-Jan-2011 2 2" xfId="3833" xr:uid="{00000000-0005-0000-0000-00009F0E0000}"/>
    <cellStyle name="_20061027Holux_WorldBankCMSScope_FairPoint_TechnicalImplementation_Plan_FP_DW_Impl_ProgramWorkBook_07-Jan-2011 2 3" xfId="3834" xr:uid="{00000000-0005-0000-0000-0000A00E0000}"/>
    <cellStyle name="_20061027Holux_WorldBankCMSScope_FairPoint_TechnicalImplementation_Plan_FP_DW_Impl_ProgramWorkBook_07-Jan-2011 3" xfId="3835" xr:uid="{00000000-0005-0000-0000-0000A10E0000}"/>
    <cellStyle name="_20061027Holux_WorldBankCMSScope_FairPoint_TechnicalImplementation_Plan_FP_DW_Impl_ProgramWorkBook_07-Jan-2011 4" xfId="3836" xr:uid="{00000000-0005-0000-0000-0000A20E0000}"/>
    <cellStyle name="_20061027Holux_WorldBankCMSScope_FairPoint_TechnicalImplementation_Plan_FP_DW_Impl_ProgramWorkBook_11-Feb-2011" xfId="3837" xr:uid="{00000000-0005-0000-0000-0000A30E0000}"/>
    <cellStyle name="_20061027Holux_WorldBankCMSScope_FairPoint_TechnicalImplementation_Plan_FP_DW_Impl_ProgramWorkBook_11-Feb-2011 2" xfId="3838" xr:uid="{00000000-0005-0000-0000-0000A40E0000}"/>
    <cellStyle name="_20061027Holux_WorldBankCMSScope_FairPoint_TechnicalImplementation_Plan_FP_DW_Impl_ProgramWorkBook_11-Feb-2011 3" xfId="3839" xr:uid="{00000000-0005-0000-0000-0000A50E0000}"/>
    <cellStyle name="_20061027Holux_WorldBankCMSScope_FairPoint_TechnicalImplementation_Plan_FP_DW_Impl_ProgramWorkBook_18-Feb-2011 - Working" xfId="3840" xr:uid="{00000000-0005-0000-0000-0000A60E0000}"/>
    <cellStyle name="_20061027Holux_WorldBankCMSScope_FairPoint_TechnicalImplementation_Plan_FP_DW_Impl_ProgramWorkBook_18-Feb-2011 - Working 2" xfId="3841" xr:uid="{00000000-0005-0000-0000-0000A70E0000}"/>
    <cellStyle name="_20061027Holux_WorldBankCMSScope_FairPoint_TechnicalImplementation_Plan_FP_DW_Impl_ProgramWorkBook_18-Feb-2011 - Working 3" xfId="3842" xr:uid="{00000000-0005-0000-0000-0000A80E0000}"/>
    <cellStyle name="_20061027Holux_WorldBankCMSScope_FairPoint_TechnicalImplementation_Plan_FP_EnterprisePortal_ProgramWorkbook" xfId="3843" xr:uid="{00000000-0005-0000-0000-0000A90E0000}"/>
    <cellStyle name="_20061027Holux_WorldBankCMSScope_FairPoint_TechnicalImplementation_Plan_FP_EnterprisePortal_ProgramWorkbook 2" xfId="3844" xr:uid="{00000000-0005-0000-0000-0000AA0E0000}"/>
    <cellStyle name="_20061027Holux_WorldBankCMSScope_FairPoint_TechnicalImplementation_Plan_FP_EnterprisePortal_ProgramWorkbook 3" xfId="3845" xr:uid="{00000000-0005-0000-0000-0000AB0E0000}"/>
    <cellStyle name="_20061027Holux_WorldBankCMSScope_FairPoint_TechnicalImplementation_Plan_FP_SAP_MLP v2" xfId="3846" xr:uid="{00000000-0005-0000-0000-0000AC0E0000}"/>
    <cellStyle name="_20061027Holux_WorldBankCMSScope_FairPoint_TechnicalImplementation_Plan_FP_SAP_MLP v2 2" xfId="3847" xr:uid="{00000000-0005-0000-0000-0000AD0E0000}"/>
    <cellStyle name="_20061027Holux_WorldBankCMSScope_FairPoint_TechnicalImplementation_Plan_FP_SAP_MLP v2 3" xfId="3848" xr:uid="{00000000-0005-0000-0000-0000AE0E0000}"/>
    <cellStyle name="_20061027Holux_WorldBankCMSScope_FairPoint_TechnicalImplementation_Plan_KeyDecisions" xfId="3849" xr:uid="{00000000-0005-0000-0000-0000AF0E0000}"/>
    <cellStyle name="_20061027Holux_WorldBankCMSScope_FairPoint_TechnicalImplementation_Plan_KeyDecisions 2" xfId="3850" xr:uid="{00000000-0005-0000-0000-0000B00E0000}"/>
    <cellStyle name="_20061027Holux_WorldBankCMSScope_FairPoint_TechnicalImplementation_Plan_KeyDecisions 3" xfId="3851" xr:uid="{00000000-0005-0000-0000-0000B10E0000}"/>
    <cellStyle name="_20061027Holux_WorldBankCMSScope_FairPoint_TechnicalImplementation_Plan_Sophia_Imp_ProjectWorkBook_02_18_2011" xfId="3852" xr:uid="{00000000-0005-0000-0000-0000B20E0000}"/>
    <cellStyle name="_20061027Holux_WorldBankCMSScope_FairPoint_TechnicalImplementation_Plan_Sophia_Imp_ProjectWorkBook_02_18_2011 2" xfId="3853" xr:uid="{00000000-0005-0000-0000-0000B30E0000}"/>
    <cellStyle name="_20061027Holux_WorldBankCMSScope_FairPoint_TechnicalImplementation_Plan_Sophia_Imp_ProjectWorkBook_02_18_2011 3" xfId="3854" xr:uid="{00000000-0005-0000-0000-0000B40E0000}"/>
    <cellStyle name="_20061027Holux_WorldBankCMSScope_FairPoint_TechnicalImplementation_Plan_t" xfId="3855" xr:uid="{00000000-0005-0000-0000-0000B50E0000}"/>
    <cellStyle name="_20061027Holux_WorldBankCMSScope_FairPoint_TechnicalImplementation_Plan_t 2" xfId="3856" xr:uid="{00000000-0005-0000-0000-0000B60E0000}"/>
    <cellStyle name="_20061027Holux_WorldBankCMSScope_FairPoint_TechnicalImplementation_Plan_t 3" xfId="3857" xr:uid="{00000000-0005-0000-0000-0000B70E0000}"/>
    <cellStyle name="_20061027Holux_WorldBankCMSScope_FP_CAMP&amp;ITReporting_Maintenance_Dashboard" xfId="3858" xr:uid="{00000000-0005-0000-0000-0000B80E0000}"/>
    <cellStyle name="_20061027Holux_WorldBankCMSScope_FP_CAMP&amp;ITReporting_Maintenance_Dashboard 2" xfId="3859" xr:uid="{00000000-0005-0000-0000-0000B90E0000}"/>
    <cellStyle name="_20061027Holux_WorldBankCMSScope_FP_CAMP&amp;ITReporting_Maintenance_Dashboard 3" xfId="3860" xr:uid="{00000000-0005-0000-0000-0000BA0E0000}"/>
    <cellStyle name="_20061027Holux_WorldBankCMSScope_FP_CAMPITReporting_Maintenance_Dashboard" xfId="3861" xr:uid="{00000000-0005-0000-0000-0000BB0E0000}"/>
    <cellStyle name="_20061027Holux_WorldBankCMSScope_FP_CAMPITReporting_Maintenance_Dashboard 2" xfId="3862" xr:uid="{00000000-0005-0000-0000-0000BC0E0000}"/>
    <cellStyle name="_20061027Holux_WorldBankCMSScope_FP_CAMPITReporting_Maintenance_Dashboard 3" xfId="3863" xr:uid="{00000000-0005-0000-0000-0000BD0E0000}"/>
    <cellStyle name="_20061027Holux_WorldBankCMSScope_FP_Commissions_Req_Dn_ProgramWorkBook_10-Dec-2010" xfId="3864" xr:uid="{00000000-0005-0000-0000-0000BE0E0000}"/>
    <cellStyle name="_20061027Holux_WorldBankCMSScope_FP_Commissions_Req_Dn_ProgramWorkBook_10-Dec-2010 2" xfId="3865" xr:uid="{00000000-0005-0000-0000-0000BF0E0000}"/>
    <cellStyle name="_20061027Holux_WorldBankCMSScope_FP_Commissions_Req_Dn_ProgramWorkBook_10-Dec-2010 3" xfId="3866" xr:uid="{00000000-0005-0000-0000-0000C00E0000}"/>
    <cellStyle name="_20061027Holux_WorldBankCMSScope_FP_DW_Impl_ProgramWorkBook_03-Dec-2010111" xfId="3867" xr:uid="{00000000-0005-0000-0000-0000C10E0000}"/>
    <cellStyle name="_20061027Holux_WorldBankCMSScope_FP_DW_Impl_ProgramWorkBook_03-Dec-2010111 2" xfId="3868" xr:uid="{00000000-0005-0000-0000-0000C20E0000}"/>
    <cellStyle name="_20061027Holux_WorldBankCMSScope_FP_DW_Impl_ProgramWorkBook_03-Dec-2010111 3" xfId="3869" xr:uid="{00000000-0005-0000-0000-0000C30E0000}"/>
    <cellStyle name="_20061027Holux_WorldBankCMSScope_FP_DW_Impl_ProgramWorkBook_07-Jan-2011" xfId="3870" xr:uid="{00000000-0005-0000-0000-0000C40E0000}"/>
    <cellStyle name="_20061027Holux_WorldBankCMSScope_FP_DW_Impl_ProgramWorkBook_07-Jan-2011 2" xfId="3871" xr:uid="{00000000-0005-0000-0000-0000C50E0000}"/>
    <cellStyle name="_20061027Holux_WorldBankCMSScope_FP_DW_Impl_ProgramWorkBook_07-Jan-2011 3" xfId="3872" xr:uid="{00000000-0005-0000-0000-0000C60E0000}"/>
    <cellStyle name="_20061027Holux_WorldBankCMSScope_FP_DW_Impl_ProgramWorkBook_11-Feb-2011" xfId="3873" xr:uid="{00000000-0005-0000-0000-0000C70E0000}"/>
    <cellStyle name="_20061027Holux_WorldBankCMSScope_FP_DW_Impl_ProgramWorkBook_11-Feb-2011 2" xfId="3874" xr:uid="{00000000-0005-0000-0000-0000C80E0000}"/>
    <cellStyle name="_20061027Holux_WorldBankCMSScope_FP_DW_Impl_ProgramWorkBook_11-Feb-2011 3" xfId="3875" xr:uid="{00000000-0005-0000-0000-0000C90E0000}"/>
    <cellStyle name="_20061027Holux_WorldBankCMSScope_FP_DW_Impl_ProgramWorkBook_18-Feb-2011 - Working" xfId="3876" xr:uid="{00000000-0005-0000-0000-0000CA0E0000}"/>
    <cellStyle name="_20061027Holux_WorldBankCMSScope_FP_DW_Impl_ProgramWorkBook_18-Feb-2011 - Working 2" xfId="3877" xr:uid="{00000000-0005-0000-0000-0000CB0E0000}"/>
    <cellStyle name="_20061027Holux_WorldBankCMSScope_FP_DW_Impl_ProgramWorkBook_18-Feb-2011 - Working 3" xfId="3878" xr:uid="{00000000-0005-0000-0000-0000CC0E0000}"/>
    <cellStyle name="_20061027Holux_WorldBankCMSScope_FP_EnterprisePortal_ProgramWorkbook" xfId="3879" xr:uid="{00000000-0005-0000-0000-0000CD0E0000}"/>
    <cellStyle name="_20061027Holux_WorldBankCMSScope_FP_EnterprisePortal_ProgramWorkbook 2" xfId="3880" xr:uid="{00000000-0005-0000-0000-0000CE0E0000}"/>
    <cellStyle name="_20061027Holux_WorldBankCMSScope_FP_EnterprisePortal_ProgramWorkbook 3" xfId="3881" xr:uid="{00000000-0005-0000-0000-0000CF0E0000}"/>
    <cellStyle name="_20061027Holux_WorldBankCMSScope_FP_SAP_MLP v2" xfId="3882" xr:uid="{00000000-0005-0000-0000-0000D00E0000}"/>
    <cellStyle name="_20061027Holux_WorldBankCMSScope_FP_SAP_MLP v2 2" xfId="3883" xr:uid="{00000000-0005-0000-0000-0000D10E0000}"/>
    <cellStyle name="_20061027Holux_WorldBankCMSScope_FP_SAP_MLP v2 3" xfId="3884" xr:uid="{00000000-0005-0000-0000-0000D20E0000}"/>
    <cellStyle name="_20061027Holux_WorldBankCMSScope_KeyDecisions" xfId="3885" xr:uid="{00000000-0005-0000-0000-0000D30E0000}"/>
    <cellStyle name="_20061027Holux_WorldBankCMSScope_KeyDecisions 2" xfId="3886" xr:uid="{00000000-0005-0000-0000-0000D40E0000}"/>
    <cellStyle name="_20061027Holux_WorldBankCMSScope_KeyDecisions 3" xfId="3887" xr:uid="{00000000-0005-0000-0000-0000D50E0000}"/>
    <cellStyle name="_20061027Holux_WorldBankCMSScope_LoanOriginationPMWorkbook 23Feb2010" xfId="3888" xr:uid="{00000000-0005-0000-0000-0000D60E0000}"/>
    <cellStyle name="_20061027Holux_WorldBankCMSScope_LoanOriginationPMWorkbook 23Feb2010 2" xfId="3889" xr:uid="{00000000-0005-0000-0000-0000D70E0000}"/>
    <cellStyle name="_20061027Holux_WorldBankCMSScope_LoanOriginationPMWorkbook 23Feb2010 3" xfId="3890" xr:uid="{00000000-0005-0000-0000-0000D80E0000}"/>
    <cellStyle name="_20061027Holux_WorldBankCMSScope_LoanOriginationPMWorkbook 23Feb2010_slm_llp_0520" xfId="3891" xr:uid="{00000000-0005-0000-0000-0000D90E0000}"/>
    <cellStyle name="_20061027Holux_WorldBankCMSScope_LoanOriginationPMWorkbook 23Feb2010_slm_llp_0520 2" xfId="3892" xr:uid="{00000000-0005-0000-0000-0000DA0E0000}"/>
    <cellStyle name="_20061027Holux_WorldBankCMSScope_LoanOriginationPMWorkbook 23Feb2010_slm_llp_0520 2 2" xfId="3893" xr:uid="{00000000-0005-0000-0000-0000DB0E0000}"/>
    <cellStyle name="_20061027Holux_WorldBankCMSScope_LoanOriginationPMWorkbook 23Feb2010_slm_llp_0520 2 3" xfId="3894" xr:uid="{00000000-0005-0000-0000-0000DC0E0000}"/>
    <cellStyle name="_20061027Holux_WorldBankCMSScope_LoanOriginationPMWorkbook 23Feb2010_slm_llp_0520 3" xfId="3895" xr:uid="{00000000-0005-0000-0000-0000DD0E0000}"/>
    <cellStyle name="_20061027Holux_WorldBankCMSScope_LoanOriginationPMWorkbook 23Feb2010_slm_llp_0520 4" xfId="3896" xr:uid="{00000000-0005-0000-0000-0000DE0E0000}"/>
    <cellStyle name="_20061027Holux_WorldBankCMSScope_LoanOriginationPMWorkbook 23Feb2010_slm_llp_0520_Commissioning System Implementation_Project Workbook_06_10_2011" xfId="3897" xr:uid="{00000000-0005-0000-0000-0000DF0E0000}"/>
    <cellStyle name="_20061027Holux_WorldBankCMSScope_LoanOriginationPMWorkbook 23Feb2010_slm_llp_0520_Commissioning System Implementation_Project Workbook_06_10_2011 2" xfId="3898" xr:uid="{00000000-0005-0000-0000-0000E00E0000}"/>
    <cellStyle name="_20061027Holux_WorldBankCMSScope_LoanOriginationPMWorkbook 23Feb2010_slm_llp_0520_Commissioning System Implementation_Project Workbook_06_10_2011 3" xfId="3899" xr:uid="{00000000-0005-0000-0000-0000E10E0000}"/>
    <cellStyle name="_20061027Holux_WorldBankCMSScope_LoanOriginationPMWorkbook 23Feb2010_slm_llp_0520_FairPoint_CampReport" xfId="3900" xr:uid="{00000000-0005-0000-0000-0000E20E0000}"/>
    <cellStyle name="_20061027Holux_WorldBankCMSScope_LoanOriginationPMWorkbook 23Feb2010_slm_llp_0520_FairPoint_CampReport 2" xfId="3901" xr:uid="{00000000-0005-0000-0000-0000E30E0000}"/>
    <cellStyle name="_20061027Holux_WorldBankCMSScope_LoanOriginationPMWorkbook 23Feb2010_slm_llp_0520_FairPoint_CampReport 3" xfId="3902" xr:uid="{00000000-0005-0000-0000-0000E40E0000}"/>
    <cellStyle name="_20061027Holux_WorldBankCMSScope_LoanOriginationPMWorkbook 23Feb2010_slm_llp_0520_FairPoint_FP comTechOps_ProgramWorkbook" xfId="3903" xr:uid="{00000000-0005-0000-0000-0000E50E0000}"/>
    <cellStyle name="_20061027Holux_WorldBankCMSScope_LoanOriginationPMWorkbook 23Feb2010_slm_llp_0520_FairPoint_FP comTechOps_ProgramWorkbook 2" xfId="3904" xr:uid="{00000000-0005-0000-0000-0000E60E0000}"/>
    <cellStyle name="_20061027Holux_WorldBankCMSScope_LoanOriginationPMWorkbook 23Feb2010_slm_llp_0520_FairPoint_FP comTechOps_ProgramWorkbook 3" xfId="3905" xr:uid="{00000000-0005-0000-0000-0000E70E0000}"/>
    <cellStyle name="_20061027Holux_WorldBankCMSScope_LoanOriginationPMWorkbook 23Feb2010_slm_llp_0520_FairPoint_FP comTechOps_ProgramWorkbook_sachin" xfId="3906" xr:uid="{00000000-0005-0000-0000-0000E80E0000}"/>
    <cellStyle name="_20061027Holux_WorldBankCMSScope_LoanOriginationPMWorkbook 23Feb2010_slm_llp_0520_FairPoint_FP comTechOps_ProgramWorkbook_sachin 2" xfId="3907" xr:uid="{00000000-0005-0000-0000-0000E90E0000}"/>
    <cellStyle name="_20061027Holux_WorldBankCMSScope_LoanOriginationPMWorkbook 23Feb2010_slm_llp_0520_FairPoint_FP comTechOps_ProgramWorkbook_sachin 3" xfId="3908" xr:uid="{00000000-0005-0000-0000-0000EA0E0000}"/>
    <cellStyle name="_20061027Holux_WorldBankCMSScope_LoanOriginationPMWorkbook 23Feb2010_slm_llp_0520_FairPoint_FP comTechOps_ProgramWorkbook_sachin_v1" xfId="3909" xr:uid="{00000000-0005-0000-0000-0000EB0E0000}"/>
    <cellStyle name="_20061027Holux_WorldBankCMSScope_LoanOriginationPMWorkbook 23Feb2010_slm_llp_0520_FairPoint_FP comTechOps_ProgramWorkbook_sachin_v1 2" xfId="3910" xr:uid="{00000000-0005-0000-0000-0000EC0E0000}"/>
    <cellStyle name="_20061027Holux_WorldBankCMSScope_LoanOriginationPMWorkbook 23Feb2010_slm_llp_0520_FairPoint_FP comTechOps_ProgramWorkbook_sachin_v1 3" xfId="3911" xr:uid="{00000000-0005-0000-0000-0000ED0E0000}"/>
    <cellStyle name="_20061027Holux_WorldBankCMSScope_LoanOriginationPMWorkbook 23Feb2010_slm_llp_0520_FP_CAMP&amp;ITReporting_Maintenance_Dashboard" xfId="3912" xr:uid="{00000000-0005-0000-0000-0000EE0E0000}"/>
    <cellStyle name="_20061027Holux_WorldBankCMSScope_LoanOriginationPMWorkbook 23Feb2010_slm_llp_0520_FP_CAMP&amp;ITReporting_Maintenance_Dashboard 2" xfId="3913" xr:uid="{00000000-0005-0000-0000-0000EF0E0000}"/>
    <cellStyle name="_20061027Holux_WorldBankCMSScope_LoanOriginationPMWorkbook 23Feb2010_slm_llp_0520_FP_CAMP&amp;ITReporting_Maintenance_Dashboard 3" xfId="3914" xr:uid="{00000000-0005-0000-0000-0000F00E0000}"/>
    <cellStyle name="_20061027Holux_WorldBankCMSScope_LoanOriginationPMWorkbook 23Feb2010_slm_llp_0520_FP_CAMPITReporting_Maintenance_Dashboard" xfId="3915" xr:uid="{00000000-0005-0000-0000-0000F10E0000}"/>
    <cellStyle name="_20061027Holux_WorldBankCMSScope_LoanOriginationPMWorkbook 23Feb2010_slm_llp_0520_FP_CAMPITReporting_Maintenance_Dashboard 2" xfId="3916" xr:uid="{00000000-0005-0000-0000-0000F20E0000}"/>
    <cellStyle name="_20061027Holux_WorldBankCMSScope_LoanOriginationPMWorkbook 23Feb2010_slm_llp_0520_FP_CAMPITReporting_Maintenance_Dashboard 3" xfId="3917" xr:uid="{00000000-0005-0000-0000-0000F30E0000}"/>
    <cellStyle name="_20061027Holux_WorldBankCMSScope_LoanOriginationPMWorkbook 23Feb2010_slm_llp_0520_FP_Commissions_Req_Dn_ProgramWorkBook_10-Dec-2010" xfId="3918" xr:uid="{00000000-0005-0000-0000-0000F40E0000}"/>
    <cellStyle name="_20061027Holux_WorldBankCMSScope_LoanOriginationPMWorkbook 23Feb2010_slm_llp_0520_FP_Commissions_Req_Dn_ProgramWorkBook_10-Dec-2010 2" xfId="3919" xr:uid="{00000000-0005-0000-0000-0000F50E0000}"/>
    <cellStyle name="_20061027Holux_WorldBankCMSScope_LoanOriginationPMWorkbook 23Feb2010_slm_llp_0520_FP_Commissions_Req_Dn_ProgramWorkBook_10-Dec-2010 3" xfId="3920" xr:uid="{00000000-0005-0000-0000-0000F60E0000}"/>
    <cellStyle name="_20061027Holux_WorldBankCMSScope_LoanOriginationPMWorkbook 23Feb2010_slm_llp_0520_FP_DW_Impl_ProgramWorkBook_07-Jan-2011" xfId="3921" xr:uid="{00000000-0005-0000-0000-0000F70E0000}"/>
    <cellStyle name="_20061027Holux_WorldBankCMSScope_LoanOriginationPMWorkbook 23Feb2010_slm_llp_0520_FP_DW_Impl_ProgramWorkBook_07-Jan-2011 2" xfId="3922" xr:uid="{00000000-0005-0000-0000-0000F80E0000}"/>
    <cellStyle name="_20061027Holux_WorldBankCMSScope_LoanOriginationPMWorkbook 23Feb2010_slm_llp_0520_FP_DW_Impl_ProgramWorkBook_07-Jan-2011 2 2" xfId="3923" xr:uid="{00000000-0005-0000-0000-0000F90E0000}"/>
    <cellStyle name="_20061027Holux_WorldBankCMSScope_LoanOriginationPMWorkbook 23Feb2010_slm_llp_0520_FP_DW_Impl_ProgramWorkBook_07-Jan-2011 2 3" xfId="3924" xr:uid="{00000000-0005-0000-0000-0000FA0E0000}"/>
    <cellStyle name="_20061027Holux_WorldBankCMSScope_LoanOriginationPMWorkbook 23Feb2010_slm_llp_0520_FP_DW_Impl_ProgramWorkBook_07-Jan-2011 3" xfId="3925" xr:uid="{00000000-0005-0000-0000-0000FB0E0000}"/>
    <cellStyle name="_20061027Holux_WorldBankCMSScope_LoanOriginationPMWorkbook 23Feb2010_slm_llp_0520_FP_DW_Impl_ProgramWorkBook_07-Jan-2011 4" xfId="3926" xr:uid="{00000000-0005-0000-0000-0000FC0E0000}"/>
    <cellStyle name="_20061027Holux_WorldBankCMSScope_LoanOriginationPMWorkbook 23Feb2010_slm_llp_0520_FP_DW_Impl_ProgramWorkBook_11-Feb-2011" xfId="3927" xr:uid="{00000000-0005-0000-0000-0000FD0E0000}"/>
    <cellStyle name="_20061027Holux_WorldBankCMSScope_LoanOriginationPMWorkbook 23Feb2010_slm_llp_0520_FP_DW_Impl_ProgramWorkBook_11-Feb-2011 2" xfId="3928" xr:uid="{00000000-0005-0000-0000-0000FE0E0000}"/>
    <cellStyle name="_20061027Holux_WorldBankCMSScope_LoanOriginationPMWorkbook 23Feb2010_slm_llp_0520_FP_DW_Impl_ProgramWorkBook_11-Feb-2011 3" xfId="3929" xr:uid="{00000000-0005-0000-0000-0000FF0E0000}"/>
    <cellStyle name="_20061027Holux_WorldBankCMSScope_LoanOriginationPMWorkbook 23Feb2010_slm_llp_0520_FP_DW_Impl_ProgramWorkBook_18-Feb-2011 - Working" xfId="3930" xr:uid="{00000000-0005-0000-0000-0000000F0000}"/>
    <cellStyle name="_20061027Holux_WorldBankCMSScope_LoanOriginationPMWorkbook 23Feb2010_slm_llp_0520_FP_DW_Impl_ProgramWorkBook_18-Feb-2011 - Working 2" xfId="3931" xr:uid="{00000000-0005-0000-0000-0000010F0000}"/>
    <cellStyle name="_20061027Holux_WorldBankCMSScope_LoanOriginationPMWorkbook 23Feb2010_slm_llp_0520_FP_DW_Impl_ProgramWorkBook_18-Feb-2011 - Working 3" xfId="3932" xr:uid="{00000000-0005-0000-0000-0000020F0000}"/>
    <cellStyle name="_20061027Holux_WorldBankCMSScope_LoanOriginationPMWorkbook 23Feb2010_slm_llp_0520_FP_EnterprisePortal_ProgramWorkbook" xfId="3933" xr:uid="{00000000-0005-0000-0000-0000030F0000}"/>
    <cellStyle name="_20061027Holux_WorldBankCMSScope_LoanOriginationPMWorkbook 23Feb2010_slm_llp_0520_FP_EnterprisePortal_ProgramWorkbook 2" xfId="3934" xr:uid="{00000000-0005-0000-0000-0000040F0000}"/>
    <cellStyle name="_20061027Holux_WorldBankCMSScope_LoanOriginationPMWorkbook 23Feb2010_slm_llp_0520_FP_EnterprisePortal_ProgramWorkbook 3" xfId="3935" xr:uid="{00000000-0005-0000-0000-0000050F0000}"/>
    <cellStyle name="_20061027Holux_WorldBankCMSScope_LoanOriginationPMWorkbook 23Feb2010_slm_llp_0520_FP_SAP_MLP v2" xfId="3936" xr:uid="{00000000-0005-0000-0000-0000060F0000}"/>
    <cellStyle name="_20061027Holux_WorldBankCMSScope_LoanOriginationPMWorkbook 23Feb2010_slm_llp_0520_FP_SAP_MLP v2 2" xfId="3937" xr:uid="{00000000-0005-0000-0000-0000070F0000}"/>
    <cellStyle name="_20061027Holux_WorldBankCMSScope_LoanOriginationPMWorkbook 23Feb2010_slm_llp_0520_FP_SAP_MLP v2 3" xfId="3938" xr:uid="{00000000-0005-0000-0000-0000080F0000}"/>
    <cellStyle name="_20061027Holux_WorldBankCMSScope_LoanOriginationPMWorkbook 23Feb2010_slm_llp_0520_KeyDecisions" xfId="3939" xr:uid="{00000000-0005-0000-0000-0000090F0000}"/>
    <cellStyle name="_20061027Holux_WorldBankCMSScope_LoanOriginationPMWorkbook 23Feb2010_slm_llp_0520_KeyDecisions 2" xfId="3940" xr:uid="{00000000-0005-0000-0000-00000A0F0000}"/>
    <cellStyle name="_20061027Holux_WorldBankCMSScope_LoanOriginationPMWorkbook 23Feb2010_slm_llp_0520_KeyDecisions 3" xfId="3941" xr:uid="{00000000-0005-0000-0000-00000B0F0000}"/>
    <cellStyle name="_20061027Holux_WorldBankCMSScope_LoanOriginationPMWorkbook 23Feb2010_slm_llp_0520_Sophia_Imp_ProjectWorkBook_02_18_2011" xfId="3942" xr:uid="{00000000-0005-0000-0000-00000C0F0000}"/>
    <cellStyle name="_20061027Holux_WorldBankCMSScope_LoanOriginationPMWorkbook 23Feb2010_slm_llp_0520_Sophia_Imp_ProjectWorkBook_02_18_2011 2" xfId="3943" xr:uid="{00000000-0005-0000-0000-00000D0F0000}"/>
    <cellStyle name="_20061027Holux_WorldBankCMSScope_LoanOriginationPMWorkbook 23Feb2010_slm_llp_0520_Sophia_Imp_ProjectWorkBook_02_18_2011 3" xfId="3944" xr:uid="{00000000-0005-0000-0000-00000E0F0000}"/>
    <cellStyle name="_20061027Holux_WorldBankCMSScope_LoanOriginationPMWorkbook 23Feb2010_slm_llp_0520_t" xfId="3945" xr:uid="{00000000-0005-0000-0000-00000F0F0000}"/>
    <cellStyle name="_20061027Holux_WorldBankCMSScope_LoanOriginationPMWorkbook 23Feb2010_slm_llp_0520_t 2" xfId="3946" xr:uid="{00000000-0005-0000-0000-0000100F0000}"/>
    <cellStyle name="_20061027Holux_WorldBankCMSScope_LoanOriginationPMWorkbook 23Feb2010_slm_llp_0520_t 3" xfId="3947" xr:uid="{00000000-0005-0000-0000-0000110F0000}"/>
    <cellStyle name="_20061027Holux_WorldBankCMSScope_Re-engineering SLM_PM_Workbook_01252010" xfId="3948" xr:uid="{00000000-0005-0000-0000-0000120F0000}"/>
    <cellStyle name="_20061027Holux_WorldBankCMSScope_Re-engineering SLM_PM_Workbook_01252010 2" xfId="3949" xr:uid="{00000000-0005-0000-0000-0000130F0000}"/>
    <cellStyle name="_20061027Holux_WorldBankCMSScope_Re-engineering SLM_PM_Workbook_01252010 2 2" xfId="3950" xr:uid="{00000000-0005-0000-0000-0000140F0000}"/>
    <cellStyle name="_20061027Holux_WorldBankCMSScope_Re-engineering SLM_PM_Workbook_01252010 2 3" xfId="3951" xr:uid="{00000000-0005-0000-0000-0000150F0000}"/>
    <cellStyle name="_20061027Holux_WorldBankCMSScope_Re-engineering SLM_PM_Workbook_01252010 3" xfId="3952" xr:uid="{00000000-0005-0000-0000-0000160F0000}"/>
    <cellStyle name="_20061027Holux_WorldBankCMSScope_Re-engineering SLM_PM_Workbook_01252010 4" xfId="3953" xr:uid="{00000000-0005-0000-0000-0000170F0000}"/>
    <cellStyle name="_20061027Holux_WorldBankCMSScope_Re-engineering SLM_PM_Workbook_01252010_Commissioning System Implementation_Project Workbook_06_10_2011" xfId="3954" xr:uid="{00000000-0005-0000-0000-0000180F0000}"/>
    <cellStyle name="_20061027Holux_WorldBankCMSScope_Re-engineering SLM_PM_Workbook_01252010_Commissioning System Implementation_Project Workbook_06_10_2011 2" xfId="3955" xr:uid="{00000000-0005-0000-0000-0000190F0000}"/>
    <cellStyle name="_20061027Holux_WorldBankCMSScope_Re-engineering SLM_PM_Workbook_01252010_Commissioning System Implementation_Project Workbook_06_10_2011 3" xfId="3956" xr:uid="{00000000-0005-0000-0000-00001A0F0000}"/>
    <cellStyle name="_20061027Holux_WorldBankCMSScope_Re-engineering SLM_PM_Workbook_01252010_FairPoint_CampReport" xfId="3957" xr:uid="{00000000-0005-0000-0000-00001B0F0000}"/>
    <cellStyle name="_20061027Holux_WorldBankCMSScope_Re-engineering SLM_PM_Workbook_01252010_FairPoint_CampReport 2" xfId="3958" xr:uid="{00000000-0005-0000-0000-00001C0F0000}"/>
    <cellStyle name="_20061027Holux_WorldBankCMSScope_Re-engineering SLM_PM_Workbook_01252010_FairPoint_CampReport 3" xfId="3959" xr:uid="{00000000-0005-0000-0000-00001D0F0000}"/>
    <cellStyle name="_20061027Holux_WorldBankCMSScope_Re-engineering SLM_PM_Workbook_01252010_FairPoint_FP comTechOps_ProgramWorkbook" xfId="3960" xr:uid="{00000000-0005-0000-0000-00001E0F0000}"/>
    <cellStyle name="_20061027Holux_WorldBankCMSScope_Re-engineering SLM_PM_Workbook_01252010_FairPoint_FP comTechOps_ProgramWorkbook 2" xfId="3961" xr:uid="{00000000-0005-0000-0000-00001F0F0000}"/>
    <cellStyle name="_20061027Holux_WorldBankCMSScope_Re-engineering SLM_PM_Workbook_01252010_FairPoint_FP comTechOps_ProgramWorkbook 3" xfId="3962" xr:uid="{00000000-0005-0000-0000-0000200F0000}"/>
    <cellStyle name="_20061027Holux_WorldBankCMSScope_Re-engineering SLM_PM_Workbook_01252010_FairPoint_FP comTechOps_ProgramWorkbook_sachin" xfId="3963" xr:uid="{00000000-0005-0000-0000-0000210F0000}"/>
    <cellStyle name="_20061027Holux_WorldBankCMSScope_Re-engineering SLM_PM_Workbook_01252010_FairPoint_FP comTechOps_ProgramWorkbook_sachin 2" xfId="3964" xr:uid="{00000000-0005-0000-0000-0000220F0000}"/>
    <cellStyle name="_20061027Holux_WorldBankCMSScope_Re-engineering SLM_PM_Workbook_01252010_FairPoint_FP comTechOps_ProgramWorkbook_sachin 3" xfId="3965" xr:uid="{00000000-0005-0000-0000-0000230F0000}"/>
    <cellStyle name="_20061027Holux_WorldBankCMSScope_Re-engineering SLM_PM_Workbook_01252010_FairPoint_FP comTechOps_ProgramWorkbook_sachin_v1" xfId="3966" xr:uid="{00000000-0005-0000-0000-0000240F0000}"/>
    <cellStyle name="_20061027Holux_WorldBankCMSScope_Re-engineering SLM_PM_Workbook_01252010_FairPoint_FP comTechOps_ProgramWorkbook_sachin_v1 2" xfId="3967" xr:uid="{00000000-0005-0000-0000-0000250F0000}"/>
    <cellStyle name="_20061027Holux_WorldBankCMSScope_Re-engineering SLM_PM_Workbook_01252010_FairPoint_FP comTechOps_ProgramWorkbook_sachin_v1 3" xfId="3968" xr:uid="{00000000-0005-0000-0000-0000260F0000}"/>
    <cellStyle name="_20061027Holux_WorldBankCMSScope_Re-engineering SLM_PM_Workbook_01252010_FP_CAMP&amp;ITReporting_Maintenance_Dashboard" xfId="3969" xr:uid="{00000000-0005-0000-0000-0000270F0000}"/>
    <cellStyle name="_20061027Holux_WorldBankCMSScope_Re-engineering SLM_PM_Workbook_01252010_FP_CAMP&amp;ITReporting_Maintenance_Dashboard 2" xfId="3970" xr:uid="{00000000-0005-0000-0000-0000280F0000}"/>
    <cellStyle name="_20061027Holux_WorldBankCMSScope_Re-engineering SLM_PM_Workbook_01252010_FP_CAMP&amp;ITReporting_Maintenance_Dashboard 3" xfId="3971" xr:uid="{00000000-0005-0000-0000-0000290F0000}"/>
    <cellStyle name="_20061027Holux_WorldBankCMSScope_Re-engineering SLM_PM_Workbook_01252010_FP_CAMPITReporting_Maintenance_Dashboard" xfId="3972" xr:uid="{00000000-0005-0000-0000-00002A0F0000}"/>
    <cellStyle name="_20061027Holux_WorldBankCMSScope_Re-engineering SLM_PM_Workbook_01252010_FP_CAMPITReporting_Maintenance_Dashboard 2" xfId="3973" xr:uid="{00000000-0005-0000-0000-00002B0F0000}"/>
    <cellStyle name="_20061027Holux_WorldBankCMSScope_Re-engineering SLM_PM_Workbook_01252010_FP_CAMPITReporting_Maintenance_Dashboard 3" xfId="3974" xr:uid="{00000000-0005-0000-0000-00002C0F0000}"/>
    <cellStyle name="_20061027Holux_WorldBankCMSScope_Re-engineering SLM_PM_Workbook_01252010_FP_Commissions_Req_Dn_ProgramWorkBook_10-Dec-2010" xfId="3975" xr:uid="{00000000-0005-0000-0000-00002D0F0000}"/>
    <cellStyle name="_20061027Holux_WorldBankCMSScope_Re-engineering SLM_PM_Workbook_01252010_FP_Commissions_Req_Dn_ProgramWorkBook_10-Dec-2010 2" xfId="3976" xr:uid="{00000000-0005-0000-0000-00002E0F0000}"/>
    <cellStyle name="_20061027Holux_WorldBankCMSScope_Re-engineering SLM_PM_Workbook_01252010_FP_Commissions_Req_Dn_ProgramWorkBook_10-Dec-2010 3" xfId="3977" xr:uid="{00000000-0005-0000-0000-00002F0F0000}"/>
    <cellStyle name="_20061027Holux_WorldBankCMSScope_Re-engineering SLM_PM_Workbook_01252010_FP_DW_Impl_ProgramWorkBook_07-Jan-2011" xfId="3978" xr:uid="{00000000-0005-0000-0000-0000300F0000}"/>
    <cellStyle name="_20061027Holux_WorldBankCMSScope_Re-engineering SLM_PM_Workbook_01252010_FP_DW_Impl_ProgramWorkBook_07-Jan-2011 2" xfId="3979" xr:uid="{00000000-0005-0000-0000-0000310F0000}"/>
    <cellStyle name="_20061027Holux_WorldBankCMSScope_Re-engineering SLM_PM_Workbook_01252010_FP_DW_Impl_ProgramWorkBook_07-Jan-2011 2 2" xfId="3980" xr:uid="{00000000-0005-0000-0000-0000320F0000}"/>
    <cellStyle name="_20061027Holux_WorldBankCMSScope_Re-engineering SLM_PM_Workbook_01252010_FP_DW_Impl_ProgramWorkBook_07-Jan-2011 2 3" xfId="3981" xr:uid="{00000000-0005-0000-0000-0000330F0000}"/>
    <cellStyle name="_20061027Holux_WorldBankCMSScope_Re-engineering SLM_PM_Workbook_01252010_FP_DW_Impl_ProgramWorkBook_07-Jan-2011 3" xfId="3982" xr:uid="{00000000-0005-0000-0000-0000340F0000}"/>
    <cellStyle name="_20061027Holux_WorldBankCMSScope_Re-engineering SLM_PM_Workbook_01252010_FP_DW_Impl_ProgramWorkBook_07-Jan-2011 4" xfId="3983" xr:uid="{00000000-0005-0000-0000-0000350F0000}"/>
    <cellStyle name="_20061027Holux_WorldBankCMSScope_Re-engineering SLM_PM_Workbook_01252010_FP_DW_Impl_ProgramWorkBook_11-Feb-2011" xfId="3984" xr:uid="{00000000-0005-0000-0000-0000360F0000}"/>
    <cellStyle name="_20061027Holux_WorldBankCMSScope_Re-engineering SLM_PM_Workbook_01252010_FP_DW_Impl_ProgramWorkBook_11-Feb-2011 2" xfId="3985" xr:uid="{00000000-0005-0000-0000-0000370F0000}"/>
    <cellStyle name="_20061027Holux_WorldBankCMSScope_Re-engineering SLM_PM_Workbook_01252010_FP_DW_Impl_ProgramWorkBook_11-Feb-2011 3" xfId="3986" xr:uid="{00000000-0005-0000-0000-0000380F0000}"/>
    <cellStyle name="_20061027Holux_WorldBankCMSScope_Re-engineering SLM_PM_Workbook_01252010_FP_DW_Impl_ProgramWorkBook_18-Feb-2011 - Working" xfId="3987" xr:uid="{00000000-0005-0000-0000-0000390F0000}"/>
    <cellStyle name="_20061027Holux_WorldBankCMSScope_Re-engineering SLM_PM_Workbook_01252010_FP_DW_Impl_ProgramWorkBook_18-Feb-2011 - Working 2" xfId="3988" xr:uid="{00000000-0005-0000-0000-00003A0F0000}"/>
    <cellStyle name="_20061027Holux_WorldBankCMSScope_Re-engineering SLM_PM_Workbook_01252010_FP_DW_Impl_ProgramWorkBook_18-Feb-2011 - Working 3" xfId="3989" xr:uid="{00000000-0005-0000-0000-00003B0F0000}"/>
    <cellStyle name="_20061027Holux_WorldBankCMSScope_Re-engineering SLM_PM_Workbook_01252010_FP_EnterprisePortal_ProgramWorkbook" xfId="3990" xr:uid="{00000000-0005-0000-0000-00003C0F0000}"/>
    <cellStyle name="_20061027Holux_WorldBankCMSScope_Re-engineering SLM_PM_Workbook_01252010_FP_EnterprisePortal_ProgramWorkbook 2" xfId="3991" xr:uid="{00000000-0005-0000-0000-00003D0F0000}"/>
    <cellStyle name="_20061027Holux_WorldBankCMSScope_Re-engineering SLM_PM_Workbook_01252010_FP_EnterprisePortal_ProgramWorkbook 3" xfId="3992" xr:uid="{00000000-0005-0000-0000-00003E0F0000}"/>
    <cellStyle name="_20061027Holux_WorldBankCMSScope_Re-engineering SLM_PM_Workbook_01252010_FP_SAP_MLP v2" xfId="3993" xr:uid="{00000000-0005-0000-0000-00003F0F0000}"/>
    <cellStyle name="_20061027Holux_WorldBankCMSScope_Re-engineering SLM_PM_Workbook_01252010_FP_SAP_MLP v2 2" xfId="3994" xr:uid="{00000000-0005-0000-0000-0000400F0000}"/>
    <cellStyle name="_20061027Holux_WorldBankCMSScope_Re-engineering SLM_PM_Workbook_01252010_FP_SAP_MLP v2 3" xfId="3995" xr:uid="{00000000-0005-0000-0000-0000410F0000}"/>
    <cellStyle name="_20061027Holux_WorldBankCMSScope_Re-engineering SLM_PM_Workbook_01252010_KeyDecisions" xfId="3996" xr:uid="{00000000-0005-0000-0000-0000420F0000}"/>
    <cellStyle name="_20061027Holux_WorldBankCMSScope_Re-engineering SLM_PM_Workbook_01252010_KeyDecisions 2" xfId="3997" xr:uid="{00000000-0005-0000-0000-0000430F0000}"/>
    <cellStyle name="_20061027Holux_WorldBankCMSScope_Re-engineering SLM_PM_Workbook_01252010_KeyDecisions 3" xfId="3998" xr:uid="{00000000-0005-0000-0000-0000440F0000}"/>
    <cellStyle name="_20061027Holux_WorldBankCMSScope_Re-engineering SLM_PM_Workbook_01252010_Sophia_Imp_ProjectWorkBook_02_18_2011" xfId="3999" xr:uid="{00000000-0005-0000-0000-0000450F0000}"/>
    <cellStyle name="_20061027Holux_WorldBankCMSScope_Re-engineering SLM_PM_Workbook_01252010_Sophia_Imp_ProjectWorkBook_02_18_2011 2" xfId="4000" xr:uid="{00000000-0005-0000-0000-0000460F0000}"/>
    <cellStyle name="_20061027Holux_WorldBankCMSScope_Re-engineering SLM_PM_Workbook_01252010_Sophia_Imp_ProjectWorkBook_02_18_2011 3" xfId="4001" xr:uid="{00000000-0005-0000-0000-0000470F0000}"/>
    <cellStyle name="_20061027Holux_WorldBankCMSScope_Re-engineering SLM_PM_Workbook_01252010_t" xfId="4002" xr:uid="{00000000-0005-0000-0000-0000480F0000}"/>
    <cellStyle name="_20061027Holux_WorldBankCMSScope_Re-engineering SLM_PM_Workbook_01252010_t 2" xfId="4003" xr:uid="{00000000-0005-0000-0000-0000490F0000}"/>
    <cellStyle name="_20061027Holux_WorldBankCMSScope_Re-engineering SLM_PM_Workbook_01252010_t 3" xfId="4004" xr:uid="{00000000-0005-0000-0000-00004A0F0000}"/>
    <cellStyle name="_20061027Holux_WorldBankCMSScope_Re-engineering SLM_PM_Workbook_021510" xfId="4005" xr:uid="{00000000-0005-0000-0000-00004B0F0000}"/>
    <cellStyle name="_20061027Holux_WorldBankCMSScope_Re-engineering SLM_PM_Workbook_021510 2" xfId="4006" xr:uid="{00000000-0005-0000-0000-00004C0F0000}"/>
    <cellStyle name="_20061027Holux_WorldBankCMSScope_Re-engineering SLM_PM_Workbook_021510 2 2" xfId="4007" xr:uid="{00000000-0005-0000-0000-00004D0F0000}"/>
    <cellStyle name="_20061027Holux_WorldBankCMSScope_Re-engineering SLM_PM_Workbook_021510 2 3" xfId="4008" xr:uid="{00000000-0005-0000-0000-00004E0F0000}"/>
    <cellStyle name="_20061027Holux_WorldBankCMSScope_Re-engineering SLM_PM_Workbook_021510 3" xfId="4009" xr:uid="{00000000-0005-0000-0000-00004F0F0000}"/>
    <cellStyle name="_20061027Holux_WorldBankCMSScope_Re-engineering SLM_PM_Workbook_021510 4" xfId="4010" xr:uid="{00000000-0005-0000-0000-0000500F0000}"/>
    <cellStyle name="_20061027Holux_WorldBankCMSScope_Re-engineering SLM_PM_Workbook_021510_Commissioning System Implementation_Project Workbook_06_10_2011" xfId="4011" xr:uid="{00000000-0005-0000-0000-0000510F0000}"/>
    <cellStyle name="_20061027Holux_WorldBankCMSScope_Re-engineering SLM_PM_Workbook_021510_Commissioning System Implementation_Project Workbook_06_10_2011 2" xfId="4012" xr:uid="{00000000-0005-0000-0000-0000520F0000}"/>
    <cellStyle name="_20061027Holux_WorldBankCMSScope_Re-engineering SLM_PM_Workbook_021510_Commissioning System Implementation_Project Workbook_06_10_2011 3" xfId="4013" xr:uid="{00000000-0005-0000-0000-0000530F0000}"/>
    <cellStyle name="_20061027Holux_WorldBankCMSScope_Re-engineering SLM_PM_Workbook_021510_FairPoint_CampReport" xfId="4014" xr:uid="{00000000-0005-0000-0000-0000540F0000}"/>
    <cellStyle name="_20061027Holux_WorldBankCMSScope_Re-engineering SLM_PM_Workbook_021510_FairPoint_CampReport 2" xfId="4015" xr:uid="{00000000-0005-0000-0000-0000550F0000}"/>
    <cellStyle name="_20061027Holux_WorldBankCMSScope_Re-engineering SLM_PM_Workbook_021510_FairPoint_CampReport 3" xfId="4016" xr:uid="{00000000-0005-0000-0000-0000560F0000}"/>
    <cellStyle name="_20061027Holux_WorldBankCMSScope_Re-engineering SLM_PM_Workbook_021510_FairPoint_FP comTechOps_ProgramWorkbook" xfId="4017" xr:uid="{00000000-0005-0000-0000-0000570F0000}"/>
    <cellStyle name="_20061027Holux_WorldBankCMSScope_Re-engineering SLM_PM_Workbook_021510_FairPoint_FP comTechOps_ProgramWorkbook 2" xfId="4018" xr:uid="{00000000-0005-0000-0000-0000580F0000}"/>
    <cellStyle name="_20061027Holux_WorldBankCMSScope_Re-engineering SLM_PM_Workbook_021510_FairPoint_FP comTechOps_ProgramWorkbook 3" xfId="4019" xr:uid="{00000000-0005-0000-0000-0000590F0000}"/>
    <cellStyle name="_20061027Holux_WorldBankCMSScope_Re-engineering SLM_PM_Workbook_021510_FairPoint_FP comTechOps_ProgramWorkbook_sachin" xfId="4020" xr:uid="{00000000-0005-0000-0000-00005A0F0000}"/>
    <cellStyle name="_20061027Holux_WorldBankCMSScope_Re-engineering SLM_PM_Workbook_021510_FairPoint_FP comTechOps_ProgramWorkbook_sachin 2" xfId="4021" xr:uid="{00000000-0005-0000-0000-00005B0F0000}"/>
    <cellStyle name="_20061027Holux_WorldBankCMSScope_Re-engineering SLM_PM_Workbook_021510_FairPoint_FP comTechOps_ProgramWorkbook_sachin 3" xfId="4022" xr:uid="{00000000-0005-0000-0000-00005C0F0000}"/>
    <cellStyle name="_20061027Holux_WorldBankCMSScope_Re-engineering SLM_PM_Workbook_021510_FairPoint_FP comTechOps_ProgramWorkbook_sachin_v1" xfId="4023" xr:uid="{00000000-0005-0000-0000-00005D0F0000}"/>
    <cellStyle name="_20061027Holux_WorldBankCMSScope_Re-engineering SLM_PM_Workbook_021510_FairPoint_FP comTechOps_ProgramWorkbook_sachin_v1 2" xfId="4024" xr:uid="{00000000-0005-0000-0000-00005E0F0000}"/>
    <cellStyle name="_20061027Holux_WorldBankCMSScope_Re-engineering SLM_PM_Workbook_021510_FairPoint_FP comTechOps_ProgramWorkbook_sachin_v1 3" xfId="4025" xr:uid="{00000000-0005-0000-0000-00005F0F0000}"/>
    <cellStyle name="_20061027Holux_WorldBankCMSScope_Re-engineering SLM_PM_Workbook_021510_FP_CAMP&amp;ITReporting_Maintenance_Dashboard" xfId="4026" xr:uid="{00000000-0005-0000-0000-0000600F0000}"/>
    <cellStyle name="_20061027Holux_WorldBankCMSScope_Re-engineering SLM_PM_Workbook_021510_FP_CAMP&amp;ITReporting_Maintenance_Dashboard 2" xfId="4027" xr:uid="{00000000-0005-0000-0000-0000610F0000}"/>
    <cellStyle name="_20061027Holux_WorldBankCMSScope_Re-engineering SLM_PM_Workbook_021510_FP_CAMP&amp;ITReporting_Maintenance_Dashboard 3" xfId="4028" xr:uid="{00000000-0005-0000-0000-0000620F0000}"/>
    <cellStyle name="_20061027Holux_WorldBankCMSScope_Re-engineering SLM_PM_Workbook_021510_FP_CAMPITReporting_Maintenance_Dashboard" xfId="4029" xr:uid="{00000000-0005-0000-0000-0000630F0000}"/>
    <cellStyle name="_20061027Holux_WorldBankCMSScope_Re-engineering SLM_PM_Workbook_021510_FP_CAMPITReporting_Maintenance_Dashboard 2" xfId="4030" xr:uid="{00000000-0005-0000-0000-0000640F0000}"/>
    <cellStyle name="_20061027Holux_WorldBankCMSScope_Re-engineering SLM_PM_Workbook_021510_FP_CAMPITReporting_Maintenance_Dashboard 3" xfId="4031" xr:uid="{00000000-0005-0000-0000-0000650F0000}"/>
    <cellStyle name="_20061027Holux_WorldBankCMSScope_Re-engineering SLM_PM_Workbook_021510_FP_Commissions_Req_Dn_ProgramWorkBook_10-Dec-2010" xfId="4032" xr:uid="{00000000-0005-0000-0000-0000660F0000}"/>
    <cellStyle name="_20061027Holux_WorldBankCMSScope_Re-engineering SLM_PM_Workbook_021510_FP_Commissions_Req_Dn_ProgramWorkBook_10-Dec-2010 2" xfId="4033" xr:uid="{00000000-0005-0000-0000-0000670F0000}"/>
    <cellStyle name="_20061027Holux_WorldBankCMSScope_Re-engineering SLM_PM_Workbook_021510_FP_Commissions_Req_Dn_ProgramWorkBook_10-Dec-2010 3" xfId="4034" xr:uid="{00000000-0005-0000-0000-0000680F0000}"/>
    <cellStyle name="_20061027Holux_WorldBankCMSScope_Re-engineering SLM_PM_Workbook_021510_FP_DW_Impl_ProgramWorkBook_07-Jan-2011" xfId="4035" xr:uid="{00000000-0005-0000-0000-0000690F0000}"/>
    <cellStyle name="_20061027Holux_WorldBankCMSScope_Re-engineering SLM_PM_Workbook_021510_FP_DW_Impl_ProgramWorkBook_07-Jan-2011 2" xfId="4036" xr:uid="{00000000-0005-0000-0000-00006A0F0000}"/>
    <cellStyle name="_20061027Holux_WorldBankCMSScope_Re-engineering SLM_PM_Workbook_021510_FP_DW_Impl_ProgramWorkBook_07-Jan-2011 2 2" xfId="4037" xr:uid="{00000000-0005-0000-0000-00006B0F0000}"/>
    <cellStyle name="_20061027Holux_WorldBankCMSScope_Re-engineering SLM_PM_Workbook_021510_FP_DW_Impl_ProgramWorkBook_07-Jan-2011 2 3" xfId="4038" xr:uid="{00000000-0005-0000-0000-00006C0F0000}"/>
    <cellStyle name="_20061027Holux_WorldBankCMSScope_Re-engineering SLM_PM_Workbook_021510_FP_DW_Impl_ProgramWorkBook_07-Jan-2011 3" xfId="4039" xr:uid="{00000000-0005-0000-0000-00006D0F0000}"/>
    <cellStyle name="_20061027Holux_WorldBankCMSScope_Re-engineering SLM_PM_Workbook_021510_FP_DW_Impl_ProgramWorkBook_07-Jan-2011 4" xfId="4040" xr:uid="{00000000-0005-0000-0000-00006E0F0000}"/>
    <cellStyle name="_20061027Holux_WorldBankCMSScope_Re-engineering SLM_PM_Workbook_021510_FP_DW_Impl_ProgramWorkBook_11-Feb-2011" xfId="4041" xr:uid="{00000000-0005-0000-0000-00006F0F0000}"/>
    <cellStyle name="_20061027Holux_WorldBankCMSScope_Re-engineering SLM_PM_Workbook_021510_FP_DW_Impl_ProgramWorkBook_11-Feb-2011 2" xfId="4042" xr:uid="{00000000-0005-0000-0000-0000700F0000}"/>
    <cellStyle name="_20061027Holux_WorldBankCMSScope_Re-engineering SLM_PM_Workbook_021510_FP_DW_Impl_ProgramWorkBook_11-Feb-2011 3" xfId="4043" xr:uid="{00000000-0005-0000-0000-0000710F0000}"/>
    <cellStyle name="_20061027Holux_WorldBankCMSScope_Re-engineering SLM_PM_Workbook_021510_FP_DW_Impl_ProgramWorkBook_18-Feb-2011 - Working" xfId="4044" xr:uid="{00000000-0005-0000-0000-0000720F0000}"/>
    <cellStyle name="_20061027Holux_WorldBankCMSScope_Re-engineering SLM_PM_Workbook_021510_FP_DW_Impl_ProgramWorkBook_18-Feb-2011 - Working 2" xfId="4045" xr:uid="{00000000-0005-0000-0000-0000730F0000}"/>
    <cellStyle name="_20061027Holux_WorldBankCMSScope_Re-engineering SLM_PM_Workbook_021510_FP_DW_Impl_ProgramWorkBook_18-Feb-2011 - Working 3" xfId="4046" xr:uid="{00000000-0005-0000-0000-0000740F0000}"/>
    <cellStyle name="_20061027Holux_WorldBankCMSScope_Re-engineering SLM_PM_Workbook_021510_FP_EnterprisePortal_ProgramWorkbook" xfId="4047" xr:uid="{00000000-0005-0000-0000-0000750F0000}"/>
    <cellStyle name="_20061027Holux_WorldBankCMSScope_Re-engineering SLM_PM_Workbook_021510_FP_EnterprisePortal_ProgramWorkbook 2" xfId="4048" xr:uid="{00000000-0005-0000-0000-0000760F0000}"/>
    <cellStyle name="_20061027Holux_WorldBankCMSScope_Re-engineering SLM_PM_Workbook_021510_FP_EnterprisePortal_ProgramWorkbook 3" xfId="4049" xr:uid="{00000000-0005-0000-0000-0000770F0000}"/>
    <cellStyle name="_20061027Holux_WorldBankCMSScope_Re-engineering SLM_PM_Workbook_021510_FP_SAP_MLP v2" xfId="4050" xr:uid="{00000000-0005-0000-0000-0000780F0000}"/>
    <cellStyle name="_20061027Holux_WorldBankCMSScope_Re-engineering SLM_PM_Workbook_021510_FP_SAP_MLP v2 2" xfId="4051" xr:uid="{00000000-0005-0000-0000-0000790F0000}"/>
    <cellStyle name="_20061027Holux_WorldBankCMSScope_Re-engineering SLM_PM_Workbook_021510_FP_SAP_MLP v2 3" xfId="4052" xr:uid="{00000000-0005-0000-0000-00007A0F0000}"/>
    <cellStyle name="_20061027Holux_WorldBankCMSScope_Re-engineering SLM_PM_Workbook_021510_KeyDecisions" xfId="4053" xr:uid="{00000000-0005-0000-0000-00007B0F0000}"/>
    <cellStyle name="_20061027Holux_WorldBankCMSScope_Re-engineering SLM_PM_Workbook_021510_KeyDecisions 2" xfId="4054" xr:uid="{00000000-0005-0000-0000-00007C0F0000}"/>
    <cellStyle name="_20061027Holux_WorldBankCMSScope_Re-engineering SLM_PM_Workbook_021510_KeyDecisions 3" xfId="4055" xr:uid="{00000000-0005-0000-0000-00007D0F0000}"/>
    <cellStyle name="_20061027Holux_WorldBankCMSScope_Re-engineering SLM_PM_Workbook_021510_Sophia_Imp_ProjectWorkBook_02_18_2011" xfId="4056" xr:uid="{00000000-0005-0000-0000-00007E0F0000}"/>
    <cellStyle name="_20061027Holux_WorldBankCMSScope_Re-engineering SLM_PM_Workbook_021510_Sophia_Imp_ProjectWorkBook_02_18_2011 2" xfId="4057" xr:uid="{00000000-0005-0000-0000-00007F0F0000}"/>
    <cellStyle name="_20061027Holux_WorldBankCMSScope_Re-engineering SLM_PM_Workbook_021510_Sophia_Imp_ProjectWorkBook_02_18_2011 3" xfId="4058" xr:uid="{00000000-0005-0000-0000-0000800F0000}"/>
    <cellStyle name="_20061027Holux_WorldBankCMSScope_Re-engineering SLM_PM_Workbook_021510_t" xfId="4059" xr:uid="{00000000-0005-0000-0000-0000810F0000}"/>
    <cellStyle name="_20061027Holux_WorldBankCMSScope_Re-engineering SLM_PM_Workbook_021510_t 2" xfId="4060" xr:uid="{00000000-0005-0000-0000-0000820F0000}"/>
    <cellStyle name="_20061027Holux_WorldBankCMSScope_Re-engineering SLM_PM_Workbook_021510_t 3" xfId="4061" xr:uid="{00000000-0005-0000-0000-0000830F0000}"/>
    <cellStyle name="_20061027Holux_WorldBankCMSScope_Re-engineering SLM_PM_Workbook_030810" xfId="4062" xr:uid="{00000000-0005-0000-0000-0000840F0000}"/>
    <cellStyle name="_20061027Holux_WorldBankCMSScope_Re-engineering SLM_PM_Workbook_030810 2" xfId="4063" xr:uid="{00000000-0005-0000-0000-0000850F0000}"/>
    <cellStyle name="_20061027Holux_WorldBankCMSScope_Re-engineering SLM_PM_Workbook_030810 2 2" xfId="4064" xr:uid="{00000000-0005-0000-0000-0000860F0000}"/>
    <cellStyle name="_20061027Holux_WorldBankCMSScope_Re-engineering SLM_PM_Workbook_030810 2 3" xfId="4065" xr:uid="{00000000-0005-0000-0000-0000870F0000}"/>
    <cellStyle name="_20061027Holux_WorldBankCMSScope_Re-engineering SLM_PM_Workbook_030810 3" xfId="4066" xr:uid="{00000000-0005-0000-0000-0000880F0000}"/>
    <cellStyle name="_20061027Holux_WorldBankCMSScope_Re-engineering SLM_PM_Workbook_030810 4" xfId="4067" xr:uid="{00000000-0005-0000-0000-0000890F0000}"/>
    <cellStyle name="_20061027Holux_WorldBankCMSScope_Re-engineering SLM_PM_Workbook_030810_Commissioning System Implementation_Project Workbook_06_10_2011" xfId="4068" xr:uid="{00000000-0005-0000-0000-00008A0F0000}"/>
    <cellStyle name="_20061027Holux_WorldBankCMSScope_Re-engineering SLM_PM_Workbook_030810_Commissioning System Implementation_Project Workbook_06_10_2011 2" xfId="4069" xr:uid="{00000000-0005-0000-0000-00008B0F0000}"/>
    <cellStyle name="_20061027Holux_WorldBankCMSScope_Re-engineering SLM_PM_Workbook_030810_Commissioning System Implementation_Project Workbook_06_10_2011 3" xfId="4070" xr:uid="{00000000-0005-0000-0000-00008C0F0000}"/>
    <cellStyle name="_20061027Holux_WorldBankCMSScope_Re-engineering SLM_PM_Workbook_030810_FairPoint_CampReport" xfId="4071" xr:uid="{00000000-0005-0000-0000-00008D0F0000}"/>
    <cellStyle name="_20061027Holux_WorldBankCMSScope_Re-engineering SLM_PM_Workbook_030810_FairPoint_CampReport 2" xfId="4072" xr:uid="{00000000-0005-0000-0000-00008E0F0000}"/>
    <cellStyle name="_20061027Holux_WorldBankCMSScope_Re-engineering SLM_PM_Workbook_030810_FairPoint_CampReport 3" xfId="4073" xr:uid="{00000000-0005-0000-0000-00008F0F0000}"/>
    <cellStyle name="_20061027Holux_WorldBankCMSScope_Re-engineering SLM_PM_Workbook_030810_FairPoint_FP comTechOps_ProgramWorkbook" xfId="4074" xr:uid="{00000000-0005-0000-0000-0000900F0000}"/>
    <cellStyle name="_20061027Holux_WorldBankCMSScope_Re-engineering SLM_PM_Workbook_030810_FairPoint_FP comTechOps_ProgramWorkbook 2" xfId="4075" xr:uid="{00000000-0005-0000-0000-0000910F0000}"/>
    <cellStyle name="_20061027Holux_WorldBankCMSScope_Re-engineering SLM_PM_Workbook_030810_FairPoint_FP comTechOps_ProgramWorkbook 3" xfId="4076" xr:uid="{00000000-0005-0000-0000-0000920F0000}"/>
    <cellStyle name="_20061027Holux_WorldBankCMSScope_Re-engineering SLM_PM_Workbook_030810_FairPoint_FP comTechOps_ProgramWorkbook_sachin" xfId="4077" xr:uid="{00000000-0005-0000-0000-0000930F0000}"/>
    <cellStyle name="_20061027Holux_WorldBankCMSScope_Re-engineering SLM_PM_Workbook_030810_FairPoint_FP comTechOps_ProgramWorkbook_sachin 2" xfId="4078" xr:uid="{00000000-0005-0000-0000-0000940F0000}"/>
    <cellStyle name="_20061027Holux_WorldBankCMSScope_Re-engineering SLM_PM_Workbook_030810_FairPoint_FP comTechOps_ProgramWorkbook_sachin 3" xfId="4079" xr:uid="{00000000-0005-0000-0000-0000950F0000}"/>
    <cellStyle name="_20061027Holux_WorldBankCMSScope_Re-engineering SLM_PM_Workbook_030810_FairPoint_FP comTechOps_ProgramWorkbook_sachin_v1" xfId="4080" xr:uid="{00000000-0005-0000-0000-0000960F0000}"/>
    <cellStyle name="_20061027Holux_WorldBankCMSScope_Re-engineering SLM_PM_Workbook_030810_FairPoint_FP comTechOps_ProgramWorkbook_sachin_v1 2" xfId="4081" xr:uid="{00000000-0005-0000-0000-0000970F0000}"/>
    <cellStyle name="_20061027Holux_WorldBankCMSScope_Re-engineering SLM_PM_Workbook_030810_FairPoint_FP comTechOps_ProgramWorkbook_sachin_v1 3" xfId="4082" xr:uid="{00000000-0005-0000-0000-0000980F0000}"/>
    <cellStyle name="_20061027Holux_WorldBankCMSScope_Re-engineering SLM_PM_Workbook_030810_FP_CAMP&amp;ITReporting_Maintenance_Dashboard" xfId="4083" xr:uid="{00000000-0005-0000-0000-0000990F0000}"/>
    <cellStyle name="_20061027Holux_WorldBankCMSScope_Re-engineering SLM_PM_Workbook_030810_FP_CAMP&amp;ITReporting_Maintenance_Dashboard 2" xfId="4084" xr:uid="{00000000-0005-0000-0000-00009A0F0000}"/>
    <cellStyle name="_20061027Holux_WorldBankCMSScope_Re-engineering SLM_PM_Workbook_030810_FP_CAMP&amp;ITReporting_Maintenance_Dashboard 3" xfId="4085" xr:uid="{00000000-0005-0000-0000-00009B0F0000}"/>
    <cellStyle name="_20061027Holux_WorldBankCMSScope_Re-engineering SLM_PM_Workbook_030810_FP_CAMPITReporting_Maintenance_Dashboard" xfId="4086" xr:uid="{00000000-0005-0000-0000-00009C0F0000}"/>
    <cellStyle name="_20061027Holux_WorldBankCMSScope_Re-engineering SLM_PM_Workbook_030810_FP_CAMPITReporting_Maintenance_Dashboard 2" xfId="4087" xr:uid="{00000000-0005-0000-0000-00009D0F0000}"/>
    <cellStyle name="_20061027Holux_WorldBankCMSScope_Re-engineering SLM_PM_Workbook_030810_FP_CAMPITReporting_Maintenance_Dashboard 3" xfId="4088" xr:uid="{00000000-0005-0000-0000-00009E0F0000}"/>
    <cellStyle name="_20061027Holux_WorldBankCMSScope_Re-engineering SLM_PM_Workbook_030810_FP_Commissions_Req_Dn_ProgramWorkBook_10-Dec-2010" xfId="4089" xr:uid="{00000000-0005-0000-0000-00009F0F0000}"/>
    <cellStyle name="_20061027Holux_WorldBankCMSScope_Re-engineering SLM_PM_Workbook_030810_FP_Commissions_Req_Dn_ProgramWorkBook_10-Dec-2010 2" xfId="4090" xr:uid="{00000000-0005-0000-0000-0000A00F0000}"/>
    <cellStyle name="_20061027Holux_WorldBankCMSScope_Re-engineering SLM_PM_Workbook_030810_FP_Commissions_Req_Dn_ProgramWorkBook_10-Dec-2010 3" xfId="4091" xr:uid="{00000000-0005-0000-0000-0000A10F0000}"/>
    <cellStyle name="_20061027Holux_WorldBankCMSScope_Re-engineering SLM_PM_Workbook_030810_FP_DW_Impl_ProgramWorkBook_07-Jan-2011" xfId="4092" xr:uid="{00000000-0005-0000-0000-0000A20F0000}"/>
    <cellStyle name="_20061027Holux_WorldBankCMSScope_Re-engineering SLM_PM_Workbook_030810_FP_DW_Impl_ProgramWorkBook_07-Jan-2011 2" xfId="4093" xr:uid="{00000000-0005-0000-0000-0000A30F0000}"/>
    <cellStyle name="_20061027Holux_WorldBankCMSScope_Re-engineering SLM_PM_Workbook_030810_FP_DW_Impl_ProgramWorkBook_07-Jan-2011 2 2" xfId="4094" xr:uid="{00000000-0005-0000-0000-0000A40F0000}"/>
    <cellStyle name="_20061027Holux_WorldBankCMSScope_Re-engineering SLM_PM_Workbook_030810_FP_DW_Impl_ProgramWorkBook_07-Jan-2011 2 3" xfId="4095" xr:uid="{00000000-0005-0000-0000-0000A50F0000}"/>
    <cellStyle name="_20061027Holux_WorldBankCMSScope_Re-engineering SLM_PM_Workbook_030810_FP_DW_Impl_ProgramWorkBook_07-Jan-2011 3" xfId="4096" xr:uid="{00000000-0005-0000-0000-0000A60F0000}"/>
    <cellStyle name="_20061027Holux_WorldBankCMSScope_Re-engineering SLM_PM_Workbook_030810_FP_DW_Impl_ProgramWorkBook_07-Jan-2011 4" xfId="4097" xr:uid="{00000000-0005-0000-0000-0000A70F0000}"/>
    <cellStyle name="_20061027Holux_WorldBankCMSScope_Re-engineering SLM_PM_Workbook_030810_FP_DW_Impl_ProgramWorkBook_11-Feb-2011" xfId="4098" xr:uid="{00000000-0005-0000-0000-0000A80F0000}"/>
    <cellStyle name="_20061027Holux_WorldBankCMSScope_Re-engineering SLM_PM_Workbook_030810_FP_DW_Impl_ProgramWorkBook_11-Feb-2011 2" xfId="4099" xr:uid="{00000000-0005-0000-0000-0000A90F0000}"/>
    <cellStyle name="_20061027Holux_WorldBankCMSScope_Re-engineering SLM_PM_Workbook_030810_FP_DW_Impl_ProgramWorkBook_11-Feb-2011 3" xfId="4100" xr:uid="{00000000-0005-0000-0000-0000AA0F0000}"/>
    <cellStyle name="_20061027Holux_WorldBankCMSScope_Re-engineering SLM_PM_Workbook_030810_FP_DW_Impl_ProgramWorkBook_18-Feb-2011 - Working" xfId="4101" xr:uid="{00000000-0005-0000-0000-0000AB0F0000}"/>
    <cellStyle name="_20061027Holux_WorldBankCMSScope_Re-engineering SLM_PM_Workbook_030810_FP_DW_Impl_ProgramWorkBook_18-Feb-2011 - Working 2" xfId="4102" xr:uid="{00000000-0005-0000-0000-0000AC0F0000}"/>
    <cellStyle name="_20061027Holux_WorldBankCMSScope_Re-engineering SLM_PM_Workbook_030810_FP_DW_Impl_ProgramWorkBook_18-Feb-2011 - Working 3" xfId="4103" xr:uid="{00000000-0005-0000-0000-0000AD0F0000}"/>
    <cellStyle name="_20061027Holux_WorldBankCMSScope_Re-engineering SLM_PM_Workbook_030810_FP_EnterprisePortal_ProgramWorkbook" xfId="4104" xr:uid="{00000000-0005-0000-0000-0000AE0F0000}"/>
    <cellStyle name="_20061027Holux_WorldBankCMSScope_Re-engineering SLM_PM_Workbook_030810_FP_EnterprisePortal_ProgramWorkbook 2" xfId="4105" xr:uid="{00000000-0005-0000-0000-0000AF0F0000}"/>
    <cellStyle name="_20061027Holux_WorldBankCMSScope_Re-engineering SLM_PM_Workbook_030810_FP_EnterprisePortal_ProgramWorkbook 3" xfId="4106" xr:uid="{00000000-0005-0000-0000-0000B00F0000}"/>
    <cellStyle name="_20061027Holux_WorldBankCMSScope_Re-engineering SLM_PM_Workbook_030810_FP_SAP_MLP v2" xfId="4107" xr:uid="{00000000-0005-0000-0000-0000B10F0000}"/>
    <cellStyle name="_20061027Holux_WorldBankCMSScope_Re-engineering SLM_PM_Workbook_030810_FP_SAP_MLP v2 2" xfId="4108" xr:uid="{00000000-0005-0000-0000-0000B20F0000}"/>
    <cellStyle name="_20061027Holux_WorldBankCMSScope_Re-engineering SLM_PM_Workbook_030810_FP_SAP_MLP v2 3" xfId="4109" xr:uid="{00000000-0005-0000-0000-0000B30F0000}"/>
    <cellStyle name="_20061027Holux_WorldBankCMSScope_Re-engineering SLM_PM_Workbook_030810_KeyDecisions" xfId="4110" xr:uid="{00000000-0005-0000-0000-0000B40F0000}"/>
    <cellStyle name="_20061027Holux_WorldBankCMSScope_Re-engineering SLM_PM_Workbook_030810_KeyDecisions 2" xfId="4111" xr:uid="{00000000-0005-0000-0000-0000B50F0000}"/>
    <cellStyle name="_20061027Holux_WorldBankCMSScope_Re-engineering SLM_PM_Workbook_030810_KeyDecisions 3" xfId="4112" xr:uid="{00000000-0005-0000-0000-0000B60F0000}"/>
    <cellStyle name="_20061027Holux_WorldBankCMSScope_Re-engineering SLM_PM_Workbook_030810_Sophia_Imp_ProjectWorkBook_02_18_2011" xfId="4113" xr:uid="{00000000-0005-0000-0000-0000B70F0000}"/>
    <cellStyle name="_20061027Holux_WorldBankCMSScope_Re-engineering SLM_PM_Workbook_030810_Sophia_Imp_ProjectWorkBook_02_18_2011 2" xfId="4114" xr:uid="{00000000-0005-0000-0000-0000B80F0000}"/>
    <cellStyle name="_20061027Holux_WorldBankCMSScope_Re-engineering SLM_PM_Workbook_030810_Sophia_Imp_ProjectWorkBook_02_18_2011 3" xfId="4115" xr:uid="{00000000-0005-0000-0000-0000B90F0000}"/>
    <cellStyle name="_20061027Holux_WorldBankCMSScope_Re-engineering SLM_PM_Workbook_030810_t" xfId="4116" xr:uid="{00000000-0005-0000-0000-0000BA0F0000}"/>
    <cellStyle name="_20061027Holux_WorldBankCMSScope_Re-engineering SLM_PM_Workbook_030810_t 2" xfId="4117" xr:uid="{00000000-0005-0000-0000-0000BB0F0000}"/>
    <cellStyle name="_20061027Holux_WorldBankCMSScope_Re-engineering SLM_PM_Workbook_030810_t 3" xfId="4118" xr:uid="{00000000-0005-0000-0000-0000BC0F0000}"/>
    <cellStyle name="_20061027Holux_WorldBankCMSScope_Scope and Deliverable Summary" xfId="4119" xr:uid="{00000000-0005-0000-0000-0000BD0F0000}"/>
    <cellStyle name="_20061027Holux_WorldBankCMSScope_Scope and Deliverable Summary 2" xfId="4120" xr:uid="{00000000-0005-0000-0000-0000BE0F0000}"/>
    <cellStyle name="_20061027Holux_WorldBankCMSScope_Scope and Deliverable Summary 2 2" xfId="4121" xr:uid="{00000000-0005-0000-0000-0000BF0F0000}"/>
    <cellStyle name="_20061027Holux_WorldBankCMSScope_Scope and Deliverable Summary 2 3" xfId="4122" xr:uid="{00000000-0005-0000-0000-0000C00F0000}"/>
    <cellStyle name="_20061027Holux_WorldBankCMSScope_Scope and Deliverable Summary 3" xfId="4123" xr:uid="{00000000-0005-0000-0000-0000C10F0000}"/>
    <cellStyle name="_20061027Holux_WorldBankCMSScope_Scope and Deliverable Summary 4" xfId="4124" xr:uid="{00000000-0005-0000-0000-0000C20F0000}"/>
    <cellStyle name="_20061027Holux_WorldBankCMSScope_Scope and Deliverable Summary_Commissioning System Implementation_Project Workbook_06_10_2011" xfId="4125" xr:uid="{00000000-0005-0000-0000-0000C30F0000}"/>
    <cellStyle name="_20061027Holux_WorldBankCMSScope_Scope and Deliverable Summary_Commissioning System Implementation_Project Workbook_06_10_2011 2" xfId="4126" xr:uid="{00000000-0005-0000-0000-0000C40F0000}"/>
    <cellStyle name="_20061027Holux_WorldBankCMSScope_Scope and Deliverable Summary_Commissioning System Implementation_Project Workbook_06_10_2011 3" xfId="4127" xr:uid="{00000000-0005-0000-0000-0000C50F0000}"/>
    <cellStyle name="_20061027Holux_WorldBankCMSScope_Scope and Deliverable Summary_FairPoint_CampReport" xfId="4128" xr:uid="{00000000-0005-0000-0000-0000C60F0000}"/>
    <cellStyle name="_20061027Holux_WorldBankCMSScope_Scope and Deliverable Summary_FairPoint_CampReport 2" xfId="4129" xr:uid="{00000000-0005-0000-0000-0000C70F0000}"/>
    <cellStyle name="_20061027Holux_WorldBankCMSScope_Scope and Deliverable Summary_FairPoint_CampReport 3" xfId="4130" xr:uid="{00000000-0005-0000-0000-0000C80F0000}"/>
    <cellStyle name="_20061027Holux_WorldBankCMSScope_Scope and Deliverable Summary_FairPoint_FP comTechOps_ProgramWorkbook" xfId="4131" xr:uid="{00000000-0005-0000-0000-0000C90F0000}"/>
    <cellStyle name="_20061027Holux_WorldBankCMSScope_Scope and Deliverable Summary_FairPoint_FP comTechOps_ProgramWorkbook 2" xfId="4132" xr:uid="{00000000-0005-0000-0000-0000CA0F0000}"/>
    <cellStyle name="_20061027Holux_WorldBankCMSScope_Scope and Deliverable Summary_FairPoint_FP comTechOps_ProgramWorkbook 3" xfId="4133" xr:uid="{00000000-0005-0000-0000-0000CB0F0000}"/>
    <cellStyle name="_20061027Holux_WorldBankCMSScope_Scope and Deliverable Summary_FairPoint_FP comTechOps_ProgramWorkbook_sachin" xfId="4134" xr:uid="{00000000-0005-0000-0000-0000CC0F0000}"/>
    <cellStyle name="_20061027Holux_WorldBankCMSScope_Scope and Deliverable Summary_FairPoint_FP comTechOps_ProgramWorkbook_sachin 2" xfId="4135" xr:uid="{00000000-0005-0000-0000-0000CD0F0000}"/>
    <cellStyle name="_20061027Holux_WorldBankCMSScope_Scope and Deliverable Summary_FairPoint_FP comTechOps_ProgramWorkbook_sachin 3" xfId="4136" xr:uid="{00000000-0005-0000-0000-0000CE0F0000}"/>
    <cellStyle name="_20061027Holux_WorldBankCMSScope_Scope and Deliverable Summary_FairPoint_FP comTechOps_ProgramWorkbook_sachin_v1" xfId="4137" xr:uid="{00000000-0005-0000-0000-0000CF0F0000}"/>
    <cellStyle name="_20061027Holux_WorldBankCMSScope_Scope and Deliverable Summary_FairPoint_FP comTechOps_ProgramWorkbook_sachin_v1 2" xfId="4138" xr:uid="{00000000-0005-0000-0000-0000D00F0000}"/>
    <cellStyle name="_20061027Holux_WorldBankCMSScope_Scope and Deliverable Summary_FairPoint_FP comTechOps_ProgramWorkbook_sachin_v1 3" xfId="4139" xr:uid="{00000000-0005-0000-0000-0000D10F0000}"/>
    <cellStyle name="_20061027Holux_WorldBankCMSScope_Scope and Deliverable Summary_FP_CAMP&amp;ITReporting_Maintenance_Dashboard" xfId="4140" xr:uid="{00000000-0005-0000-0000-0000D20F0000}"/>
    <cellStyle name="_20061027Holux_WorldBankCMSScope_Scope and Deliverable Summary_FP_CAMP&amp;ITReporting_Maintenance_Dashboard 2" xfId="4141" xr:uid="{00000000-0005-0000-0000-0000D30F0000}"/>
    <cellStyle name="_20061027Holux_WorldBankCMSScope_Scope and Deliverable Summary_FP_CAMP&amp;ITReporting_Maintenance_Dashboard 3" xfId="4142" xr:uid="{00000000-0005-0000-0000-0000D40F0000}"/>
    <cellStyle name="_20061027Holux_WorldBankCMSScope_Scope and Deliverable Summary_FP_CAMPITReporting_Maintenance_Dashboard" xfId="4143" xr:uid="{00000000-0005-0000-0000-0000D50F0000}"/>
    <cellStyle name="_20061027Holux_WorldBankCMSScope_Scope and Deliverable Summary_FP_CAMPITReporting_Maintenance_Dashboard 2" xfId="4144" xr:uid="{00000000-0005-0000-0000-0000D60F0000}"/>
    <cellStyle name="_20061027Holux_WorldBankCMSScope_Scope and Deliverable Summary_FP_CAMPITReporting_Maintenance_Dashboard 3" xfId="4145" xr:uid="{00000000-0005-0000-0000-0000D70F0000}"/>
    <cellStyle name="_20061027Holux_WorldBankCMSScope_Scope and Deliverable Summary_FP_Commissions_Req_Dn_ProgramWorkBook_10-Dec-2010" xfId="4146" xr:uid="{00000000-0005-0000-0000-0000D80F0000}"/>
    <cellStyle name="_20061027Holux_WorldBankCMSScope_Scope and Deliverable Summary_FP_Commissions_Req_Dn_ProgramWorkBook_10-Dec-2010 2" xfId="4147" xr:uid="{00000000-0005-0000-0000-0000D90F0000}"/>
    <cellStyle name="_20061027Holux_WorldBankCMSScope_Scope and Deliverable Summary_FP_Commissions_Req_Dn_ProgramWorkBook_10-Dec-2010 3" xfId="4148" xr:uid="{00000000-0005-0000-0000-0000DA0F0000}"/>
    <cellStyle name="_20061027Holux_WorldBankCMSScope_Scope and Deliverable Summary_FP_DW_Impl_ProgramWorkBook_07-Jan-2011" xfId="4149" xr:uid="{00000000-0005-0000-0000-0000DB0F0000}"/>
    <cellStyle name="_20061027Holux_WorldBankCMSScope_Scope and Deliverable Summary_FP_DW_Impl_ProgramWorkBook_07-Jan-2011 2" xfId="4150" xr:uid="{00000000-0005-0000-0000-0000DC0F0000}"/>
    <cellStyle name="_20061027Holux_WorldBankCMSScope_Scope and Deliverable Summary_FP_DW_Impl_ProgramWorkBook_07-Jan-2011 2 2" xfId="4151" xr:uid="{00000000-0005-0000-0000-0000DD0F0000}"/>
    <cellStyle name="_20061027Holux_WorldBankCMSScope_Scope and Deliverable Summary_FP_DW_Impl_ProgramWorkBook_07-Jan-2011 2 3" xfId="4152" xr:uid="{00000000-0005-0000-0000-0000DE0F0000}"/>
    <cellStyle name="_20061027Holux_WorldBankCMSScope_Scope and Deliverable Summary_FP_DW_Impl_ProgramWorkBook_07-Jan-2011 3" xfId="4153" xr:uid="{00000000-0005-0000-0000-0000DF0F0000}"/>
    <cellStyle name="_20061027Holux_WorldBankCMSScope_Scope and Deliverable Summary_FP_DW_Impl_ProgramWorkBook_07-Jan-2011 4" xfId="4154" xr:uid="{00000000-0005-0000-0000-0000E00F0000}"/>
    <cellStyle name="_20061027Holux_WorldBankCMSScope_Scope and Deliverable Summary_FP_DW_Impl_ProgramWorkBook_11-Feb-2011" xfId="4155" xr:uid="{00000000-0005-0000-0000-0000E10F0000}"/>
    <cellStyle name="_20061027Holux_WorldBankCMSScope_Scope and Deliverable Summary_FP_DW_Impl_ProgramWorkBook_11-Feb-2011 2" xfId="4156" xr:uid="{00000000-0005-0000-0000-0000E20F0000}"/>
    <cellStyle name="_20061027Holux_WorldBankCMSScope_Scope and Deliverable Summary_FP_DW_Impl_ProgramWorkBook_11-Feb-2011 3" xfId="4157" xr:uid="{00000000-0005-0000-0000-0000E30F0000}"/>
    <cellStyle name="_20061027Holux_WorldBankCMSScope_Scope and Deliverable Summary_FP_DW_Impl_ProgramWorkBook_18-Feb-2011 - Working" xfId="4158" xr:uid="{00000000-0005-0000-0000-0000E40F0000}"/>
    <cellStyle name="_20061027Holux_WorldBankCMSScope_Scope and Deliverable Summary_FP_DW_Impl_ProgramWorkBook_18-Feb-2011 - Working 2" xfId="4159" xr:uid="{00000000-0005-0000-0000-0000E50F0000}"/>
    <cellStyle name="_20061027Holux_WorldBankCMSScope_Scope and Deliverable Summary_FP_DW_Impl_ProgramWorkBook_18-Feb-2011 - Working 3" xfId="4160" xr:uid="{00000000-0005-0000-0000-0000E60F0000}"/>
    <cellStyle name="_20061027Holux_WorldBankCMSScope_Scope and Deliverable Summary_FP_EnterprisePortal_ProgramWorkbook" xfId="4161" xr:uid="{00000000-0005-0000-0000-0000E70F0000}"/>
    <cellStyle name="_20061027Holux_WorldBankCMSScope_Scope and Deliverable Summary_FP_EnterprisePortal_ProgramWorkbook 2" xfId="4162" xr:uid="{00000000-0005-0000-0000-0000E80F0000}"/>
    <cellStyle name="_20061027Holux_WorldBankCMSScope_Scope and Deliverable Summary_FP_EnterprisePortal_ProgramWorkbook 3" xfId="4163" xr:uid="{00000000-0005-0000-0000-0000E90F0000}"/>
    <cellStyle name="_20061027Holux_WorldBankCMSScope_Scope and Deliverable Summary_FP_SAP_MLP v2" xfId="4164" xr:uid="{00000000-0005-0000-0000-0000EA0F0000}"/>
    <cellStyle name="_20061027Holux_WorldBankCMSScope_Scope and Deliverable Summary_FP_SAP_MLP v2 2" xfId="4165" xr:uid="{00000000-0005-0000-0000-0000EB0F0000}"/>
    <cellStyle name="_20061027Holux_WorldBankCMSScope_Scope and Deliverable Summary_FP_SAP_MLP v2 3" xfId="4166" xr:uid="{00000000-0005-0000-0000-0000EC0F0000}"/>
    <cellStyle name="_20061027Holux_WorldBankCMSScope_Scope and Deliverable Summary_KeyDecisions" xfId="4167" xr:uid="{00000000-0005-0000-0000-0000ED0F0000}"/>
    <cellStyle name="_20061027Holux_WorldBankCMSScope_Scope and Deliverable Summary_KeyDecisions 2" xfId="4168" xr:uid="{00000000-0005-0000-0000-0000EE0F0000}"/>
    <cellStyle name="_20061027Holux_WorldBankCMSScope_Scope and Deliverable Summary_KeyDecisions 3" xfId="4169" xr:uid="{00000000-0005-0000-0000-0000EF0F0000}"/>
    <cellStyle name="_20061027Holux_WorldBankCMSScope_Scope and Deliverable Summary_Sophia_Imp_ProjectWorkBook_02_18_2011" xfId="4170" xr:uid="{00000000-0005-0000-0000-0000F00F0000}"/>
    <cellStyle name="_20061027Holux_WorldBankCMSScope_Scope and Deliverable Summary_Sophia_Imp_ProjectWorkBook_02_18_2011 2" xfId="4171" xr:uid="{00000000-0005-0000-0000-0000F10F0000}"/>
    <cellStyle name="_20061027Holux_WorldBankCMSScope_Scope and Deliverable Summary_Sophia_Imp_ProjectWorkBook_02_18_2011 3" xfId="4172" xr:uid="{00000000-0005-0000-0000-0000F20F0000}"/>
    <cellStyle name="_20061027Holux_WorldBankCMSScope_Scope and Deliverable Summary_t" xfId="4173" xr:uid="{00000000-0005-0000-0000-0000F30F0000}"/>
    <cellStyle name="_20061027Holux_WorldBankCMSScope_Scope and Deliverable Summary_t 2" xfId="4174" xr:uid="{00000000-0005-0000-0000-0000F40F0000}"/>
    <cellStyle name="_20061027Holux_WorldBankCMSScope_Scope and Deliverable Summary_t 3" xfId="4175" xr:uid="{00000000-0005-0000-0000-0000F50F0000}"/>
    <cellStyle name="_20061027Holux_WorldBankCMSScope_Scope and Deliverables Summary_0320" xfId="4176" xr:uid="{00000000-0005-0000-0000-0000F60F0000}"/>
    <cellStyle name="_20061027Holux_WorldBankCMSScope_Scope and Deliverables Summary_0320 2" xfId="4177" xr:uid="{00000000-0005-0000-0000-0000F70F0000}"/>
    <cellStyle name="_20061027Holux_WorldBankCMSScope_Scope and Deliverables Summary_0320 2 2" xfId="4178" xr:uid="{00000000-0005-0000-0000-0000F80F0000}"/>
    <cellStyle name="_20061027Holux_WorldBankCMSScope_Scope and Deliverables Summary_0320 2 3" xfId="4179" xr:uid="{00000000-0005-0000-0000-0000F90F0000}"/>
    <cellStyle name="_20061027Holux_WorldBankCMSScope_Scope and Deliverables Summary_0320 3" xfId="4180" xr:uid="{00000000-0005-0000-0000-0000FA0F0000}"/>
    <cellStyle name="_20061027Holux_WorldBankCMSScope_Scope and Deliverables Summary_0320 4" xfId="4181" xr:uid="{00000000-0005-0000-0000-0000FB0F0000}"/>
    <cellStyle name="_20061027Holux_WorldBankCMSScope_Scope and Deliverables Summary_0320_Commissioning System Implementation_Project Workbook_06_10_2011" xfId="4182" xr:uid="{00000000-0005-0000-0000-0000FC0F0000}"/>
    <cellStyle name="_20061027Holux_WorldBankCMSScope_Scope and Deliverables Summary_0320_Commissioning System Implementation_Project Workbook_06_10_2011 2" xfId="4183" xr:uid="{00000000-0005-0000-0000-0000FD0F0000}"/>
    <cellStyle name="_20061027Holux_WorldBankCMSScope_Scope and Deliverables Summary_0320_Commissioning System Implementation_Project Workbook_06_10_2011 3" xfId="4184" xr:uid="{00000000-0005-0000-0000-0000FE0F0000}"/>
    <cellStyle name="_20061027Holux_WorldBankCMSScope_Scope and Deliverables Summary_0320_FairPoint_CampReport" xfId="4185" xr:uid="{00000000-0005-0000-0000-0000FF0F0000}"/>
    <cellStyle name="_20061027Holux_WorldBankCMSScope_Scope and Deliverables Summary_0320_FairPoint_CampReport 2" xfId="4186" xr:uid="{00000000-0005-0000-0000-000000100000}"/>
    <cellStyle name="_20061027Holux_WorldBankCMSScope_Scope and Deliverables Summary_0320_FairPoint_CampReport 3" xfId="4187" xr:uid="{00000000-0005-0000-0000-000001100000}"/>
    <cellStyle name="_20061027Holux_WorldBankCMSScope_Scope and Deliverables Summary_0320_FairPoint_FP comTechOps_ProgramWorkbook" xfId="4188" xr:uid="{00000000-0005-0000-0000-000002100000}"/>
    <cellStyle name="_20061027Holux_WorldBankCMSScope_Scope and Deliverables Summary_0320_FairPoint_FP comTechOps_ProgramWorkbook 2" xfId="4189" xr:uid="{00000000-0005-0000-0000-000003100000}"/>
    <cellStyle name="_20061027Holux_WorldBankCMSScope_Scope and Deliverables Summary_0320_FairPoint_FP comTechOps_ProgramWorkbook 3" xfId="4190" xr:uid="{00000000-0005-0000-0000-000004100000}"/>
    <cellStyle name="_20061027Holux_WorldBankCMSScope_Scope and Deliverables Summary_0320_FairPoint_FP comTechOps_ProgramWorkbook_sachin" xfId="4191" xr:uid="{00000000-0005-0000-0000-000005100000}"/>
    <cellStyle name="_20061027Holux_WorldBankCMSScope_Scope and Deliverables Summary_0320_FairPoint_FP comTechOps_ProgramWorkbook_sachin 2" xfId="4192" xr:uid="{00000000-0005-0000-0000-000006100000}"/>
    <cellStyle name="_20061027Holux_WorldBankCMSScope_Scope and Deliverables Summary_0320_FairPoint_FP comTechOps_ProgramWorkbook_sachin 3" xfId="4193" xr:uid="{00000000-0005-0000-0000-000007100000}"/>
    <cellStyle name="_20061027Holux_WorldBankCMSScope_Scope and Deliverables Summary_0320_FairPoint_FP comTechOps_ProgramWorkbook_sachin_v1" xfId="4194" xr:uid="{00000000-0005-0000-0000-000008100000}"/>
    <cellStyle name="_20061027Holux_WorldBankCMSScope_Scope and Deliverables Summary_0320_FairPoint_FP comTechOps_ProgramWorkbook_sachin_v1 2" xfId="4195" xr:uid="{00000000-0005-0000-0000-000009100000}"/>
    <cellStyle name="_20061027Holux_WorldBankCMSScope_Scope and Deliverables Summary_0320_FairPoint_FP comTechOps_ProgramWorkbook_sachin_v1 3" xfId="4196" xr:uid="{00000000-0005-0000-0000-00000A100000}"/>
    <cellStyle name="_20061027Holux_WorldBankCMSScope_Scope and Deliverables Summary_0320_FP_CAMP&amp;ITReporting_Maintenance_Dashboard" xfId="4197" xr:uid="{00000000-0005-0000-0000-00000B100000}"/>
    <cellStyle name="_20061027Holux_WorldBankCMSScope_Scope and Deliverables Summary_0320_FP_CAMP&amp;ITReporting_Maintenance_Dashboard 2" xfId="4198" xr:uid="{00000000-0005-0000-0000-00000C100000}"/>
    <cellStyle name="_20061027Holux_WorldBankCMSScope_Scope and Deliverables Summary_0320_FP_CAMP&amp;ITReporting_Maintenance_Dashboard 3" xfId="4199" xr:uid="{00000000-0005-0000-0000-00000D100000}"/>
    <cellStyle name="_20061027Holux_WorldBankCMSScope_Scope and Deliverables Summary_0320_FP_CAMPITReporting_Maintenance_Dashboard" xfId="4200" xr:uid="{00000000-0005-0000-0000-00000E100000}"/>
    <cellStyle name="_20061027Holux_WorldBankCMSScope_Scope and Deliverables Summary_0320_FP_CAMPITReporting_Maintenance_Dashboard 2" xfId="4201" xr:uid="{00000000-0005-0000-0000-00000F100000}"/>
    <cellStyle name="_20061027Holux_WorldBankCMSScope_Scope and Deliverables Summary_0320_FP_CAMPITReporting_Maintenance_Dashboard 3" xfId="4202" xr:uid="{00000000-0005-0000-0000-000010100000}"/>
    <cellStyle name="_20061027Holux_WorldBankCMSScope_Scope and Deliverables Summary_0320_FP_Commissions_Req_Dn_ProgramWorkBook_10-Dec-2010" xfId="4203" xr:uid="{00000000-0005-0000-0000-000011100000}"/>
    <cellStyle name="_20061027Holux_WorldBankCMSScope_Scope and Deliverables Summary_0320_FP_Commissions_Req_Dn_ProgramWorkBook_10-Dec-2010 2" xfId="4204" xr:uid="{00000000-0005-0000-0000-000012100000}"/>
    <cellStyle name="_20061027Holux_WorldBankCMSScope_Scope and Deliverables Summary_0320_FP_Commissions_Req_Dn_ProgramWorkBook_10-Dec-2010 3" xfId="4205" xr:uid="{00000000-0005-0000-0000-000013100000}"/>
    <cellStyle name="_20061027Holux_WorldBankCMSScope_Scope and Deliverables Summary_0320_FP_DW_Impl_ProgramWorkBook_07-Jan-2011" xfId="4206" xr:uid="{00000000-0005-0000-0000-000014100000}"/>
    <cellStyle name="_20061027Holux_WorldBankCMSScope_Scope and Deliverables Summary_0320_FP_DW_Impl_ProgramWorkBook_07-Jan-2011 2" xfId="4207" xr:uid="{00000000-0005-0000-0000-000015100000}"/>
    <cellStyle name="_20061027Holux_WorldBankCMSScope_Scope and Deliverables Summary_0320_FP_DW_Impl_ProgramWorkBook_07-Jan-2011 2 2" xfId="4208" xr:uid="{00000000-0005-0000-0000-000016100000}"/>
    <cellStyle name="_20061027Holux_WorldBankCMSScope_Scope and Deliverables Summary_0320_FP_DW_Impl_ProgramWorkBook_07-Jan-2011 2 3" xfId="4209" xr:uid="{00000000-0005-0000-0000-000017100000}"/>
    <cellStyle name="_20061027Holux_WorldBankCMSScope_Scope and Deliverables Summary_0320_FP_DW_Impl_ProgramWorkBook_07-Jan-2011 3" xfId="4210" xr:uid="{00000000-0005-0000-0000-000018100000}"/>
    <cellStyle name="_20061027Holux_WorldBankCMSScope_Scope and Deliverables Summary_0320_FP_DW_Impl_ProgramWorkBook_07-Jan-2011 4" xfId="4211" xr:uid="{00000000-0005-0000-0000-000019100000}"/>
    <cellStyle name="_20061027Holux_WorldBankCMSScope_Scope and Deliverables Summary_0320_FP_DW_Impl_ProgramWorkBook_11-Feb-2011" xfId="4212" xr:uid="{00000000-0005-0000-0000-00001A100000}"/>
    <cellStyle name="_20061027Holux_WorldBankCMSScope_Scope and Deliverables Summary_0320_FP_DW_Impl_ProgramWorkBook_11-Feb-2011 2" xfId="4213" xr:uid="{00000000-0005-0000-0000-00001B100000}"/>
    <cellStyle name="_20061027Holux_WorldBankCMSScope_Scope and Deliverables Summary_0320_FP_DW_Impl_ProgramWorkBook_11-Feb-2011 3" xfId="4214" xr:uid="{00000000-0005-0000-0000-00001C100000}"/>
    <cellStyle name="_20061027Holux_WorldBankCMSScope_Scope and Deliverables Summary_0320_FP_DW_Impl_ProgramWorkBook_18-Feb-2011 - Working" xfId="4215" xr:uid="{00000000-0005-0000-0000-00001D100000}"/>
    <cellStyle name="_20061027Holux_WorldBankCMSScope_Scope and Deliverables Summary_0320_FP_DW_Impl_ProgramWorkBook_18-Feb-2011 - Working 2" xfId="4216" xr:uid="{00000000-0005-0000-0000-00001E100000}"/>
    <cellStyle name="_20061027Holux_WorldBankCMSScope_Scope and Deliverables Summary_0320_FP_DW_Impl_ProgramWorkBook_18-Feb-2011 - Working 3" xfId="4217" xr:uid="{00000000-0005-0000-0000-00001F100000}"/>
    <cellStyle name="_20061027Holux_WorldBankCMSScope_Scope and Deliverables Summary_0320_FP_EnterprisePortal_ProgramWorkbook" xfId="4218" xr:uid="{00000000-0005-0000-0000-000020100000}"/>
    <cellStyle name="_20061027Holux_WorldBankCMSScope_Scope and Deliverables Summary_0320_FP_EnterprisePortal_ProgramWorkbook 2" xfId="4219" xr:uid="{00000000-0005-0000-0000-000021100000}"/>
    <cellStyle name="_20061027Holux_WorldBankCMSScope_Scope and Deliverables Summary_0320_FP_EnterprisePortal_ProgramWorkbook 3" xfId="4220" xr:uid="{00000000-0005-0000-0000-000022100000}"/>
    <cellStyle name="_20061027Holux_WorldBankCMSScope_Scope and Deliverables Summary_0320_FP_SAP_MLP v2" xfId="4221" xr:uid="{00000000-0005-0000-0000-000023100000}"/>
    <cellStyle name="_20061027Holux_WorldBankCMSScope_Scope and Deliverables Summary_0320_FP_SAP_MLP v2 2" xfId="4222" xr:uid="{00000000-0005-0000-0000-000024100000}"/>
    <cellStyle name="_20061027Holux_WorldBankCMSScope_Scope and Deliverables Summary_0320_FP_SAP_MLP v2 3" xfId="4223" xr:uid="{00000000-0005-0000-0000-000025100000}"/>
    <cellStyle name="_20061027Holux_WorldBankCMSScope_Scope and Deliverables Summary_0320_KeyDecisions" xfId="4224" xr:uid="{00000000-0005-0000-0000-000026100000}"/>
    <cellStyle name="_20061027Holux_WorldBankCMSScope_Scope and Deliverables Summary_0320_KeyDecisions 2" xfId="4225" xr:uid="{00000000-0005-0000-0000-000027100000}"/>
    <cellStyle name="_20061027Holux_WorldBankCMSScope_Scope and Deliverables Summary_0320_KeyDecisions 3" xfId="4226" xr:uid="{00000000-0005-0000-0000-000028100000}"/>
    <cellStyle name="_20061027Holux_WorldBankCMSScope_Scope and Deliverables Summary_0320_Sophia_Imp_ProjectWorkBook_02_18_2011" xfId="4227" xr:uid="{00000000-0005-0000-0000-000029100000}"/>
    <cellStyle name="_20061027Holux_WorldBankCMSScope_Scope and Deliverables Summary_0320_Sophia_Imp_ProjectWorkBook_02_18_2011 2" xfId="4228" xr:uid="{00000000-0005-0000-0000-00002A100000}"/>
    <cellStyle name="_20061027Holux_WorldBankCMSScope_Scope and Deliverables Summary_0320_Sophia_Imp_ProjectWorkBook_02_18_2011 3" xfId="4229" xr:uid="{00000000-0005-0000-0000-00002B100000}"/>
    <cellStyle name="_20061027Holux_WorldBankCMSScope_Scope and Deliverables Summary_0320_t" xfId="4230" xr:uid="{00000000-0005-0000-0000-00002C100000}"/>
    <cellStyle name="_20061027Holux_WorldBankCMSScope_Scope and Deliverables Summary_0320_t 2" xfId="4231" xr:uid="{00000000-0005-0000-0000-00002D100000}"/>
    <cellStyle name="_20061027Holux_WorldBankCMSScope_Scope and Deliverables Summary_0320_t 3" xfId="4232" xr:uid="{00000000-0005-0000-0000-00002E100000}"/>
    <cellStyle name="_20061027Holux_WorldBankCMSScope_Scope and Deliverables Summary_0323" xfId="4233" xr:uid="{00000000-0005-0000-0000-00002F100000}"/>
    <cellStyle name="_20061027Holux_WorldBankCMSScope_Scope and Deliverables Summary_0323 2" xfId="4234" xr:uid="{00000000-0005-0000-0000-000030100000}"/>
    <cellStyle name="_20061027Holux_WorldBankCMSScope_Scope and Deliverables Summary_0323 2 2" xfId="4235" xr:uid="{00000000-0005-0000-0000-000031100000}"/>
    <cellStyle name="_20061027Holux_WorldBankCMSScope_Scope and Deliverables Summary_0323 2 3" xfId="4236" xr:uid="{00000000-0005-0000-0000-000032100000}"/>
    <cellStyle name="_20061027Holux_WorldBankCMSScope_Scope and Deliverables Summary_0323 3" xfId="4237" xr:uid="{00000000-0005-0000-0000-000033100000}"/>
    <cellStyle name="_20061027Holux_WorldBankCMSScope_Scope and Deliverables Summary_0323 4" xfId="4238" xr:uid="{00000000-0005-0000-0000-000034100000}"/>
    <cellStyle name="_20061027Holux_WorldBankCMSScope_Scope and Deliverables Summary_0323_Commissioning System Implementation_Project Workbook_06_10_2011" xfId="4239" xr:uid="{00000000-0005-0000-0000-000035100000}"/>
    <cellStyle name="_20061027Holux_WorldBankCMSScope_Scope and Deliverables Summary_0323_Commissioning System Implementation_Project Workbook_06_10_2011 2" xfId="4240" xr:uid="{00000000-0005-0000-0000-000036100000}"/>
    <cellStyle name="_20061027Holux_WorldBankCMSScope_Scope and Deliverables Summary_0323_Commissioning System Implementation_Project Workbook_06_10_2011 3" xfId="4241" xr:uid="{00000000-0005-0000-0000-000037100000}"/>
    <cellStyle name="_20061027Holux_WorldBankCMSScope_Scope and Deliverables Summary_0323_FairPoint_CampReport" xfId="4242" xr:uid="{00000000-0005-0000-0000-000038100000}"/>
    <cellStyle name="_20061027Holux_WorldBankCMSScope_Scope and Deliverables Summary_0323_FairPoint_CampReport 2" xfId="4243" xr:uid="{00000000-0005-0000-0000-000039100000}"/>
    <cellStyle name="_20061027Holux_WorldBankCMSScope_Scope and Deliverables Summary_0323_FairPoint_CampReport 3" xfId="4244" xr:uid="{00000000-0005-0000-0000-00003A100000}"/>
    <cellStyle name="_20061027Holux_WorldBankCMSScope_Scope and Deliverables Summary_0323_FairPoint_FP comTechOps_ProgramWorkbook" xfId="4245" xr:uid="{00000000-0005-0000-0000-00003B100000}"/>
    <cellStyle name="_20061027Holux_WorldBankCMSScope_Scope and Deliverables Summary_0323_FairPoint_FP comTechOps_ProgramWorkbook 2" xfId="4246" xr:uid="{00000000-0005-0000-0000-00003C100000}"/>
    <cellStyle name="_20061027Holux_WorldBankCMSScope_Scope and Deliverables Summary_0323_FairPoint_FP comTechOps_ProgramWorkbook 3" xfId="4247" xr:uid="{00000000-0005-0000-0000-00003D100000}"/>
    <cellStyle name="_20061027Holux_WorldBankCMSScope_Scope and Deliverables Summary_0323_FairPoint_FP comTechOps_ProgramWorkbook_sachin" xfId="4248" xr:uid="{00000000-0005-0000-0000-00003E100000}"/>
    <cellStyle name="_20061027Holux_WorldBankCMSScope_Scope and Deliverables Summary_0323_FairPoint_FP comTechOps_ProgramWorkbook_sachin 2" xfId="4249" xr:uid="{00000000-0005-0000-0000-00003F100000}"/>
    <cellStyle name="_20061027Holux_WorldBankCMSScope_Scope and Deliverables Summary_0323_FairPoint_FP comTechOps_ProgramWorkbook_sachin 3" xfId="4250" xr:uid="{00000000-0005-0000-0000-000040100000}"/>
    <cellStyle name="_20061027Holux_WorldBankCMSScope_Scope and Deliverables Summary_0323_FairPoint_FP comTechOps_ProgramWorkbook_sachin_v1" xfId="4251" xr:uid="{00000000-0005-0000-0000-000041100000}"/>
    <cellStyle name="_20061027Holux_WorldBankCMSScope_Scope and Deliverables Summary_0323_FairPoint_FP comTechOps_ProgramWorkbook_sachin_v1 2" xfId="4252" xr:uid="{00000000-0005-0000-0000-000042100000}"/>
    <cellStyle name="_20061027Holux_WorldBankCMSScope_Scope and Deliverables Summary_0323_FairPoint_FP comTechOps_ProgramWorkbook_sachin_v1 3" xfId="4253" xr:uid="{00000000-0005-0000-0000-000043100000}"/>
    <cellStyle name="_20061027Holux_WorldBankCMSScope_Scope and Deliverables Summary_0323_FP_CAMP&amp;ITReporting_Maintenance_Dashboard" xfId="4254" xr:uid="{00000000-0005-0000-0000-000044100000}"/>
    <cellStyle name="_20061027Holux_WorldBankCMSScope_Scope and Deliverables Summary_0323_FP_CAMP&amp;ITReporting_Maintenance_Dashboard 2" xfId="4255" xr:uid="{00000000-0005-0000-0000-000045100000}"/>
    <cellStyle name="_20061027Holux_WorldBankCMSScope_Scope and Deliverables Summary_0323_FP_CAMP&amp;ITReporting_Maintenance_Dashboard 3" xfId="4256" xr:uid="{00000000-0005-0000-0000-000046100000}"/>
    <cellStyle name="_20061027Holux_WorldBankCMSScope_Scope and Deliverables Summary_0323_FP_CAMPITReporting_Maintenance_Dashboard" xfId="4257" xr:uid="{00000000-0005-0000-0000-000047100000}"/>
    <cellStyle name="_20061027Holux_WorldBankCMSScope_Scope and Deliverables Summary_0323_FP_CAMPITReporting_Maintenance_Dashboard 2" xfId="4258" xr:uid="{00000000-0005-0000-0000-000048100000}"/>
    <cellStyle name="_20061027Holux_WorldBankCMSScope_Scope and Deliverables Summary_0323_FP_CAMPITReporting_Maintenance_Dashboard 3" xfId="4259" xr:uid="{00000000-0005-0000-0000-000049100000}"/>
    <cellStyle name="_20061027Holux_WorldBankCMSScope_Scope and Deliverables Summary_0323_FP_Commissions_Req_Dn_ProgramWorkBook_10-Dec-2010" xfId="4260" xr:uid="{00000000-0005-0000-0000-00004A100000}"/>
    <cellStyle name="_20061027Holux_WorldBankCMSScope_Scope and Deliverables Summary_0323_FP_Commissions_Req_Dn_ProgramWorkBook_10-Dec-2010 2" xfId="4261" xr:uid="{00000000-0005-0000-0000-00004B100000}"/>
    <cellStyle name="_20061027Holux_WorldBankCMSScope_Scope and Deliverables Summary_0323_FP_Commissions_Req_Dn_ProgramWorkBook_10-Dec-2010 3" xfId="4262" xr:uid="{00000000-0005-0000-0000-00004C100000}"/>
    <cellStyle name="_20061027Holux_WorldBankCMSScope_Scope and Deliverables Summary_0323_FP_DW_Impl_ProgramWorkBook_07-Jan-2011" xfId="4263" xr:uid="{00000000-0005-0000-0000-00004D100000}"/>
    <cellStyle name="_20061027Holux_WorldBankCMSScope_Scope and Deliverables Summary_0323_FP_DW_Impl_ProgramWorkBook_07-Jan-2011 2" xfId="4264" xr:uid="{00000000-0005-0000-0000-00004E100000}"/>
    <cellStyle name="_20061027Holux_WorldBankCMSScope_Scope and Deliverables Summary_0323_FP_DW_Impl_ProgramWorkBook_07-Jan-2011 2 2" xfId="4265" xr:uid="{00000000-0005-0000-0000-00004F100000}"/>
    <cellStyle name="_20061027Holux_WorldBankCMSScope_Scope and Deliverables Summary_0323_FP_DW_Impl_ProgramWorkBook_07-Jan-2011 2 3" xfId="4266" xr:uid="{00000000-0005-0000-0000-000050100000}"/>
    <cellStyle name="_20061027Holux_WorldBankCMSScope_Scope and Deliverables Summary_0323_FP_DW_Impl_ProgramWorkBook_07-Jan-2011 3" xfId="4267" xr:uid="{00000000-0005-0000-0000-000051100000}"/>
    <cellStyle name="_20061027Holux_WorldBankCMSScope_Scope and Deliverables Summary_0323_FP_DW_Impl_ProgramWorkBook_07-Jan-2011 4" xfId="4268" xr:uid="{00000000-0005-0000-0000-000052100000}"/>
    <cellStyle name="_20061027Holux_WorldBankCMSScope_Scope and Deliverables Summary_0323_FP_DW_Impl_ProgramWorkBook_11-Feb-2011" xfId="4269" xr:uid="{00000000-0005-0000-0000-000053100000}"/>
    <cellStyle name="_20061027Holux_WorldBankCMSScope_Scope and Deliverables Summary_0323_FP_DW_Impl_ProgramWorkBook_11-Feb-2011 2" xfId="4270" xr:uid="{00000000-0005-0000-0000-000054100000}"/>
    <cellStyle name="_20061027Holux_WorldBankCMSScope_Scope and Deliverables Summary_0323_FP_DW_Impl_ProgramWorkBook_11-Feb-2011 3" xfId="4271" xr:uid="{00000000-0005-0000-0000-000055100000}"/>
    <cellStyle name="_20061027Holux_WorldBankCMSScope_Scope and Deliverables Summary_0323_FP_DW_Impl_ProgramWorkBook_18-Feb-2011 - Working" xfId="4272" xr:uid="{00000000-0005-0000-0000-000056100000}"/>
    <cellStyle name="_20061027Holux_WorldBankCMSScope_Scope and Deliverables Summary_0323_FP_DW_Impl_ProgramWorkBook_18-Feb-2011 - Working 2" xfId="4273" xr:uid="{00000000-0005-0000-0000-000057100000}"/>
    <cellStyle name="_20061027Holux_WorldBankCMSScope_Scope and Deliverables Summary_0323_FP_DW_Impl_ProgramWorkBook_18-Feb-2011 - Working 3" xfId="4274" xr:uid="{00000000-0005-0000-0000-000058100000}"/>
    <cellStyle name="_20061027Holux_WorldBankCMSScope_Scope and Deliverables Summary_0323_FP_EnterprisePortal_ProgramWorkbook" xfId="4275" xr:uid="{00000000-0005-0000-0000-000059100000}"/>
    <cellStyle name="_20061027Holux_WorldBankCMSScope_Scope and Deliverables Summary_0323_FP_EnterprisePortal_ProgramWorkbook 2" xfId="4276" xr:uid="{00000000-0005-0000-0000-00005A100000}"/>
    <cellStyle name="_20061027Holux_WorldBankCMSScope_Scope and Deliverables Summary_0323_FP_EnterprisePortal_ProgramWorkbook 3" xfId="4277" xr:uid="{00000000-0005-0000-0000-00005B100000}"/>
    <cellStyle name="_20061027Holux_WorldBankCMSScope_Scope and Deliverables Summary_0323_FP_SAP_MLP v2" xfId="4278" xr:uid="{00000000-0005-0000-0000-00005C100000}"/>
    <cellStyle name="_20061027Holux_WorldBankCMSScope_Scope and Deliverables Summary_0323_FP_SAP_MLP v2 2" xfId="4279" xr:uid="{00000000-0005-0000-0000-00005D100000}"/>
    <cellStyle name="_20061027Holux_WorldBankCMSScope_Scope and Deliverables Summary_0323_FP_SAP_MLP v2 3" xfId="4280" xr:uid="{00000000-0005-0000-0000-00005E100000}"/>
    <cellStyle name="_20061027Holux_WorldBankCMSScope_Scope and Deliverables Summary_0323_KeyDecisions" xfId="4281" xr:uid="{00000000-0005-0000-0000-00005F100000}"/>
    <cellStyle name="_20061027Holux_WorldBankCMSScope_Scope and Deliverables Summary_0323_KeyDecisions 2" xfId="4282" xr:uid="{00000000-0005-0000-0000-000060100000}"/>
    <cellStyle name="_20061027Holux_WorldBankCMSScope_Scope and Deliverables Summary_0323_KeyDecisions 3" xfId="4283" xr:uid="{00000000-0005-0000-0000-000061100000}"/>
    <cellStyle name="_20061027Holux_WorldBankCMSScope_Scope and Deliverables Summary_0323_Sophia_Imp_ProjectWorkBook_02_18_2011" xfId="4284" xr:uid="{00000000-0005-0000-0000-000062100000}"/>
    <cellStyle name="_20061027Holux_WorldBankCMSScope_Scope and Deliverables Summary_0323_Sophia_Imp_ProjectWorkBook_02_18_2011 2" xfId="4285" xr:uid="{00000000-0005-0000-0000-000063100000}"/>
    <cellStyle name="_20061027Holux_WorldBankCMSScope_Scope and Deliverables Summary_0323_Sophia_Imp_ProjectWorkBook_02_18_2011 3" xfId="4286" xr:uid="{00000000-0005-0000-0000-000064100000}"/>
    <cellStyle name="_20061027Holux_WorldBankCMSScope_Scope and Deliverables Summary_0323_t" xfId="4287" xr:uid="{00000000-0005-0000-0000-000065100000}"/>
    <cellStyle name="_20061027Holux_WorldBankCMSScope_Scope and Deliverables Summary_0323_t 2" xfId="4288" xr:uid="{00000000-0005-0000-0000-000066100000}"/>
    <cellStyle name="_20061027Holux_WorldBankCMSScope_Scope and Deliverables Summary_0323_t 3" xfId="4289" xr:uid="{00000000-0005-0000-0000-000067100000}"/>
    <cellStyle name="_20061027Holux_WorldBankCMSScope_Scope and Deliverables Summary_CMS_0609" xfId="4290" xr:uid="{00000000-0005-0000-0000-000068100000}"/>
    <cellStyle name="_20061027Holux_WorldBankCMSScope_Scope and Deliverables Summary_CMS_0609 2" xfId="4291" xr:uid="{00000000-0005-0000-0000-000069100000}"/>
    <cellStyle name="_20061027Holux_WorldBankCMSScope_Scope and Deliverables Summary_CMS_0609 2 2" xfId="4292" xr:uid="{00000000-0005-0000-0000-00006A100000}"/>
    <cellStyle name="_20061027Holux_WorldBankCMSScope_Scope and Deliverables Summary_CMS_0609 2 3" xfId="4293" xr:uid="{00000000-0005-0000-0000-00006B100000}"/>
    <cellStyle name="_20061027Holux_WorldBankCMSScope_Scope and Deliverables Summary_CMS_0609 3" xfId="4294" xr:uid="{00000000-0005-0000-0000-00006C100000}"/>
    <cellStyle name="_20061027Holux_WorldBankCMSScope_Scope and Deliverables Summary_CMS_0609 4" xfId="4295" xr:uid="{00000000-0005-0000-0000-00006D100000}"/>
    <cellStyle name="_20061027Holux_WorldBankCMSScope_Scope and Deliverables Summary_CMS_0609_Commissioning System Implementation_Project Workbook_06_10_2011" xfId="4296" xr:uid="{00000000-0005-0000-0000-00006E100000}"/>
    <cellStyle name="_20061027Holux_WorldBankCMSScope_Scope and Deliverables Summary_CMS_0609_Commissioning System Implementation_Project Workbook_06_10_2011 2" xfId="4297" xr:uid="{00000000-0005-0000-0000-00006F100000}"/>
    <cellStyle name="_20061027Holux_WorldBankCMSScope_Scope and Deliverables Summary_CMS_0609_Commissioning System Implementation_Project Workbook_06_10_2011 3" xfId="4298" xr:uid="{00000000-0005-0000-0000-000070100000}"/>
    <cellStyle name="_20061027Holux_WorldBankCMSScope_Scope and Deliverables Summary_CMS_0609_FairPoint_CampReport" xfId="4299" xr:uid="{00000000-0005-0000-0000-000071100000}"/>
    <cellStyle name="_20061027Holux_WorldBankCMSScope_Scope and Deliverables Summary_CMS_0609_FairPoint_CampReport 2" xfId="4300" xr:uid="{00000000-0005-0000-0000-000072100000}"/>
    <cellStyle name="_20061027Holux_WorldBankCMSScope_Scope and Deliverables Summary_CMS_0609_FairPoint_CampReport 3" xfId="4301" xr:uid="{00000000-0005-0000-0000-000073100000}"/>
    <cellStyle name="_20061027Holux_WorldBankCMSScope_Scope and Deliverables Summary_CMS_0609_FairPoint_FP comTechOps_ProgramWorkbook" xfId="4302" xr:uid="{00000000-0005-0000-0000-000074100000}"/>
    <cellStyle name="_20061027Holux_WorldBankCMSScope_Scope and Deliverables Summary_CMS_0609_FairPoint_FP comTechOps_ProgramWorkbook 2" xfId="4303" xr:uid="{00000000-0005-0000-0000-000075100000}"/>
    <cellStyle name="_20061027Holux_WorldBankCMSScope_Scope and Deliverables Summary_CMS_0609_FairPoint_FP comTechOps_ProgramWorkbook 3" xfId="4304" xr:uid="{00000000-0005-0000-0000-000076100000}"/>
    <cellStyle name="_20061027Holux_WorldBankCMSScope_Scope and Deliverables Summary_CMS_0609_FairPoint_FP comTechOps_ProgramWorkbook_sachin" xfId="4305" xr:uid="{00000000-0005-0000-0000-000077100000}"/>
    <cellStyle name="_20061027Holux_WorldBankCMSScope_Scope and Deliverables Summary_CMS_0609_FairPoint_FP comTechOps_ProgramWorkbook_sachin 2" xfId="4306" xr:uid="{00000000-0005-0000-0000-000078100000}"/>
    <cellStyle name="_20061027Holux_WorldBankCMSScope_Scope and Deliverables Summary_CMS_0609_FairPoint_FP comTechOps_ProgramWorkbook_sachin 3" xfId="4307" xr:uid="{00000000-0005-0000-0000-000079100000}"/>
    <cellStyle name="_20061027Holux_WorldBankCMSScope_Scope and Deliverables Summary_CMS_0609_FairPoint_FP comTechOps_ProgramWorkbook_sachin_v1" xfId="4308" xr:uid="{00000000-0005-0000-0000-00007A100000}"/>
    <cellStyle name="_20061027Holux_WorldBankCMSScope_Scope and Deliverables Summary_CMS_0609_FairPoint_FP comTechOps_ProgramWorkbook_sachin_v1 2" xfId="4309" xr:uid="{00000000-0005-0000-0000-00007B100000}"/>
    <cellStyle name="_20061027Holux_WorldBankCMSScope_Scope and Deliverables Summary_CMS_0609_FairPoint_FP comTechOps_ProgramWorkbook_sachin_v1 3" xfId="4310" xr:uid="{00000000-0005-0000-0000-00007C100000}"/>
    <cellStyle name="_20061027Holux_WorldBankCMSScope_Scope and Deliverables Summary_CMS_0609_FP_CAMP&amp;ITReporting_Maintenance_Dashboard" xfId="4311" xr:uid="{00000000-0005-0000-0000-00007D100000}"/>
    <cellStyle name="_20061027Holux_WorldBankCMSScope_Scope and Deliverables Summary_CMS_0609_FP_CAMP&amp;ITReporting_Maintenance_Dashboard 2" xfId="4312" xr:uid="{00000000-0005-0000-0000-00007E100000}"/>
    <cellStyle name="_20061027Holux_WorldBankCMSScope_Scope and Deliverables Summary_CMS_0609_FP_CAMP&amp;ITReporting_Maintenance_Dashboard 3" xfId="4313" xr:uid="{00000000-0005-0000-0000-00007F100000}"/>
    <cellStyle name="_20061027Holux_WorldBankCMSScope_Scope and Deliverables Summary_CMS_0609_FP_CAMPITReporting_Maintenance_Dashboard" xfId="4314" xr:uid="{00000000-0005-0000-0000-000080100000}"/>
    <cellStyle name="_20061027Holux_WorldBankCMSScope_Scope and Deliverables Summary_CMS_0609_FP_CAMPITReporting_Maintenance_Dashboard 2" xfId="4315" xr:uid="{00000000-0005-0000-0000-000081100000}"/>
    <cellStyle name="_20061027Holux_WorldBankCMSScope_Scope and Deliverables Summary_CMS_0609_FP_CAMPITReporting_Maintenance_Dashboard 3" xfId="4316" xr:uid="{00000000-0005-0000-0000-000082100000}"/>
    <cellStyle name="_20061027Holux_WorldBankCMSScope_Scope and Deliverables Summary_CMS_0609_FP_Commissions_Req_Dn_ProgramWorkBook_10-Dec-2010" xfId="4317" xr:uid="{00000000-0005-0000-0000-000083100000}"/>
    <cellStyle name="_20061027Holux_WorldBankCMSScope_Scope and Deliverables Summary_CMS_0609_FP_Commissions_Req_Dn_ProgramWorkBook_10-Dec-2010 2" xfId="4318" xr:uid="{00000000-0005-0000-0000-000084100000}"/>
    <cellStyle name="_20061027Holux_WorldBankCMSScope_Scope and Deliverables Summary_CMS_0609_FP_Commissions_Req_Dn_ProgramWorkBook_10-Dec-2010 3" xfId="4319" xr:uid="{00000000-0005-0000-0000-000085100000}"/>
    <cellStyle name="_20061027Holux_WorldBankCMSScope_Scope and Deliverables Summary_CMS_0609_FP_DW_Impl_ProgramWorkBook_07-Jan-2011" xfId="4320" xr:uid="{00000000-0005-0000-0000-000086100000}"/>
    <cellStyle name="_20061027Holux_WorldBankCMSScope_Scope and Deliverables Summary_CMS_0609_FP_DW_Impl_ProgramWorkBook_07-Jan-2011 2" xfId="4321" xr:uid="{00000000-0005-0000-0000-000087100000}"/>
    <cellStyle name="_20061027Holux_WorldBankCMSScope_Scope and Deliverables Summary_CMS_0609_FP_DW_Impl_ProgramWorkBook_07-Jan-2011 2 2" xfId="4322" xr:uid="{00000000-0005-0000-0000-000088100000}"/>
    <cellStyle name="_20061027Holux_WorldBankCMSScope_Scope and Deliverables Summary_CMS_0609_FP_DW_Impl_ProgramWorkBook_07-Jan-2011 2 3" xfId="4323" xr:uid="{00000000-0005-0000-0000-000089100000}"/>
    <cellStyle name="_20061027Holux_WorldBankCMSScope_Scope and Deliverables Summary_CMS_0609_FP_DW_Impl_ProgramWorkBook_07-Jan-2011 3" xfId="4324" xr:uid="{00000000-0005-0000-0000-00008A100000}"/>
    <cellStyle name="_20061027Holux_WorldBankCMSScope_Scope and Deliverables Summary_CMS_0609_FP_DW_Impl_ProgramWorkBook_07-Jan-2011 4" xfId="4325" xr:uid="{00000000-0005-0000-0000-00008B100000}"/>
    <cellStyle name="_20061027Holux_WorldBankCMSScope_Scope and Deliverables Summary_CMS_0609_FP_DW_Impl_ProgramWorkBook_11-Feb-2011" xfId="4326" xr:uid="{00000000-0005-0000-0000-00008C100000}"/>
    <cellStyle name="_20061027Holux_WorldBankCMSScope_Scope and Deliverables Summary_CMS_0609_FP_DW_Impl_ProgramWorkBook_11-Feb-2011 2" xfId="4327" xr:uid="{00000000-0005-0000-0000-00008D100000}"/>
    <cellStyle name="_20061027Holux_WorldBankCMSScope_Scope and Deliverables Summary_CMS_0609_FP_DW_Impl_ProgramWorkBook_11-Feb-2011 3" xfId="4328" xr:uid="{00000000-0005-0000-0000-00008E100000}"/>
    <cellStyle name="_20061027Holux_WorldBankCMSScope_Scope and Deliverables Summary_CMS_0609_FP_DW_Impl_ProgramWorkBook_18-Feb-2011 - Working" xfId="4329" xr:uid="{00000000-0005-0000-0000-00008F100000}"/>
    <cellStyle name="_20061027Holux_WorldBankCMSScope_Scope and Deliverables Summary_CMS_0609_FP_DW_Impl_ProgramWorkBook_18-Feb-2011 - Working 2" xfId="4330" xr:uid="{00000000-0005-0000-0000-000090100000}"/>
    <cellStyle name="_20061027Holux_WorldBankCMSScope_Scope and Deliverables Summary_CMS_0609_FP_DW_Impl_ProgramWorkBook_18-Feb-2011 - Working 3" xfId="4331" xr:uid="{00000000-0005-0000-0000-000091100000}"/>
    <cellStyle name="_20061027Holux_WorldBankCMSScope_Scope and Deliverables Summary_CMS_0609_FP_EnterprisePortal_ProgramWorkbook" xfId="4332" xr:uid="{00000000-0005-0000-0000-000092100000}"/>
    <cellStyle name="_20061027Holux_WorldBankCMSScope_Scope and Deliverables Summary_CMS_0609_FP_EnterprisePortal_ProgramWorkbook 2" xfId="4333" xr:uid="{00000000-0005-0000-0000-000093100000}"/>
    <cellStyle name="_20061027Holux_WorldBankCMSScope_Scope and Deliverables Summary_CMS_0609_FP_EnterprisePortal_ProgramWorkbook 3" xfId="4334" xr:uid="{00000000-0005-0000-0000-000094100000}"/>
    <cellStyle name="_20061027Holux_WorldBankCMSScope_Scope and Deliverables Summary_CMS_0609_FP_SAP_MLP v2" xfId="4335" xr:uid="{00000000-0005-0000-0000-000095100000}"/>
    <cellStyle name="_20061027Holux_WorldBankCMSScope_Scope and Deliverables Summary_CMS_0609_FP_SAP_MLP v2 2" xfId="4336" xr:uid="{00000000-0005-0000-0000-000096100000}"/>
    <cellStyle name="_20061027Holux_WorldBankCMSScope_Scope and Deliverables Summary_CMS_0609_FP_SAP_MLP v2 3" xfId="4337" xr:uid="{00000000-0005-0000-0000-000097100000}"/>
    <cellStyle name="_20061027Holux_WorldBankCMSScope_Scope and Deliverables Summary_CMS_0609_KeyDecisions" xfId="4338" xr:uid="{00000000-0005-0000-0000-000098100000}"/>
    <cellStyle name="_20061027Holux_WorldBankCMSScope_Scope and Deliverables Summary_CMS_0609_KeyDecisions 2" xfId="4339" xr:uid="{00000000-0005-0000-0000-000099100000}"/>
    <cellStyle name="_20061027Holux_WorldBankCMSScope_Scope and Deliverables Summary_CMS_0609_KeyDecisions 3" xfId="4340" xr:uid="{00000000-0005-0000-0000-00009A100000}"/>
    <cellStyle name="_20061027Holux_WorldBankCMSScope_Scope and Deliverables Summary_CMS_0609_Sophia_Imp_ProjectWorkBook_02_18_2011" xfId="4341" xr:uid="{00000000-0005-0000-0000-00009B100000}"/>
    <cellStyle name="_20061027Holux_WorldBankCMSScope_Scope and Deliverables Summary_CMS_0609_Sophia_Imp_ProjectWorkBook_02_18_2011 2" xfId="4342" xr:uid="{00000000-0005-0000-0000-00009C100000}"/>
    <cellStyle name="_20061027Holux_WorldBankCMSScope_Scope and Deliverables Summary_CMS_0609_Sophia_Imp_ProjectWorkBook_02_18_2011 3" xfId="4343" xr:uid="{00000000-0005-0000-0000-00009D100000}"/>
    <cellStyle name="_20061027Holux_WorldBankCMSScope_Scope and Deliverables Summary_CMS_0609_t" xfId="4344" xr:uid="{00000000-0005-0000-0000-00009E100000}"/>
    <cellStyle name="_20061027Holux_WorldBankCMSScope_Scope and Deliverables Summary_CMS_0609_t 2" xfId="4345" xr:uid="{00000000-0005-0000-0000-00009F100000}"/>
    <cellStyle name="_20061027Holux_WorldBankCMSScope_Scope and Deliverables Summary_CMS_0609_t 3" xfId="4346" xr:uid="{00000000-0005-0000-0000-0000A0100000}"/>
    <cellStyle name="_20061027Holux_WorldBankCMSScope_SLM -CMS &amp; Storefront PM Workbook" xfId="4347" xr:uid="{00000000-0005-0000-0000-0000A1100000}"/>
    <cellStyle name="_20061027Holux_WorldBankCMSScope_SLM -CMS &amp; Storefront PM Workbook 2" xfId="4348" xr:uid="{00000000-0005-0000-0000-0000A2100000}"/>
    <cellStyle name="_20061027Holux_WorldBankCMSScope_SLM -CMS &amp; Storefront PM Workbook 2 2" xfId="4349" xr:uid="{00000000-0005-0000-0000-0000A3100000}"/>
    <cellStyle name="_20061027Holux_WorldBankCMSScope_SLM -CMS &amp; Storefront PM Workbook 2 3" xfId="4350" xr:uid="{00000000-0005-0000-0000-0000A4100000}"/>
    <cellStyle name="_20061027Holux_WorldBankCMSScope_SLM -CMS &amp; Storefront PM Workbook 3" xfId="4351" xr:uid="{00000000-0005-0000-0000-0000A5100000}"/>
    <cellStyle name="_20061027Holux_WorldBankCMSScope_SLM -CMS &amp; Storefront PM Workbook 4" xfId="4352" xr:uid="{00000000-0005-0000-0000-0000A6100000}"/>
    <cellStyle name="_20061027Holux_WorldBankCMSScope_SLM -CMS &amp; Storefront PM Workbook_Commissioning System Implementation_Project Workbook_06_10_2011" xfId="4353" xr:uid="{00000000-0005-0000-0000-0000A7100000}"/>
    <cellStyle name="_20061027Holux_WorldBankCMSScope_SLM -CMS &amp; Storefront PM Workbook_Commissioning System Implementation_Project Workbook_06_10_2011 2" xfId="4354" xr:uid="{00000000-0005-0000-0000-0000A8100000}"/>
    <cellStyle name="_20061027Holux_WorldBankCMSScope_SLM -CMS &amp; Storefront PM Workbook_Commissioning System Implementation_Project Workbook_06_10_2011 3" xfId="4355" xr:uid="{00000000-0005-0000-0000-0000A9100000}"/>
    <cellStyle name="_20061027Holux_WorldBankCMSScope_SLM -CMS &amp; Storefront PM Workbook_FairPoint_CampReport" xfId="4356" xr:uid="{00000000-0005-0000-0000-0000AA100000}"/>
    <cellStyle name="_20061027Holux_WorldBankCMSScope_SLM -CMS &amp; Storefront PM Workbook_FairPoint_CampReport 2" xfId="4357" xr:uid="{00000000-0005-0000-0000-0000AB100000}"/>
    <cellStyle name="_20061027Holux_WorldBankCMSScope_SLM -CMS &amp; Storefront PM Workbook_FairPoint_CampReport 3" xfId="4358" xr:uid="{00000000-0005-0000-0000-0000AC100000}"/>
    <cellStyle name="_20061027Holux_WorldBankCMSScope_SLM -CMS &amp; Storefront PM Workbook_FairPoint_FP comTechOps_ProgramWorkbook" xfId="4359" xr:uid="{00000000-0005-0000-0000-0000AD100000}"/>
    <cellStyle name="_20061027Holux_WorldBankCMSScope_SLM -CMS &amp; Storefront PM Workbook_FairPoint_FP comTechOps_ProgramWorkbook 2" xfId="4360" xr:uid="{00000000-0005-0000-0000-0000AE100000}"/>
    <cellStyle name="_20061027Holux_WorldBankCMSScope_SLM -CMS &amp; Storefront PM Workbook_FairPoint_FP comTechOps_ProgramWorkbook 3" xfId="4361" xr:uid="{00000000-0005-0000-0000-0000AF100000}"/>
    <cellStyle name="_20061027Holux_WorldBankCMSScope_SLM -CMS &amp; Storefront PM Workbook_FairPoint_FP comTechOps_ProgramWorkbook_sachin" xfId="4362" xr:uid="{00000000-0005-0000-0000-0000B0100000}"/>
    <cellStyle name="_20061027Holux_WorldBankCMSScope_SLM -CMS &amp; Storefront PM Workbook_FairPoint_FP comTechOps_ProgramWorkbook_sachin 2" xfId="4363" xr:uid="{00000000-0005-0000-0000-0000B1100000}"/>
    <cellStyle name="_20061027Holux_WorldBankCMSScope_SLM -CMS &amp; Storefront PM Workbook_FairPoint_FP comTechOps_ProgramWorkbook_sachin 3" xfId="4364" xr:uid="{00000000-0005-0000-0000-0000B2100000}"/>
    <cellStyle name="_20061027Holux_WorldBankCMSScope_SLM -CMS &amp; Storefront PM Workbook_FairPoint_FP comTechOps_ProgramWorkbook_sachin_v1" xfId="4365" xr:uid="{00000000-0005-0000-0000-0000B3100000}"/>
    <cellStyle name="_20061027Holux_WorldBankCMSScope_SLM -CMS &amp; Storefront PM Workbook_FairPoint_FP comTechOps_ProgramWorkbook_sachin_v1 2" xfId="4366" xr:uid="{00000000-0005-0000-0000-0000B4100000}"/>
    <cellStyle name="_20061027Holux_WorldBankCMSScope_SLM -CMS &amp; Storefront PM Workbook_FairPoint_FP comTechOps_ProgramWorkbook_sachin_v1 3" xfId="4367" xr:uid="{00000000-0005-0000-0000-0000B5100000}"/>
    <cellStyle name="_20061027Holux_WorldBankCMSScope_SLM -CMS &amp; Storefront PM Workbook_FP_CAMP&amp;ITReporting_Maintenance_Dashboard" xfId="4368" xr:uid="{00000000-0005-0000-0000-0000B6100000}"/>
    <cellStyle name="_20061027Holux_WorldBankCMSScope_SLM -CMS &amp; Storefront PM Workbook_FP_CAMP&amp;ITReporting_Maintenance_Dashboard 2" xfId="4369" xr:uid="{00000000-0005-0000-0000-0000B7100000}"/>
    <cellStyle name="_20061027Holux_WorldBankCMSScope_SLM -CMS &amp; Storefront PM Workbook_FP_CAMP&amp;ITReporting_Maintenance_Dashboard 3" xfId="4370" xr:uid="{00000000-0005-0000-0000-0000B8100000}"/>
    <cellStyle name="_20061027Holux_WorldBankCMSScope_SLM -CMS &amp; Storefront PM Workbook_FP_CAMPITReporting_Maintenance_Dashboard" xfId="4371" xr:uid="{00000000-0005-0000-0000-0000B9100000}"/>
    <cellStyle name="_20061027Holux_WorldBankCMSScope_SLM -CMS &amp; Storefront PM Workbook_FP_CAMPITReporting_Maintenance_Dashboard 2" xfId="4372" xr:uid="{00000000-0005-0000-0000-0000BA100000}"/>
    <cellStyle name="_20061027Holux_WorldBankCMSScope_SLM -CMS &amp; Storefront PM Workbook_FP_CAMPITReporting_Maintenance_Dashboard 3" xfId="4373" xr:uid="{00000000-0005-0000-0000-0000BB100000}"/>
    <cellStyle name="_20061027Holux_WorldBankCMSScope_SLM -CMS &amp; Storefront PM Workbook_FP_Commissions_Req_Dn_ProgramWorkBook_10-Dec-2010" xfId="4374" xr:uid="{00000000-0005-0000-0000-0000BC100000}"/>
    <cellStyle name="_20061027Holux_WorldBankCMSScope_SLM -CMS &amp; Storefront PM Workbook_FP_Commissions_Req_Dn_ProgramWorkBook_10-Dec-2010 2" xfId="4375" xr:uid="{00000000-0005-0000-0000-0000BD100000}"/>
    <cellStyle name="_20061027Holux_WorldBankCMSScope_SLM -CMS &amp; Storefront PM Workbook_FP_Commissions_Req_Dn_ProgramWorkBook_10-Dec-2010 3" xfId="4376" xr:uid="{00000000-0005-0000-0000-0000BE100000}"/>
    <cellStyle name="_20061027Holux_WorldBankCMSScope_SLM -CMS &amp; Storefront PM Workbook_FP_DW_Impl_ProgramWorkBook_07-Jan-2011" xfId="4377" xr:uid="{00000000-0005-0000-0000-0000BF100000}"/>
    <cellStyle name="_20061027Holux_WorldBankCMSScope_SLM -CMS &amp; Storefront PM Workbook_FP_DW_Impl_ProgramWorkBook_07-Jan-2011 2" xfId="4378" xr:uid="{00000000-0005-0000-0000-0000C0100000}"/>
    <cellStyle name="_20061027Holux_WorldBankCMSScope_SLM -CMS &amp; Storefront PM Workbook_FP_DW_Impl_ProgramWorkBook_07-Jan-2011 2 2" xfId="4379" xr:uid="{00000000-0005-0000-0000-0000C1100000}"/>
    <cellStyle name="_20061027Holux_WorldBankCMSScope_SLM -CMS &amp; Storefront PM Workbook_FP_DW_Impl_ProgramWorkBook_07-Jan-2011 2 3" xfId="4380" xr:uid="{00000000-0005-0000-0000-0000C2100000}"/>
    <cellStyle name="_20061027Holux_WorldBankCMSScope_SLM -CMS &amp; Storefront PM Workbook_FP_DW_Impl_ProgramWorkBook_07-Jan-2011 3" xfId="4381" xr:uid="{00000000-0005-0000-0000-0000C3100000}"/>
    <cellStyle name="_20061027Holux_WorldBankCMSScope_SLM -CMS &amp; Storefront PM Workbook_FP_DW_Impl_ProgramWorkBook_07-Jan-2011 4" xfId="4382" xr:uid="{00000000-0005-0000-0000-0000C4100000}"/>
    <cellStyle name="_20061027Holux_WorldBankCMSScope_SLM -CMS &amp; Storefront PM Workbook_FP_DW_Impl_ProgramWorkBook_11-Feb-2011" xfId="4383" xr:uid="{00000000-0005-0000-0000-0000C5100000}"/>
    <cellStyle name="_20061027Holux_WorldBankCMSScope_SLM -CMS &amp; Storefront PM Workbook_FP_DW_Impl_ProgramWorkBook_11-Feb-2011 2" xfId="4384" xr:uid="{00000000-0005-0000-0000-0000C6100000}"/>
    <cellStyle name="_20061027Holux_WorldBankCMSScope_SLM -CMS &amp; Storefront PM Workbook_FP_DW_Impl_ProgramWorkBook_11-Feb-2011 3" xfId="4385" xr:uid="{00000000-0005-0000-0000-0000C7100000}"/>
    <cellStyle name="_20061027Holux_WorldBankCMSScope_SLM -CMS &amp; Storefront PM Workbook_FP_DW_Impl_ProgramWorkBook_18-Feb-2011 - Working" xfId="4386" xr:uid="{00000000-0005-0000-0000-0000C8100000}"/>
    <cellStyle name="_20061027Holux_WorldBankCMSScope_SLM -CMS &amp; Storefront PM Workbook_FP_DW_Impl_ProgramWorkBook_18-Feb-2011 - Working 2" xfId="4387" xr:uid="{00000000-0005-0000-0000-0000C9100000}"/>
    <cellStyle name="_20061027Holux_WorldBankCMSScope_SLM -CMS &amp; Storefront PM Workbook_FP_DW_Impl_ProgramWorkBook_18-Feb-2011 - Working 3" xfId="4388" xr:uid="{00000000-0005-0000-0000-0000CA100000}"/>
    <cellStyle name="_20061027Holux_WorldBankCMSScope_SLM -CMS &amp; Storefront PM Workbook_FP_EnterprisePortal_ProgramWorkbook" xfId="4389" xr:uid="{00000000-0005-0000-0000-0000CB100000}"/>
    <cellStyle name="_20061027Holux_WorldBankCMSScope_SLM -CMS &amp; Storefront PM Workbook_FP_EnterprisePortal_ProgramWorkbook 2" xfId="4390" xr:uid="{00000000-0005-0000-0000-0000CC100000}"/>
    <cellStyle name="_20061027Holux_WorldBankCMSScope_SLM -CMS &amp; Storefront PM Workbook_FP_EnterprisePortal_ProgramWorkbook 3" xfId="4391" xr:uid="{00000000-0005-0000-0000-0000CD100000}"/>
    <cellStyle name="_20061027Holux_WorldBankCMSScope_SLM -CMS &amp; Storefront PM Workbook_FP_SAP_MLP v2" xfId="4392" xr:uid="{00000000-0005-0000-0000-0000CE100000}"/>
    <cellStyle name="_20061027Holux_WorldBankCMSScope_SLM -CMS &amp; Storefront PM Workbook_FP_SAP_MLP v2 2" xfId="4393" xr:uid="{00000000-0005-0000-0000-0000CF100000}"/>
    <cellStyle name="_20061027Holux_WorldBankCMSScope_SLM -CMS &amp; Storefront PM Workbook_FP_SAP_MLP v2 3" xfId="4394" xr:uid="{00000000-0005-0000-0000-0000D0100000}"/>
    <cellStyle name="_20061027Holux_WorldBankCMSScope_SLM -CMS &amp; Storefront PM Workbook_KeyDecisions" xfId="4395" xr:uid="{00000000-0005-0000-0000-0000D1100000}"/>
    <cellStyle name="_20061027Holux_WorldBankCMSScope_SLM -CMS &amp; Storefront PM Workbook_KeyDecisions 2" xfId="4396" xr:uid="{00000000-0005-0000-0000-0000D2100000}"/>
    <cellStyle name="_20061027Holux_WorldBankCMSScope_SLM -CMS &amp; Storefront PM Workbook_KeyDecisions 3" xfId="4397" xr:uid="{00000000-0005-0000-0000-0000D3100000}"/>
    <cellStyle name="_20061027Holux_WorldBankCMSScope_SLM -CMS &amp; Storefront PM Workbook_Sophia_Imp_ProjectWorkBook_02_18_2011" xfId="4398" xr:uid="{00000000-0005-0000-0000-0000D4100000}"/>
    <cellStyle name="_20061027Holux_WorldBankCMSScope_SLM -CMS &amp; Storefront PM Workbook_Sophia_Imp_ProjectWorkBook_02_18_2011 2" xfId="4399" xr:uid="{00000000-0005-0000-0000-0000D5100000}"/>
    <cellStyle name="_20061027Holux_WorldBankCMSScope_SLM -CMS &amp; Storefront PM Workbook_Sophia_Imp_ProjectWorkBook_02_18_2011 3" xfId="4400" xr:uid="{00000000-0005-0000-0000-0000D6100000}"/>
    <cellStyle name="_20061027Holux_WorldBankCMSScope_SLM -CMS &amp; Storefront PM Workbook_t" xfId="4401" xr:uid="{00000000-0005-0000-0000-0000D7100000}"/>
    <cellStyle name="_20061027Holux_WorldBankCMSScope_SLM -CMS &amp; Storefront PM Workbook_t 2" xfId="4402" xr:uid="{00000000-0005-0000-0000-0000D8100000}"/>
    <cellStyle name="_20061027Holux_WorldBankCMSScope_SLM -CMS &amp; Storefront PM Workbook_t 3" xfId="4403" xr:uid="{00000000-0005-0000-0000-0000D9100000}"/>
    <cellStyle name="_20061027Holux_WorldBankCMSScope_slm_llp_0520" xfId="4404" xr:uid="{00000000-0005-0000-0000-0000DA100000}"/>
    <cellStyle name="_20061027Holux_WorldBankCMSScope_slm_llp_0520 2" xfId="4405" xr:uid="{00000000-0005-0000-0000-0000DB100000}"/>
    <cellStyle name="_20061027Holux_WorldBankCMSScope_slm_llp_0520 2 2" xfId="4406" xr:uid="{00000000-0005-0000-0000-0000DC100000}"/>
    <cellStyle name="_20061027Holux_WorldBankCMSScope_slm_llp_0520 2 3" xfId="4407" xr:uid="{00000000-0005-0000-0000-0000DD100000}"/>
    <cellStyle name="_20061027Holux_WorldBankCMSScope_slm_llp_0520 3" xfId="4408" xr:uid="{00000000-0005-0000-0000-0000DE100000}"/>
    <cellStyle name="_20061027Holux_WorldBankCMSScope_slm_llp_0520 4" xfId="4409" xr:uid="{00000000-0005-0000-0000-0000DF100000}"/>
    <cellStyle name="_20061027Holux_WorldBankCMSScope_slm_llp_0520_Commissioning System Implementation_Project Workbook_06_10_2011" xfId="4410" xr:uid="{00000000-0005-0000-0000-0000E0100000}"/>
    <cellStyle name="_20061027Holux_WorldBankCMSScope_slm_llp_0520_Commissioning System Implementation_Project Workbook_06_10_2011 2" xfId="4411" xr:uid="{00000000-0005-0000-0000-0000E1100000}"/>
    <cellStyle name="_20061027Holux_WorldBankCMSScope_slm_llp_0520_Commissioning System Implementation_Project Workbook_06_10_2011 3" xfId="4412" xr:uid="{00000000-0005-0000-0000-0000E2100000}"/>
    <cellStyle name="_20061027Holux_WorldBankCMSScope_slm_llp_0520_FairPoint_CampReport" xfId="4413" xr:uid="{00000000-0005-0000-0000-0000E3100000}"/>
    <cellStyle name="_20061027Holux_WorldBankCMSScope_slm_llp_0520_FairPoint_CampReport 2" xfId="4414" xr:uid="{00000000-0005-0000-0000-0000E4100000}"/>
    <cellStyle name="_20061027Holux_WorldBankCMSScope_slm_llp_0520_FairPoint_CampReport 3" xfId="4415" xr:uid="{00000000-0005-0000-0000-0000E5100000}"/>
    <cellStyle name="_20061027Holux_WorldBankCMSScope_slm_llp_0520_FairPoint_FP comTechOps_ProgramWorkbook" xfId="4416" xr:uid="{00000000-0005-0000-0000-0000E6100000}"/>
    <cellStyle name="_20061027Holux_WorldBankCMSScope_slm_llp_0520_FairPoint_FP comTechOps_ProgramWorkbook 2" xfId="4417" xr:uid="{00000000-0005-0000-0000-0000E7100000}"/>
    <cellStyle name="_20061027Holux_WorldBankCMSScope_slm_llp_0520_FairPoint_FP comTechOps_ProgramWorkbook 3" xfId="4418" xr:uid="{00000000-0005-0000-0000-0000E8100000}"/>
    <cellStyle name="_20061027Holux_WorldBankCMSScope_slm_llp_0520_FairPoint_FP comTechOps_ProgramWorkbook_sachin" xfId="4419" xr:uid="{00000000-0005-0000-0000-0000E9100000}"/>
    <cellStyle name="_20061027Holux_WorldBankCMSScope_slm_llp_0520_FairPoint_FP comTechOps_ProgramWorkbook_sachin 2" xfId="4420" xr:uid="{00000000-0005-0000-0000-0000EA100000}"/>
    <cellStyle name="_20061027Holux_WorldBankCMSScope_slm_llp_0520_FairPoint_FP comTechOps_ProgramWorkbook_sachin 3" xfId="4421" xr:uid="{00000000-0005-0000-0000-0000EB100000}"/>
    <cellStyle name="_20061027Holux_WorldBankCMSScope_slm_llp_0520_FairPoint_FP comTechOps_ProgramWorkbook_sachin_v1" xfId="4422" xr:uid="{00000000-0005-0000-0000-0000EC100000}"/>
    <cellStyle name="_20061027Holux_WorldBankCMSScope_slm_llp_0520_FairPoint_FP comTechOps_ProgramWorkbook_sachin_v1 2" xfId="4423" xr:uid="{00000000-0005-0000-0000-0000ED100000}"/>
    <cellStyle name="_20061027Holux_WorldBankCMSScope_slm_llp_0520_FairPoint_FP comTechOps_ProgramWorkbook_sachin_v1 3" xfId="4424" xr:uid="{00000000-0005-0000-0000-0000EE100000}"/>
    <cellStyle name="_20061027Holux_WorldBankCMSScope_slm_llp_0520_FP_CAMP&amp;ITReporting_Maintenance_Dashboard" xfId="4425" xr:uid="{00000000-0005-0000-0000-0000EF100000}"/>
    <cellStyle name="_20061027Holux_WorldBankCMSScope_slm_llp_0520_FP_CAMP&amp;ITReporting_Maintenance_Dashboard 2" xfId="4426" xr:uid="{00000000-0005-0000-0000-0000F0100000}"/>
    <cellStyle name="_20061027Holux_WorldBankCMSScope_slm_llp_0520_FP_CAMP&amp;ITReporting_Maintenance_Dashboard 3" xfId="4427" xr:uid="{00000000-0005-0000-0000-0000F1100000}"/>
    <cellStyle name="_20061027Holux_WorldBankCMSScope_slm_llp_0520_FP_CAMPITReporting_Maintenance_Dashboard" xfId="4428" xr:uid="{00000000-0005-0000-0000-0000F2100000}"/>
    <cellStyle name="_20061027Holux_WorldBankCMSScope_slm_llp_0520_FP_CAMPITReporting_Maintenance_Dashboard 2" xfId="4429" xr:uid="{00000000-0005-0000-0000-0000F3100000}"/>
    <cellStyle name="_20061027Holux_WorldBankCMSScope_slm_llp_0520_FP_CAMPITReporting_Maintenance_Dashboard 3" xfId="4430" xr:uid="{00000000-0005-0000-0000-0000F4100000}"/>
    <cellStyle name="_20061027Holux_WorldBankCMSScope_slm_llp_0520_FP_Commissions_Req_Dn_ProgramWorkBook_10-Dec-2010" xfId="4431" xr:uid="{00000000-0005-0000-0000-0000F5100000}"/>
    <cellStyle name="_20061027Holux_WorldBankCMSScope_slm_llp_0520_FP_Commissions_Req_Dn_ProgramWorkBook_10-Dec-2010 2" xfId="4432" xr:uid="{00000000-0005-0000-0000-0000F6100000}"/>
    <cellStyle name="_20061027Holux_WorldBankCMSScope_slm_llp_0520_FP_Commissions_Req_Dn_ProgramWorkBook_10-Dec-2010 3" xfId="4433" xr:uid="{00000000-0005-0000-0000-0000F7100000}"/>
    <cellStyle name="_20061027Holux_WorldBankCMSScope_slm_llp_0520_FP_DW_Impl_ProgramWorkBook_07-Jan-2011" xfId="4434" xr:uid="{00000000-0005-0000-0000-0000F8100000}"/>
    <cellStyle name="_20061027Holux_WorldBankCMSScope_slm_llp_0520_FP_DW_Impl_ProgramWorkBook_07-Jan-2011 2" xfId="4435" xr:uid="{00000000-0005-0000-0000-0000F9100000}"/>
    <cellStyle name="_20061027Holux_WorldBankCMSScope_slm_llp_0520_FP_DW_Impl_ProgramWorkBook_07-Jan-2011 2 2" xfId="4436" xr:uid="{00000000-0005-0000-0000-0000FA100000}"/>
    <cellStyle name="_20061027Holux_WorldBankCMSScope_slm_llp_0520_FP_DW_Impl_ProgramWorkBook_07-Jan-2011 2 3" xfId="4437" xr:uid="{00000000-0005-0000-0000-0000FB100000}"/>
    <cellStyle name="_20061027Holux_WorldBankCMSScope_slm_llp_0520_FP_DW_Impl_ProgramWorkBook_07-Jan-2011 3" xfId="4438" xr:uid="{00000000-0005-0000-0000-0000FC100000}"/>
    <cellStyle name="_20061027Holux_WorldBankCMSScope_slm_llp_0520_FP_DW_Impl_ProgramWorkBook_07-Jan-2011 4" xfId="4439" xr:uid="{00000000-0005-0000-0000-0000FD100000}"/>
    <cellStyle name="_20061027Holux_WorldBankCMSScope_slm_llp_0520_FP_DW_Impl_ProgramWorkBook_11-Feb-2011" xfId="4440" xr:uid="{00000000-0005-0000-0000-0000FE100000}"/>
    <cellStyle name="_20061027Holux_WorldBankCMSScope_slm_llp_0520_FP_DW_Impl_ProgramWorkBook_11-Feb-2011 2" xfId="4441" xr:uid="{00000000-0005-0000-0000-0000FF100000}"/>
    <cellStyle name="_20061027Holux_WorldBankCMSScope_slm_llp_0520_FP_DW_Impl_ProgramWorkBook_11-Feb-2011 3" xfId="4442" xr:uid="{00000000-0005-0000-0000-000000110000}"/>
    <cellStyle name="_20061027Holux_WorldBankCMSScope_slm_llp_0520_FP_DW_Impl_ProgramWorkBook_18-Feb-2011 - Working" xfId="4443" xr:uid="{00000000-0005-0000-0000-000001110000}"/>
    <cellStyle name="_20061027Holux_WorldBankCMSScope_slm_llp_0520_FP_DW_Impl_ProgramWorkBook_18-Feb-2011 - Working 2" xfId="4444" xr:uid="{00000000-0005-0000-0000-000002110000}"/>
    <cellStyle name="_20061027Holux_WorldBankCMSScope_slm_llp_0520_FP_DW_Impl_ProgramWorkBook_18-Feb-2011 - Working 3" xfId="4445" xr:uid="{00000000-0005-0000-0000-000003110000}"/>
    <cellStyle name="_20061027Holux_WorldBankCMSScope_slm_llp_0520_FP_EnterprisePortal_ProgramWorkbook" xfId="4446" xr:uid="{00000000-0005-0000-0000-000004110000}"/>
    <cellStyle name="_20061027Holux_WorldBankCMSScope_slm_llp_0520_FP_EnterprisePortal_ProgramWorkbook 2" xfId="4447" xr:uid="{00000000-0005-0000-0000-000005110000}"/>
    <cellStyle name="_20061027Holux_WorldBankCMSScope_slm_llp_0520_FP_EnterprisePortal_ProgramWorkbook 3" xfId="4448" xr:uid="{00000000-0005-0000-0000-000006110000}"/>
    <cellStyle name="_20061027Holux_WorldBankCMSScope_slm_llp_0520_FP_SAP_MLP v2" xfId="4449" xr:uid="{00000000-0005-0000-0000-000007110000}"/>
    <cellStyle name="_20061027Holux_WorldBankCMSScope_slm_llp_0520_FP_SAP_MLP v2 2" xfId="4450" xr:uid="{00000000-0005-0000-0000-000008110000}"/>
    <cellStyle name="_20061027Holux_WorldBankCMSScope_slm_llp_0520_FP_SAP_MLP v2 3" xfId="4451" xr:uid="{00000000-0005-0000-0000-000009110000}"/>
    <cellStyle name="_20061027Holux_WorldBankCMSScope_slm_llp_0520_KeyDecisions" xfId="4452" xr:uid="{00000000-0005-0000-0000-00000A110000}"/>
    <cellStyle name="_20061027Holux_WorldBankCMSScope_slm_llp_0520_KeyDecisions 2" xfId="4453" xr:uid="{00000000-0005-0000-0000-00000B110000}"/>
    <cellStyle name="_20061027Holux_WorldBankCMSScope_slm_llp_0520_KeyDecisions 3" xfId="4454" xr:uid="{00000000-0005-0000-0000-00000C110000}"/>
    <cellStyle name="_20061027Holux_WorldBankCMSScope_slm_llp_0520_Sophia_Imp_ProjectWorkBook_02_18_2011" xfId="4455" xr:uid="{00000000-0005-0000-0000-00000D110000}"/>
    <cellStyle name="_20061027Holux_WorldBankCMSScope_slm_llp_0520_Sophia_Imp_ProjectWorkBook_02_18_2011 2" xfId="4456" xr:uid="{00000000-0005-0000-0000-00000E110000}"/>
    <cellStyle name="_20061027Holux_WorldBankCMSScope_slm_llp_0520_Sophia_Imp_ProjectWorkBook_02_18_2011 3" xfId="4457" xr:uid="{00000000-0005-0000-0000-00000F110000}"/>
    <cellStyle name="_20061027Holux_WorldBankCMSScope_slm_llp_0520_t" xfId="4458" xr:uid="{00000000-0005-0000-0000-000010110000}"/>
    <cellStyle name="_20061027Holux_WorldBankCMSScope_slm_llp_0520_t 2" xfId="4459" xr:uid="{00000000-0005-0000-0000-000011110000}"/>
    <cellStyle name="_20061027Holux_WorldBankCMSScope_slm_llp_0520_t 3" xfId="4460" xr:uid="{00000000-0005-0000-0000-000012110000}"/>
    <cellStyle name="_20061027Holux_WorldBankCMSScope_SLM_PM_Workbook_053110" xfId="4461" xr:uid="{00000000-0005-0000-0000-000013110000}"/>
    <cellStyle name="_20061027Holux_WorldBankCMSScope_SLM_PM_Workbook_053110 2" xfId="4462" xr:uid="{00000000-0005-0000-0000-000014110000}"/>
    <cellStyle name="_20061027Holux_WorldBankCMSScope_SLM_PM_Workbook_053110 2 2" xfId="4463" xr:uid="{00000000-0005-0000-0000-000015110000}"/>
    <cellStyle name="_20061027Holux_WorldBankCMSScope_SLM_PM_Workbook_053110 2 3" xfId="4464" xr:uid="{00000000-0005-0000-0000-000016110000}"/>
    <cellStyle name="_20061027Holux_WorldBankCMSScope_SLM_PM_Workbook_053110 3" xfId="4465" xr:uid="{00000000-0005-0000-0000-000017110000}"/>
    <cellStyle name="_20061027Holux_WorldBankCMSScope_SLM_PM_Workbook_053110 4" xfId="4466" xr:uid="{00000000-0005-0000-0000-000018110000}"/>
    <cellStyle name="_20061027Holux_WorldBankCMSScope_SLM_PM_Workbook_053110_Commissioning System Implementation_Project Workbook_06_10_2011" xfId="4467" xr:uid="{00000000-0005-0000-0000-000019110000}"/>
    <cellStyle name="_20061027Holux_WorldBankCMSScope_SLM_PM_Workbook_053110_Commissioning System Implementation_Project Workbook_06_10_2011 2" xfId="4468" xr:uid="{00000000-0005-0000-0000-00001A110000}"/>
    <cellStyle name="_20061027Holux_WorldBankCMSScope_SLM_PM_Workbook_053110_Commissioning System Implementation_Project Workbook_06_10_2011 3" xfId="4469" xr:uid="{00000000-0005-0000-0000-00001B110000}"/>
    <cellStyle name="_20061027Holux_WorldBankCMSScope_SLM_PM_Workbook_053110_FairPoint_CampReport" xfId="4470" xr:uid="{00000000-0005-0000-0000-00001C110000}"/>
    <cellStyle name="_20061027Holux_WorldBankCMSScope_SLM_PM_Workbook_053110_FairPoint_CampReport 2" xfId="4471" xr:uid="{00000000-0005-0000-0000-00001D110000}"/>
    <cellStyle name="_20061027Holux_WorldBankCMSScope_SLM_PM_Workbook_053110_FairPoint_CampReport 3" xfId="4472" xr:uid="{00000000-0005-0000-0000-00001E110000}"/>
    <cellStyle name="_20061027Holux_WorldBankCMSScope_SLM_PM_Workbook_053110_FairPoint_FP comTechOps_ProgramWorkbook" xfId="4473" xr:uid="{00000000-0005-0000-0000-00001F110000}"/>
    <cellStyle name="_20061027Holux_WorldBankCMSScope_SLM_PM_Workbook_053110_FairPoint_FP comTechOps_ProgramWorkbook 2" xfId="4474" xr:uid="{00000000-0005-0000-0000-000020110000}"/>
    <cellStyle name="_20061027Holux_WorldBankCMSScope_SLM_PM_Workbook_053110_FairPoint_FP comTechOps_ProgramWorkbook 3" xfId="4475" xr:uid="{00000000-0005-0000-0000-000021110000}"/>
    <cellStyle name="_20061027Holux_WorldBankCMSScope_SLM_PM_Workbook_053110_FairPoint_FP comTechOps_ProgramWorkbook_sachin" xfId="4476" xr:uid="{00000000-0005-0000-0000-000022110000}"/>
    <cellStyle name="_20061027Holux_WorldBankCMSScope_SLM_PM_Workbook_053110_FairPoint_FP comTechOps_ProgramWorkbook_sachin 2" xfId="4477" xr:uid="{00000000-0005-0000-0000-000023110000}"/>
    <cellStyle name="_20061027Holux_WorldBankCMSScope_SLM_PM_Workbook_053110_FairPoint_FP comTechOps_ProgramWorkbook_sachin 3" xfId="4478" xr:uid="{00000000-0005-0000-0000-000024110000}"/>
    <cellStyle name="_20061027Holux_WorldBankCMSScope_SLM_PM_Workbook_053110_FairPoint_FP comTechOps_ProgramWorkbook_sachin_v1" xfId="4479" xr:uid="{00000000-0005-0000-0000-000025110000}"/>
    <cellStyle name="_20061027Holux_WorldBankCMSScope_SLM_PM_Workbook_053110_FairPoint_FP comTechOps_ProgramWorkbook_sachin_v1 2" xfId="4480" xr:uid="{00000000-0005-0000-0000-000026110000}"/>
    <cellStyle name="_20061027Holux_WorldBankCMSScope_SLM_PM_Workbook_053110_FairPoint_FP comTechOps_ProgramWorkbook_sachin_v1 3" xfId="4481" xr:uid="{00000000-0005-0000-0000-000027110000}"/>
    <cellStyle name="_20061027Holux_WorldBankCMSScope_SLM_PM_Workbook_053110_FP_CAMP&amp;ITReporting_Maintenance_Dashboard" xfId="4482" xr:uid="{00000000-0005-0000-0000-000028110000}"/>
    <cellStyle name="_20061027Holux_WorldBankCMSScope_SLM_PM_Workbook_053110_FP_CAMP&amp;ITReporting_Maintenance_Dashboard 2" xfId="4483" xr:uid="{00000000-0005-0000-0000-000029110000}"/>
    <cellStyle name="_20061027Holux_WorldBankCMSScope_SLM_PM_Workbook_053110_FP_CAMP&amp;ITReporting_Maintenance_Dashboard 3" xfId="4484" xr:uid="{00000000-0005-0000-0000-00002A110000}"/>
    <cellStyle name="_20061027Holux_WorldBankCMSScope_SLM_PM_Workbook_053110_FP_CAMPITReporting_Maintenance_Dashboard" xfId="4485" xr:uid="{00000000-0005-0000-0000-00002B110000}"/>
    <cellStyle name="_20061027Holux_WorldBankCMSScope_SLM_PM_Workbook_053110_FP_CAMPITReporting_Maintenance_Dashboard 2" xfId="4486" xr:uid="{00000000-0005-0000-0000-00002C110000}"/>
    <cellStyle name="_20061027Holux_WorldBankCMSScope_SLM_PM_Workbook_053110_FP_CAMPITReporting_Maintenance_Dashboard 3" xfId="4487" xr:uid="{00000000-0005-0000-0000-00002D110000}"/>
    <cellStyle name="_20061027Holux_WorldBankCMSScope_SLM_PM_Workbook_053110_FP_Commissions_Req_Dn_ProgramWorkBook_10-Dec-2010" xfId="4488" xr:uid="{00000000-0005-0000-0000-00002E110000}"/>
    <cellStyle name="_20061027Holux_WorldBankCMSScope_SLM_PM_Workbook_053110_FP_Commissions_Req_Dn_ProgramWorkBook_10-Dec-2010 2" xfId="4489" xr:uid="{00000000-0005-0000-0000-00002F110000}"/>
    <cellStyle name="_20061027Holux_WorldBankCMSScope_SLM_PM_Workbook_053110_FP_Commissions_Req_Dn_ProgramWorkBook_10-Dec-2010 3" xfId="4490" xr:uid="{00000000-0005-0000-0000-000030110000}"/>
    <cellStyle name="_20061027Holux_WorldBankCMSScope_SLM_PM_Workbook_053110_FP_DW_Impl_ProgramWorkBook_07-Jan-2011" xfId="4491" xr:uid="{00000000-0005-0000-0000-000031110000}"/>
    <cellStyle name="_20061027Holux_WorldBankCMSScope_SLM_PM_Workbook_053110_FP_DW_Impl_ProgramWorkBook_07-Jan-2011 2" xfId="4492" xr:uid="{00000000-0005-0000-0000-000032110000}"/>
    <cellStyle name="_20061027Holux_WorldBankCMSScope_SLM_PM_Workbook_053110_FP_DW_Impl_ProgramWorkBook_07-Jan-2011 2 2" xfId="4493" xr:uid="{00000000-0005-0000-0000-000033110000}"/>
    <cellStyle name="_20061027Holux_WorldBankCMSScope_SLM_PM_Workbook_053110_FP_DW_Impl_ProgramWorkBook_07-Jan-2011 2 3" xfId="4494" xr:uid="{00000000-0005-0000-0000-000034110000}"/>
    <cellStyle name="_20061027Holux_WorldBankCMSScope_SLM_PM_Workbook_053110_FP_DW_Impl_ProgramWorkBook_07-Jan-2011 3" xfId="4495" xr:uid="{00000000-0005-0000-0000-000035110000}"/>
    <cellStyle name="_20061027Holux_WorldBankCMSScope_SLM_PM_Workbook_053110_FP_DW_Impl_ProgramWorkBook_07-Jan-2011 4" xfId="4496" xr:uid="{00000000-0005-0000-0000-000036110000}"/>
    <cellStyle name="_20061027Holux_WorldBankCMSScope_SLM_PM_Workbook_053110_FP_DW_Impl_ProgramWorkBook_11-Feb-2011" xfId="4497" xr:uid="{00000000-0005-0000-0000-000037110000}"/>
    <cellStyle name="_20061027Holux_WorldBankCMSScope_SLM_PM_Workbook_053110_FP_DW_Impl_ProgramWorkBook_11-Feb-2011 2" xfId="4498" xr:uid="{00000000-0005-0000-0000-000038110000}"/>
    <cellStyle name="_20061027Holux_WorldBankCMSScope_SLM_PM_Workbook_053110_FP_DW_Impl_ProgramWorkBook_11-Feb-2011 3" xfId="4499" xr:uid="{00000000-0005-0000-0000-000039110000}"/>
    <cellStyle name="_20061027Holux_WorldBankCMSScope_SLM_PM_Workbook_053110_FP_DW_Impl_ProgramWorkBook_18-Feb-2011 - Working" xfId="4500" xr:uid="{00000000-0005-0000-0000-00003A110000}"/>
    <cellStyle name="_20061027Holux_WorldBankCMSScope_SLM_PM_Workbook_053110_FP_DW_Impl_ProgramWorkBook_18-Feb-2011 - Working 2" xfId="4501" xr:uid="{00000000-0005-0000-0000-00003B110000}"/>
    <cellStyle name="_20061027Holux_WorldBankCMSScope_SLM_PM_Workbook_053110_FP_DW_Impl_ProgramWorkBook_18-Feb-2011 - Working 3" xfId="4502" xr:uid="{00000000-0005-0000-0000-00003C110000}"/>
    <cellStyle name="_20061027Holux_WorldBankCMSScope_SLM_PM_Workbook_053110_FP_EnterprisePortal_ProgramWorkbook" xfId="4503" xr:uid="{00000000-0005-0000-0000-00003D110000}"/>
    <cellStyle name="_20061027Holux_WorldBankCMSScope_SLM_PM_Workbook_053110_FP_EnterprisePortal_ProgramWorkbook 2" xfId="4504" xr:uid="{00000000-0005-0000-0000-00003E110000}"/>
    <cellStyle name="_20061027Holux_WorldBankCMSScope_SLM_PM_Workbook_053110_FP_EnterprisePortal_ProgramWorkbook 3" xfId="4505" xr:uid="{00000000-0005-0000-0000-00003F110000}"/>
    <cellStyle name="_20061027Holux_WorldBankCMSScope_SLM_PM_Workbook_053110_FP_SAP_MLP v2" xfId="4506" xr:uid="{00000000-0005-0000-0000-000040110000}"/>
    <cellStyle name="_20061027Holux_WorldBankCMSScope_SLM_PM_Workbook_053110_FP_SAP_MLP v2 2" xfId="4507" xr:uid="{00000000-0005-0000-0000-000041110000}"/>
    <cellStyle name="_20061027Holux_WorldBankCMSScope_SLM_PM_Workbook_053110_FP_SAP_MLP v2 3" xfId="4508" xr:uid="{00000000-0005-0000-0000-000042110000}"/>
    <cellStyle name="_20061027Holux_WorldBankCMSScope_SLM_PM_Workbook_053110_KeyDecisions" xfId="4509" xr:uid="{00000000-0005-0000-0000-000043110000}"/>
    <cellStyle name="_20061027Holux_WorldBankCMSScope_SLM_PM_Workbook_053110_KeyDecisions 2" xfId="4510" xr:uid="{00000000-0005-0000-0000-000044110000}"/>
    <cellStyle name="_20061027Holux_WorldBankCMSScope_SLM_PM_Workbook_053110_KeyDecisions 3" xfId="4511" xr:uid="{00000000-0005-0000-0000-000045110000}"/>
    <cellStyle name="_20061027Holux_WorldBankCMSScope_SLM_PM_Workbook_053110_Sophia_Imp_ProjectWorkBook_02_18_2011" xfId="4512" xr:uid="{00000000-0005-0000-0000-000046110000}"/>
    <cellStyle name="_20061027Holux_WorldBankCMSScope_SLM_PM_Workbook_053110_Sophia_Imp_ProjectWorkBook_02_18_2011 2" xfId="4513" xr:uid="{00000000-0005-0000-0000-000047110000}"/>
    <cellStyle name="_20061027Holux_WorldBankCMSScope_SLM_PM_Workbook_053110_Sophia_Imp_ProjectWorkBook_02_18_2011 3" xfId="4514" xr:uid="{00000000-0005-0000-0000-000048110000}"/>
    <cellStyle name="_20061027Holux_WorldBankCMSScope_SLM_PM_Workbook_053110_t" xfId="4515" xr:uid="{00000000-0005-0000-0000-000049110000}"/>
    <cellStyle name="_20061027Holux_WorldBankCMSScope_SLM_PM_Workbook_053110_t 2" xfId="4516" xr:uid="{00000000-0005-0000-0000-00004A110000}"/>
    <cellStyle name="_20061027Holux_WorldBankCMSScope_SLM_PM_Workbook_053110_t 3" xfId="4517" xr:uid="{00000000-0005-0000-0000-00004B110000}"/>
    <cellStyle name="_20061027Holux_WorldBankCMSScope_SLM_PMO_Workbook_060910" xfId="4518" xr:uid="{00000000-0005-0000-0000-00004C110000}"/>
    <cellStyle name="_20061027Holux_WorldBankCMSScope_SLM_PMO_Workbook_060910 2" xfId="4519" xr:uid="{00000000-0005-0000-0000-00004D110000}"/>
    <cellStyle name="_20061027Holux_WorldBankCMSScope_SLM_PMO_Workbook_060910 2 2" xfId="4520" xr:uid="{00000000-0005-0000-0000-00004E110000}"/>
    <cellStyle name="_20061027Holux_WorldBankCMSScope_SLM_PMO_Workbook_060910 2 3" xfId="4521" xr:uid="{00000000-0005-0000-0000-00004F110000}"/>
    <cellStyle name="_20061027Holux_WorldBankCMSScope_SLM_PMO_Workbook_060910 3" xfId="4522" xr:uid="{00000000-0005-0000-0000-000050110000}"/>
    <cellStyle name="_20061027Holux_WorldBankCMSScope_SLM_PMO_Workbook_060910 4" xfId="4523" xr:uid="{00000000-0005-0000-0000-000051110000}"/>
    <cellStyle name="_20061027Holux_WorldBankCMSScope_SLM_PMO_Workbook_060910_Commissioning System Implementation_Project Workbook_06_10_2011" xfId="4524" xr:uid="{00000000-0005-0000-0000-000052110000}"/>
    <cellStyle name="_20061027Holux_WorldBankCMSScope_SLM_PMO_Workbook_060910_Commissioning System Implementation_Project Workbook_06_10_2011 2" xfId="4525" xr:uid="{00000000-0005-0000-0000-000053110000}"/>
    <cellStyle name="_20061027Holux_WorldBankCMSScope_SLM_PMO_Workbook_060910_Commissioning System Implementation_Project Workbook_06_10_2011 3" xfId="4526" xr:uid="{00000000-0005-0000-0000-000054110000}"/>
    <cellStyle name="_20061027Holux_WorldBankCMSScope_SLM_PMO_Workbook_060910_FairPoint_CampReport" xfId="4527" xr:uid="{00000000-0005-0000-0000-000055110000}"/>
    <cellStyle name="_20061027Holux_WorldBankCMSScope_SLM_PMO_Workbook_060910_FairPoint_CampReport 2" xfId="4528" xr:uid="{00000000-0005-0000-0000-000056110000}"/>
    <cellStyle name="_20061027Holux_WorldBankCMSScope_SLM_PMO_Workbook_060910_FairPoint_CampReport 3" xfId="4529" xr:uid="{00000000-0005-0000-0000-000057110000}"/>
    <cellStyle name="_20061027Holux_WorldBankCMSScope_SLM_PMO_Workbook_060910_FairPoint_FP comTechOps_ProgramWorkbook" xfId="4530" xr:uid="{00000000-0005-0000-0000-000058110000}"/>
    <cellStyle name="_20061027Holux_WorldBankCMSScope_SLM_PMO_Workbook_060910_FairPoint_FP comTechOps_ProgramWorkbook 2" xfId="4531" xr:uid="{00000000-0005-0000-0000-000059110000}"/>
    <cellStyle name="_20061027Holux_WorldBankCMSScope_SLM_PMO_Workbook_060910_FairPoint_FP comTechOps_ProgramWorkbook 3" xfId="4532" xr:uid="{00000000-0005-0000-0000-00005A110000}"/>
    <cellStyle name="_20061027Holux_WorldBankCMSScope_SLM_PMO_Workbook_060910_FairPoint_FP comTechOps_ProgramWorkbook_sachin" xfId="4533" xr:uid="{00000000-0005-0000-0000-00005B110000}"/>
    <cellStyle name="_20061027Holux_WorldBankCMSScope_SLM_PMO_Workbook_060910_FairPoint_FP comTechOps_ProgramWorkbook_sachin 2" xfId="4534" xr:uid="{00000000-0005-0000-0000-00005C110000}"/>
    <cellStyle name="_20061027Holux_WorldBankCMSScope_SLM_PMO_Workbook_060910_FairPoint_FP comTechOps_ProgramWorkbook_sachin 3" xfId="4535" xr:uid="{00000000-0005-0000-0000-00005D110000}"/>
    <cellStyle name="_20061027Holux_WorldBankCMSScope_SLM_PMO_Workbook_060910_FairPoint_FP comTechOps_ProgramWorkbook_sachin_v1" xfId="4536" xr:uid="{00000000-0005-0000-0000-00005E110000}"/>
    <cellStyle name="_20061027Holux_WorldBankCMSScope_SLM_PMO_Workbook_060910_FairPoint_FP comTechOps_ProgramWorkbook_sachin_v1 2" xfId="4537" xr:uid="{00000000-0005-0000-0000-00005F110000}"/>
    <cellStyle name="_20061027Holux_WorldBankCMSScope_SLM_PMO_Workbook_060910_FairPoint_FP comTechOps_ProgramWorkbook_sachin_v1 3" xfId="4538" xr:uid="{00000000-0005-0000-0000-000060110000}"/>
    <cellStyle name="_20061027Holux_WorldBankCMSScope_SLM_PMO_Workbook_060910_FP_CAMP&amp;ITReporting_Maintenance_Dashboard" xfId="4539" xr:uid="{00000000-0005-0000-0000-000061110000}"/>
    <cellStyle name="_20061027Holux_WorldBankCMSScope_SLM_PMO_Workbook_060910_FP_CAMP&amp;ITReporting_Maintenance_Dashboard 2" xfId="4540" xr:uid="{00000000-0005-0000-0000-000062110000}"/>
    <cellStyle name="_20061027Holux_WorldBankCMSScope_SLM_PMO_Workbook_060910_FP_CAMP&amp;ITReporting_Maintenance_Dashboard 3" xfId="4541" xr:uid="{00000000-0005-0000-0000-000063110000}"/>
    <cellStyle name="_20061027Holux_WorldBankCMSScope_SLM_PMO_Workbook_060910_FP_CAMPITReporting_Maintenance_Dashboard" xfId="4542" xr:uid="{00000000-0005-0000-0000-000064110000}"/>
    <cellStyle name="_20061027Holux_WorldBankCMSScope_SLM_PMO_Workbook_060910_FP_CAMPITReporting_Maintenance_Dashboard 2" xfId="4543" xr:uid="{00000000-0005-0000-0000-000065110000}"/>
    <cellStyle name="_20061027Holux_WorldBankCMSScope_SLM_PMO_Workbook_060910_FP_CAMPITReporting_Maintenance_Dashboard 3" xfId="4544" xr:uid="{00000000-0005-0000-0000-000066110000}"/>
    <cellStyle name="_20061027Holux_WorldBankCMSScope_SLM_PMO_Workbook_060910_FP_Commissions_Req_Dn_ProgramWorkBook_10-Dec-2010" xfId="4545" xr:uid="{00000000-0005-0000-0000-000067110000}"/>
    <cellStyle name="_20061027Holux_WorldBankCMSScope_SLM_PMO_Workbook_060910_FP_Commissions_Req_Dn_ProgramWorkBook_10-Dec-2010 2" xfId="4546" xr:uid="{00000000-0005-0000-0000-000068110000}"/>
    <cellStyle name="_20061027Holux_WorldBankCMSScope_SLM_PMO_Workbook_060910_FP_Commissions_Req_Dn_ProgramWorkBook_10-Dec-2010 3" xfId="4547" xr:uid="{00000000-0005-0000-0000-000069110000}"/>
    <cellStyle name="_20061027Holux_WorldBankCMSScope_SLM_PMO_Workbook_060910_FP_DW_Impl_ProgramWorkBook_07-Jan-2011" xfId="4548" xr:uid="{00000000-0005-0000-0000-00006A110000}"/>
    <cellStyle name="_20061027Holux_WorldBankCMSScope_SLM_PMO_Workbook_060910_FP_DW_Impl_ProgramWorkBook_07-Jan-2011 2" xfId="4549" xr:uid="{00000000-0005-0000-0000-00006B110000}"/>
    <cellStyle name="_20061027Holux_WorldBankCMSScope_SLM_PMO_Workbook_060910_FP_DW_Impl_ProgramWorkBook_07-Jan-2011 2 2" xfId="4550" xr:uid="{00000000-0005-0000-0000-00006C110000}"/>
    <cellStyle name="_20061027Holux_WorldBankCMSScope_SLM_PMO_Workbook_060910_FP_DW_Impl_ProgramWorkBook_07-Jan-2011 2 3" xfId="4551" xr:uid="{00000000-0005-0000-0000-00006D110000}"/>
    <cellStyle name="_20061027Holux_WorldBankCMSScope_SLM_PMO_Workbook_060910_FP_DW_Impl_ProgramWorkBook_07-Jan-2011 3" xfId="4552" xr:uid="{00000000-0005-0000-0000-00006E110000}"/>
    <cellStyle name="_20061027Holux_WorldBankCMSScope_SLM_PMO_Workbook_060910_FP_DW_Impl_ProgramWorkBook_07-Jan-2011 4" xfId="4553" xr:uid="{00000000-0005-0000-0000-00006F110000}"/>
    <cellStyle name="_20061027Holux_WorldBankCMSScope_SLM_PMO_Workbook_060910_FP_DW_Impl_ProgramWorkBook_11-Feb-2011" xfId="4554" xr:uid="{00000000-0005-0000-0000-000070110000}"/>
    <cellStyle name="_20061027Holux_WorldBankCMSScope_SLM_PMO_Workbook_060910_FP_DW_Impl_ProgramWorkBook_11-Feb-2011 2" xfId="4555" xr:uid="{00000000-0005-0000-0000-000071110000}"/>
    <cellStyle name="_20061027Holux_WorldBankCMSScope_SLM_PMO_Workbook_060910_FP_DW_Impl_ProgramWorkBook_11-Feb-2011 3" xfId="4556" xr:uid="{00000000-0005-0000-0000-000072110000}"/>
    <cellStyle name="_20061027Holux_WorldBankCMSScope_SLM_PMO_Workbook_060910_FP_DW_Impl_ProgramWorkBook_18-Feb-2011 - Working" xfId="4557" xr:uid="{00000000-0005-0000-0000-000073110000}"/>
    <cellStyle name="_20061027Holux_WorldBankCMSScope_SLM_PMO_Workbook_060910_FP_DW_Impl_ProgramWorkBook_18-Feb-2011 - Working 2" xfId="4558" xr:uid="{00000000-0005-0000-0000-000074110000}"/>
    <cellStyle name="_20061027Holux_WorldBankCMSScope_SLM_PMO_Workbook_060910_FP_DW_Impl_ProgramWorkBook_18-Feb-2011 - Working 3" xfId="4559" xr:uid="{00000000-0005-0000-0000-000075110000}"/>
    <cellStyle name="_20061027Holux_WorldBankCMSScope_SLM_PMO_Workbook_060910_FP_EnterprisePortal_ProgramWorkbook" xfId="4560" xr:uid="{00000000-0005-0000-0000-000076110000}"/>
    <cellStyle name="_20061027Holux_WorldBankCMSScope_SLM_PMO_Workbook_060910_FP_EnterprisePortal_ProgramWorkbook 2" xfId="4561" xr:uid="{00000000-0005-0000-0000-000077110000}"/>
    <cellStyle name="_20061027Holux_WorldBankCMSScope_SLM_PMO_Workbook_060910_FP_EnterprisePortal_ProgramWorkbook 3" xfId="4562" xr:uid="{00000000-0005-0000-0000-000078110000}"/>
    <cellStyle name="_20061027Holux_WorldBankCMSScope_SLM_PMO_Workbook_060910_FP_SAP_MLP v2" xfId="4563" xr:uid="{00000000-0005-0000-0000-000079110000}"/>
    <cellStyle name="_20061027Holux_WorldBankCMSScope_SLM_PMO_Workbook_060910_FP_SAP_MLP v2 2" xfId="4564" xr:uid="{00000000-0005-0000-0000-00007A110000}"/>
    <cellStyle name="_20061027Holux_WorldBankCMSScope_SLM_PMO_Workbook_060910_FP_SAP_MLP v2 3" xfId="4565" xr:uid="{00000000-0005-0000-0000-00007B110000}"/>
    <cellStyle name="_20061027Holux_WorldBankCMSScope_SLM_PMO_Workbook_060910_KeyDecisions" xfId="4566" xr:uid="{00000000-0005-0000-0000-00007C110000}"/>
    <cellStyle name="_20061027Holux_WorldBankCMSScope_SLM_PMO_Workbook_060910_KeyDecisions 2" xfId="4567" xr:uid="{00000000-0005-0000-0000-00007D110000}"/>
    <cellStyle name="_20061027Holux_WorldBankCMSScope_SLM_PMO_Workbook_060910_KeyDecisions 3" xfId="4568" xr:uid="{00000000-0005-0000-0000-00007E110000}"/>
    <cellStyle name="_20061027Holux_WorldBankCMSScope_SLM_PMO_Workbook_060910_Sophia_Imp_ProjectWorkBook_02_18_2011" xfId="4569" xr:uid="{00000000-0005-0000-0000-00007F110000}"/>
    <cellStyle name="_20061027Holux_WorldBankCMSScope_SLM_PMO_Workbook_060910_Sophia_Imp_ProjectWorkBook_02_18_2011 2" xfId="4570" xr:uid="{00000000-0005-0000-0000-000080110000}"/>
    <cellStyle name="_20061027Holux_WorldBankCMSScope_SLM_PMO_Workbook_060910_Sophia_Imp_ProjectWorkBook_02_18_2011 3" xfId="4571" xr:uid="{00000000-0005-0000-0000-000081110000}"/>
    <cellStyle name="_20061027Holux_WorldBankCMSScope_SLM_PMO_Workbook_060910_t" xfId="4572" xr:uid="{00000000-0005-0000-0000-000082110000}"/>
    <cellStyle name="_20061027Holux_WorldBankCMSScope_SLM_PMO_Workbook_060910_t 2" xfId="4573" xr:uid="{00000000-0005-0000-0000-000083110000}"/>
    <cellStyle name="_20061027Holux_WorldBankCMSScope_SLM_PMO_Workbook_060910_t 3" xfId="4574" xr:uid="{00000000-0005-0000-0000-000084110000}"/>
    <cellStyle name="_20061027Holux_WorldBankCMSScope_Sophia_Imp_ProjectWorkBook_02_18_2011" xfId="4575" xr:uid="{00000000-0005-0000-0000-000085110000}"/>
    <cellStyle name="_20061027Holux_WorldBankCMSScope_Sophia_Imp_ProjectWorkBook_02_18_2011 2" xfId="4576" xr:uid="{00000000-0005-0000-0000-000086110000}"/>
    <cellStyle name="_20061027Holux_WorldBankCMSScope_Sophia_Imp_ProjectWorkBook_02_18_2011 3" xfId="4577" xr:uid="{00000000-0005-0000-0000-000087110000}"/>
    <cellStyle name="_20061027Holux_WorldBankCMSScope_t" xfId="4578" xr:uid="{00000000-0005-0000-0000-000088110000}"/>
    <cellStyle name="_20061027Holux_WorldBankCMSScope_t 2" xfId="4579" xr:uid="{00000000-0005-0000-0000-000089110000}"/>
    <cellStyle name="_20061027Holux_WorldBankCMSScope_t 3" xfId="4580" xr:uid="{00000000-0005-0000-0000-00008A110000}"/>
    <cellStyle name="_20061027Holux_WorldBankCMSScope_UX Plan_0401" xfId="4581" xr:uid="{00000000-0005-0000-0000-00008B110000}"/>
    <cellStyle name="_20061027Holux_WorldBankCMSScope_UX Plan_0401 2" xfId="4582" xr:uid="{00000000-0005-0000-0000-00008C110000}"/>
    <cellStyle name="_20061027Holux_WorldBankCMSScope_UX Plan_0401 2 2" xfId="4583" xr:uid="{00000000-0005-0000-0000-00008D110000}"/>
    <cellStyle name="_20061027Holux_WorldBankCMSScope_UX Plan_0401 2 3" xfId="4584" xr:uid="{00000000-0005-0000-0000-00008E110000}"/>
    <cellStyle name="_20061027Holux_WorldBankCMSScope_UX Plan_0401 3" xfId="4585" xr:uid="{00000000-0005-0000-0000-00008F110000}"/>
    <cellStyle name="_20061027Holux_WorldBankCMSScope_UX Plan_0401 4" xfId="4586" xr:uid="{00000000-0005-0000-0000-000090110000}"/>
    <cellStyle name="_20061027Holux_WorldBankCMSScope_UX Plan_0401_Commissioning System Implementation_Project Workbook_06_10_2011" xfId="4587" xr:uid="{00000000-0005-0000-0000-000091110000}"/>
    <cellStyle name="_20061027Holux_WorldBankCMSScope_UX Plan_0401_Commissioning System Implementation_Project Workbook_06_10_2011 2" xfId="4588" xr:uid="{00000000-0005-0000-0000-000092110000}"/>
    <cellStyle name="_20061027Holux_WorldBankCMSScope_UX Plan_0401_Commissioning System Implementation_Project Workbook_06_10_2011 3" xfId="4589" xr:uid="{00000000-0005-0000-0000-000093110000}"/>
    <cellStyle name="_20061027Holux_WorldBankCMSScope_UX Plan_0401_FairPoint_CampReport" xfId="4590" xr:uid="{00000000-0005-0000-0000-000094110000}"/>
    <cellStyle name="_20061027Holux_WorldBankCMSScope_UX Plan_0401_FairPoint_CampReport 2" xfId="4591" xr:uid="{00000000-0005-0000-0000-000095110000}"/>
    <cellStyle name="_20061027Holux_WorldBankCMSScope_UX Plan_0401_FairPoint_CampReport 3" xfId="4592" xr:uid="{00000000-0005-0000-0000-000096110000}"/>
    <cellStyle name="_20061027Holux_WorldBankCMSScope_UX Plan_0401_FairPoint_FP comTechOps_ProgramWorkbook" xfId="4593" xr:uid="{00000000-0005-0000-0000-000097110000}"/>
    <cellStyle name="_20061027Holux_WorldBankCMSScope_UX Plan_0401_FairPoint_FP comTechOps_ProgramWorkbook 2" xfId="4594" xr:uid="{00000000-0005-0000-0000-000098110000}"/>
    <cellStyle name="_20061027Holux_WorldBankCMSScope_UX Plan_0401_FairPoint_FP comTechOps_ProgramWorkbook 3" xfId="4595" xr:uid="{00000000-0005-0000-0000-000099110000}"/>
    <cellStyle name="_20061027Holux_WorldBankCMSScope_UX Plan_0401_FairPoint_FP comTechOps_ProgramWorkbook_sachin" xfId="4596" xr:uid="{00000000-0005-0000-0000-00009A110000}"/>
    <cellStyle name="_20061027Holux_WorldBankCMSScope_UX Plan_0401_FairPoint_FP comTechOps_ProgramWorkbook_sachin 2" xfId="4597" xr:uid="{00000000-0005-0000-0000-00009B110000}"/>
    <cellStyle name="_20061027Holux_WorldBankCMSScope_UX Plan_0401_FairPoint_FP comTechOps_ProgramWorkbook_sachin 3" xfId="4598" xr:uid="{00000000-0005-0000-0000-00009C110000}"/>
    <cellStyle name="_20061027Holux_WorldBankCMSScope_UX Plan_0401_FairPoint_FP comTechOps_ProgramWorkbook_sachin_v1" xfId="4599" xr:uid="{00000000-0005-0000-0000-00009D110000}"/>
    <cellStyle name="_20061027Holux_WorldBankCMSScope_UX Plan_0401_FairPoint_FP comTechOps_ProgramWorkbook_sachin_v1 2" xfId="4600" xr:uid="{00000000-0005-0000-0000-00009E110000}"/>
    <cellStyle name="_20061027Holux_WorldBankCMSScope_UX Plan_0401_FairPoint_FP comTechOps_ProgramWorkbook_sachin_v1 3" xfId="4601" xr:uid="{00000000-0005-0000-0000-00009F110000}"/>
    <cellStyle name="_20061027Holux_WorldBankCMSScope_UX Plan_0401_FP_CAMP&amp;ITReporting_Maintenance_Dashboard" xfId="4602" xr:uid="{00000000-0005-0000-0000-0000A0110000}"/>
    <cellStyle name="_20061027Holux_WorldBankCMSScope_UX Plan_0401_FP_CAMP&amp;ITReporting_Maintenance_Dashboard 2" xfId="4603" xr:uid="{00000000-0005-0000-0000-0000A1110000}"/>
    <cellStyle name="_20061027Holux_WorldBankCMSScope_UX Plan_0401_FP_CAMP&amp;ITReporting_Maintenance_Dashboard 3" xfId="4604" xr:uid="{00000000-0005-0000-0000-0000A2110000}"/>
    <cellStyle name="_20061027Holux_WorldBankCMSScope_UX Plan_0401_FP_CAMPITReporting_Maintenance_Dashboard" xfId="4605" xr:uid="{00000000-0005-0000-0000-0000A3110000}"/>
    <cellStyle name="_20061027Holux_WorldBankCMSScope_UX Plan_0401_FP_CAMPITReporting_Maintenance_Dashboard 2" xfId="4606" xr:uid="{00000000-0005-0000-0000-0000A4110000}"/>
    <cellStyle name="_20061027Holux_WorldBankCMSScope_UX Plan_0401_FP_CAMPITReporting_Maintenance_Dashboard 3" xfId="4607" xr:uid="{00000000-0005-0000-0000-0000A5110000}"/>
    <cellStyle name="_20061027Holux_WorldBankCMSScope_UX Plan_0401_FP_Commissions_Req_Dn_ProgramWorkBook_10-Dec-2010" xfId="4608" xr:uid="{00000000-0005-0000-0000-0000A6110000}"/>
    <cellStyle name="_20061027Holux_WorldBankCMSScope_UX Plan_0401_FP_Commissions_Req_Dn_ProgramWorkBook_10-Dec-2010 2" xfId="4609" xr:uid="{00000000-0005-0000-0000-0000A7110000}"/>
    <cellStyle name="_20061027Holux_WorldBankCMSScope_UX Plan_0401_FP_Commissions_Req_Dn_ProgramWorkBook_10-Dec-2010 3" xfId="4610" xr:uid="{00000000-0005-0000-0000-0000A8110000}"/>
    <cellStyle name="_20061027Holux_WorldBankCMSScope_UX Plan_0401_FP_DW_Impl_ProgramWorkBook_07-Jan-2011" xfId="4611" xr:uid="{00000000-0005-0000-0000-0000A9110000}"/>
    <cellStyle name="_20061027Holux_WorldBankCMSScope_UX Plan_0401_FP_DW_Impl_ProgramWorkBook_07-Jan-2011 2" xfId="4612" xr:uid="{00000000-0005-0000-0000-0000AA110000}"/>
    <cellStyle name="_20061027Holux_WorldBankCMSScope_UX Plan_0401_FP_DW_Impl_ProgramWorkBook_07-Jan-2011 2 2" xfId="4613" xr:uid="{00000000-0005-0000-0000-0000AB110000}"/>
    <cellStyle name="_20061027Holux_WorldBankCMSScope_UX Plan_0401_FP_DW_Impl_ProgramWorkBook_07-Jan-2011 2 3" xfId="4614" xr:uid="{00000000-0005-0000-0000-0000AC110000}"/>
    <cellStyle name="_20061027Holux_WorldBankCMSScope_UX Plan_0401_FP_DW_Impl_ProgramWorkBook_07-Jan-2011 3" xfId="4615" xr:uid="{00000000-0005-0000-0000-0000AD110000}"/>
    <cellStyle name="_20061027Holux_WorldBankCMSScope_UX Plan_0401_FP_DW_Impl_ProgramWorkBook_07-Jan-2011 4" xfId="4616" xr:uid="{00000000-0005-0000-0000-0000AE110000}"/>
    <cellStyle name="_20061027Holux_WorldBankCMSScope_UX Plan_0401_FP_DW_Impl_ProgramWorkBook_11-Feb-2011" xfId="4617" xr:uid="{00000000-0005-0000-0000-0000AF110000}"/>
    <cellStyle name="_20061027Holux_WorldBankCMSScope_UX Plan_0401_FP_DW_Impl_ProgramWorkBook_11-Feb-2011 2" xfId="4618" xr:uid="{00000000-0005-0000-0000-0000B0110000}"/>
    <cellStyle name="_20061027Holux_WorldBankCMSScope_UX Plan_0401_FP_DW_Impl_ProgramWorkBook_11-Feb-2011 3" xfId="4619" xr:uid="{00000000-0005-0000-0000-0000B1110000}"/>
    <cellStyle name="_20061027Holux_WorldBankCMSScope_UX Plan_0401_FP_DW_Impl_ProgramWorkBook_18-Feb-2011 - Working" xfId="4620" xr:uid="{00000000-0005-0000-0000-0000B2110000}"/>
    <cellStyle name="_20061027Holux_WorldBankCMSScope_UX Plan_0401_FP_DW_Impl_ProgramWorkBook_18-Feb-2011 - Working 2" xfId="4621" xr:uid="{00000000-0005-0000-0000-0000B3110000}"/>
    <cellStyle name="_20061027Holux_WorldBankCMSScope_UX Plan_0401_FP_DW_Impl_ProgramWorkBook_18-Feb-2011 - Working 3" xfId="4622" xr:uid="{00000000-0005-0000-0000-0000B4110000}"/>
    <cellStyle name="_20061027Holux_WorldBankCMSScope_UX Plan_0401_FP_EnterprisePortal_ProgramWorkbook" xfId="4623" xr:uid="{00000000-0005-0000-0000-0000B5110000}"/>
    <cellStyle name="_20061027Holux_WorldBankCMSScope_UX Plan_0401_FP_EnterprisePortal_ProgramWorkbook 2" xfId="4624" xr:uid="{00000000-0005-0000-0000-0000B6110000}"/>
    <cellStyle name="_20061027Holux_WorldBankCMSScope_UX Plan_0401_FP_EnterprisePortal_ProgramWorkbook 3" xfId="4625" xr:uid="{00000000-0005-0000-0000-0000B7110000}"/>
    <cellStyle name="_20061027Holux_WorldBankCMSScope_UX Plan_0401_FP_SAP_MLP v2" xfId="4626" xr:uid="{00000000-0005-0000-0000-0000B8110000}"/>
    <cellStyle name="_20061027Holux_WorldBankCMSScope_UX Plan_0401_FP_SAP_MLP v2 2" xfId="4627" xr:uid="{00000000-0005-0000-0000-0000B9110000}"/>
    <cellStyle name="_20061027Holux_WorldBankCMSScope_UX Plan_0401_FP_SAP_MLP v2 3" xfId="4628" xr:uid="{00000000-0005-0000-0000-0000BA110000}"/>
    <cellStyle name="_20061027Holux_WorldBankCMSScope_UX Plan_0401_KeyDecisions" xfId="4629" xr:uid="{00000000-0005-0000-0000-0000BB110000}"/>
    <cellStyle name="_20061027Holux_WorldBankCMSScope_UX Plan_0401_KeyDecisions 2" xfId="4630" xr:uid="{00000000-0005-0000-0000-0000BC110000}"/>
    <cellStyle name="_20061027Holux_WorldBankCMSScope_UX Plan_0401_KeyDecisions 3" xfId="4631" xr:uid="{00000000-0005-0000-0000-0000BD110000}"/>
    <cellStyle name="_20061027Holux_WorldBankCMSScope_UX Plan_0401_Sophia_Imp_ProjectWorkBook_02_18_2011" xfId="4632" xr:uid="{00000000-0005-0000-0000-0000BE110000}"/>
    <cellStyle name="_20061027Holux_WorldBankCMSScope_UX Plan_0401_Sophia_Imp_ProjectWorkBook_02_18_2011 2" xfId="4633" xr:uid="{00000000-0005-0000-0000-0000BF110000}"/>
    <cellStyle name="_20061027Holux_WorldBankCMSScope_UX Plan_0401_Sophia_Imp_ProjectWorkBook_02_18_2011 3" xfId="4634" xr:uid="{00000000-0005-0000-0000-0000C0110000}"/>
    <cellStyle name="_20061027Holux_WorldBankCMSScope_UX Plan_0401_t" xfId="4635" xr:uid="{00000000-0005-0000-0000-0000C1110000}"/>
    <cellStyle name="_20061027Holux_WorldBankCMSScope_UX Plan_0401_t 2" xfId="4636" xr:uid="{00000000-0005-0000-0000-0000C2110000}"/>
    <cellStyle name="_20061027Holux_WorldBankCMSScope_UX Plan_0401_t 3" xfId="4637" xr:uid="{00000000-0005-0000-0000-0000C3110000}"/>
    <cellStyle name="_20061103Holux" xfId="4638" xr:uid="{00000000-0005-0000-0000-0000C4110000}"/>
    <cellStyle name="_20061103Holux 2" xfId="4639" xr:uid="{00000000-0005-0000-0000-0000C5110000}"/>
    <cellStyle name="_20061103Holux 2 2" xfId="4640" xr:uid="{00000000-0005-0000-0000-0000C6110000}"/>
    <cellStyle name="_20061103Holux 2 3" xfId="4641" xr:uid="{00000000-0005-0000-0000-0000C7110000}"/>
    <cellStyle name="_20061103Holux 3" xfId="4642" xr:uid="{00000000-0005-0000-0000-0000C8110000}"/>
    <cellStyle name="_20061103Holux 3 2" xfId="4643" xr:uid="{00000000-0005-0000-0000-0000C9110000}"/>
    <cellStyle name="_20061103Holux 3 3" xfId="4644" xr:uid="{00000000-0005-0000-0000-0000CA110000}"/>
    <cellStyle name="_20061103Holux 4" xfId="4645" xr:uid="{00000000-0005-0000-0000-0000CB110000}"/>
    <cellStyle name="_20061103Holux 5" xfId="4646" xr:uid="{00000000-0005-0000-0000-0000CC110000}"/>
    <cellStyle name="_20061103Holux_CMS_SOW_Deliverables_0430" xfId="4647" xr:uid="{00000000-0005-0000-0000-0000CD110000}"/>
    <cellStyle name="_20061103Holux_CMS_SOW_Deliverables_0430 2" xfId="4648" xr:uid="{00000000-0005-0000-0000-0000CE110000}"/>
    <cellStyle name="_20061103Holux_CMS_SOW_Deliverables_0430 2 2" xfId="4649" xr:uid="{00000000-0005-0000-0000-0000CF110000}"/>
    <cellStyle name="_20061103Holux_CMS_SOW_Deliverables_0430 2 3" xfId="4650" xr:uid="{00000000-0005-0000-0000-0000D0110000}"/>
    <cellStyle name="_20061103Holux_CMS_SOW_Deliverables_0430 3" xfId="4651" xr:uid="{00000000-0005-0000-0000-0000D1110000}"/>
    <cellStyle name="_20061103Holux_CMS_SOW_Deliverables_0430 3 2" xfId="4652" xr:uid="{00000000-0005-0000-0000-0000D2110000}"/>
    <cellStyle name="_20061103Holux_CMS_SOW_Deliverables_0430 3 3" xfId="4653" xr:uid="{00000000-0005-0000-0000-0000D3110000}"/>
    <cellStyle name="_20061103Holux_CMS_SOW_Deliverables_0430 4" xfId="4654" xr:uid="{00000000-0005-0000-0000-0000D4110000}"/>
    <cellStyle name="_20061103Holux_CMS_SOW_Deliverables_0430 5" xfId="4655" xr:uid="{00000000-0005-0000-0000-0000D5110000}"/>
    <cellStyle name="_20061103Holux_CMS_SOW_Deliverables_0430_Commissioning System Implementation_Project Workbook_06_10_2011" xfId="4656" xr:uid="{00000000-0005-0000-0000-0000D6110000}"/>
    <cellStyle name="_20061103Holux_CMS_SOW_Deliverables_0430_Commissioning System Implementation_Project Workbook_06_10_2011 2" xfId="4657" xr:uid="{00000000-0005-0000-0000-0000D7110000}"/>
    <cellStyle name="_20061103Holux_CMS_SOW_Deliverables_0430_Commissioning System Implementation_Project Workbook_06_10_2011 3" xfId="4658" xr:uid="{00000000-0005-0000-0000-0000D8110000}"/>
    <cellStyle name="_20061103Holux_CMS_SOW_Deliverables_0430_FairPoint_CampReport" xfId="4659" xr:uid="{00000000-0005-0000-0000-0000D9110000}"/>
    <cellStyle name="_20061103Holux_CMS_SOW_Deliverables_0430_FairPoint_CampReport 2" xfId="4660" xr:uid="{00000000-0005-0000-0000-0000DA110000}"/>
    <cellStyle name="_20061103Holux_CMS_SOW_Deliverables_0430_FairPoint_CampReport 3" xfId="4661" xr:uid="{00000000-0005-0000-0000-0000DB110000}"/>
    <cellStyle name="_20061103Holux_CMS_SOW_Deliverables_0430_FairPoint_FP comTechOps_ProgramWorkbook" xfId="4662" xr:uid="{00000000-0005-0000-0000-0000DC110000}"/>
    <cellStyle name="_20061103Holux_CMS_SOW_Deliverables_0430_FairPoint_FP comTechOps_ProgramWorkbook 2" xfId="4663" xr:uid="{00000000-0005-0000-0000-0000DD110000}"/>
    <cellStyle name="_20061103Holux_CMS_SOW_Deliverables_0430_FairPoint_FP comTechOps_ProgramWorkbook 3" xfId="4664" xr:uid="{00000000-0005-0000-0000-0000DE110000}"/>
    <cellStyle name="_20061103Holux_CMS_SOW_Deliverables_0430_FairPoint_FP comTechOps_ProgramWorkbook_sachin" xfId="4665" xr:uid="{00000000-0005-0000-0000-0000DF110000}"/>
    <cellStyle name="_20061103Holux_CMS_SOW_Deliverables_0430_FairPoint_FP comTechOps_ProgramWorkbook_sachin 2" xfId="4666" xr:uid="{00000000-0005-0000-0000-0000E0110000}"/>
    <cellStyle name="_20061103Holux_CMS_SOW_Deliverables_0430_FairPoint_FP comTechOps_ProgramWorkbook_sachin 3" xfId="4667" xr:uid="{00000000-0005-0000-0000-0000E1110000}"/>
    <cellStyle name="_20061103Holux_CMS_SOW_Deliverables_0430_FairPoint_FP comTechOps_ProgramWorkbook_sachin_v1" xfId="4668" xr:uid="{00000000-0005-0000-0000-0000E2110000}"/>
    <cellStyle name="_20061103Holux_CMS_SOW_Deliverables_0430_FairPoint_FP comTechOps_ProgramWorkbook_sachin_v1 2" xfId="4669" xr:uid="{00000000-0005-0000-0000-0000E3110000}"/>
    <cellStyle name="_20061103Holux_CMS_SOW_Deliverables_0430_FairPoint_FP comTechOps_ProgramWorkbook_sachin_v1 3" xfId="4670" xr:uid="{00000000-0005-0000-0000-0000E4110000}"/>
    <cellStyle name="_20061103Holux_CMS_SOW_Deliverables_0430_FP_CAMP&amp;ITReporting_Maintenance_Dashboard" xfId="4671" xr:uid="{00000000-0005-0000-0000-0000E5110000}"/>
    <cellStyle name="_20061103Holux_CMS_SOW_Deliverables_0430_FP_CAMP&amp;ITReporting_Maintenance_Dashboard 2" xfId="4672" xr:uid="{00000000-0005-0000-0000-0000E6110000}"/>
    <cellStyle name="_20061103Holux_CMS_SOW_Deliverables_0430_FP_CAMP&amp;ITReporting_Maintenance_Dashboard 3" xfId="4673" xr:uid="{00000000-0005-0000-0000-0000E7110000}"/>
    <cellStyle name="_20061103Holux_CMS_SOW_Deliverables_0430_FP_CAMPITReporting_Maintenance_Dashboard" xfId="4674" xr:uid="{00000000-0005-0000-0000-0000E8110000}"/>
    <cellStyle name="_20061103Holux_CMS_SOW_Deliverables_0430_FP_CAMPITReporting_Maintenance_Dashboard 2" xfId="4675" xr:uid="{00000000-0005-0000-0000-0000E9110000}"/>
    <cellStyle name="_20061103Holux_CMS_SOW_Deliverables_0430_FP_CAMPITReporting_Maintenance_Dashboard 3" xfId="4676" xr:uid="{00000000-0005-0000-0000-0000EA110000}"/>
    <cellStyle name="_20061103Holux_CMS_SOW_Deliverables_0430_FP_Commissions_Req_Dn_ProgramWorkBook_10-Dec-2010" xfId="4677" xr:uid="{00000000-0005-0000-0000-0000EB110000}"/>
    <cellStyle name="_20061103Holux_CMS_SOW_Deliverables_0430_FP_Commissions_Req_Dn_ProgramWorkBook_10-Dec-2010 2" xfId="4678" xr:uid="{00000000-0005-0000-0000-0000EC110000}"/>
    <cellStyle name="_20061103Holux_CMS_SOW_Deliverables_0430_FP_Commissions_Req_Dn_ProgramWorkBook_10-Dec-2010 3" xfId="4679" xr:uid="{00000000-0005-0000-0000-0000ED110000}"/>
    <cellStyle name="_20061103Holux_CMS_SOW_Deliverables_0430_FP_DW_Impl_ProgramWorkBook_07-Jan-2011" xfId="4680" xr:uid="{00000000-0005-0000-0000-0000EE110000}"/>
    <cellStyle name="_20061103Holux_CMS_SOW_Deliverables_0430_FP_DW_Impl_ProgramWorkBook_07-Jan-2011 2" xfId="4681" xr:uid="{00000000-0005-0000-0000-0000EF110000}"/>
    <cellStyle name="_20061103Holux_CMS_SOW_Deliverables_0430_FP_DW_Impl_ProgramWorkBook_07-Jan-2011 2 2" xfId="4682" xr:uid="{00000000-0005-0000-0000-0000F0110000}"/>
    <cellStyle name="_20061103Holux_CMS_SOW_Deliverables_0430_FP_DW_Impl_ProgramWorkBook_07-Jan-2011 2 3" xfId="4683" xr:uid="{00000000-0005-0000-0000-0000F1110000}"/>
    <cellStyle name="_20061103Holux_CMS_SOW_Deliverables_0430_FP_DW_Impl_ProgramWorkBook_07-Jan-2011 3" xfId="4684" xr:uid="{00000000-0005-0000-0000-0000F2110000}"/>
    <cellStyle name="_20061103Holux_CMS_SOW_Deliverables_0430_FP_DW_Impl_ProgramWorkBook_07-Jan-2011 4" xfId="4685" xr:uid="{00000000-0005-0000-0000-0000F3110000}"/>
    <cellStyle name="_20061103Holux_CMS_SOW_Deliverables_0430_FP_DW_Impl_ProgramWorkBook_11-Feb-2011" xfId="4686" xr:uid="{00000000-0005-0000-0000-0000F4110000}"/>
    <cellStyle name="_20061103Holux_CMS_SOW_Deliverables_0430_FP_DW_Impl_ProgramWorkBook_11-Feb-2011 2" xfId="4687" xr:uid="{00000000-0005-0000-0000-0000F5110000}"/>
    <cellStyle name="_20061103Holux_CMS_SOW_Deliverables_0430_FP_DW_Impl_ProgramWorkBook_11-Feb-2011 3" xfId="4688" xr:uid="{00000000-0005-0000-0000-0000F6110000}"/>
    <cellStyle name="_20061103Holux_CMS_SOW_Deliverables_0430_FP_DW_Impl_ProgramWorkBook_18-Feb-2011 - Working" xfId="4689" xr:uid="{00000000-0005-0000-0000-0000F7110000}"/>
    <cellStyle name="_20061103Holux_CMS_SOW_Deliverables_0430_FP_DW_Impl_ProgramWorkBook_18-Feb-2011 - Working 2" xfId="4690" xr:uid="{00000000-0005-0000-0000-0000F8110000}"/>
    <cellStyle name="_20061103Holux_CMS_SOW_Deliverables_0430_FP_DW_Impl_ProgramWorkBook_18-Feb-2011 - Working 3" xfId="4691" xr:uid="{00000000-0005-0000-0000-0000F9110000}"/>
    <cellStyle name="_20061103Holux_CMS_SOW_Deliverables_0430_FP_EnterprisePortal_ProgramWorkbook" xfId="4692" xr:uid="{00000000-0005-0000-0000-0000FA110000}"/>
    <cellStyle name="_20061103Holux_CMS_SOW_Deliverables_0430_FP_EnterprisePortal_ProgramWorkbook 2" xfId="4693" xr:uid="{00000000-0005-0000-0000-0000FB110000}"/>
    <cellStyle name="_20061103Holux_CMS_SOW_Deliverables_0430_FP_EnterprisePortal_ProgramWorkbook 3" xfId="4694" xr:uid="{00000000-0005-0000-0000-0000FC110000}"/>
    <cellStyle name="_20061103Holux_CMS_SOW_Deliverables_0430_FP_SAP_MLP v2" xfId="4695" xr:uid="{00000000-0005-0000-0000-0000FD110000}"/>
    <cellStyle name="_20061103Holux_CMS_SOW_Deliverables_0430_FP_SAP_MLP v2 2" xfId="4696" xr:uid="{00000000-0005-0000-0000-0000FE110000}"/>
    <cellStyle name="_20061103Holux_CMS_SOW_Deliverables_0430_FP_SAP_MLP v2 3" xfId="4697" xr:uid="{00000000-0005-0000-0000-0000FF110000}"/>
    <cellStyle name="_20061103Holux_CMS_SOW_Deliverables_0430_KeyDecisions" xfId="4698" xr:uid="{00000000-0005-0000-0000-000000120000}"/>
    <cellStyle name="_20061103Holux_CMS_SOW_Deliverables_0430_KeyDecisions 2" xfId="4699" xr:uid="{00000000-0005-0000-0000-000001120000}"/>
    <cellStyle name="_20061103Holux_CMS_SOW_Deliverables_0430_KeyDecisions 3" xfId="4700" xr:uid="{00000000-0005-0000-0000-000002120000}"/>
    <cellStyle name="_20061103Holux_CMS_SOW_Deliverables_0430_Sophia_Imp_ProjectWorkBook_02_18_2011" xfId="4701" xr:uid="{00000000-0005-0000-0000-000003120000}"/>
    <cellStyle name="_20061103Holux_CMS_SOW_Deliverables_0430_Sophia_Imp_ProjectWorkBook_02_18_2011 2" xfId="4702" xr:uid="{00000000-0005-0000-0000-000004120000}"/>
    <cellStyle name="_20061103Holux_CMS_SOW_Deliverables_0430_Sophia_Imp_ProjectWorkBook_02_18_2011 3" xfId="4703" xr:uid="{00000000-0005-0000-0000-000005120000}"/>
    <cellStyle name="_20061103Holux_CMS_SOW_Deliverables_0430_t" xfId="4704" xr:uid="{00000000-0005-0000-0000-000006120000}"/>
    <cellStyle name="_20061103Holux_CMS_SOW_Deliverables_0430_t 2" xfId="4705" xr:uid="{00000000-0005-0000-0000-000007120000}"/>
    <cellStyle name="_20061103Holux_CMS_SOW_Deliverables_0430_t 3" xfId="4706" xr:uid="{00000000-0005-0000-0000-000008120000}"/>
    <cellStyle name="_20061103Holux_CMS_Web_Design_Phase_Deliverables_0610" xfId="4707" xr:uid="{00000000-0005-0000-0000-000009120000}"/>
    <cellStyle name="_20061103Holux_CMS_Web_Design_Phase_Deliverables_0610 2" xfId="4708" xr:uid="{00000000-0005-0000-0000-00000A120000}"/>
    <cellStyle name="_20061103Holux_CMS_Web_Design_Phase_Deliverables_0610 2 2" xfId="4709" xr:uid="{00000000-0005-0000-0000-00000B120000}"/>
    <cellStyle name="_20061103Holux_CMS_Web_Design_Phase_Deliverables_0610 2 3" xfId="4710" xr:uid="{00000000-0005-0000-0000-00000C120000}"/>
    <cellStyle name="_20061103Holux_CMS_Web_Design_Phase_Deliverables_0610 3" xfId="4711" xr:uid="{00000000-0005-0000-0000-00000D120000}"/>
    <cellStyle name="_20061103Holux_CMS_Web_Design_Phase_Deliverables_0610 3 2" xfId="4712" xr:uid="{00000000-0005-0000-0000-00000E120000}"/>
    <cellStyle name="_20061103Holux_CMS_Web_Design_Phase_Deliverables_0610 3 3" xfId="4713" xr:uid="{00000000-0005-0000-0000-00000F120000}"/>
    <cellStyle name="_20061103Holux_CMS_Web_Design_Phase_Deliverables_0610 4" xfId="4714" xr:uid="{00000000-0005-0000-0000-000010120000}"/>
    <cellStyle name="_20061103Holux_CMS_Web_Design_Phase_Deliverables_0610 5" xfId="4715" xr:uid="{00000000-0005-0000-0000-000011120000}"/>
    <cellStyle name="_20061103Holux_CMS_Web_Design_Phase_Deliverables_0610_Commissioning System Implementation_Project Workbook_06_10_2011" xfId="4716" xr:uid="{00000000-0005-0000-0000-000012120000}"/>
    <cellStyle name="_20061103Holux_CMS_Web_Design_Phase_Deliverables_0610_Commissioning System Implementation_Project Workbook_06_10_2011 2" xfId="4717" xr:uid="{00000000-0005-0000-0000-000013120000}"/>
    <cellStyle name="_20061103Holux_CMS_Web_Design_Phase_Deliverables_0610_Commissioning System Implementation_Project Workbook_06_10_2011 3" xfId="4718" xr:uid="{00000000-0005-0000-0000-000014120000}"/>
    <cellStyle name="_20061103Holux_CMS_Web_Design_Phase_Deliverables_0610_FairPoint_CampReport" xfId="4719" xr:uid="{00000000-0005-0000-0000-000015120000}"/>
    <cellStyle name="_20061103Holux_CMS_Web_Design_Phase_Deliverables_0610_FairPoint_CampReport 2" xfId="4720" xr:uid="{00000000-0005-0000-0000-000016120000}"/>
    <cellStyle name="_20061103Holux_CMS_Web_Design_Phase_Deliverables_0610_FairPoint_CampReport 3" xfId="4721" xr:uid="{00000000-0005-0000-0000-000017120000}"/>
    <cellStyle name="_20061103Holux_CMS_Web_Design_Phase_Deliverables_0610_FairPoint_FP comTechOps_ProgramWorkbook" xfId="4722" xr:uid="{00000000-0005-0000-0000-000018120000}"/>
    <cellStyle name="_20061103Holux_CMS_Web_Design_Phase_Deliverables_0610_FairPoint_FP comTechOps_ProgramWorkbook 2" xfId="4723" xr:uid="{00000000-0005-0000-0000-000019120000}"/>
    <cellStyle name="_20061103Holux_CMS_Web_Design_Phase_Deliverables_0610_FairPoint_FP comTechOps_ProgramWorkbook 3" xfId="4724" xr:uid="{00000000-0005-0000-0000-00001A120000}"/>
    <cellStyle name="_20061103Holux_CMS_Web_Design_Phase_Deliverables_0610_FairPoint_FP comTechOps_ProgramWorkbook_sachin" xfId="4725" xr:uid="{00000000-0005-0000-0000-00001B120000}"/>
    <cellStyle name="_20061103Holux_CMS_Web_Design_Phase_Deliverables_0610_FairPoint_FP comTechOps_ProgramWorkbook_sachin 2" xfId="4726" xr:uid="{00000000-0005-0000-0000-00001C120000}"/>
    <cellStyle name="_20061103Holux_CMS_Web_Design_Phase_Deliverables_0610_FairPoint_FP comTechOps_ProgramWorkbook_sachin 3" xfId="4727" xr:uid="{00000000-0005-0000-0000-00001D120000}"/>
    <cellStyle name="_20061103Holux_CMS_Web_Design_Phase_Deliverables_0610_FairPoint_FP comTechOps_ProgramWorkbook_sachin_v1" xfId="4728" xr:uid="{00000000-0005-0000-0000-00001E120000}"/>
    <cellStyle name="_20061103Holux_CMS_Web_Design_Phase_Deliverables_0610_FairPoint_FP comTechOps_ProgramWorkbook_sachin_v1 2" xfId="4729" xr:uid="{00000000-0005-0000-0000-00001F120000}"/>
    <cellStyle name="_20061103Holux_CMS_Web_Design_Phase_Deliverables_0610_FairPoint_FP comTechOps_ProgramWorkbook_sachin_v1 3" xfId="4730" xr:uid="{00000000-0005-0000-0000-000020120000}"/>
    <cellStyle name="_20061103Holux_CMS_Web_Design_Phase_Deliverables_0610_FP_CAMP&amp;ITReporting_Maintenance_Dashboard" xfId="4731" xr:uid="{00000000-0005-0000-0000-000021120000}"/>
    <cellStyle name="_20061103Holux_CMS_Web_Design_Phase_Deliverables_0610_FP_CAMP&amp;ITReporting_Maintenance_Dashboard 2" xfId="4732" xr:uid="{00000000-0005-0000-0000-000022120000}"/>
    <cellStyle name="_20061103Holux_CMS_Web_Design_Phase_Deliverables_0610_FP_CAMP&amp;ITReporting_Maintenance_Dashboard 3" xfId="4733" xr:uid="{00000000-0005-0000-0000-000023120000}"/>
    <cellStyle name="_20061103Holux_CMS_Web_Design_Phase_Deliverables_0610_FP_CAMPITReporting_Maintenance_Dashboard" xfId="4734" xr:uid="{00000000-0005-0000-0000-000024120000}"/>
    <cellStyle name="_20061103Holux_CMS_Web_Design_Phase_Deliverables_0610_FP_CAMPITReporting_Maintenance_Dashboard 2" xfId="4735" xr:uid="{00000000-0005-0000-0000-000025120000}"/>
    <cellStyle name="_20061103Holux_CMS_Web_Design_Phase_Deliverables_0610_FP_CAMPITReporting_Maintenance_Dashboard 3" xfId="4736" xr:uid="{00000000-0005-0000-0000-000026120000}"/>
    <cellStyle name="_20061103Holux_CMS_Web_Design_Phase_Deliverables_0610_FP_Commissions_Req_Dn_ProgramWorkBook_10-Dec-2010" xfId="4737" xr:uid="{00000000-0005-0000-0000-000027120000}"/>
    <cellStyle name="_20061103Holux_CMS_Web_Design_Phase_Deliverables_0610_FP_Commissions_Req_Dn_ProgramWorkBook_10-Dec-2010 2" xfId="4738" xr:uid="{00000000-0005-0000-0000-000028120000}"/>
    <cellStyle name="_20061103Holux_CMS_Web_Design_Phase_Deliverables_0610_FP_Commissions_Req_Dn_ProgramWorkBook_10-Dec-2010 3" xfId="4739" xr:uid="{00000000-0005-0000-0000-000029120000}"/>
    <cellStyle name="_20061103Holux_CMS_Web_Design_Phase_Deliverables_0610_FP_DW_Impl_ProgramWorkBook_07-Jan-2011" xfId="4740" xr:uid="{00000000-0005-0000-0000-00002A120000}"/>
    <cellStyle name="_20061103Holux_CMS_Web_Design_Phase_Deliverables_0610_FP_DW_Impl_ProgramWorkBook_07-Jan-2011 2" xfId="4741" xr:uid="{00000000-0005-0000-0000-00002B120000}"/>
    <cellStyle name="_20061103Holux_CMS_Web_Design_Phase_Deliverables_0610_FP_DW_Impl_ProgramWorkBook_07-Jan-2011 2 2" xfId="4742" xr:uid="{00000000-0005-0000-0000-00002C120000}"/>
    <cellStyle name="_20061103Holux_CMS_Web_Design_Phase_Deliverables_0610_FP_DW_Impl_ProgramWorkBook_07-Jan-2011 2 3" xfId="4743" xr:uid="{00000000-0005-0000-0000-00002D120000}"/>
    <cellStyle name="_20061103Holux_CMS_Web_Design_Phase_Deliverables_0610_FP_DW_Impl_ProgramWorkBook_07-Jan-2011 3" xfId="4744" xr:uid="{00000000-0005-0000-0000-00002E120000}"/>
    <cellStyle name="_20061103Holux_CMS_Web_Design_Phase_Deliverables_0610_FP_DW_Impl_ProgramWorkBook_07-Jan-2011 4" xfId="4745" xr:uid="{00000000-0005-0000-0000-00002F120000}"/>
    <cellStyle name="_20061103Holux_CMS_Web_Design_Phase_Deliverables_0610_FP_DW_Impl_ProgramWorkBook_11-Feb-2011" xfId="4746" xr:uid="{00000000-0005-0000-0000-000030120000}"/>
    <cellStyle name="_20061103Holux_CMS_Web_Design_Phase_Deliverables_0610_FP_DW_Impl_ProgramWorkBook_11-Feb-2011 2" xfId="4747" xr:uid="{00000000-0005-0000-0000-000031120000}"/>
    <cellStyle name="_20061103Holux_CMS_Web_Design_Phase_Deliverables_0610_FP_DW_Impl_ProgramWorkBook_11-Feb-2011 3" xfId="4748" xr:uid="{00000000-0005-0000-0000-000032120000}"/>
    <cellStyle name="_20061103Holux_CMS_Web_Design_Phase_Deliverables_0610_FP_DW_Impl_ProgramWorkBook_18-Feb-2011 - Working" xfId="4749" xr:uid="{00000000-0005-0000-0000-000033120000}"/>
    <cellStyle name="_20061103Holux_CMS_Web_Design_Phase_Deliverables_0610_FP_DW_Impl_ProgramWorkBook_18-Feb-2011 - Working 2" xfId="4750" xr:uid="{00000000-0005-0000-0000-000034120000}"/>
    <cellStyle name="_20061103Holux_CMS_Web_Design_Phase_Deliverables_0610_FP_DW_Impl_ProgramWorkBook_18-Feb-2011 - Working 3" xfId="4751" xr:uid="{00000000-0005-0000-0000-000035120000}"/>
    <cellStyle name="_20061103Holux_CMS_Web_Design_Phase_Deliverables_0610_FP_EnterprisePortal_ProgramWorkbook" xfId="4752" xr:uid="{00000000-0005-0000-0000-000036120000}"/>
    <cellStyle name="_20061103Holux_CMS_Web_Design_Phase_Deliverables_0610_FP_EnterprisePortal_ProgramWorkbook 2" xfId="4753" xr:uid="{00000000-0005-0000-0000-000037120000}"/>
    <cellStyle name="_20061103Holux_CMS_Web_Design_Phase_Deliverables_0610_FP_EnterprisePortal_ProgramWorkbook 3" xfId="4754" xr:uid="{00000000-0005-0000-0000-000038120000}"/>
    <cellStyle name="_20061103Holux_CMS_Web_Design_Phase_Deliverables_0610_FP_SAP_MLP v2" xfId="4755" xr:uid="{00000000-0005-0000-0000-000039120000}"/>
    <cellStyle name="_20061103Holux_CMS_Web_Design_Phase_Deliverables_0610_FP_SAP_MLP v2 2" xfId="4756" xr:uid="{00000000-0005-0000-0000-00003A120000}"/>
    <cellStyle name="_20061103Holux_CMS_Web_Design_Phase_Deliverables_0610_FP_SAP_MLP v2 3" xfId="4757" xr:uid="{00000000-0005-0000-0000-00003B120000}"/>
    <cellStyle name="_20061103Holux_CMS_Web_Design_Phase_Deliverables_0610_KeyDecisions" xfId="4758" xr:uid="{00000000-0005-0000-0000-00003C120000}"/>
    <cellStyle name="_20061103Holux_CMS_Web_Design_Phase_Deliverables_0610_KeyDecisions 2" xfId="4759" xr:uid="{00000000-0005-0000-0000-00003D120000}"/>
    <cellStyle name="_20061103Holux_CMS_Web_Design_Phase_Deliverables_0610_KeyDecisions 3" xfId="4760" xr:uid="{00000000-0005-0000-0000-00003E120000}"/>
    <cellStyle name="_20061103Holux_CMS_Web_Design_Phase_Deliverables_0610_Sophia_Imp_ProjectWorkBook_02_18_2011" xfId="4761" xr:uid="{00000000-0005-0000-0000-00003F120000}"/>
    <cellStyle name="_20061103Holux_CMS_Web_Design_Phase_Deliverables_0610_Sophia_Imp_ProjectWorkBook_02_18_2011 2" xfId="4762" xr:uid="{00000000-0005-0000-0000-000040120000}"/>
    <cellStyle name="_20061103Holux_CMS_Web_Design_Phase_Deliverables_0610_Sophia_Imp_ProjectWorkBook_02_18_2011 3" xfId="4763" xr:uid="{00000000-0005-0000-0000-000041120000}"/>
    <cellStyle name="_20061103Holux_CMS_Web_Design_Phase_Deliverables_0610_t" xfId="4764" xr:uid="{00000000-0005-0000-0000-000042120000}"/>
    <cellStyle name="_20061103Holux_CMS_Web_Design_Phase_Deliverables_0610_t 2" xfId="4765" xr:uid="{00000000-0005-0000-0000-000043120000}"/>
    <cellStyle name="_20061103Holux_CMS_Web_Design_Phase_Deliverables_0610_t 3" xfId="4766" xr:uid="{00000000-0005-0000-0000-000044120000}"/>
    <cellStyle name="_20061103Holux_CMS_Web_Design_Phase_Deliverables_0618a" xfId="4767" xr:uid="{00000000-0005-0000-0000-000045120000}"/>
    <cellStyle name="_20061103Holux_CMS_Web_Design_Phase_Deliverables_0618a 2" xfId="4768" xr:uid="{00000000-0005-0000-0000-000046120000}"/>
    <cellStyle name="_20061103Holux_CMS_Web_Design_Phase_Deliverables_0618a 2 2" xfId="4769" xr:uid="{00000000-0005-0000-0000-000047120000}"/>
    <cellStyle name="_20061103Holux_CMS_Web_Design_Phase_Deliverables_0618a 2 3" xfId="4770" xr:uid="{00000000-0005-0000-0000-000048120000}"/>
    <cellStyle name="_20061103Holux_CMS_Web_Design_Phase_Deliverables_0618a 3" xfId="4771" xr:uid="{00000000-0005-0000-0000-000049120000}"/>
    <cellStyle name="_20061103Holux_CMS_Web_Design_Phase_Deliverables_0618a 3 2" xfId="4772" xr:uid="{00000000-0005-0000-0000-00004A120000}"/>
    <cellStyle name="_20061103Holux_CMS_Web_Design_Phase_Deliverables_0618a 3 3" xfId="4773" xr:uid="{00000000-0005-0000-0000-00004B120000}"/>
    <cellStyle name="_20061103Holux_CMS_Web_Design_Phase_Deliverables_0618a 4" xfId="4774" xr:uid="{00000000-0005-0000-0000-00004C120000}"/>
    <cellStyle name="_20061103Holux_CMS_Web_Design_Phase_Deliverables_0618a 5" xfId="4775" xr:uid="{00000000-0005-0000-0000-00004D120000}"/>
    <cellStyle name="_20061103Holux_CMS_Web_Design_Phase_Deliverables_0618a_Commissioning System Implementation_Project Workbook_06_10_2011" xfId="4776" xr:uid="{00000000-0005-0000-0000-00004E120000}"/>
    <cellStyle name="_20061103Holux_CMS_Web_Design_Phase_Deliverables_0618a_Commissioning System Implementation_Project Workbook_06_10_2011 2" xfId="4777" xr:uid="{00000000-0005-0000-0000-00004F120000}"/>
    <cellStyle name="_20061103Holux_CMS_Web_Design_Phase_Deliverables_0618a_Commissioning System Implementation_Project Workbook_06_10_2011 3" xfId="4778" xr:uid="{00000000-0005-0000-0000-000050120000}"/>
    <cellStyle name="_20061103Holux_CMS_Web_Design_Phase_Deliverables_0618a_FairPoint_CampReport" xfId="4779" xr:uid="{00000000-0005-0000-0000-000051120000}"/>
    <cellStyle name="_20061103Holux_CMS_Web_Design_Phase_Deliverables_0618a_FairPoint_CampReport 2" xfId="4780" xr:uid="{00000000-0005-0000-0000-000052120000}"/>
    <cellStyle name="_20061103Holux_CMS_Web_Design_Phase_Deliverables_0618a_FairPoint_CampReport 3" xfId="4781" xr:uid="{00000000-0005-0000-0000-000053120000}"/>
    <cellStyle name="_20061103Holux_CMS_Web_Design_Phase_Deliverables_0618a_FairPoint_FP comTechOps_ProgramWorkbook" xfId="4782" xr:uid="{00000000-0005-0000-0000-000054120000}"/>
    <cellStyle name="_20061103Holux_CMS_Web_Design_Phase_Deliverables_0618a_FairPoint_FP comTechOps_ProgramWorkbook 2" xfId="4783" xr:uid="{00000000-0005-0000-0000-000055120000}"/>
    <cellStyle name="_20061103Holux_CMS_Web_Design_Phase_Deliverables_0618a_FairPoint_FP comTechOps_ProgramWorkbook 3" xfId="4784" xr:uid="{00000000-0005-0000-0000-000056120000}"/>
    <cellStyle name="_20061103Holux_CMS_Web_Design_Phase_Deliverables_0618a_FairPoint_FP comTechOps_ProgramWorkbook_sachin" xfId="4785" xr:uid="{00000000-0005-0000-0000-000057120000}"/>
    <cellStyle name="_20061103Holux_CMS_Web_Design_Phase_Deliverables_0618a_FairPoint_FP comTechOps_ProgramWorkbook_sachin 2" xfId="4786" xr:uid="{00000000-0005-0000-0000-000058120000}"/>
    <cellStyle name="_20061103Holux_CMS_Web_Design_Phase_Deliverables_0618a_FairPoint_FP comTechOps_ProgramWorkbook_sachin 3" xfId="4787" xr:uid="{00000000-0005-0000-0000-000059120000}"/>
    <cellStyle name="_20061103Holux_CMS_Web_Design_Phase_Deliverables_0618a_FairPoint_FP comTechOps_ProgramWorkbook_sachin_v1" xfId="4788" xr:uid="{00000000-0005-0000-0000-00005A120000}"/>
    <cellStyle name="_20061103Holux_CMS_Web_Design_Phase_Deliverables_0618a_FairPoint_FP comTechOps_ProgramWorkbook_sachin_v1 2" xfId="4789" xr:uid="{00000000-0005-0000-0000-00005B120000}"/>
    <cellStyle name="_20061103Holux_CMS_Web_Design_Phase_Deliverables_0618a_FairPoint_FP comTechOps_ProgramWorkbook_sachin_v1 3" xfId="4790" xr:uid="{00000000-0005-0000-0000-00005C120000}"/>
    <cellStyle name="_20061103Holux_CMS_Web_Design_Phase_Deliverables_0618a_FP_CAMP&amp;ITReporting_Maintenance_Dashboard" xfId="4791" xr:uid="{00000000-0005-0000-0000-00005D120000}"/>
    <cellStyle name="_20061103Holux_CMS_Web_Design_Phase_Deliverables_0618a_FP_CAMP&amp;ITReporting_Maintenance_Dashboard 2" xfId="4792" xr:uid="{00000000-0005-0000-0000-00005E120000}"/>
    <cellStyle name="_20061103Holux_CMS_Web_Design_Phase_Deliverables_0618a_FP_CAMP&amp;ITReporting_Maintenance_Dashboard 3" xfId="4793" xr:uid="{00000000-0005-0000-0000-00005F120000}"/>
    <cellStyle name="_20061103Holux_CMS_Web_Design_Phase_Deliverables_0618a_FP_CAMPITReporting_Maintenance_Dashboard" xfId="4794" xr:uid="{00000000-0005-0000-0000-000060120000}"/>
    <cellStyle name="_20061103Holux_CMS_Web_Design_Phase_Deliverables_0618a_FP_CAMPITReporting_Maintenance_Dashboard 2" xfId="4795" xr:uid="{00000000-0005-0000-0000-000061120000}"/>
    <cellStyle name="_20061103Holux_CMS_Web_Design_Phase_Deliverables_0618a_FP_CAMPITReporting_Maintenance_Dashboard 3" xfId="4796" xr:uid="{00000000-0005-0000-0000-000062120000}"/>
    <cellStyle name="_20061103Holux_CMS_Web_Design_Phase_Deliverables_0618a_FP_Commissions_Req_Dn_ProgramWorkBook_10-Dec-2010" xfId="4797" xr:uid="{00000000-0005-0000-0000-000063120000}"/>
    <cellStyle name="_20061103Holux_CMS_Web_Design_Phase_Deliverables_0618a_FP_Commissions_Req_Dn_ProgramWorkBook_10-Dec-2010 2" xfId="4798" xr:uid="{00000000-0005-0000-0000-000064120000}"/>
    <cellStyle name="_20061103Holux_CMS_Web_Design_Phase_Deliverables_0618a_FP_Commissions_Req_Dn_ProgramWorkBook_10-Dec-2010 3" xfId="4799" xr:uid="{00000000-0005-0000-0000-000065120000}"/>
    <cellStyle name="_20061103Holux_CMS_Web_Design_Phase_Deliverables_0618a_FP_DW_Impl_ProgramWorkBook_07-Jan-2011" xfId="4800" xr:uid="{00000000-0005-0000-0000-000066120000}"/>
    <cellStyle name="_20061103Holux_CMS_Web_Design_Phase_Deliverables_0618a_FP_DW_Impl_ProgramWorkBook_07-Jan-2011 2" xfId="4801" xr:uid="{00000000-0005-0000-0000-000067120000}"/>
    <cellStyle name="_20061103Holux_CMS_Web_Design_Phase_Deliverables_0618a_FP_DW_Impl_ProgramWorkBook_07-Jan-2011 2 2" xfId="4802" xr:uid="{00000000-0005-0000-0000-000068120000}"/>
    <cellStyle name="_20061103Holux_CMS_Web_Design_Phase_Deliverables_0618a_FP_DW_Impl_ProgramWorkBook_07-Jan-2011 2 3" xfId="4803" xr:uid="{00000000-0005-0000-0000-000069120000}"/>
    <cellStyle name="_20061103Holux_CMS_Web_Design_Phase_Deliverables_0618a_FP_DW_Impl_ProgramWorkBook_07-Jan-2011 3" xfId="4804" xr:uid="{00000000-0005-0000-0000-00006A120000}"/>
    <cellStyle name="_20061103Holux_CMS_Web_Design_Phase_Deliverables_0618a_FP_DW_Impl_ProgramWorkBook_07-Jan-2011 4" xfId="4805" xr:uid="{00000000-0005-0000-0000-00006B120000}"/>
    <cellStyle name="_20061103Holux_CMS_Web_Design_Phase_Deliverables_0618a_FP_DW_Impl_ProgramWorkBook_11-Feb-2011" xfId="4806" xr:uid="{00000000-0005-0000-0000-00006C120000}"/>
    <cellStyle name="_20061103Holux_CMS_Web_Design_Phase_Deliverables_0618a_FP_DW_Impl_ProgramWorkBook_11-Feb-2011 2" xfId="4807" xr:uid="{00000000-0005-0000-0000-00006D120000}"/>
    <cellStyle name="_20061103Holux_CMS_Web_Design_Phase_Deliverables_0618a_FP_DW_Impl_ProgramWorkBook_11-Feb-2011 3" xfId="4808" xr:uid="{00000000-0005-0000-0000-00006E120000}"/>
    <cellStyle name="_20061103Holux_CMS_Web_Design_Phase_Deliverables_0618a_FP_DW_Impl_ProgramWorkBook_18-Feb-2011 - Working" xfId="4809" xr:uid="{00000000-0005-0000-0000-00006F120000}"/>
    <cellStyle name="_20061103Holux_CMS_Web_Design_Phase_Deliverables_0618a_FP_DW_Impl_ProgramWorkBook_18-Feb-2011 - Working 2" xfId="4810" xr:uid="{00000000-0005-0000-0000-000070120000}"/>
    <cellStyle name="_20061103Holux_CMS_Web_Design_Phase_Deliverables_0618a_FP_DW_Impl_ProgramWorkBook_18-Feb-2011 - Working 3" xfId="4811" xr:uid="{00000000-0005-0000-0000-000071120000}"/>
    <cellStyle name="_20061103Holux_CMS_Web_Design_Phase_Deliverables_0618a_FP_EnterprisePortal_ProgramWorkbook" xfId="4812" xr:uid="{00000000-0005-0000-0000-000072120000}"/>
    <cellStyle name="_20061103Holux_CMS_Web_Design_Phase_Deliverables_0618a_FP_EnterprisePortal_ProgramWorkbook 2" xfId="4813" xr:uid="{00000000-0005-0000-0000-000073120000}"/>
    <cellStyle name="_20061103Holux_CMS_Web_Design_Phase_Deliverables_0618a_FP_EnterprisePortal_ProgramWorkbook 3" xfId="4814" xr:uid="{00000000-0005-0000-0000-000074120000}"/>
    <cellStyle name="_20061103Holux_CMS_Web_Design_Phase_Deliverables_0618a_FP_SAP_MLP v2" xfId="4815" xr:uid="{00000000-0005-0000-0000-000075120000}"/>
    <cellStyle name="_20061103Holux_CMS_Web_Design_Phase_Deliverables_0618a_FP_SAP_MLP v2 2" xfId="4816" xr:uid="{00000000-0005-0000-0000-000076120000}"/>
    <cellStyle name="_20061103Holux_CMS_Web_Design_Phase_Deliverables_0618a_FP_SAP_MLP v2 3" xfId="4817" xr:uid="{00000000-0005-0000-0000-000077120000}"/>
    <cellStyle name="_20061103Holux_CMS_Web_Design_Phase_Deliverables_0618a_KeyDecisions" xfId="4818" xr:uid="{00000000-0005-0000-0000-000078120000}"/>
    <cellStyle name="_20061103Holux_CMS_Web_Design_Phase_Deliverables_0618a_KeyDecisions 2" xfId="4819" xr:uid="{00000000-0005-0000-0000-000079120000}"/>
    <cellStyle name="_20061103Holux_CMS_Web_Design_Phase_Deliverables_0618a_KeyDecisions 3" xfId="4820" xr:uid="{00000000-0005-0000-0000-00007A120000}"/>
    <cellStyle name="_20061103Holux_CMS_Web_Design_Phase_Deliverables_0618a_Sophia_Imp_ProjectWorkBook_02_18_2011" xfId="4821" xr:uid="{00000000-0005-0000-0000-00007B120000}"/>
    <cellStyle name="_20061103Holux_CMS_Web_Design_Phase_Deliverables_0618a_Sophia_Imp_ProjectWorkBook_02_18_2011 2" xfId="4822" xr:uid="{00000000-0005-0000-0000-00007C120000}"/>
    <cellStyle name="_20061103Holux_CMS_Web_Design_Phase_Deliverables_0618a_Sophia_Imp_ProjectWorkBook_02_18_2011 3" xfId="4823" xr:uid="{00000000-0005-0000-0000-00007D120000}"/>
    <cellStyle name="_20061103Holux_CMS_Web_Design_Phase_Deliverables_0618a_t" xfId="4824" xr:uid="{00000000-0005-0000-0000-00007E120000}"/>
    <cellStyle name="_20061103Holux_CMS_Web_Design_Phase_Deliverables_0618a_t 2" xfId="4825" xr:uid="{00000000-0005-0000-0000-00007F120000}"/>
    <cellStyle name="_20061103Holux_CMS_Web_Design_Phase_Deliverables_0618a_t 3" xfId="4826" xr:uid="{00000000-0005-0000-0000-000080120000}"/>
    <cellStyle name="_20061103Holux_CMS_Web_Design_Phase_Deliverables_0621" xfId="4827" xr:uid="{00000000-0005-0000-0000-000081120000}"/>
    <cellStyle name="_20061103Holux_CMS_Web_Design_Phase_Deliverables_0621 2" xfId="4828" xr:uid="{00000000-0005-0000-0000-000082120000}"/>
    <cellStyle name="_20061103Holux_CMS_Web_Design_Phase_Deliverables_0621 2 2" xfId="4829" xr:uid="{00000000-0005-0000-0000-000083120000}"/>
    <cellStyle name="_20061103Holux_CMS_Web_Design_Phase_Deliverables_0621 2 3" xfId="4830" xr:uid="{00000000-0005-0000-0000-000084120000}"/>
    <cellStyle name="_20061103Holux_CMS_Web_Design_Phase_Deliverables_0621 3" xfId="4831" xr:uid="{00000000-0005-0000-0000-000085120000}"/>
    <cellStyle name="_20061103Holux_CMS_Web_Design_Phase_Deliverables_0621 3 2" xfId="4832" xr:uid="{00000000-0005-0000-0000-000086120000}"/>
    <cellStyle name="_20061103Holux_CMS_Web_Design_Phase_Deliverables_0621 3 3" xfId="4833" xr:uid="{00000000-0005-0000-0000-000087120000}"/>
    <cellStyle name="_20061103Holux_CMS_Web_Design_Phase_Deliverables_0621 4" xfId="4834" xr:uid="{00000000-0005-0000-0000-000088120000}"/>
    <cellStyle name="_20061103Holux_CMS_Web_Design_Phase_Deliverables_0621 5" xfId="4835" xr:uid="{00000000-0005-0000-0000-000089120000}"/>
    <cellStyle name="_20061103Holux_CMS_Web_Design_Phase_Deliverables_0621_Commissioning System Implementation_Project Workbook_06_10_2011" xfId="4836" xr:uid="{00000000-0005-0000-0000-00008A120000}"/>
    <cellStyle name="_20061103Holux_CMS_Web_Design_Phase_Deliverables_0621_Commissioning System Implementation_Project Workbook_06_10_2011 2" xfId="4837" xr:uid="{00000000-0005-0000-0000-00008B120000}"/>
    <cellStyle name="_20061103Holux_CMS_Web_Design_Phase_Deliverables_0621_Commissioning System Implementation_Project Workbook_06_10_2011 3" xfId="4838" xr:uid="{00000000-0005-0000-0000-00008C120000}"/>
    <cellStyle name="_20061103Holux_CMS_Web_Design_Phase_Deliverables_0621_FairPoint_CampReport" xfId="4839" xr:uid="{00000000-0005-0000-0000-00008D120000}"/>
    <cellStyle name="_20061103Holux_CMS_Web_Design_Phase_Deliverables_0621_FairPoint_CampReport 2" xfId="4840" xr:uid="{00000000-0005-0000-0000-00008E120000}"/>
    <cellStyle name="_20061103Holux_CMS_Web_Design_Phase_Deliverables_0621_FairPoint_CampReport 3" xfId="4841" xr:uid="{00000000-0005-0000-0000-00008F120000}"/>
    <cellStyle name="_20061103Holux_CMS_Web_Design_Phase_Deliverables_0621_FairPoint_FP comTechOps_ProgramWorkbook" xfId="4842" xr:uid="{00000000-0005-0000-0000-000090120000}"/>
    <cellStyle name="_20061103Holux_CMS_Web_Design_Phase_Deliverables_0621_FairPoint_FP comTechOps_ProgramWorkbook 2" xfId="4843" xr:uid="{00000000-0005-0000-0000-000091120000}"/>
    <cellStyle name="_20061103Holux_CMS_Web_Design_Phase_Deliverables_0621_FairPoint_FP comTechOps_ProgramWorkbook 3" xfId="4844" xr:uid="{00000000-0005-0000-0000-000092120000}"/>
    <cellStyle name="_20061103Holux_CMS_Web_Design_Phase_Deliverables_0621_FairPoint_FP comTechOps_ProgramWorkbook_sachin" xfId="4845" xr:uid="{00000000-0005-0000-0000-000093120000}"/>
    <cellStyle name="_20061103Holux_CMS_Web_Design_Phase_Deliverables_0621_FairPoint_FP comTechOps_ProgramWorkbook_sachin 2" xfId="4846" xr:uid="{00000000-0005-0000-0000-000094120000}"/>
    <cellStyle name="_20061103Holux_CMS_Web_Design_Phase_Deliverables_0621_FairPoint_FP comTechOps_ProgramWorkbook_sachin 3" xfId="4847" xr:uid="{00000000-0005-0000-0000-000095120000}"/>
    <cellStyle name="_20061103Holux_CMS_Web_Design_Phase_Deliverables_0621_FairPoint_FP comTechOps_ProgramWorkbook_sachin_v1" xfId="4848" xr:uid="{00000000-0005-0000-0000-000096120000}"/>
    <cellStyle name="_20061103Holux_CMS_Web_Design_Phase_Deliverables_0621_FairPoint_FP comTechOps_ProgramWorkbook_sachin_v1 2" xfId="4849" xr:uid="{00000000-0005-0000-0000-000097120000}"/>
    <cellStyle name="_20061103Holux_CMS_Web_Design_Phase_Deliverables_0621_FairPoint_FP comTechOps_ProgramWorkbook_sachin_v1 3" xfId="4850" xr:uid="{00000000-0005-0000-0000-000098120000}"/>
    <cellStyle name="_20061103Holux_CMS_Web_Design_Phase_Deliverables_0621_FP_CAMP&amp;ITReporting_Maintenance_Dashboard" xfId="4851" xr:uid="{00000000-0005-0000-0000-000099120000}"/>
    <cellStyle name="_20061103Holux_CMS_Web_Design_Phase_Deliverables_0621_FP_CAMP&amp;ITReporting_Maintenance_Dashboard 2" xfId="4852" xr:uid="{00000000-0005-0000-0000-00009A120000}"/>
    <cellStyle name="_20061103Holux_CMS_Web_Design_Phase_Deliverables_0621_FP_CAMP&amp;ITReporting_Maintenance_Dashboard 3" xfId="4853" xr:uid="{00000000-0005-0000-0000-00009B120000}"/>
    <cellStyle name="_20061103Holux_CMS_Web_Design_Phase_Deliverables_0621_FP_CAMPITReporting_Maintenance_Dashboard" xfId="4854" xr:uid="{00000000-0005-0000-0000-00009C120000}"/>
    <cellStyle name="_20061103Holux_CMS_Web_Design_Phase_Deliverables_0621_FP_CAMPITReporting_Maintenance_Dashboard 2" xfId="4855" xr:uid="{00000000-0005-0000-0000-00009D120000}"/>
    <cellStyle name="_20061103Holux_CMS_Web_Design_Phase_Deliverables_0621_FP_CAMPITReporting_Maintenance_Dashboard 3" xfId="4856" xr:uid="{00000000-0005-0000-0000-00009E120000}"/>
    <cellStyle name="_20061103Holux_CMS_Web_Design_Phase_Deliverables_0621_FP_Commissions_Req_Dn_ProgramWorkBook_10-Dec-2010" xfId="4857" xr:uid="{00000000-0005-0000-0000-00009F120000}"/>
    <cellStyle name="_20061103Holux_CMS_Web_Design_Phase_Deliverables_0621_FP_Commissions_Req_Dn_ProgramWorkBook_10-Dec-2010 2" xfId="4858" xr:uid="{00000000-0005-0000-0000-0000A0120000}"/>
    <cellStyle name="_20061103Holux_CMS_Web_Design_Phase_Deliverables_0621_FP_Commissions_Req_Dn_ProgramWorkBook_10-Dec-2010 3" xfId="4859" xr:uid="{00000000-0005-0000-0000-0000A1120000}"/>
    <cellStyle name="_20061103Holux_CMS_Web_Design_Phase_Deliverables_0621_FP_DW_Impl_ProgramWorkBook_07-Jan-2011" xfId="4860" xr:uid="{00000000-0005-0000-0000-0000A2120000}"/>
    <cellStyle name="_20061103Holux_CMS_Web_Design_Phase_Deliverables_0621_FP_DW_Impl_ProgramWorkBook_07-Jan-2011 2" xfId="4861" xr:uid="{00000000-0005-0000-0000-0000A3120000}"/>
    <cellStyle name="_20061103Holux_CMS_Web_Design_Phase_Deliverables_0621_FP_DW_Impl_ProgramWorkBook_07-Jan-2011 2 2" xfId="4862" xr:uid="{00000000-0005-0000-0000-0000A4120000}"/>
    <cellStyle name="_20061103Holux_CMS_Web_Design_Phase_Deliverables_0621_FP_DW_Impl_ProgramWorkBook_07-Jan-2011 2 3" xfId="4863" xr:uid="{00000000-0005-0000-0000-0000A5120000}"/>
    <cellStyle name="_20061103Holux_CMS_Web_Design_Phase_Deliverables_0621_FP_DW_Impl_ProgramWorkBook_07-Jan-2011 3" xfId="4864" xr:uid="{00000000-0005-0000-0000-0000A6120000}"/>
    <cellStyle name="_20061103Holux_CMS_Web_Design_Phase_Deliverables_0621_FP_DW_Impl_ProgramWorkBook_07-Jan-2011 4" xfId="4865" xr:uid="{00000000-0005-0000-0000-0000A7120000}"/>
    <cellStyle name="_20061103Holux_CMS_Web_Design_Phase_Deliverables_0621_FP_DW_Impl_ProgramWorkBook_11-Feb-2011" xfId="4866" xr:uid="{00000000-0005-0000-0000-0000A8120000}"/>
    <cellStyle name="_20061103Holux_CMS_Web_Design_Phase_Deliverables_0621_FP_DW_Impl_ProgramWorkBook_11-Feb-2011 2" xfId="4867" xr:uid="{00000000-0005-0000-0000-0000A9120000}"/>
    <cellStyle name="_20061103Holux_CMS_Web_Design_Phase_Deliverables_0621_FP_DW_Impl_ProgramWorkBook_11-Feb-2011 3" xfId="4868" xr:uid="{00000000-0005-0000-0000-0000AA120000}"/>
    <cellStyle name="_20061103Holux_CMS_Web_Design_Phase_Deliverables_0621_FP_DW_Impl_ProgramWorkBook_18-Feb-2011 - Working" xfId="4869" xr:uid="{00000000-0005-0000-0000-0000AB120000}"/>
    <cellStyle name="_20061103Holux_CMS_Web_Design_Phase_Deliverables_0621_FP_DW_Impl_ProgramWorkBook_18-Feb-2011 - Working 2" xfId="4870" xr:uid="{00000000-0005-0000-0000-0000AC120000}"/>
    <cellStyle name="_20061103Holux_CMS_Web_Design_Phase_Deliverables_0621_FP_DW_Impl_ProgramWorkBook_18-Feb-2011 - Working 3" xfId="4871" xr:uid="{00000000-0005-0000-0000-0000AD120000}"/>
    <cellStyle name="_20061103Holux_CMS_Web_Design_Phase_Deliverables_0621_FP_EnterprisePortal_ProgramWorkbook" xfId="4872" xr:uid="{00000000-0005-0000-0000-0000AE120000}"/>
    <cellStyle name="_20061103Holux_CMS_Web_Design_Phase_Deliverables_0621_FP_EnterprisePortal_ProgramWorkbook 2" xfId="4873" xr:uid="{00000000-0005-0000-0000-0000AF120000}"/>
    <cellStyle name="_20061103Holux_CMS_Web_Design_Phase_Deliverables_0621_FP_EnterprisePortal_ProgramWorkbook 3" xfId="4874" xr:uid="{00000000-0005-0000-0000-0000B0120000}"/>
    <cellStyle name="_20061103Holux_CMS_Web_Design_Phase_Deliverables_0621_FP_SAP_MLP v2" xfId="4875" xr:uid="{00000000-0005-0000-0000-0000B1120000}"/>
    <cellStyle name="_20061103Holux_CMS_Web_Design_Phase_Deliverables_0621_FP_SAP_MLP v2 2" xfId="4876" xr:uid="{00000000-0005-0000-0000-0000B2120000}"/>
    <cellStyle name="_20061103Holux_CMS_Web_Design_Phase_Deliverables_0621_FP_SAP_MLP v2 3" xfId="4877" xr:uid="{00000000-0005-0000-0000-0000B3120000}"/>
    <cellStyle name="_20061103Holux_CMS_Web_Design_Phase_Deliverables_0621_KeyDecisions" xfId="4878" xr:uid="{00000000-0005-0000-0000-0000B4120000}"/>
    <cellStyle name="_20061103Holux_CMS_Web_Design_Phase_Deliverables_0621_KeyDecisions 2" xfId="4879" xr:uid="{00000000-0005-0000-0000-0000B5120000}"/>
    <cellStyle name="_20061103Holux_CMS_Web_Design_Phase_Deliverables_0621_KeyDecisions 3" xfId="4880" xr:uid="{00000000-0005-0000-0000-0000B6120000}"/>
    <cellStyle name="_20061103Holux_CMS_Web_Design_Phase_Deliverables_0621_Sophia_Imp_ProjectWorkBook_02_18_2011" xfId="4881" xr:uid="{00000000-0005-0000-0000-0000B7120000}"/>
    <cellStyle name="_20061103Holux_CMS_Web_Design_Phase_Deliverables_0621_Sophia_Imp_ProjectWorkBook_02_18_2011 2" xfId="4882" xr:uid="{00000000-0005-0000-0000-0000B8120000}"/>
    <cellStyle name="_20061103Holux_CMS_Web_Design_Phase_Deliverables_0621_Sophia_Imp_ProjectWorkBook_02_18_2011 3" xfId="4883" xr:uid="{00000000-0005-0000-0000-0000B9120000}"/>
    <cellStyle name="_20061103Holux_CMS_Web_Design_Phase_Deliverables_0621_t" xfId="4884" xr:uid="{00000000-0005-0000-0000-0000BA120000}"/>
    <cellStyle name="_20061103Holux_CMS_Web_Design_Phase_Deliverables_0621_t 2" xfId="4885" xr:uid="{00000000-0005-0000-0000-0000BB120000}"/>
    <cellStyle name="_20061103Holux_CMS_Web_Design_Phase_Deliverables_0621_t 3" xfId="4886" xr:uid="{00000000-0005-0000-0000-0000BC120000}"/>
    <cellStyle name="_20061103Holux_CMS_Web_Design_Phase_Deliverables_0625" xfId="4887" xr:uid="{00000000-0005-0000-0000-0000BD120000}"/>
    <cellStyle name="_20061103Holux_CMS_Web_Design_Phase_Deliverables_0625 2" xfId="4888" xr:uid="{00000000-0005-0000-0000-0000BE120000}"/>
    <cellStyle name="_20061103Holux_CMS_Web_Design_Phase_Deliverables_0625 2 2" xfId="4889" xr:uid="{00000000-0005-0000-0000-0000BF120000}"/>
    <cellStyle name="_20061103Holux_CMS_Web_Design_Phase_Deliverables_0625 2 3" xfId="4890" xr:uid="{00000000-0005-0000-0000-0000C0120000}"/>
    <cellStyle name="_20061103Holux_CMS_Web_Design_Phase_Deliverables_0625 3" xfId="4891" xr:uid="{00000000-0005-0000-0000-0000C1120000}"/>
    <cellStyle name="_20061103Holux_CMS_Web_Design_Phase_Deliverables_0625 3 2" xfId="4892" xr:uid="{00000000-0005-0000-0000-0000C2120000}"/>
    <cellStyle name="_20061103Holux_CMS_Web_Design_Phase_Deliverables_0625 3 3" xfId="4893" xr:uid="{00000000-0005-0000-0000-0000C3120000}"/>
    <cellStyle name="_20061103Holux_CMS_Web_Design_Phase_Deliverables_0625 4" xfId="4894" xr:uid="{00000000-0005-0000-0000-0000C4120000}"/>
    <cellStyle name="_20061103Holux_CMS_Web_Design_Phase_Deliverables_0625 5" xfId="4895" xr:uid="{00000000-0005-0000-0000-0000C5120000}"/>
    <cellStyle name="_20061103Holux_CMS_Web_Design_Phase_Deliverables_0625_Commissioning System Implementation_Project Workbook_06_10_2011" xfId="4896" xr:uid="{00000000-0005-0000-0000-0000C6120000}"/>
    <cellStyle name="_20061103Holux_CMS_Web_Design_Phase_Deliverables_0625_Commissioning System Implementation_Project Workbook_06_10_2011 2" xfId="4897" xr:uid="{00000000-0005-0000-0000-0000C7120000}"/>
    <cellStyle name="_20061103Holux_CMS_Web_Design_Phase_Deliverables_0625_Commissioning System Implementation_Project Workbook_06_10_2011 3" xfId="4898" xr:uid="{00000000-0005-0000-0000-0000C8120000}"/>
    <cellStyle name="_20061103Holux_CMS_Web_Design_Phase_Deliverables_0625_FairPoint_CampReport" xfId="4899" xr:uid="{00000000-0005-0000-0000-0000C9120000}"/>
    <cellStyle name="_20061103Holux_CMS_Web_Design_Phase_Deliverables_0625_FairPoint_CampReport 2" xfId="4900" xr:uid="{00000000-0005-0000-0000-0000CA120000}"/>
    <cellStyle name="_20061103Holux_CMS_Web_Design_Phase_Deliverables_0625_FairPoint_CampReport 3" xfId="4901" xr:uid="{00000000-0005-0000-0000-0000CB120000}"/>
    <cellStyle name="_20061103Holux_CMS_Web_Design_Phase_Deliverables_0625_FairPoint_FP comTechOps_ProgramWorkbook" xfId="4902" xr:uid="{00000000-0005-0000-0000-0000CC120000}"/>
    <cellStyle name="_20061103Holux_CMS_Web_Design_Phase_Deliverables_0625_FairPoint_FP comTechOps_ProgramWorkbook 2" xfId="4903" xr:uid="{00000000-0005-0000-0000-0000CD120000}"/>
    <cellStyle name="_20061103Holux_CMS_Web_Design_Phase_Deliverables_0625_FairPoint_FP comTechOps_ProgramWorkbook 3" xfId="4904" xr:uid="{00000000-0005-0000-0000-0000CE120000}"/>
    <cellStyle name="_20061103Holux_CMS_Web_Design_Phase_Deliverables_0625_FairPoint_FP comTechOps_ProgramWorkbook_sachin" xfId="4905" xr:uid="{00000000-0005-0000-0000-0000CF120000}"/>
    <cellStyle name="_20061103Holux_CMS_Web_Design_Phase_Deliverables_0625_FairPoint_FP comTechOps_ProgramWorkbook_sachin 2" xfId="4906" xr:uid="{00000000-0005-0000-0000-0000D0120000}"/>
    <cellStyle name="_20061103Holux_CMS_Web_Design_Phase_Deliverables_0625_FairPoint_FP comTechOps_ProgramWorkbook_sachin 3" xfId="4907" xr:uid="{00000000-0005-0000-0000-0000D1120000}"/>
    <cellStyle name="_20061103Holux_CMS_Web_Design_Phase_Deliverables_0625_FairPoint_FP comTechOps_ProgramWorkbook_sachin_v1" xfId="4908" xr:uid="{00000000-0005-0000-0000-0000D2120000}"/>
    <cellStyle name="_20061103Holux_CMS_Web_Design_Phase_Deliverables_0625_FairPoint_FP comTechOps_ProgramWorkbook_sachin_v1 2" xfId="4909" xr:uid="{00000000-0005-0000-0000-0000D3120000}"/>
    <cellStyle name="_20061103Holux_CMS_Web_Design_Phase_Deliverables_0625_FairPoint_FP comTechOps_ProgramWorkbook_sachin_v1 3" xfId="4910" xr:uid="{00000000-0005-0000-0000-0000D4120000}"/>
    <cellStyle name="_20061103Holux_CMS_Web_Design_Phase_Deliverables_0625_FP_CAMP&amp;ITReporting_Maintenance_Dashboard" xfId="4911" xr:uid="{00000000-0005-0000-0000-0000D5120000}"/>
    <cellStyle name="_20061103Holux_CMS_Web_Design_Phase_Deliverables_0625_FP_CAMP&amp;ITReporting_Maintenance_Dashboard 2" xfId="4912" xr:uid="{00000000-0005-0000-0000-0000D6120000}"/>
    <cellStyle name="_20061103Holux_CMS_Web_Design_Phase_Deliverables_0625_FP_CAMP&amp;ITReporting_Maintenance_Dashboard 3" xfId="4913" xr:uid="{00000000-0005-0000-0000-0000D7120000}"/>
    <cellStyle name="_20061103Holux_CMS_Web_Design_Phase_Deliverables_0625_FP_CAMPITReporting_Maintenance_Dashboard" xfId="4914" xr:uid="{00000000-0005-0000-0000-0000D8120000}"/>
    <cellStyle name="_20061103Holux_CMS_Web_Design_Phase_Deliverables_0625_FP_CAMPITReporting_Maintenance_Dashboard 2" xfId="4915" xr:uid="{00000000-0005-0000-0000-0000D9120000}"/>
    <cellStyle name="_20061103Holux_CMS_Web_Design_Phase_Deliverables_0625_FP_CAMPITReporting_Maintenance_Dashboard 3" xfId="4916" xr:uid="{00000000-0005-0000-0000-0000DA120000}"/>
    <cellStyle name="_20061103Holux_CMS_Web_Design_Phase_Deliverables_0625_FP_Commissions_Req_Dn_ProgramWorkBook_10-Dec-2010" xfId="4917" xr:uid="{00000000-0005-0000-0000-0000DB120000}"/>
    <cellStyle name="_20061103Holux_CMS_Web_Design_Phase_Deliverables_0625_FP_Commissions_Req_Dn_ProgramWorkBook_10-Dec-2010 2" xfId="4918" xr:uid="{00000000-0005-0000-0000-0000DC120000}"/>
    <cellStyle name="_20061103Holux_CMS_Web_Design_Phase_Deliverables_0625_FP_Commissions_Req_Dn_ProgramWorkBook_10-Dec-2010 3" xfId="4919" xr:uid="{00000000-0005-0000-0000-0000DD120000}"/>
    <cellStyle name="_20061103Holux_CMS_Web_Design_Phase_Deliverables_0625_FP_DW_Impl_ProgramWorkBook_07-Jan-2011" xfId="4920" xr:uid="{00000000-0005-0000-0000-0000DE120000}"/>
    <cellStyle name="_20061103Holux_CMS_Web_Design_Phase_Deliverables_0625_FP_DW_Impl_ProgramWorkBook_07-Jan-2011 2" xfId="4921" xr:uid="{00000000-0005-0000-0000-0000DF120000}"/>
    <cellStyle name="_20061103Holux_CMS_Web_Design_Phase_Deliverables_0625_FP_DW_Impl_ProgramWorkBook_07-Jan-2011 2 2" xfId="4922" xr:uid="{00000000-0005-0000-0000-0000E0120000}"/>
    <cellStyle name="_20061103Holux_CMS_Web_Design_Phase_Deliverables_0625_FP_DW_Impl_ProgramWorkBook_07-Jan-2011 2 3" xfId="4923" xr:uid="{00000000-0005-0000-0000-0000E1120000}"/>
    <cellStyle name="_20061103Holux_CMS_Web_Design_Phase_Deliverables_0625_FP_DW_Impl_ProgramWorkBook_07-Jan-2011 3" xfId="4924" xr:uid="{00000000-0005-0000-0000-0000E2120000}"/>
    <cellStyle name="_20061103Holux_CMS_Web_Design_Phase_Deliverables_0625_FP_DW_Impl_ProgramWorkBook_07-Jan-2011 4" xfId="4925" xr:uid="{00000000-0005-0000-0000-0000E3120000}"/>
    <cellStyle name="_20061103Holux_CMS_Web_Design_Phase_Deliverables_0625_FP_DW_Impl_ProgramWorkBook_11-Feb-2011" xfId="4926" xr:uid="{00000000-0005-0000-0000-0000E4120000}"/>
    <cellStyle name="_20061103Holux_CMS_Web_Design_Phase_Deliverables_0625_FP_DW_Impl_ProgramWorkBook_11-Feb-2011 2" xfId="4927" xr:uid="{00000000-0005-0000-0000-0000E5120000}"/>
    <cellStyle name="_20061103Holux_CMS_Web_Design_Phase_Deliverables_0625_FP_DW_Impl_ProgramWorkBook_11-Feb-2011 3" xfId="4928" xr:uid="{00000000-0005-0000-0000-0000E6120000}"/>
    <cellStyle name="_20061103Holux_CMS_Web_Design_Phase_Deliverables_0625_FP_DW_Impl_ProgramWorkBook_18-Feb-2011 - Working" xfId="4929" xr:uid="{00000000-0005-0000-0000-0000E7120000}"/>
    <cellStyle name="_20061103Holux_CMS_Web_Design_Phase_Deliverables_0625_FP_DW_Impl_ProgramWorkBook_18-Feb-2011 - Working 2" xfId="4930" xr:uid="{00000000-0005-0000-0000-0000E8120000}"/>
    <cellStyle name="_20061103Holux_CMS_Web_Design_Phase_Deliverables_0625_FP_DW_Impl_ProgramWorkBook_18-Feb-2011 - Working 3" xfId="4931" xr:uid="{00000000-0005-0000-0000-0000E9120000}"/>
    <cellStyle name="_20061103Holux_CMS_Web_Design_Phase_Deliverables_0625_FP_EnterprisePortal_ProgramWorkbook" xfId="4932" xr:uid="{00000000-0005-0000-0000-0000EA120000}"/>
    <cellStyle name="_20061103Holux_CMS_Web_Design_Phase_Deliverables_0625_FP_EnterprisePortal_ProgramWorkbook 2" xfId="4933" xr:uid="{00000000-0005-0000-0000-0000EB120000}"/>
    <cellStyle name="_20061103Holux_CMS_Web_Design_Phase_Deliverables_0625_FP_EnterprisePortal_ProgramWorkbook 3" xfId="4934" xr:uid="{00000000-0005-0000-0000-0000EC120000}"/>
    <cellStyle name="_20061103Holux_CMS_Web_Design_Phase_Deliverables_0625_FP_SAP_MLP v2" xfId="4935" xr:uid="{00000000-0005-0000-0000-0000ED120000}"/>
    <cellStyle name="_20061103Holux_CMS_Web_Design_Phase_Deliverables_0625_FP_SAP_MLP v2 2" xfId="4936" xr:uid="{00000000-0005-0000-0000-0000EE120000}"/>
    <cellStyle name="_20061103Holux_CMS_Web_Design_Phase_Deliverables_0625_FP_SAP_MLP v2 3" xfId="4937" xr:uid="{00000000-0005-0000-0000-0000EF120000}"/>
    <cellStyle name="_20061103Holux_CMS_Web_Design_Phase_Deliverables_0625_KeyDecisions" xfId="4938" xr:uid="{00000000-0005-0000-0000-0000F0120000}"/>
    <cellStyle name="_20061103Holux_CMS_Web_Design_Phase_Deliverables_0625_KeyDecisions 2" xfId="4939" xr:uid="{00000000-0005-0000-0000-0000F1120000}"/>
    <cellStyle name="_20061103Holux_CMS_Web_Design_Phase_Deliverables_0625_KeyDecisions 3" xfId="4940" xr:uid="{00000000-0005-0000-0000-0000F2120000}"/>
    <cellStyle name="_20061103Holux_CMS_Web_Design_Phase_Deliverables_0625_Sophia_Imp_ProjectWorkBook_02_18_2011" xfId="4941" xr:uid="{00000000-0005-0000-0000-0000F3120000}"/>
    <cellStyle name="_20061103Holux_CMS_Web_Design_Phase_Deliverables_0625_Sophia_Imp_ProjectWorkBook_02_18_2011 2" xfId="4942" xr:uid="{00000000-0005-0000-0000-0000F4120000}"/>
    <cellStyle name="_20061103Holux_CMS_Web_Design_Phase_Deliverables_0625_Sophia_Imp_ProjectWorkBook_02_18_2011 3" xfId="4943" xr:uid="{00000000-0005-0000-0000-0000F5120000}"/>
    <cellStyle name="_20061103Holux_CMS_Web_Design_Phase_Deliverables_0625_t" xfId="4944" xr:uid="{00000000-0005-0000-0000-0000F6120000}"/>
    <cellStyle name="_20061103Holux_CMS_Web_Design_Phase_Deliverables_0625_t 2" xfId="4945" xr:uid="{00000000-0005-0000-0000-0000F7120000}"/>
    <cellStyle name="_20061103Holux_CMS_Web_Design_Phase_Deliverables_0625_t 3" xfId="4946" xr:uid="{00000000-0005-0000-0000-0000F8120000}"/>
    <cellStyle name="_20061103Holux_CMS_Web_Design_Phase_Deliverables_MLP_0627" xfId="4947" xr:uid="{00000000-0005-0000-0000-0000F9120000}"/>
    <cellStyle name="_20061103Holux_CMS_Web_Design_Phase_Deliverables_MLP_0627 2" xfId="4948" xr:uid="{00000000-0005-0000-0000-0000FA120000}"/>
    <cellStyle name="_20061103Holux_CMS_Web_Design_Phase_Deliverables_MLP_0627 2 2" xfId="4949" xr:uid="{00000000-0005-0000-0000-0000FB120000}"/>
    <cellStyle name="_20061103Holux_CMS_Web_Design_Phase_Deliverables_MLP_0627 2 3" xfId="4950" xr:uid="{00000000-0005-0000-0000-0000FC120000}"/>
    <cellStyle name="_20061103Holux_CMS_Web_Design_Phase_Deliverables_MLP_0627 3" xfId="4951" xr:uid="{00000000-0005-0000-0000-0000FD120000}"/>
    <cellStyle name="_20061103Holux_CMS_Web_Design_Phase_Deliverables_MLP_0627 3 2" xfId="4952" xr:uid="{00000000-0005-0000-0000-0000FE120000}"/>
    <cellStyle name="_20061103Holux_CMS_Web_Design_Phase_Deliverables_MLP_0627 3 3" xfId="4953" xr:uid="{00000000-0005-0000-0000-0000FF120000}"/>
    <cellStyle name="_20061103Holux_CMS_Web_Design_Phase_Deliverables_MLP_0627 4" xfId="4954" xr:uid="{00000000-0005-0000-0000-000000130000}"/>
    <cellStyle name="_20061103Holux_CMS_Web_Design_Phase_Deliverables_MLP_0627 5" xfId="4955" xr:uid="{00000000-0005-0000-0000-000001130000}"/>
    <cellStyle name="_20061103Holux_CMS_Web_Design_Phase_Deliverables_MLP_0627_Commissioning System Implementation_Project Workbook_06_10_2011" xfId="4956" xr:uid="{00000000-0005-0000-0000-000002130000}"/>
    <cellStyle name="_20061103Holux_CMS_Web_Design_Phase_Deliverables_MLP_0627_Commissioning System Implementation_Project Workbook_06_10_2011 2" xfId="4957" xr:uid="{00000000-0005-0000-0000-000003130000}"/>
    <cellStyle name="_20061103Holux_CMS_Web_Design_Phase_Deliverables_MLP_0627_Commissioning System Implementation_Project Workbook_06_10_2011 3" xfId="4958" xr:uid="{00000000-0005-0000-0000-000004130000}"/>
    <cellStyle name="_20061103Holux_CMS_Web_Design_Phase_Deliverables_MLP_0627_FairPoint_CampReport" xfId="4959" xr:uid="{00000000-0005-0000-0000-000005130000}"/>
    <cellStyle name="_20061103Holux_CMS_Web_Design_Phase_Deliverables_MLP_0627_FairPoint_CampReport 2" xfId="4960" xr:uid="{00000000-0005-0000-0000-000006130000}"/>
    <cellStyle name="_20061103Holux_CMS_Web_Design_Phase_Deliverables_MLP_0627_FairPoint_CampReport 3" xfId="4961" xr:uid="{00000000-0005-0000-0000-000007130000}"/>
    <cellStyle name="_20061103Holux_CMS_Web_Design_Phase_Deliverables_MLP_0627_FairPoint_FP comTechOps_ProgramWorkbook" xfId="4962" xr:uid="{00000000-0005-0000-0000-000008130000}"/>
    <cellStyle name="_20061103Holux_CMS_Web_Design_Phase_Deliverables_MLP_0627_FairPoint_FP comTechOps_ProgramWorkbook 2" xfId="4963" xr:uid="{00000000-0005-0000-0000-000009130000}"/>
    <cellStyle name="_20061103Holux_CMS_Web_Design_Phase_Deliverables_MLP_0627_FairPoint_FP comTechOps_ProgramWorkbook 3" xfId="4964" xr:uid="{00000000-0005-0000-0000-00000A130000}"/>
    <cellStyle name="_20061103Holux_CMS_Web_Design_Phase_Deliverables_MLP_0627_FairPoint_FP comTechOps_ProgramWorkbook_sachin" xfId="4965" xr:uid="{00000000-0005-0000-0000-00000B130000}"/>
    <cellStyle name="_20061103Holux_CMS_Web_Design_Phase_Deliverables_MLP_0627_FairPoint_FP comTechOps_ProgramWorkbook_sachin 2" xfId="4966" xr:uid="{00000000-0005-0000-0000-00000C130000}"/>
    <cellStyle name="_20061103Holux_CMS_Web_Design_Phase_Deliverables_MLP_0627_FairPoint_FP comTechOps_ProgramWorkbook_sachin 3" xfId="4967" xr:uid="{00000000-0005-0000-0000-00000D130000}"/>
    <cellStyle name="_20061103Holux_CMS_Web_Design_Phase_Deliverables_MLP_0627_FairPoint_FP comTechOps_ProgramWorkbook_sachin_v1" xfId="4968" xr:uid="{00000000-0005-0000-0000-00000E130000}"/>
    <cellStyle name="_20061103Holux_CMS_Web_Design_Phase_Deliverables_MLP_0627_FairPoint_FP comTechOps_ProgramWorkbook_sachin_v1 2" xfId="4969" xr:uid="{00000000-0005-0000-0000-00000F130000}"/>
    <cellStyle name="_20061103Holux_CMS_Web_Design_Phase_Deliverables_MLP_0627_FairPoint_FP comTechOps_ProgramWorkbook_sachin_v1 3" xfId="4970" xr:uid="{00000000-0005-0000-0000-000010130000}"/>
    <cellStyle name="_20061103Holux_CMS_Web_Design_Phase_Deliverables_MLP_0627_FP_CAMP&amp;ITReporting_Maintenance_Dashboard" xfId="4971" xr:uid="{00000000-0005-0000-0000-000011130000}"/>
    <cellStyle name="_20061103Holux_CMS_Web_Design_Phase_Deliverables_MLP_0627_FP_CAMP&amp;ITReporting_Maintenance_Dashboard 2" xfId="4972" xr:uid="{00000000-0005-0000-0000-000012130000}"/>
    <cellStyle name="_20061103Holux_CMS_Web_Design_Phase_Deliverables_MLP_0627_FP_CAMP&amp;ITReporting_Maintenance_Dashboard 3" xfId="4973" xr:uid="{00000000-0005-0000-0000-000013130000}"/>
    <cellStyle name="_20061103Holux_CMS_Web_Design_Phase_Deliverables_MLP_0627_FP_CAMPITReporting_Maintenance_Dashboard" xfId="4974" xr:uid="{00000000-0005-0000-0000-000014130000}"/>
    <cellStyle name="_20061103Holux_CMS_Web_Design_Phase_Deliverables_MLP_0627_FP_CAMPITReporting_Maintenance_Dashboard 2" xfId="4975" xr:uid="{00000000-0005-0000-0000-000015130000}"/>
    <cellStyle name="_20061103Holux_CMS_Web_Design_Phase_Deliverables_MLP_0627_FP_CAMPITReporting_Maintenance_Dashboard 3" xfId="4976" xr:uid="{00000000-0005-0000-0000-000016130000}"/>
    <cellStyle name="_20061103Holux_CMS_Web_Design_Phase_Deliverables_MLP_0627_FP_Commissions_Req_Dn_ProgramWorkBook_10-Dec-2010" xfId="4977" xr:uid="{00000000-0005-0000-0000-000017130000}"/>
    <cellStyle name="_20061103Holux_CMS_Web_Design_Phase_Deliverables_MLP_0627_FP_Commissions_Req_Dn_ProgramWorkBook_10-Dec-2010 2" xfId="4978" xr:uid="{00000000-0005-0000-0000-000018130000}"/>
    <cellStyle name="_20061103Holux_CMS_Web_Design_Phase_Deliverables_MLP_0627_FP_Commissions_Req_Dn_ProgramWorkBook_10-Dec-2010 3" xfId="4979" xr:uid="{00000000-0005-0000-0000-000019130000}"/>
    <cellStyle name="_20061103Holux_CMS_Web_Design_Phase_Deliverables_MLP_0627_FP_DW_Impl_ProgramWorkBook_07-Jan-2011" xfId="4980" xr:uid="{00000000-0005-0000-0000-00001A130000}"/>
    <cellStyle name="_20061103Holux_CMS_Web_Design_Phase_Deliverables_MLP_0627_FP_DW_Impl_ProgramWorkBook_07-Jan-2011 2" xfId="4981" xr:uid="{00000000-0005-0000-0000-00001B130000}"/>
    <cellStyle name="_20061103Holux_CMS_Web_Design_Phase_Deliverables_MLP_0627_FP_DW_Impl_ProgramWorkBook_07-Jan-2011 2 2" xfId="4982" xr:uid="{00000000-0005-0000-0000-00001C130000}"/>
    <cellStyle name="_20061103Holux_CMS_Web_Design_Phase_Deliverables_MLP_0627_FP_DW_Impl_ProgramWorkBook_07-Jan-2011 2 3" xfId="4983" xr:uid="{00000000-0005-0000-0000-00001D130000}"/>
    <cellStyle name="_20061103Holux_CMS_Web_Design_Phase_Deliverables_MLP_0627_FP_DW_Impl_ProgramWorkBook_07-Jan-2011 3" xfId="4984" xr:uid="{00000000-0005-0000-0000-00001E130000}"/>
    <cellStyle name="_20061103Holux_CMS_Web_Design_Phase_Deliverables_MLP_0627_FP_DW_Impl_ProgramWorkBook_07-Jan-2011 4" xfId="4985" xr:uid="{00000000-0005-0000-0000-00001F130000}"/>
    <cellStyle name="_20061103Holux_CMS_Web_Design_Phase_Deliverables_MLP_0627_FP_DW_Impl_ProgramWorkBook_11-Feb-2011" xfId="4986" xr:uid="{00000000-0005-0000-0000-000020130000}"/>
    <cellStyle name="_20061103Holux_CMS_Web_Design_Phase_Deliverables_MLP_0627_FP_DW_Impl_ProgramWorkBook_11-Feb-2011 2" xfId="4987" xr:uid="{00000000-0005-0000-0000-000021130000}"/>
    <cellStyle name="_20061103Holux_CMS_Web_Design_Phase_Deliverables_MLP_0627_FP_DW_Impl_ProgramWorkBook_11-Feb-2011 3" xfId="4988" xr:uid="{00000000-0005-0000-0000-000022130000}"/>
    <cellStyle name="_20061103Holux_CMS_Web_Design_Phase_Deliverables_MLP_0627_FP_DW_Impl_ProgramWorkBook_18-Feb-2011 - Working" xfId="4989" xr:uid="{00000000-0005-0000-0000-000023130000}"/>
    <cellStyle name="_20061103Holux_CMS_Web_Design_Phase_Deliverables_MLP_0627_FP_DW_Impl_ProgramWorkBook_18-Feb-2011 - Working 2" xfId="4990" xr:uid="{00000000-0005-0000-0000-000024130000}"/>
    <cellStyle name="_20061103Holux_CMS_Web_Design_Phase_Deliverables_MLP_0627_FP_DW_Impl_ProgramWorkBook_18-Feb-2011 - Working 3" xfId="4991" xr:uid="{00000000-0005-0000-0000-000025130000}"/>
    <cellStyle name="_20061103Holux_CMS_Web_Design_Phase_Deliverables_MLP_0627_FP_EnterprisePortal_ProgramWorkbook" xfId="4992" xr:uid="{00000000-0005-0000-0000-000026130000}"/>
    <cellStyle name="_20061103Holux_CMS_Web_Design_Phase_Deliverables_MLP_0627_FP_EnterprisePortal_ProgramWorkbook 2" xfId="4993" xr:uid="{00000000-0005-0000-0000-000027130000}"/>
    <cellStyle name="_20061103Holux_CMS_Web_Design_Phase_Deliverables_MLP_0627_FP_EnterprisePortal_ProgramWorkbook 3" xfId="4994" xr:uid="{00000000-0005-0000-0000-000028130000}"/>
    <cellStyle name="_20061103Holux_CMS_Web_Design_Phase_Deliverables_MLP_0627_FP_SAP_MLP v2" xfId="4995" xr:uid="{00000000-0005-0000-0000-000029130000}"/>
    <cellStyle name="_20061103Holux_CMS_Web_Design_Phase_Deliverables_MLP_0627_FP_SAP_MLP v2 2" xfId="4996" xr:uid="{00000000-0005-0000-0000-00002A130000}"/>
    <cellStyle name="_20061103Holux_CMS_Web_Design_Phase_Deliverables_MLP_0627_FP_SAP_MLP v2 3" xfId="4997" xr:uid="{00000000-0005-0000-0000-00002B130000}"/>
    <cellStyle name="_20061103Holux_CMS_Web_Design_Phase_Deliverables_MLP_0627_KeyDecisions" xfId="4998" xr:uid="{00000000-0005-0000-0000-00002C130000}"/>
    <cellStyle name="_20061103Holux_CMS_Web_Design_Phase_Deliverables_MLP_0627_KeyDecisions 2" xfId="4999" xr:uid="{00000000-0005-0000-0000-00002D130000}"/>
    <cellStyle name="_20061103Holux_CMS_Web_Design_Phase_Deliverables_MLP_0627_KeyDecisions 3" xfId="5000" xr:uid="{00000000-0005-0000-0000-00002E130000}"/>
    <cellStyle name="_20061103Holux_CMS_Web_Design_Phase_Deliverables_MLP_0627_Sophia_Imp_ProjectWorkBook_02_18_2011" xfId="5001" xr:uid="{00000000-0005-0000-0000-00002F130000}"/>
    <cellStyle name="_20061103Holux_CMS_Web_Design_Phase_Deliverables_MLP_0627_Sophia_Imp_ProjectWorkBook_02_18_2011 2" xfId="5002" xr:uid="{00000000-0005-0000-0000-000030130000}"/>
    <cellStyle name="_20061103Holux_CMS_Web_Design_Phase_Deliverables_MLP_0627_Sophia_Imp_ProjectWorkBook_02_18_2011 3" xfId="5003" xr:uid="{00000000-0005-0000-0000-000031130000}"/>
    <cellStyle name="_20061103Holux_CMS_Web_Design_Phase_Deliverables_MLP_0627_t" xfId="5004" xr:uid="{00000000-0005-0000-0000-000032130000}"/>
    <cellStyle name="_20061103Holux_CMS_Web_Design_Phase_Deliverables_MLP_0627_t 2" xfId="5005" xr:uid="{00000000-0005-0000-0000-000033130000}"/>
    <cellStyle name="_20061103Holux_CMS_Web_Design_Phase_Deliverables_MLP_0627_t 3" xfId="5006" xr:uid="{00000000-0005-0000-0000-000034130000}"/>
    <cellStyle name="_20061103Holux_CMS_Web_Design_Phase_Deliverables_MLP_LLP_7-12-2010_Combined" xfId="5007" xr:uid="{00000000-0005-0000-0000-000035130000}"/>
    <cellStyle name="_20061103Holux_CMS_Web_Design_Phase_Deliverables_MLP_LLP_7-12-2010_Combined 2" xfId="5008" xr:uid="{00000000-0005-0000-0000-000036130000}"/>
    <cellStyle name="_20061103Holux_CMS_Web_Design_Phase_Deliverables_MLP_LLP_7-12-2010_Combined 2 2" xfId="5009" xr:uid="{00000000-0005-0000-0000-000037130000}"/>
    <cellStyle name="_20061103Holux_CMS_Web_Design_Phase_Deliverables_MLP_LLP_7-12-2010_Combined 2 3" xfId="5010" xr:uid="{00000000-0005-0000-0000-000038130000}"/>
    <cellStyle name="_20061103Holux_CMS_Web_Design_Phase_Deliverables_MLP_LLP_7-12-2010_Combined 3" xfId="5011" xr:uid="{00000000-0005-0000-0000-000039130000}"/>
    <cellStyle name="_20061103Holux_CMS_Web_Design_Phase_Deliverables_MLP_LLP_7-12-2010_Combined 3 2" xfId="5012" xr:uid="{00000000-0005-0000-0000-00003A130000}"/>
    <cellStyle name="_20061103Holux_CMS_Web_Design_Phase_Deliverables_MLP_LLP_7-12-2010_Combined 3 3" xfId="5013" xr:uid="{00000000-0005-0000-0000-00003B130000}"/>
    <cellStyle name="_20061103Holux_CMS_Web_Design_Phase_Deliverables_MLP_LLP_7-12-2010_Combined 4" xfId="5014" xr:uid="{00000000-0005-0000-0000-00003C130000}"/>
    <cellStyle name="_20061103Holux_CMS_Web_Design_Phase_Deliverables_MLP_LLP_7-12-2010_Combined 5" xfId="5015" xr:uid="{00000000-0005-0000-0000-00003D130000}"/>
    <cellStyle name="_20061103Holux_CMS_Web_Design_Phase_Deliverables_MLP_LLP_7-12-2010_Combined_Commissioning System Implementation_Project Workbook_06_10_2011" xfId="5016" xr:uid="{00000000-0005-0000-0000-00003E130000}"/>
    <cellStyle name="_20061103Holux_CMS_Web_Design_Phase_Deliverables_MLP_LLP_7-12-2010_Combined_Commissioning System Implementation_Project Workbook_06_10_2011 2" xfId="5017" xr:uid="{00000000-0005-0000-0000-00003F130000}"/>
    <cellStyle name="_20061103Holux_CMS_Web_Design_Phase_Deliverables_MLP_LLP_7-12-2010_Combined_Commissioning System Implementation_Project Workbook_06_10_2011 3" xfId="5018" xr:uid="{00000000-0005-0000-0000-000040130000}"/>
    <cellStyle name="_20061103Holux_CMS_Web_Design_Phase_Deliverables_MLP_LLP_7-12-2010_Combined_FairPoint_CampReport" xfId="5019" xr:uid="{00000000-0005-0000-0000-000041130000}"/>
    <cellStyle name="_20061103Holux_CMS_Web_Design_Phase_Deliverables_MLP_LLP_7-12-2010_Combined_FairPoint_CampReport 2" xfId="5020" xr:uid="{00000000-0005-0000-0000-000042130000}"/>
    <cellStyle name="_20061103Holux_CMS_Web_Design_Phase_Deliverables_MLP_LLP_7-12-2010_Combined_FairPoint_CampReport 3" xfId="5021" xr:uid="{00000000-0005-0000-0000-000043130000}"/>
    <cellStyle name="_20061103Holux_CMS_Web_Design_Phase_Deliverables_MLP_LLP_7-12-2010_Combined_FairPoint_FP comTechOps_ProgramWorkbook" xfId="5022" xr:uid="{00000000-0005-0000-0000-000044130000}"/>
    <cellStyle name="_20061103Holux_CMS_Web_Design_Phase_Deliverables_MLP_LLP_7-12-2010_Combined_FairPoint_FP comTechOps_ProgramWorkbook 2" xfId="5023" xr:uid="{00000000-0005-0000-0000-000045130000}"/>
    <cellStyle name="_20061103Holux_CMS_Web_Design_Phase_Deliverables_MLP_LLP_7-12-2010_Combined_FairPoint_FP comTechOps_ProgramWorkbook 3" xfId="5024" xr:uid="{00000000-0005-0000-0000-000046130000}"/>
    <cellStyle name="_20061103Holux_CMS_Web_Design_Phase_Deliverables_MLP_LLP_7-12-2010_Combined_FairPoint_FP comTechOps_ProgramWorkbook_sachin" xfId="5025" xr:uid="{00000000-0005-0000-0000-000047130000}"/>
    <cellStyle name="_20061103Holux_CMS_Web_Design_Phase_Deliverables_MLP_LLP_7-12-2010_Combined_FairPoint_FP comTechOps_ProgramWorkbook_sachin 2" xfId="5026" xr:uid="{00000000-0005-0000-0000-000048130000}"/>
    <cellStyle name="_20061103Holux_CMS_Web_Design_Phase_Deliverables_MLP_LLP_7-12-2010_Combined_FairPoint_FP comTechOps_ProgramWorkbook_sachin 3" xfId="5027" xr:uid="{00000000-0005-0000-0000-000049130000}"/>
    <cellStyle name="_20061103Holux_CMS_Web_Design_Phase_Deliverables_MLP_LLP_7-12-2010_Combined_FairPoint_FP comTechOps_ProgramWorkbook_sachin_v1" xfId="5028" xr:uid="{00000000-0005-0000-0000-00004A130000}"/>
    <cellStyle name="_20061103Holux_CMS_Web_Design_Phase_Deliverables_MLP_LLP_7-12-2010_Combined_FairPoint_FP comTechOps_ProgramWorkbook_sachin_v1 2" xfId="5029" xr:uid="{00000000-0005-0000-0000-00004B130000}"/>
    <cellStyle name="_20061103Holux_CMS_Web_Design_Phase_Deliverables_MLP_LLP_7-12-2010_Combined_FairPoint_FP comTechOps_ProgramWorkbook_sachin_v1 3" xfId="5030" xr:uid="{00000000-0005-0000-0000-00004C130000}"/>
    <cellStyle name="_20061103Holux_CMS_Web_Design_Phase_Deliverables_MLP_LLP_7-12-2010_Combined_FP_CAMP&amp;ITReporting_Maintenance_Dashboard" xfId="5031" xr:uid="{00000000-0005-0000-0000-00004D130000}"/>
    <cellStyle name="_20061103Holux_CMS_Web_Design_Phase_Deliverables_MLP_LLP_7-12-2010_Combined_FP_CAMP&amp;ITReporting_Maintenance_Dashboard 2" xfId="5032" xr:uid="{00000000-0005-0000-0000-00004E130000}"/>
    <cellStyle name="_20061103Holux_CMS_Web_Design_Phase_Deliverables_MLP_LLP_7-12-2010_Combined_FP_CAMP&amp;ITReporting_Maintenance_Dashboard 3" xfId="5033" xr:uid="{00000000-0005-0000-0000-00004F130000}"/>
    <cellStyle name="_20061103Holux_CMS_Web_Design_Phase_Deliverables_MLP_LLP_7-12-2010_Combined_FP_CAMPITReporting_Maintenance_Dashboard" xfId="5034" xr:uid="{00000000-0005-0000-0000-000050130000}"/>
    <cellStyle name="_20061103Holux_CMS_Web_Design_Phase_Deliverables_MLP_LLP_7-12-2010_Combined_FP_CAMPITReporting_Maintenance_Dashboard 2" xfId="5035" xr:uid="{00000000-0005-0000-0000-000051130000}"/>
    <cellStyle name="_20061103Holux_CMS_Web_Design_Phase_Deliverables_MLP_LLP_7-12-2010_Combined_FP_CAMPITReporting_Maintenance_Dashboard 3" xfId="5036" xr:uid="{00000000-0005-0000-0000-000052130000}"/>
    <cellStyle name="_20061103Holux_CMS_Web_Design_Phase_Deliverables_MLP_LLP_7-12-2010_Combined_FP_Commissions_Req_Dn_ProgramWorkBook_10-Dec-2010" xfId="5037" xr:uid="{00000000-0005-0000-0000-000053130000}"/>
    <cellStyle name="_20061103Holux_CMS_Web_Design_Phase_Deliverables_MLP_LLP_7-12-2010_Combined_FP_Commissions_Req_Dn_ProgramWorkBook_10-Dec-2010 2" xfId="5038" xr:uid="{00000000-0005-0000-0000-000054130000}"/>
    <cellStyle name="_20061103Holux_CMS_Web_Design_Phase_Deliverables_MLP_LLP_7-12-2010_Combined_FP_Commissions_Req_Dn_ProgramWorkBook_10-Dec-2010 3" xfId="5039" xr:uid="{00000000-0005-0000-0000-000055130000}"/>
    <cellStyle name="_20061103Holux_CMS_Web_Design_Phase_Deliverables_MLP_LLP_7-12-2010_Combined_FP_DW_Impl_ProgramWorkBook_07-Jan-2011" xfId="5040" xr:uid="{00000000-0005-0000-0000-000056130000}"/>
    <cellStyle name="_20061103Holux_CMS_Web_Design_Phase_Deliverables_MLP_LLP_7-12-2010_Combined_FP_DW_Impl_ProgramWorkBook_07-Jan-2011 2" xfId="5041" xr:uid="{00000000-0005-0000-0000-000057130000}"/>
    <cellStyle name="_20061103Holux_CMS_Web_Design_Phase_Deliverables_MLP_LLP_7-12-2010_Combined_FP_DW_Impl_ProgramWorkBook_07-Jan-2011 2 2" xfId="5042" xr:uid="{00000000-0005-0000-0000-000058130000}"/>
    <cellStyle name="_20061103Holux_CMS_Web_Design_Phase_Deliverables_MLP_LLP_7-12-2010_Combined_FP_DW_Impl_ProgramWorkBook_07-Jan-2011 2 3" xfId="5043" xr:uid="{00000000-0005-0000-0000-000059130000}"/>
    <cellStyle name="_20061103Holux_CMS_Web_Design_Phase_Deliverables_MLP_LLP_7-12-2010_Combined_FP_DW_Impl_ProgramWorkBook_07-Jan-2011 3" xfId="5044" xr:uid="{00000000-0005-0000-0000-00005A130000}"/>
    <cellStyle name="_20061103Holux_CMS_Web_Design_Phase_Deliverables_MLP_LLP_7-12-2010_Combined_FP_DW_Impl_ProgramWorkBook_07-Jan-2011 4" xfId="5045" xr:uid="{00000000-0005-0000-0000-00005B130000}"/>
    <cellStyle name="_20061103Holux_CMS_Web_Design_Phase_Deliverables_MLP_LLP_7-12-2010_Combined_FP_DW_Impl_ProgramWorkBook_11-Feb-2011" xfId="5046" xr:uid="{00000000-0005-0000-0000-00005C130000}"/>
    <cellStyle name="_20061103Holux_CMS_Web_Design_Phase_Deliverables_MLP_LLP_7-12-2010_Combined_FP_DW_Impl_ProgramWorkBook_11-Feb-2011 2" xfId="5047" xr:uid="{00000000-0005-0000-0000-00005D130000}"/>
    <cellStyle name="_20061103Holux_CMS_Web_Design_Phase_Deliverables_MLP_LLP_7-12-2010_Combined_FP_DW_Impl_ProgramWorkBook_11-Feb-2011 3" xfId="5048" xr:uid="{00000000-0005-0000-0000-00005E130000}"/>
    <cellStyle name="_20061103Holux_CMS_Web_Design_Phase_Deliverables_MLP_LLP_7-12-2010_Combined_FP_DW_Impl_ProgramWorkBook_18-Feb-2011 - Working" xfId="5049" xr:uid="{00000000-0005-0000-0000-00005F130000}"/>
    <cellStyle name="_20061103Holux_CMS_Web_Design_Phase_Deliverables_MLP_LLP_7-12-2010_Combined_FP_DW_Impl_ProgramWorkBook_18-Feb-2011 - Working 2" xfId="5050" xr:uid="{00000000-0005-0000-0000-000060130000}"/>
    <cellStyle name="_20061103Holux_CMS_Web_Design_Phase_Deliverables_MLP_LLP_7-12-2010_Combined_FP_DW_Impl_ProgramWorkBook_18-Feb-2011 - Working 3" xfId="5051" xr:uid="{00000000-0005-0000-0000-000061130000}"/>
    <cellStyle name="_20061103Holux_CMS_Web_Design_Phase_Deliverables_MLP_LLP_7-12-2010_Combined_FP_EnterprisePortal_ProgramWorkbook" xfId="5052" xr:uid="{00000000-0005-0000-0000-000062130000}"/>
    <cellStyle name="_20061103Holux_CMS_Web_Design_Phase_Deliverables_MLP_LLP_7-12-2010_Combined_FP_EnterprisePortal_ProgramWorkbook 2" xfId="5053" xr:uid="{00000000-0005-0000-0000-000063130000}"/>
    <cellStyle name="_20061103Holux_CMS_Web_Design_Phase_Deliverables_MLP_LLP_7-12-2010_Combined_FP_EnterprisePortal_ProgramWorkbook 3" xfId="5054" xr:uid="{00000000-0005-0000-0000-000064130000}"/>
    <cellStyle name="_20061103Holux_CMS_Web_Design_Phase_Deliverables_MLP_LLP_7-12-2010_Combined_FP_SAP_MLP v2" xfId="5055" xr:uid="{00000000-0005-0000-0000-000065130000}"/>
    <cellStyle name="_20061103Holux_CMS_Web_Design_Phase_Deliverables_MLP_LLP_7-12-2010_Combined_FP_SAP_MLP v2 2" xfId="5056" xr:uid="{00000000-0005-0000-0000-000066130000}"/>
    <cellStyle name="_20061103Holux_CMS_Web_Design_Phase_Deliverables_MLP_LLP_7-12-2010_Combined_FP_SAP_MLP v2 3" xfId="5057" xr:uid="{00000000-0005-0000-0000-000067130000}"/>
    <cellStyle name="_20061103Holux_CMS_Web_Design_Phase_Deliverables_MLP_LLP_7-12-2010_Combined_KeyDecisions" xfId="5058" xr:uid="{00000000-0005-0000-0000-000068130000}"/>
    <cellStyle name="_20061103Holux_CMS_Web_Design_Phase_Deliverables_MLP_LLP_7-12-2010_Combined_KeyDecisions 2" xfId="5059" xr:uid="{00000000-0005-0000-0000-000069130000}"/>
    <cellStyle name="_20061103Holux_CMS_Web_Design_Phase_Deliverables_MLP_LLP_7-12-2010_Combined_KeyDecisions 3" xfId="5060" xr:uid="{00000000-0005-0000-0000-00006A130000}"/>
    <cellStyle name="_20061103Holux_CMS_Web_Design_Phase_Deliverables_MLP_LLP_7-12-2010_Combined_Sophia_Imp_ProjectWorkBook_02_18_2011" xfId="5061" xr:uid="{00000000-0005-0000-0000-00006B130000}"/>
    <cellStyle name="_20061103Holux_CMS_Web_Design_Phase_Deliverables_MLP_LLP_7-12-2010_Combined_Sophia_Imp_ProjectWorkBook_02_18_2011 2" xfId="5062" xr:uid="{00000000-0005-0000-0000-00006C130000}"/>
    <cellStyle name="_20061103Holux_CMS_Web_Design_Phase_Deliverables_MLP_LLP_7-12-2010_Combined_Sophia_Imp_ProjectWorkBook_02_18_2011 3" xfId="5063" xr:uid="{00000000-0005-0000-0000-00006D130000}"/>
    <cellStyle name="_20061103Holux_CMS_Web_Design_Phase_Deliverables_MLP_LLP_7-12-2010_Combined_t" xfId="5064" xr:uid="{00000000-0005-0000-0000-00006E130000}"/>
    <cellStyle name="_20061103Holux_CMS_Web_Design_Phase_Deliverables_MLP_LLP_7-12-2010_Combined_t 2" xfId="5065" xr:uid="{00000000-0005-0000-0000-00006F130000}"/>
    <cellStyle name="_20061103Holux_CMS_Web_Design_Phase_Deliverables_MLP_LLP_7-12-2010_Combined_t 3" xfId="5066" xr:uid="{00000000-0005-0000-0000-000070130000}"/>
    <cellStyle name="_20061103Holux_CMS_Web_Design_Phase_Deliverables_MLP_LLP_7-14-2010_Combined" xfId="5067" xr:uid="{00000000-0005-0000-0000-000071130000}"/>
    <cellStyle name="_20061103Holux_CMS_Web_Design_Phase_Deliverables_MLP_LLP_7-14-2010_Combined 2" xfId="5068" xr:uid="{00000000-0005-0000-0000-000072130000}"/>
    <cellStyle name="_20061103Holux_CMS_Web_Design_Phase_Deliverables_MLP_LLP_7-14-2010_Combined 2 2" xfId="5069" xr:uid="{00000000-0005-0000-0000-000073130000}"/>
    <cellStyle name="_20061103Holux_CMS_Web_Design_Phase_Deliverables_MLP_LLP_7-14-2010_Combined 2 3" xfId="5070" xr:uid="{00000000-0005-0000-0000-000074130000}"/>
    <cellStyle name="_20061103Holux_CMS_Web_Design_Phase_Deliverables_MLP_LLP_7-14-2010_Combined 3" xfId="5071" xr:uid="{00000000-0005-0000-0000-000075130000}"/>
    <cellStyle name="_20061103Holux_CMS_Web_Design_Phase_Deliverables_MLP_LLP_7-14-2010_Combined 3 2" xfId="5072" xr:uid="{00000000-0005-0000-0000-000076130000}"/>
    <cellStyle name="_20061103Holux_CMS_Web_Design_Phase_Deliverables_MLP_LLP_7-14-2010_Combined 3 3" xfId="5073" xr:uid="{00000000-0005-0000-0000-000077130000}"/>
    <cellStyle name="_20061103Holux_CMS_Web_Design_Phase_Deliverables_MLP_LLP_7-14-2010_Combined 4" xfId="5074" xr:uid="{00000000-0005-0000-0000-000078130000}"/>
    <cellStyle name="_20061103Holux_CMS_Web_Design_Phase_Deliverables_MLP_LLP_7-14-2010_Combined 5" xfId="5075" xr:uid="{00000000-0005-0000-0000-000079130000}"/>
    <cellStyle name="_20061103Holux_CMS_Web_Design_Phase_Deliverables_MLP_LLP_7-14-2010_Combined_Commissioning System Implementation_Project Workbook_06_10_2011" xfId="5076" xr:uid="{00000000-0005-0000-0000-00007A130000}"/>
    <cellStyle name="_20061103Holux_CMS_Web_Design_Phase_Deliverables_MLP_LLP_7-14-2010_Combined_Commissioning System Implementation_Project Workbook_06_10_2011 2" xfId="5077" xr:uid="{00000000-0005-0000-0000-00007B130000}"/>
    <cellStyle name="_20061103Holux_CMS_Web_Design_Phase_Deliverables_MLP_LLP_7-14-2010_Combined_Commissioning System Implementation_Project Workbook_06_10_2011 3" xfId="5078" xr:uid="{00000000-0005-0000-0000-00007C130000}"/>
    <cellStyle name="_20061103Holux_CMS_Web_Design_Phase_Deliverables_MLP_LLP_7-14-2010_Combined_FairPoint_CampReport" xfId="5079" xr:uid="{00000000-0005-0000-0000-00007D130000}"/>
    <cellStyle name="_20061103Holux_CMS_Web_Design_Phase_Deliverables_MLP_LLP_7-14-2010_Combined_FairPoint_CampReport 2" xfId="5080" xr:uid="{00000000-0005-0000-0000-00007E130000}"/>
    <cellStyle name="_20061103Holux_CMS_Web_Design_Phase_Deliverables_MLP_LLP_7-14-2010_Combined_FairPoint_CampReport 3" xfId="5081" xr:uid="{00000000-0005-0000-0000-00007F130000}"/>
    <cellStyle name="_20061103Holux_CMS_Web_Design_Phase_Deliverables_MLP_LLP_7-14-2010_Combined_FairPoint_FP comTechOps_ProgramWorkbook" xfId="5082" xr:uid="{00000000-0005-0000-0000-000080130000}"/>
    <cellStyle name="_20061103Holux_CMS_Web_Design_Phase_Deliverables_MLP_LLP_7-14-2010_Combined_FairPoint_FP comTechOps_ProgramWorkbook 2" xfId="5083" xr:uid="{00000000-0005-0000-0000-000081130000}"/>
    <cellStyle name="_20061103Holux_CMS_Web_Design_Phase_Deliverables_MLP_LLP_7-14-2010_Combined_FairPoint_FP comTechOps_ProgramWorkbook 3" xfId="5084" xr:uid="{00000000-0005-0000-0000-000082130000}"/>
    <cellStyle name="_20061103Holux_CMS_Web_Design_Phase_Deliverables_MLP_LLP_7-14-2010_Combined_FairPoint_FP comTechOps_ProgramWorkbook_sachin" xfId="5085" xr:uid="{00000000-0005-0000-0000-000083130000}"/>
    <cellStyle name="_20061103Holux_CMS_Web_Design_Phase_Deliverables_MLP_LLP_7-14-2010_Combined_FairPoint_FP comTechOps_ProgramWorkbook_sachin 2" xfId="5086" xr:uid="{00000000-0005-0000-0000-000084130000}"/>
    <cellStyle name="_20061103Holux_CMS_Web_Design_Phase_Deliverables_MLP_LLP_7-14-2010_Combined_FairPoint_FP comTechOps_ProgramWorkbook_sachin 3" xfId="5087" xr:uid="{00000000-0005-0000-0000-000085130000}"/>
    <cellStyle name="_20061103Holux_CMS_Web_Design_Phase_Deliverables_MLP_LLP_7-14-2010_Combined_FairPoint_FP comTechOps_ProgramWorkbook_sachin_v1" xfId="5088" xr:uid="{00000000-0005-0000-0000-000086130000}"/>
    <cellStyle name="_20061103Holux_CMS_Web_Design_Phase_Deliverables_MLP_LLP_7-14-2010_Combined_FairPoint_FP comTechOps_ProgramWorkbook_sachin_v1 2" xfId="5089" xr:uid="{00000000-0005-0000-0000-000087130000}"/>
    <cellStyle name="_20061103Holux_CMS_Web_Design_Phase_Deliverables_MLP_LLP_7-14-2010_Combined_FairPoint_FP comTechOps_ProgramWorkbook_sachin_v1 3" xfId="5090" xr:uid="{00000000-0005-0000-0000-000088130000}"/>
    <cellStyle name="_20061103Holux_CMS_Web_Design_Phase_Deliverables_MLP_LLP_7-14-2010_Combined_FP_CAMP&amp;ITReporting_Maintenance_Dashboard" xfId="5091" xr:uid="{00000000-0005-0000-0000-000089130000}"/>
    <cellStyle name="_20061103Holux_CMS_Web_Design_Phase_Deliverables_MLP_LLP_7-14-2010_Combined_FP_CAMP&amp;ITReporting_Maintenance_Dashboard 2" xfId="5092" xr:uid="{00000000-0005-0000-0000-00008A130000}"/>
    <cellStyle name="_20061103Holux_CMS_Web_Design_Phase_Deliverables_MLP_LLP_7-14-2010_Combined_FP_CAMP&amp;ITReporting_Maintenance_Dashboard 3" xfId="5093" xr:uid="{00000000-0005-0000-0000-00008B130000}"/>
    <cellStyle name="_20061103Holux_CMS_Web_Design_Phase_Deliverables_MLP_LLP_7-14-2010_Combined_FP_CAMPITReporting_Maintenance_Dashboard" xfId="5094" xr:uid="{00000000-0005-0000-0000-00008C130000}"/>
    <cellStyle name="_20061103Holux_CMS_Web_Design_Phase_Deliverables_MLP_LLP_7-14-2010_Combined_FP_CAMPITReporting_Maintenance_Dashboard 2" xfId="5095" xr:uid="{00000000-0005-0000-0000-00008D130000}"/>
    <cellStyle name="_20061103Holux_CMS_Web_Design_Phase_Deliverables_MLP_LLP_7-14-2010_Combined_FP_CAMPITReporting_Maintenance_Dashboard 3" xfId="5096" xr:uid="{00000000-0005-0000-0000-00008E130000}"/>
    <cellStyle name="_20061103Holux_CMS_Web_Design_Phase_Deliverables_MLP_LLP_7-14-2010_Combined_FP_Commissions_Req_Dn_ProgramWorkBook_10-Dec-2010" xfId="5097" xr:uid="{00000000-0005-0000-0000-00008F130000}"/>
    <cellStyle name="_20061103Holux_CMS_Web_Design_Phase_Deliverables_MLP_LLP_7-14-2010_Combined_FP_Commissions_Req_Dn_ProgramWorkBook_10-Dec-2010 2" xfId="5098" xr:uid="{00000000-0005-0000-0000-000090130000}"/>
    <cellStyle name="_20061103Holux_CMS_Web_Design_Phase_Deliverables_MLP_LLP_7-14-2010_Combined_FP_Commissions_Req_Dn_ProgramWorkBook_10-Dec-2010 3" xfId="5099" xr:uid="{00000000-0005-0000-0000-000091130000}"/>
    <cellStyle name="_20061103Holux_CMS_Web_Design_Phase_Deliverables_MLP_LLP_7-14-2010_Combined_FP_DW_Impl_ProgramWorkBook_07-Jan-2011" xfId="5100" xr:uid="{00000000-0005-0000-0000-000092130000}"/>
    <cellStyle name="_20061103Holux_CMS_Web_Design_Phase_Deliverables_MLP_LLP_7-14-2010_Combined_FP_DW_Impl_ProgramWorkBook_07-Jan-2011 2" xfId="5101" xr:uid="{00000000-0005-0000-0000-000093130000}"/>
    <cellStyle name="_20061103Holux_CMS_Web_Design_Phase_Deliverables_MLP_LLP_7-14-2010_Combined_FP_DW_Impl_ProgramWorkBook_07-Jan-2011 2 2" xfId="5102" xr:uid="{00000000-0005-0000-0000-000094130000}"/>
    <cellStyle name="_20061103Holux_CMS_Web_Design_Phase_Deliverables_MLP_LLP_7-14-2010_Combined_FP_DW_Impl_ProgramWorkBook_07-Jan-2011 2 3" xfId="5103" xr:uid="{00000000-0005-0000-0000-000095130000}"/>
    <cellStyle name="_20061103Holux_CMS_Web_Design_Phase_Deliverables_MLP_LLP_7-14-2010_Combined_FP_DW_Impl_ProgramWorkBook_07-Jan-2011 3" xfId="5104" xr:uid="{00000000-0005-0000-0000-000096130000}"/>
    <cellStyle name="_20061103Holux_CMS_Web_Design_Phase_Deliverables_MLP_LLP_7-14-2010_Combined_FP_DW_Impl_ProgramWorkBook_07-Jan-2011 4" xfId="5105" xr:uid="{00000000-0005-0000-0000-000097130000}"/>
    <cellStyle name="_20061103Holux_CMS_Web_Design_Phase_Deliverables_MLP_LLP_7-14-2010_Combined_FP_DW_Impl_ProgramWorkBook_11-Feb-2011" xfId="5106" xr:uid="{00000000-0005-0000-0000-000098130000}"/>
    <cellStyle name="_20061103Holux_CMS_Web_Design_Phase_Deliverables_MLP_LLP_7-14-2010_Combined_FP_DW_Impl_ProgramWorkBook_11-Feb-2011 2" xfId="5107" xr:uid="{00000000-0005-0000-0000-000099130000}"/>
    <cellStyle name="_20061103Holux_CMS_Web_Design_Phase_Deliverables_MLP_LLP_7-14-2010_Combined_FP_DW_Impl_ProgramWorkBook_11-Feb-2011 3" xfId="5108" xr:uid="{00000000-0005-0000-0000-00009A130000}"/>
    <cellStyle name="_20061103Holux_CMS_Web_Design_Phase_Deliverables_MLP_LLP_7-14-2010_Combined_FP_DW_Impl_ProgramWorkBook_18-Feb-2011 - Working" xfId="5109" xr:uid="{00000000-0005-0000-0000-00009B130000}"/>
    <cellStyle name="_20061103Holux_CMS_Web_Design_Phase_Deliverables_MLP_LLP_7-14-2010_Combined_FP_DW_Impl_ProgramWorkBook_18-Feb-2011 - Working 2" xfId="5110" xr:uid="{00000000-0005-0000-0000-00009C130000}"/>
    <cellStyle name="_20061103Holux_CMS_Web_Design_Phase_Deliverables_MLP_LLP_7-14-2010_Combined_FP_DW_Impl_ProgramWorkBook_18-Feb-2011 - Working 3" xfId="5111" xr:uid="{00000000-0005-0000-0000-00009D130000}"/>
    <cellStyle name="_20061103Holux_CMS_Web_Design_Phase_Deliverables_MLP_LLP_7-14-2010_Combined_FP_EnterprisePortal_ProgramWorkbook" xfId="5112" xr:uid="{00000000-0005-0000-0000-00009E130000}"/>
    <cellStyle name="_20061103Holux_CMS_Web_Design_Phase_Deliverables_MLP_LLP_7-14-2010_Combined_FP_EnterprisePortal_ProgramWorkbook 2" xfId="5113" xr:uid="{00000000-0005-0000-0000-00009F130000}"/>
    <cellStyle name="_20061103Holux_CMS_Web_Design_Phase_Deliverables_MLP_LLP_7-14-2010_Combined_FP_EnterprisePortal_ProgramWorkbook 3" xfId="5114" xr:uid="{00000000-0005-0000-0000-0000A0130000}"/>
    <cellStyle name="_20061103Holux_CMS_Web_Design_Phase_Deliverables_MLP_LLP_7-14-2010_Combined_FP_SAP_MLP v2" xfId="5115" xr:uid="{00000000-0005-0000-0000-0000A1130000}"/>
    <cellStyle name="_20061103Holux_CMS_Web_Design_Phase_Deliverables_MLP_LLP_7-14-2010_Combined_FP_SAP_MLP v2 2" xfId="5116" xr:uid="{00000000-0005-0000-0000-0000A2130000}"/>
    <cellStyle name="_20061103Holux_CMS_Web_Design_Phase_Deliverables_MLP_LLP_7-14-2010_Combined_FP_SAP_MLP v2 3" xfId="5117" xr:uid="{00000000-0005-0000-0000-0000A3130000}"/>
    <cellStyle name="_20061103Holux_CMS_Web_Design_Phase_Deliverables_MLP_LLP_7-14-2010_Combined_KeyDecisions" xfId="5118" xr:uid="{00000000-0005-0000-0000-0000A4130000}"/>
    <cellStyle name="_20061103Holux_CMS_Web_Design_Phase_Deliverables_MLP_LLP_7-14-2010_Combined_KeyDecisions 2" xfId="5119" xr:uid="{00000000-0005-0000-0000-0000A5130000}"/>
    <cellStyle name="_20061103Holux_CMS_Web_Design_Phase_Deliverables_MLP_LLP_7-14-2010_Combined_KeyDecisions 3" xfId="5120" xr:uid="{00000000-0005-0000-0000-0000A6130000}"/>
    <cellStyle name="_20061103Holux_CMS_Web_Design_Phase_Deliverables_MLP_LLP_7-14-2010_Combined_Sophia_Imp_ProjectWorkBook_02_18_2011" xfId="5121" xr:uid="{00000000-0005-0000-0000-0000A7130000}"/>
    <cellStyle name="_20061103Holux_CMS_Web_Design_Phase_Deliverables_MLP_LLP_7-14-2010_Combined_Sophia_Imp_ProjectWorkBook_02_18_2011 2" xfId="5122" xr:uid="{00000000-0005-0000-0000-0000A8130000}"/>
    <cellStyle name="_20061103Holux_CMS_Web_Design_Phase_Deliverables_MLP_LLP_7-14-2010_Combined_Sophia_Imp_ProjectWorkBook_02_18_2011 3" xfId="5123" xr:uid="{00000000-0005-0000-0000-0000A9130000}"/>
    <cellStyle name="_20061103Holux_CMS_Web_Design_Phase_Deliverables_MLP_LLP_7-14-2010_Combined_t" xfId="5124" xr:uid="{00000000-0005-0000-0000-0000AA130000}"/>
    <cellStyle name="_20061103Holux_CMS_Web_Design_Phase_Deliverables_MLP_LLP_7-14-2010_Combined_t 2" xfId="5125" xr:uid="{00000000-0005-0000-0000-0000AB130000}"/>
    <cellStyle name="_20061103Holux_CMS_Web_Design_Phase_Deliverables_MLP_LLP_7-14-2010_Combined_t 3" xfId="5126" xr:uid="{00000000-0005-0000-0000-0000AC130000}"/>
    <cellStyle name="_20061103Holux_Commissioning System Implementation_Project Workbook_06_10_2011" xfId="5127" xr:uid="{00000000-0005-0000-0000-0000AD130000}"/>
    <cellStyle name="_20061103Holux_Commissioning System Implementation_Project Workbook_06_10_2011 2" xfId="5128" xr:uid="{00000000-0005-0000-0000-0000AE130000}"/>
    <cellStyle name="_20061103Holux_Commissioning System Implementation_Project Workbook_06_10_2011 3" xfId="5129" xr:uid="{00000000-0005-0000-0000-0000AF130000}"/>
    <cellStyle name="_20061103Holux_Commissions_Implementation_HLP" xfId="5130" xr:uid="{00000000-0005-0000-0000-0000B0130000}"/>
    <cellStyle name="_20061103Holux_Commissions_Implementation_HLP 2" xfId="5131" xr:uid="{00000000-0005-0000-0000-0000B1130000}"/>
    <cellStyle name="_20061103Holux_Commissions_Implementation_HLP 3" xfId="5132" xr:uid="{00000000-0005-0000-0000-0000B2130000}"/>
    <cellStyle name="_20061103Holux_CrossTrackAlignment_PEOptionB" xfId="5133" xr:uid="{00000000-0005-0000-0000-0000B3130000}"/>
    <cellStyle name="_20061103Holux_CrossTrackAlignment_PEOptionB (2)" xfId="5134" xr:uid="{00000000-0005-0000-0000-0000B4130000}"/>
    <cellStyle name="_20061103Holux_CrossTrackAlignment_PEOptionB (2) 2" xfId="5135" xr:uid="{00000000-0005-0000-0000-0000B5130000}"/>
    <cellStyle name="_20061103Holux_CrossTrackAlignment_PEOptionB (2) 3" xfId="5136" xr:uid="{00000000-0005-0000-0000-0000B6130000}"/>
    <cellStyle name="_20061103Holux_CrossTrackAlignment_PEOptionB 10" xfId="5137" xr:uid="{00000000-0005-0000-0000-0000B7130000}"/>
    <cellStyle name="_20061103Holux_CrossTrackAlignment_PEOptionB 2" xfId="5138" xr:uid="{00000000-0005-0000-0000-0000B8130000}"/>
    <cellStyle name="_20061103Holux_CrossTrackAlignment_PEOptionB 3" xfId="5139" xr:uid="{00000000-0005-0000-0000-0000B9130000}"/>
    <cellStyle name="_20061103Holux_CrossTrackAlignment_PEOptionB 4" xfId="5140" xr:uid="{00000000-0005-0000-0000-0000BA130000}"/>
    <cellStyle name="_20061103Holux_CrossTrackAlignment_PEOptionB 5" xfId="5141" xr:uid="{00000000-0005-0000-0000-0000BB130000}"/>
    <cellStyle name="_20061103Holux_CrossTrackAlignment_PEOptionB 6" xfId="5142" xr:uid="{00000000-0005-0000-0000-0000BC130000}"/>
    <cellStyle name="_20061103Holux_CrossTrackAlignment_PEOptionB 7" xfId="5143" xr:uid="{00000000-0005-0000-0000-0000BD130000}"/>
    <cellStyle name="_20061103Holux_CrossTrackAlignment_PEOptionB 8" xfId="5144" xr:uid="{00000000-0005-0000-0000-0000BE130000}"/>
    <cellStyle name="_20061103Holux_CrossTrackAlignment_PEOptionB 9" xfId="5145" xr:uid="{00000000-0005-0000-0000-0000BF130000}"/>
    <cellStyle name="_20061103Holux_Detailed_Requirements_Plan" xfId="5146" xr:uid="{00000000-0005-0000-0000-0000C0130000}"/>
    <cellStyle name="_20061103Holux_Detailed_Requirements_Plan 2" xfId="5147" xr:uid="{00000000-0005-0000-0000-0000C1130000}"/>
    <cellStyle name="_20061103Holux_Detailed_Requirements_Plan 3" xfId="5148" xr:uid="{00000000-0005-0000-0000-0000C2130000}"/>
    <cellStyle name="_20061103Holux_Doneness Matrix v2" xfId="5149" xr:uid="{00000000-0005-0000-0000-0000C3130000}"/>
    <cellStyle name="_20061103Holux_Doneness Matrix v2 2" xfId="5150" xr:uid="{00000000-0005-0000-0000-0000C4130000}"/>
    <cellStyle name="_20061103Holux_Doneness Matrix v2 2 2" xfId="5151" xr:uid="{00000000-0005-0000-0000-0000C5130000}"/>
    <cellStyle name="_20061103Holux_Doneness Matrix v2 2 3" xfId="5152" xr:uid="{00000000-0005-0000-0000-0000C6130000}"/>
    <cellStyle name="_20061103Holux_Doneness Matrix v2 3" xfId="5153" xr:uid="{00000000-0005-0000-0000-0000C7130000}"/>
    <cellStyle name="_20061103Holux_Doneness Matrix v2 3 2" xfId="5154" xr:uid="{00000000-0005-0000-0000-0000C8130000}"/>
    <cellStyle name="_20061103Holux_Doneness Matrix v2 3 3" xfId="5155" xr:uid="{00000000-0005-0000-0000-0000C9130000}"/>
    <cellStyle name="_20061103Holux_Doneness Matrix v2 4" xfId="5156" xr:uid="{00000000-0005-0000-0000-0000CA130000}"/>
    <cellStyle name="_20061103Holux_Doneness Matrix v2 5" xfId="5157" xr:uid="{00000000-0005-0000-0000-0000CB130000}"/>
    <cellStyle name="_20061103Holux_Doneness Matrix v2_Commissioning System Implementation_Project Workbook_06_10_2011" xfId="5158" xr:uid="{00000000-0005-0000-0000-0000CC130000}"/>
    <cellStyle name="_20061103Holux_Doneness Matrix v2_Commissioning System Implementation_Project Workbook_06_10_2011 2" xfId="5159" xr:uid="{00000000-0005-0000-0000-0000CD130000}"/>
    <cellStyle name="_20061103Holux_Doneness Matrix v2_Commissioning System Implementation_Project Workbook_06_10_2011 3" xfId="5160" xr:uid="{00000000-0005-0000-0000-0000CE130000}"/>
    <cellStyle name="_20061103Holux_Doneness Matrix v2_FairPoint_CampReport" xfId="5161" xr:uid="{00000000-0005-0000-0000-0000CF130000}"/>
    <cellStyle name="_20061103Holux_Doneness Matrix v2_FairPoint_CampReport 2" xfId="5162" xr:uid="{00000000-0005-0000-0000-0000D0130000}"/>
    <cellStyle name="_20061103Holux_Doneness Matrix v2_FairPoint_CampReport 3" xfId="5163" xr:uid="{00000000-0005-0000-0000-0000D1130000}"/>
    <cellStyle name="_20061103Holux_Doneness Matrix v2_FairPoint_FP comTechOps_ProgramWorkbook" xfId="5164" xr:uid="{00000000-0005-0000-0000-0000D2130000}"/>
    <cellStyle name="_20061103Holux_Doneness Matrix v2_FairPoint_FP comTechOps_ProgramWorkbook 2" xfId="5165" xr:uid="{00000000-0005-0000-0000-0000D3130000}"/>
    <cellStyle name="_20061103Holux_Doneness Matrix v2_FairPoint_FP comTechOps_ProgramWorkbook 3" xfId="5166" xr:uid="{00000000-0005-0000-0000-0000D4130000}"/>
    <cellStyle name="_20061103Holux_Doneness Matrix v2_FairPoint_FP comTechOps_ProgramWorkbook_sachin" xfId="5167" xr:uid="{00000000-0005-0000-0000-0000D5130000}"/>
    <cellStyle name="_20061103Holux_Doneness Matrix v2_FairPoint_FP comTechOps_ProgramWorkbook_sachin 2" xfId="5168" xr:uid="{00000000-0005-0000-0000-0000D6130000}"/>
    <cellStyle name="_20061103Holux_Doneness Matrix v2_FairPoint_FP comTechOps_ProgramWorkbook_sachin 3" xfId="5169" xr:uid="{00000000-0005-0000-0000-0000D7130000}"/>
    <cellStyle name="_20061103Holux_Doneness Matrix v2_FairPoint_FP comTechOps_ProgramWorkbook_sachin_v1" xfId="5170" xr:uid="{00000000-0005-0000-0000-0000D8130000}"/>
    <cellStyle name="_20061103Holux_Doneness Matrix v2_FairPoint_FP comTechOps_ProgramWorkbook_sachin_v1 2" xfId="5171" xr:uid="{00000000-0005-0000-0000-0000D9130000}"/>
    <cellStyle name="_20061103Holux_Doneness Matrix v2_FairPoint_FP comTechOps_ProgramWorkbook_sachin_v1 3" xfId="5172" xr:uid="{00000000-0005-0000-0000-0000DA130000}"/>
    <cellStyle name="_20061103Holux_Doneness Matrix v2_FP_CAMP&amp;ITReporting_Maintenance_Dashboard" xfId="5173" xr:uid="{00000000-0005-0000-0000-0000DB130000}"/>
    <cellStyle name="_20061103Holux_Doneness Matrix v2_FP_CAMP&amp;ITReporting_Maintenance_Dashboard 2" xfId="5174" xr:uid="{00000000-0005-0000-0000-0000DC130000}"/>
    <cellStyle name="_20061103Holux_Doneness Matrix v2_FP_CAMP&amp;ITReporting_Maintenance_Dashboard 3" xfId="5175" xr:uid="{00000000-0005-0000-0000-0000DD130000}"/>
    <cellStyle name="_20061103Holux_Doneness Matrix v2_FP_CAMPITReporting_Maintenance_Dashboard" xfId="5176" xr:uid="{00000000-0005-0000-0000-0000DE130000}"/>
    <cellStyle name="_20061103Holux_Doneness Matrix v2_FP_CAMPITReporting_Maintenance_Dashboard 2" xfId="5177" xr:uid="{00000000-0005-0000-0000-0000DF130000}"/>
    <cellStyle name="_20061103Holux_Doneness Matrix v2_FP_CAMPITReporting_Maintenance_Dashboard 3" xfId="5178" xr:uid="{00000000-0005-0000-0000-0000E0130000}"/>
    <cellStyle name="_20061103Holux_Doneness Matrix v2_FP_Commissions_Req_Dn_ProgramWorkBook_10-Dec-2010" xfId="5179" xr:uid="{00000000-0005-0000-0000-0000E1130000}"/>
    <cellStyle name="_20061103Holux_Doneness Matrix v2_FP_Commissions_Req_Dn_ProgramWorkBook_10-Dec-2010 2" xfId="5180" xr:uid="{00000000-0005-0000-0000-0000E2130000}"/>
    <cellStyle name="_20061103Holux_Doneness Matrix v2_FP_Commissions_Req_Dn_ProgramWorkBook_10-Dec-2010 3" xfId="5181" xr:uid="{00000000-0005-0000-0000-0000E3130000}"/>
    <cellStyle name="_20061103Holux_Doneness Matrix v2_FP_DW_Impl_ProgramWorkBook_07-Jan-2011" xfId="5182" xr:uid="{00000000-0005-0000-0000-0000E4130000}"/>
    <cellStyle name="_20061103Holux_Doneness Matrix v2_FP_DW_Impl_ProgramWorkBook_07-Jan-2011 2" xfId="5183" xr:uid="{00000000-0005-0000-0000-0000E5130000}"/>
    <cellStyle name="_20061103Holux_Doneness Matrix v2_FP_DW_Impl_ProgramWorkBook_07-Jan-2011 2 2" xfId="5184" xr:uid="{00000000-0005-0000-0000-0000E6130000}"/>
    <cellStyle name="_20061103Holux_Doneness Matrix v2_FP_DW_Impl_ProgramWorkBook_07-Jan-2011 2 3" xfId="5185" xr:uid="{00000000-0005-0000-0000-0000E7130000}"/>
    <cellStyle name="_20061103Holux_Doneness Matrix v2_FP_DW_Impl_ProgramWorkBook_07-Jan-2011 3" xfId="5186" xr:uid="{00000000-0005-0000-0000-0000E8130000}"/>
    <cellStyle name="_20061103Holux_Doneness Matrix v2_FP_DW_Impl_ProgramWorkBook_07-Jan-2011 4" xfId="5187" xr:uid="{00000000-0005-0000-0000-0000E9130000}"/>
    <cellStyle name="_20061103Holux_Doneness Matrix v2_FP_DW_Impl_ProgramWorkBook_11-Feb-2011" xfId="5188" xr:uid="{00000000-0005-0000-0000-0000EA130000}"/>
    <cellStyle name="_20061103Holux_Doneness Matrix v2_FP_DW_Impl_ProgramWorkBook_11-Feb-2011 2" xfId="5189" xr:uid="{00000000-0005-0000-0000-0000EB130000}"/>
    <cellStyle name="_20061103Holux_Doneness Matrix v2_FP_DW_Impl_ProgramWorkBook_11-Feb-2011 3" xfId="5190" xr:uid="{00000000-0005-0000-0000-0000EC130000}"/>
    <cellStyle name="_20061103Holux_Doneness Matrix v2_FP_DW_Impl_ProgramWorkBook_18-Feb-2011 - Working" xfId="5191" xr:uid="{00000000-0005-0000-0000-0000ED130000}"/>
    <cellStyle name="_20061103Holux_Doneness Matrix v2_FP_DW_Impl_ProgramWorkBook_18-Feb-2011 - Working 2" xfId="5192" xr:uid="{00000000-0005-0000-0000-0000EE130000}"/>
    <cellStyle name="_20061103Holux_Doneness Matrix v2_FP_DW_Impl_ProgramWorkBook_18-Feb-2011 - Working 3" xfId="5193" xr:uid="{00000000-0005-0000-0000-0000EF130000}"/>
    <cellStyle name="_20061103Holux_Doneness Matrix v2_FP_EnterprisePortal_ProgramWorkbook" xfId="5194" xr:uid="{00000000-0005-0000-0000-0000F0130000}"/>
    <cellStyle name="_20061103Holux_Doneness Matrix v2_FP_EnterprisePortal_ProgramWorkbook 2" xfId="5195" xr:uid="{00000000-0005-0000-0000-0000F1130000}"/>
    <cellStyle name="_20061103Holux_Doneness Matrix v2_FP_EnterprisePortal_ProgramWorkbook 3" xfId="5196" xr:uid="{00000000-0005-0000-0000-0000F2130000}"/>
    <cellStyle name="_20061103Holux_Doneness Matrix v2_FP_SAP_MLP v2" xfId="5197" xr:uid="{00000000-0005-0000-0000-0000F3130000}"/>
    <cellStyle name="_20061103Holux_Doneness Matrix v2_FP_SAP_MLP v2 2" xfId="5198" xr:uid="{00000000-0005-0000-0000-0000F4130000}"/>
    <cellStyle name="_20061103Holux_Doneness Matrix v2_FP_SAP_MLP v2 3" xfId="5199" xr:uid="{00000000-0005-0000-0000-0000F5130000}"/>
    <cellStyle name="_20061103Holux_Doneness Matrix v2_KeyDecisions" xfId="5200" xr:uid="{00000000-0005-0000-0000-0000F6130000}"/>
    <cellStyle name="_20061103Holux_Doneness Matrix v2_KeyDecisions 2" xfId="5201" xr:uid="{00000000-0005-0000-0000-0000F7130000}"/>
    <cellStyle name="_20061103Holux_Doneness Matrix v2_KeyDecisions 3" xfId="5202" xr:uid="{00000000-0005-0000-0000-0000F8130000}"/>
    <cellStyle name="_20061103Holux_Doneness Matrix v2_Sophia_Imp_ProjectWorkBook_02_18_2011" xfId="5203" xr:uid="{00000000-0005-0000-0000-0000F9130000}"/>
    <cellStyle name="_20061103Holux_Doneness Matrix v2_Sophia_Imp_ProjectWorkBook_02_18_2011 2" xfId="5204" xr:uid="{00000000-0005-0000-0000-0000FA130000}"/>
    <cellStyle name="_20061103Holux_Doneness Matrix v2_Sophia_Imp_ProjectWorkBook_02_18_2011 3" xfId="5205" xr:uid="{00000000-0005-0000-0000-0000FB130000}"/>
    <cellStyle name="_20061103Holux_Doneness Matrix v2_t" xfId="5206" xr:uid="{00000000-0005-0000-0000-0000FC130000}"/>
    <cellStyle name="_20061103Holux_Doneness Matrix v2_t 2" xfId="5207" xr:uid="{00000000-0005-0000-0000-0000FD130000}"/>
    <cellStyle name="_20061103Holux_Doneness Matrix v2_t 3" xfId="5208" xr:uid="{00000000-0005-0000-0000-0000FE130000}"/>
    <cellStyle name="_20061103Holux_EnterprisePortalRequirements_PMWorkbook" xfId="5209" xr:uid="{00000000-0005-0000-0000-0000FF130000}"/>
    <cellStyle name="_20061103Holux_EnterprisePortalRequirements_PMWorkbook (2)" xfId="5210" xr:uid="{00000000-0005-0000-0000-000000140000}"/>
    <cellStyle name="_20061103Holux_EnterprisePortalRequirements_PMWorkbook (2) 2" xfId="5211" xr:uid="{00000000-0005-0000-0000-000001140000}"/>
    <cellStyle name="_20061103Holux_EnterprisePortalRequirements_PMWorkbook (2) 3" xfId="5212" xr:uid="{00000000-0005-0000-0000-000002140000}"/>
    <cellStyle name="_20061103Holux_EnterprisePortalRequirements_PMWorkbook 10" xfId="5213" xr:uid="{00000000-0005-0000-0000-000003140000}"/>
    <cellStyle name="_20061103Holux_EnterprisePortalRequirements_PMWorkbook 2" xfId="5214" xr:uid="{00000000-0005-0000-0000-000004140000}"/>
    <cellStyle name="_20061103Holux_EnterprisePortalRequirements_PMWorkbook 3" xfId="5215" xr:uid="{00000000-0005-0000-0000-000005140000}"/>
    <cellStyle name="_20061103Holux_EnterprisePortalRequirements_PMWorkbook 4" xfId="5216" xr:uid="{00000000-0005-0000-0000-000006140000}"/>
    <cellStyle name="_20061103Holux_EnterprisePortalRequirements_PMWorkbook 5" xfId="5217" xr:uid="{00000000-0005-0000-0000-000007140000}"/>
    <cellStyle name="_20061103Holux_EnterprisePortalRequirements_PMWorkbook 6" xfId="5218" xr:uid="{00000000-0005-0000-0000-000008140000}"/>
    <cellStyle name="_20061103Holux_EnterprisePortalRequirements_PMWorkbook 7" xfId="5219" xr:uid="{00000000-0005-0000-0000-000009140000}"/>
    <cellStyle name="_20061103Holux_EnterprisePortalRequirements_PMWorkbook 8" xfId="5220" xr:uid="{00000000-0005-0000-0000-00000A140000}"/>
    <cellStyle name="_20061103Holux_EnterprisePortalRequirements_PMWorkbook 9" xfId="5221" xr:uid="{00000000-0005-0000-0000-00000B140000}"/>
    <cellStyle name="_20061103Holux_FairPoint_CampReport" xfId="5222" xr:uid="{00000000-0005-0000-0000-00000C140000}"/>
    <cellStyle name="_20061103Holux_FairPoint_CampReport 2" xfId="5223" xr:uid="{00000000-0005-0000-0000-00000D140000}"/>
    <cellStyle name="_20061103Holux_FairPoint_CampReport 3" xfId="5224" xr:uid="{00000000-0005-0000-0000-00000E140000}"/>
    <cellStyle name="_20061103Holux_FairPoint_FP comTechOps_ProgramWorkbook" xfId="5225" xr:uid="{00000000-0005-0000-0000-00000F140000}"/>
    <cellStyle name="_20061103Holux_FairPoint_FP comTechOps_ProgramWorkbook 2" xfId="5226" xr:uid="{00000000-0005-0000-0000-000010140000}"/>
    <cellStyle name="_20061103Holux_FairPoint_FP comTechOps_ProgramWorkbook 3" xfId="5227" xr:uid="{00000000-0005-0000-0000-000011140000}"/>
    <cellStyle name="_20061103Holux_FairPoint_FP comTechOps_ProgramWorkbook_sachin" xfId="5228" xr:uid="{00000000-0005-0000-0000-000012140000}"/>
    <cellStyle name="_20061103Holux_FairPoint_FP comTechOps_ProgramWorkbook_sachin 2" xfId="5229" xr:uid="{00000000-0005-0000-0000-000013140000}"/>
    <cellStyle name="_20061103Holux_FairPoint_FP comTechOps_ProgramWorkbook_sachin 3" xfId="5230" xr:uid="{00000000-0005-0000-0000-000014140000}"/>
    <cellStyle name="_20061103Holux_FairPoint_FP comTechOps_ProgramWorkbook_sachin_v1" xfId="5231" xr:uid="{00000000-0005-0000-0000-000015140000}"/>
    <cellStyle name="_20061103Holux_FairPoint_FP comTechOps_ProgramWorkbook_sachin_v1 2" xfId="5232" xr:uid="{00000000-0005-0000-0000-000016140000}"/>
    <cellStyle name="_20061103Holux_FairPoint_FP comTechOps_ProgramWorkbook_sachin_v1 3" xfId="5233" xr:uid="{00000000-0005-0000-0000-000017140000}"/>
    <cellStyle name="_20061103Holux_FairPoint_IntialSetup_Focus" xfId="5234" xr:uid="{00000000-0005-0000-0000-000018140000}"/>
    <cellStyle name="_20061103Holux_FairPoint_IntialSetup_Focus 2" xfId="5235" xr:uid="{00000000-0005-0000-0000-000019140000}"/>
    <cellStyle name="_20061103Holux_FairPoint_IntialSetup_Focus 2 2" xfId="5236" xr:uid="{00000000-0005-0000-0000-00001A140000}"/>
    <cellStyle name="_20061103Holux_FairPoint_IntialSetup_Focus 2 3" xfId="5237" xr:uid="{00000000-0005-0000-0000-00001B140000}"/>
    <cellStyle name="_20061103Holux_FairPoint_IntialSetup_Focus 3" xfId="5238" xr:uid="{00000000-0005-0000-0000-00001C140000}"/>
    <cellStyle name="_20061103Holux_FairPoint_IntialSetup_Focus 3 2" xfId="5239" xr:uid="{00000000-0005-0000-0000-00001D140000}"/>
    <cellStyle name="_20061103Holux_FairPoint_IntialSetup_Focus 3 3" xfId="5240" xr:uid="{00000000-0005-0000-0000-00001E140000}"/>
    <cellStyle name="_20061103Holux_FairPoint_IntialSetup_Focus 4" xfId="5241" xr:uid="{00000000-0005-0000-0000-00001F140000}"/>
    <cellStyle name="_20061103Holux_FairPoint_IntialSetup_Focus 5" xfId="5242" xr:uid="{00000000-0005-0000-0000-000020140000}"/>
    <cellStyle name="_20061103Holux_FairPoint_IntialSetup_Focus_Commissioning System Implementation_Project Workbook_06_10_2011" xfId="5243" xr:uid="{00000000-0005-0000-0000-000021140000}"/>
    <cellStyle name="_20061103Holux_FairPoint_IntialSetup_Focus_Commissioning System Implementation_Project Workbook_06_10_2011 2" xfId="5244" xr:uid="{00000000-0005-0000-0000-000022140000}"/>
    <cellStyle name="_20061103Holux_FairPoint_IntialSetup_Focus_Commissioning System Implementation_Project Workbook_06_10_2011 3" xfId="5245" xr:uid="{00000000-0005-0000-0000-000023140000}"/>
    <cellStyle name="_20061103Holux_FairPoint_IntialSetup_Focus_FairPoint_CampReport" xfId="5246" xr:uid="{00000000-0005-0000-0000-000024140000}"/>
    <cellStyle name="_20061103Holux_FairPoint_IntialSetup_Focus_FairPoint_CampReport 2" xfId="5247" xr:uid="{00000000-0005-0000-0000-000025140000}"/>
    <cellStyle name="_20061103Holux_FairPoint_IntialSetup_Focus_FairPoint_CampReport 3" xfId="5248" xr:uid="{00000000-0005-0000-0000-000026140000}"/>
    <cellStyle name="_20061103Holux_FairPoint_IntialSetup_Focus_FairPoint_FP comTechOps_ProgramWorkbook" xfId="5249" xr:uid="{00000000-0005-0000-0000-000027140000}"/>
    <cellStyle name="_20061103Holux_FairPoint_IntialSetup_Focus_FairPoint_FP comTechOps_ProgramWorkbook 2" xfId="5250" xr:uid="{00000000-0005-0000-0000-000028140000}"/>
    <cellStyle name="_20061103Holux_FairPoint_IntialSetup_Focus_FairPoint_FP comTechOps_ProgramWorkbook 3" xfId="5251" xr:uid="{00000000-0005-0000-0000-000029140000}"/>
    <cellStyle name="_20061103Holux_FairPoint_IntialSetup_Focus_FairPoint_FP comTechOps_ProgramWorkbook_sachin" xfId="5252" xr:uid="{00000000-0005-0000-0000-00002A140000}"/>
    <cellStyle name="_20061103Holux_FairPoint_IntialSetup_Focus_FairPoint_FP comTechOps_ProgramWorkbook_sachin 2" xfId="5253" xr:uid="{00000000-0005-0000-0000-00002B140000}"/>
    <cellStyle name="_20061103Holux_FairPoint_IntialSetup_Focus_FairPoint_FP comTechOps_ProgramWorkbook_sachin 3" xfId="5254" xr:uid="{00000000-0005-0000-0000-00002C140000}"/>
    <cellStyle name="_20061103Holux_FairPoint_IntialSetup_Focus_FairPoint_FP comTechOps_ProgramWorkbook_sachin_v1" xfId="5255" xr:uid="{00000000-0005-0000-0000-00002D140000}"/>
    <cellStyle name="_20061103Holux_FairPoint_IntialSetup_Focus_FairPoint_FP comTechOps_ProgramWorkbook_sachin_v1 2" xfId="5256" xr:uid="{00000000-0005-0000-0000-00002E140000}"/>
    <cellStyle name="_20061103Holux_FairPoint_IntialSetup_Focus_FairPoint_FP comTechOps_ProgramWorkbook_sachin_v1 3" xfId="5257" xr:uid="{00000000-0005-0000-0000-00002F140000}"/>
    <cellStyle name="_20061103Holux_FairPoint_IntialSetup_Focus_FP_CAMP&amp;ITReporting_Maintenance_Dashboard" xfId="5258" xr:uid="{00000000-0005-0000-0000-000030140000}"/>
    <cellStyle name="_20061103Holux_FairPoint_IntialSetup_Focus_FP_CAMP&amp;ITReporting_Maintenance_Dashboard 2" xfId="5259" xr:uid="{00000000-0005-0000-0000-000031140000}"/>
    <cellStyle name="_20061103Holux_FairPoint_IntialSetup_Focus_FP_CAMP&amp;ITReporting_Maintenance_Dashboard 3" xfId="5260" xr:uid="{00000000-0005-0000-0000-000032140000}"/>
    <cellStyle name="_20061103Holux_FairPoint_IntialSetup_Focus_FP_CAMPITReporting_Maintenance_Dashboard" xfId="5261" xr:uid="{00000000-0005-0000-0000-000033140000}"/>
    <cellStyle name="_20061103Holux_FairPoint_IntialSetup_Focus_FP_CAMPITReporting_Maintenance_Dashboard 2" xfId="5262" xr:uid="{00000000-0005-0000-0000-000034140000}"/>
    <cellStyle name="_20061103Holux_FairPoint_IntialSetup_Focus_FP_CAMPITReporting_Maintenance_Dashboard 3" xfId="5263" xr:uid="{00000000-0005-0000-0000-000035140000}"/>
    <cellStyle name="_20061103Holux_FairPoint_IntialSetup_Focus_FP_Commissions_Req_Dn_ProgramWorkBook_10-Dec-2010" xfId="5264" xr:uid="{00000000-0005-0000-0000-000036140000}"/>
    <cellStyle name="_20061103Holux_FairPoint_IntialSetup_Focus_FP_Commissions_Req_Dn_ProgramWorkBook_10-Dec-2010 2" xfId="5265" xr:uid="{00000000-0005-0000-0000-000037140000}"/>
    <cellStyle name="_20061103Holux_FairPoint_IntialSetup_Focus_FP_Commissions_Req_Dn_ProgramWorkBook_10-Dec-2010 3" xfId="5266" xr:uid="{00000000-0005-0000-0000-000038140000}"/>
    <cellStyle name="_20061103Holux_FairPoint_IntialSetup_Focus_FP_DW_Impl_ProgramWorkBook_07-Jan-2011" xfId="5267" xr:uid="{00000000-0005-0000-0000-000039140000}"/>
    <cellStyle name="_20061103Holux_FairPoint_IntialSetup_Focus_FP_DW_Impl_ProgramWorkBook_07-Jan-2011 2" xfId="5268" xr:uid="{00000000-0005-0000-0000-00003A140000}"/>
    <cellStyle name="_20061103Holux_FairPoint_IntialSetup_Focus_FP_DW_Impl_ProgramWorkBook_07-Jan-2011 2 2" xfId="5269" xr:uid="{00000000-0005-0000-0000-00003B140000}"/>
    <cellStyle name="_20061103Holux_FairPoint_IntialSetup_Focus_FP_DW_Impl_ProgramWorkBook_07-Jan-2011 2 3" xfId="5270" xr:uid="{00000000-0005-0000-0000-00003C140000}"/>
    <cellStyle name="_20061103Holux_FairPoint_IntialSetup_Focus_FP_DW_Impl_ProgramWorkBook_07-Jan-2011 3" xfId="5271" xr:uid="{00000000-0005-0000-0000-00003D140000}"/>
    <cellStyle name="_20061103Holux_FairPoint_IntialSetup_Focus_FP_DW_Impl_ProgramWorkBook_07-Jan-2011 4" xfId="5272" xr:uid="{00000000-0005-0000-0000-00003E140000}"/>
    <cellStyle name="_20061103Holux_FairPoint_IntialSetup_Focus_FP_DW_Impl_ProgramWorkBook_11-Feb-2011" xfId="5273" xr:uid="{00000000-0005-0000-0000-00003F140000}"/>
    <cellStyle name="_20061103Holux_FairPoint_IntialSetup_Focus_FP_DW_Impl_ProgramWorkBook_11-Feb-2011 2" xfId="5274" xr:uid="{00000000-0005-0000-0000-000040140000}"/>
    <cellStyle name="_20061103Holux_FairPoint_IntialSetup_Focus_FP_DW_Impl_ProgramWorkBook_11-Feb-2011 3" xfId="5275" xr:uid="{00000000-0005-0000-0000-000041140000}"/>
    <cellStyle name="_20061103Holux_FairPoint_IntialSetup_Focus_FP_DW_Impl_ProgramWorkBook_18-Feb-2011 - Working" xfId="5276" xr:uid="{00000000-0005-0000-0000-000042140000}"/>
    <cellStyle name="_20061103Holux_FairPoint_IntialSetup_Focus_FP_DW_Impl_ProgramWorkBook_18-Feb-2011 - Working 2" xfId="5277" xr:uid="{00000000-0005-0000-0000-000043140000}"/>
    <cellStyle name="_20061103Holux_FairPoint_IntialSetup_Focus_FP_DW_Impl_ProgramWorkBook_18-Feb-2011 - Working 3" xfId="5278" xr:uid="{00000000-0005-0000-0000-000044140000}"/>
    <cellStyle name="_20061103Holux_FairPoint_IntialSetup_Focus_FP_EnterprisePortal_ProgramWorkbook" xfId="5279" xr:uid="{00000000-0005-0000-0000-000045140000}"/>
    <cellStyle name="_20061103Holux_FairPoint_IntialSetup_Focus_FP_EnterprisePortal_ProgramWorkbook 2" xfId="5280" xr:uid="{00000000-0005-0000-0000-000046140000}"/>
    <cellStyle name="_20061103Holux_FairPoint_IntialSetup_Focus_FP_EnterprisePortal_ProgramWorkbook 3" xfId="5281" xr:uid="{00000000-0005-0000-0000-000047140000}"/>
    <cellStyle name="_20061103Holux_FairPoint_IntialSetup_Focus_FP_SAP_MLP v2" xfId="5282" xr:uid="{00000000-0005-0000-0000-000048140000}"/>
    <cellStyle name="_20061103Holux_FairPoint_IntialSetup_Focus_FP_SAP_MLP v2 2" xfId="5283" xr:uid="{00000000-0005-0000-0000-000049140000}"/>
    <cellStyle name="_20061103Holux_FairPoint_IntialSetup_Focus_FP_SAP_MLP v2 3" xfId="5284" xr:uid="{00000000-0005-0000-0000-00004A140000}"/>
    <cellStyle name="_20061103Holux_FairPoint_IntialSetup_Focus_KeyDecisions" xfId="5285" xr:uid="{00000000-0005-0000-0000-00004B140000}"/>
    <cellStyle name="_20061103Holux_FairPoint_IntialSetup_Focus_KeyDecisions 2" xfId="5286" xr:uid="{00000000-0005-0000-0000-00004C140000}"/>
    <cellStyle name="_20061103Holux_FairPoint_IntialSetup_Focus_KeyDecisions 3" xfId="5287" xr:uid="{00000000-0005-0000-0000-00004D140000}"/>
    <cellStyle name="_20061103Holux_FairPoint_IntialSetup_Focus_Sophia_Imp_ProjectWorkBook_02_18_2011" xfId="5288" xr:uid="{00000000-0005-0000-0000-00004E140000}"/>
    <cellStyle name="_20061103Holux_FairPoint_IntialSetup_Focus_Sophia_Imp_ProjectWorkBook_02_18_2011 2" xfId="5289" xr:uid="{00000000-0005-0000-0000-00004F140000}"/>
    <cellStyle name="_20061103Holux_FairPoint_IntialSetup_Focus_Sophia_Imp_ProjectWorkBook_02_18_2011 3" xfId="5290" xr:uid="{00000000-0005-0000-0000-000050140000}"/>
    <cellStyle name="_20061103Holux_FairPoint_IntialSetup_Focus_t" xfId="5291" xr:uid="{00000000-0005-0000-0000-000051140000}"/>
    <cellStyle name="_20061103Holux_FairPoint_IntialSetup_Focus_t 2" xfId="5292" xr:uid="{00000000-0005-0000-0000-000052140000}"/>
    <cellStyle name="_20061103Holux_FairPoint_IntialSetup_Focus_t 3" xfId="5293" xr:uid="{00000000-0005-0000-0000-000053140000}"/>
    <cellStyle name="_20061103Holux_FairPoint_TechnicalImplementation_Plan" xfId="5294" xr:uid="{00000000-0005-0000-0000-000054140000}"/>
    <cellStyle name="_20061103Holux_FairPoint_TechnicalImplementation_Plan 2" xfId="5295" xr:uid="{00000000-0005-0000-0000-000055140000}"/>
    <cellStyle name="_20061103Holux_FairPoint_TechnicalImplementation_Plan 2 2" xfId="5296" xr:uid="{00000000-0005-0000-0000-000056140000}"/>
    <cellStyle name="_20061103Holux_FairPoint_TechnicalImplementation_Plan 2 3" xfId="5297" xr:uid="{00000000-0005-0000-0000-000057140000}"/>
    <cellStyle name="_20061103Holux_FairPoint_TechnicalImplementation_Plan 3" xfId="5298" xr:uid="{00000000-0005-0000-0000-000058140000}"/>
    <cellStyle name="_20061103Holux_FairPoint_TechnicalImplementation_Plan 3 2" xfId="5299" xr:uid="{00000000-0005-0000-0000-000059140000}"/>
    <cellStyle name="_20061103Holux_FairPoint_TechnicalImplementation_Plan 3 3" xfId="5300" xr:uid="{00000000-0005-0000-0000-00005A140000}"/>
    <cellStyle name="_20061103Holux_FairPoint_TechnicalImplementation_Plan 4" xfId="5301" xr:uid="{00000000-0005-0000-0000-00005B140000}"/>
    <cellStyle name="_20061103Holux_FairPoint_TechnicalImplementation_Plan 5" xfId="5302" xr:uid="{00000000-0005-0000-0000-00005C140000}"/>
    <cellStyle name="_20061103Holux_FairPoint_TechnicalImplementation_Plan_Commissioning System Implementation_Project Workbook_06_10_2011" xfId="5303" xr:uid="{00000000-0005-0000-0000-00005D140000}"/>
    <cellStyle name="_20061103Holux_FairPoint_TechnicalImplementation_Plan_Commissioning System Implementation_Project Workbook_06_10_2011 2" xfId="5304" xr:uid="{00000000-0005-0000-0000-00005E140000}"/>
    <cellStyle name="_20061103Holux_FairPoint_TechnicalImplementation_Plan_Commissioning System Implementation_Project Workbook_06_10_2011 3" xfId="5305" xr:uid="{00000000-0005-0000-0000-00005F140000}"/>
    <cellStyle name="_20061103Holux_FairPoint_TechnicalImplementation_Plan_FairPoint_CampReport" xfId="5306" xr:uid="{00000000-0005-0000-0000-000060140000}"/>
    <cellStyle name="_20061103Holux_FairPoint_TechnicalImplementation_Plan_FairPoint_CampReport 2" xfId="5307" xr:uid="{00000000-0005-0000-0000-000061140000}"/>
    <cellStyle name="_20061103Holux_FairPoint_TechnicalImplementation_Plan_FairPoint_CampReport 3" xfId="5308" xr:uid="{00000000-0005-0000-0000-000062140000}"/>
    <cellStyle name="_20061103Holux_FairPoint_TechnicalImplementation_Plan_FairPoint_FP comTechOps_ProgramWorkbook" xfId="5309" xr:uid="{00000000-0005-0000-0000-000063140000}"/>
    <cellStyle name="_20061103Holux_FairPoint_TechnicalImplementation_Plan_FairPoint_FP comTechOps_ProgramWorkbook 2" xfId="5310" xr:uid="{00000000-0005-0000-0000-000064140000}"/>
    <cellStyle name="_20061103Holux_FairPoint_TechnicalImplementation_Plan_FairPoint_FP comTechOps_ProgramWorkbook 3" xfId="5311" xr:uid="{00000000-0005-0000-0000-000065140000}"/>
    <cellStyle name="_20061103Holux_FairPoint_TechnicalImplementation_Plan_FairPoint_FP comTechOps_ProgramWorkbook_sachin" xfId="5312" xr:uid="{00000000-0005-0000-0000-000066140000}"/>
    <cellStyle name="_20061103Holux_FairPoint_TechnicalImplementation_Plan_FairPoint_FP comTechOps_ProgramWorkbook_sachin 2" xfId="5313" xr:uid="{00000000-0005-0000-0000-000067140000}"/>
    <cellStyle name="_20061103Holux_FairPoint_TechnicalImplementation_Plan_FairPoint_FP comTechOps_ProgramWorkbook_sachin 3" xfId="5314" xr:uid="{00000000-0005-0000-0000-000068140000}"/>
    <cellStyle name="_20061103Holux_FairPoint_TechnicalImplementation_Plan_FairPoint_FP comTechOps_ProgramWorkbook_sachin_v1" xfId="5315" xr:uid="{00000000-0005-0000-0000-000069140000}"/>
    <cellStyle name="_20061103Holux_FairPoint_TechnicalImplementation_Plan_FairPoint_FP comTechOps_ProgramWorkbook_sachin_v1 2" xfId="5316" xr:uid="{00000000-0005-0000-0000-00006A140000}"/>
    <cellStyle name="_20061103Holux_FairPoint_TechnicalImplementation_Plan_FairPoint_FP comTechOps_ProgramWorkbook_sachin_v1 3" xfId="5317" xr:uid="{00000000-0005-0000-0000-00006B140000}"/>
    <cellStyle name="_20061103Holux_FairPoint_TechnicalImplementation_Plan_FP_CAMP&amp;ITReporting_Maintenance_Dashboard" xfId="5318" xr:uid="{00000000-0005-0000-0000-00006C140000}"/>
    <cellStyle name="_20061103Holux_FairPoint_TechnicalImplementation_Plan_FP_CAMP&amp;ITReporting_Maintenance_Dashboard 2" xfId="5319" xr:uid="{00000000-0005-0000-0000-00006D140000}"/>
    <cellStyle name="_20061103Holux_FairPoint_TechnicalImplementation_Plan_FP_CAMP&amp;ITReporting_Maintenance_Dashboard 3" xfId="5320" xr:uid="{00000000-0005-0000-0000-00006E140000}"/>
    <cellStyle name="_20061103Holux_FairPoint_TechnicalImplementation_Plan_FP_CAMPITReporting_Maintenance_Dashboard" xfId="5321" xr:uid="{00000000-0005-0000-0000-00006F140000}"/>
    <cellStyle name="_20061103Holux_FairPoint_TechnicalImplementation_Plan_FP_CAMPITReporting_Maintenance_Dashboard 2" xfId="5322" xr:uid="{00000000-0005-0000-0000-000070140000}"/>
    <cellStyle name="_20061103Holux_FairPoint_TechnicalImplementation_Plan_FP_CAMPITReporting_Maintenance_Dashboard 3" xfId="5323" xr:uid="{00000000-0005-0000-0000-000071140000}"/>
    <cellStyle name="_20061103Holux_FairPoint_TechnicalImplementation_Plan_FP_Commissions_Req_Dn_ProgramWorkBook_10-Dec-2010" xfId="5324" xr:uid="{00000000-0005-0000-0000-000072140000}"/>
    <cellStyle name="_20061103Holux_FairPoint_TechnicalImplementation_Plan_FP_Commissions_Req_Dn_ProgramWorkBook_10-Dec-2010 2" xfId="5325" xr:uid="{00000000-0005-0000-0000-000073140000}"/>
    <cellStyle name="_20061103Holux_FairPoint_TechnicalImplementation_Plan_FP_Commissions_Req_Dn_ProgramWorkBook_10-Dec-2010 3" xfId="5326" xr:uid="{00000000-0005-0000-0000-000074140000}"/>
    <cellStyle name="_20061103Holux_FairPoint_TechnicalImplementation_Plan_FP_DW_Impl_ProgramWorkBook_07-Jan-2011" xfId="5327" xr:uid="{00000000-0005-0000-0000-000075140000}"/>
    <cellStyle name="_20061103Holux_FairPoint_TechnicalImplementation_Plan_FP_DW_Impl_ProgramWorkBook_07-Jan-2011 2" xfId="5328" xr:uid="{00000000-0005-0000-0000-000076140000}"/>
    <cellStyle name="_20061103Holux_FairPoint_TechnicalImplementation_Plan_FP_DW_Impl_ProgramWorkBook_07-Jan-2011 2 2" xfId="5329" xr:uid="{00000000-0005-0000-0000-000077140000}"/>
    <cellStyle name="_20061103Holux_FairPoint_TechnicalImplementation_Plan_FP_DW_Impl_ProgramWorkBook_07-Jan-2011 2 3" xfId="5330" xr:uid="{00000000-0005-0000-0000-000078140000}"/>
    <cellStyle name="_20061103Holux_FairPoint_TechnicalImplementation_Plan_FP_DW_Impl_ProgramWorkBook_07-Jan-2011 3" xfId="5331" xr:uid="{00000000-0005-0000-0000-000079140000}"/>
    <cellStyle name="_20061103Holux_FairPoint_TechnicalImplementation_Plan_FP_DW_Impl_ProgramWorkBook_07-Jan-2011 4" xfId="5332" xr:uid="{00000000-0005-0000-0000-00007A140000}"/>
    <cellStyle name="_20061103Holux_FairPoint_TechnicalImplementation_Plan_FP_DW_Impl_ProgramWorkBook_11-Feb-2011" xfId="5333" xr:uid="{00000000-0005-0000-0000-00007B140000}"/>
    <cellStyle name="_20061103Holux_FairPoint_TechnicalImplementation_Plan_FP_DW_Impl_ProgramWorkBook_11-Feb-2011 2" xfId="5334" xr:uid="{00000000-0005-0000-0000-00007C140000}"/>
    <cellStyle name="_20061103Holux_FairPoint_TechnicalImplementation_Plan_FP_DW_Impl_ProgramWorkBook_11-Feb-2011 3" xfId="5335" xr:uid="{00000000-0005-0000-0000-00007D140000}"/>
    <cellStyle name="_20061103Holux_FairPoint_TechnicalImplementation_Plan_FP_DW_Impl_ProgramWorkBook_18-Feb-2011 - Working" xfId="5336" xr:uid="{00000000-0005-0000-0000-00007E140000}"/>
    <cellStyle name="_20061103Holux_FairPoint_TechnicalImplementation_Plan_FP_DW_Impl_ProgramWorkBook_18-Feb-2011 - Working 2" xfId="5337" xr:uid="{00000000-0005-0000-0000-00007F140000}"/>
    <cellStyle name="_20061103Holux_FairPoint_TechnicalImplementation_Plan_FP_DW_Impl_ProgramWorkBook_18-Feb-2011 - Working 3" xfId="5338" xr:uid="{00000000-0005-0000-0000-000080140000}"/>
    <cellStyle name="_20061103Holux_FairPoint_TechnicalImplementation_Plan_FP_EnterprisePortal_ProgramWorkbook" xfId="5339" xr:uid="{00000000-0005-0000-0000-000081140000}"/>
    <cellStyle name="_20061103Holux_FairPoint_TechnicalImplementation_Plan_FP_EnterprisePortal_ProgramWorkbook 2" xfId="5340" xr:uid="{00000000-0005-0000-0000-000082140000}"/>
    <cellStyle name="_20061103Holux_FairPoint_TechnicalImplementation_Plan_FP_EnterprisePortal_ProgramWorkbook 3" xfId="5341" xr:uid="{00000000-0005-0000-0000-000083140000}"/>
    <cellStyle name="_20061103Holux_FairPoint_TechnicalImplementation_Plan_FP_SAP_MLP v2" xfId="5342" xr:uid="{00000000-0005-0000-0000-000084140000}"/>
    <cellStyle name="_20061103Holux_FairPoint_TechnicalImplementation_Plan_FP_SAP_MLP v2 2" xfId="5343" xr:uid="{00000000-0005-0000-0000-000085140000}"/>
    <cellStyle name="_20061103Holux_FairPoint_TechnicalImplementation_Plan_FP_SAP_MLP v2 3" xfId="5344" xr:uid="{00000000-0005-0000-0000-000086140000}"/>
    <cellStyle name="_20061103Holux_FairPoint_TechnicalImplementation_Plan_KeyDecisions" xfId="5345" xr:uid="{00000000-0005-0000-0000-000087140000}"/>
    <cellStyle name="_20061103Holux_FairPoint_TechnicalImplementation_Plan_KeyDecisions 2" xfId="5346" xr:uid="{00000000-0005-0000-0000-000088140000}"/>
    <cellStyle name="_20061103Holux_FairPoint_TechnicalImplementation_Plan_KeyDecisions 3" xfId="5347" xr:uid="{00000000-0005-0000-0000-000089140000}"/>
    <cellStyle name="_20061103Holux_FairPoint_TechnicalImplementation_Plan_Sophia_Imp_ProjectWorkBook_02_18_2011" xfId="5348" xr:uid="{00000000-0005-0000-0000-00008A140000}"/>
    <cellStyle name="_20061103Holux_FairPoint_TechnicalImplementation_Plan_Sophia_Imp_ProjectWorkBook_02_18_2011 2" xfId="5349" xr:uid="{00000000-0005-0000-0000-00008B140000}"/>
    <cellStyle name="_20061103Holux_FairPoint_TechnicalImplementation_Plan_Sophia_Imp_ProjectWorkBook_02_18_2011 3" xfId="5350" xr:uid="{00000000-0005-0000-0000-00008C140000}"/>
    <cellStyle name="_20061103Holux_FairPoint_TechnicalImplementation_Plan_t" xfId="5351" xr:uid="{00000000-0005-0000-0000-00008D140000}"/>
    <cellStyle name="_20061103Holux_FairPoint_TechnicalImplementation_Plan_t 2" xfId="5352" xr:uid="{00000000-0005-0000-0000-00008E140000}"/>
    <cellStyle name="_20061103Holux_FairPoint_TechnicalImplementation_Plan_t 3" xfId="5353" xr:uid="{00000000-0005-0000-0000-00008F140000}"/>
    <cellStyle name="_20061103Holux_FP_CAMP&amp;ITReporting_Maintenance_Dashboard" xfId="5354" xr:uid="{00000000-0005-0000-0000-000090140000}"/>
    <cellStyle name="_20061103Holux_FP_CAMP&amp;ITReporting_Maintenance_Dashboard 2" xfId="5355" xr:uid="{00000000-0005-0000-0000-000091140000}"/>
    <cellStyle name="_20061103Holux_FP_CAMP&amp;ITReporting_Maintenance_Dashboard 3" xfId="5356" xr:uid="{00000000-0005-0000-0000-000092140000}"/>
    <cellStyle name="_20061103Holux_FP_CAMPITReporting_Maintenance_Dashboard" xfId="5357" xr:uid="{00000000-0005-0000-0000-000093140000}"/>
    <cellStyle name="_20061103Holux_FP_CAMPITReporting_Maintenance_Dashboard 2" xfId="5358" xr:uid="{00000000-0005-0000-0000-000094140000}"/>
    <cellStyle name="_20061103Holux_FP_CAMPITReporting_Maintenance_Dashboard 3" xfId="5359" xr:uid="{00000000-0005-0000-0000-000095140000}"/>
    <cellStyle name="_20061103Holux_FP_Commissions_Req_Dn_ProgramWorkBook_10-Dec-2010" xfId="5360" xr:uid="{00000000-0005-0000-0000-000096140000}"/>
    <cellStyle name="_20061103Holux_FP_Commissions_Req_Dn_ProgramWorkBook_10-Dec-2010 2" xfId="5361" xr:uid="{00000000-0005-0000-0000-000097140000}"/>
    <cellStyle name="_20061103Holux_FP_Commissions_Req_Dn_ProgramWorkBook_10-Dec-2010 3" xfId="5362" xr:uid="{00000000-0005-0000-0000-000098140000}"/>
    <cellStyle name="_20061103Holux_FP_DW_Impl_ProgramWorkBook_03-Dec-2010111" xfId="5363" xr:uid="{00000000-0005-0000-0000-000099140000}"/>
    <cellStyle name="_20061103Holux_FP_DW_Impl_ProgramWorkBook_03-Dec-2010111 2" xfId="5364" xr:uid="{00000000-0005-0000-0000-00009A140000}"/>
    <cellStyle name="_20061103Holux_FP_DW_Impl_ProgramWorkBook_03-Dec-2010111 3" xfId="5365" xr:uid="{00000000-0005-0000-0000-00009B140000}"/>
    <cellStyle name="_20061103Holux_FP_DW_Impl_ProgramWorkBook_07-Jan-2011" xfId="5366" xr:uid="{00000000-0005-0000-0000-00009C140000}"/>
    <cellStyle name="_20061103Holux_FP_DW_Impl_ProgramWorkBook_07-Jan-2011 2" xfId="5367" xr:uid="{00000000-0005-0000-0000-00009D140000}"/>
    <cellStyle name="_20061103Holux_FP_DW_Impl_ProgramWorkBook_07-Jan-2011 3" xfId="5368" xr:uid="{00000000-0005-0000-0000-00009E140000}"/>
    <cellStyle name="_20061103Holux_FP_DW_Impl_ProgramWorkBook_11-Feb-2011" xfId="5369" xr:uid="{00000000-0005-0000-0000-00009F140000}"/>
    <cellStyle name="_20061103Holux_FP_DW_Impl_ProgramWorkBook_11-Feb-2011 2" xfId="5370" xr:uid="{00000000-0005-0000-0000-0000A0140000}"/>
    <cellStyle name="_20061103Holux_FP_DW_Impl_ProgramWorkBook_11-Feb-2011 3" xfId="5371" xr:uid="{00000000-0005-0000-0000-0000A1140000}"/>
    <cellStyle name="_20061103Holux_FP_DW_Impl_ProgramWorkBook_18-Feb-2011 - Working" xfId="5372" xr:uid="{00000000-0005-0000-0000-0000A2140000}"/>
    <cellStyle name="_20061103Holux_FP_DW_Impl_ProgramWorkBook_18-Feb-2011 - Working 2" xfId="5373" xr:uid="{00000000-0005-0000-0000-0000A3140000}"/>
    <cellStyle name="_20061103Holux_FP_DW_Impl_ProgramWorkBook_18-Feb-2011 - Working 3" xfId="5374" xr:uid="{00000000-0005-0000-0000-0000A4140000}"/>
    <cellStyle name="_20061103Holux_FP_EnterprisePortal_ProgramWorkbook" xfId="5375" xr:uid="{00000000-0005-0000-0000-0000A5140000}"/>
    <cellStyle name="_20061103Holux_FP_EnterprisePortal_ProgramWorkbook 2" xfId="5376" xr:uid="{00000000-0005-0000-0000-0000A6140000}"/>
    <cellStyle name="_20061103Holux_FP_EnterprisePortal_ProgramWorkbook 3" xfId="5377" xr:uid="{00000000-0005-0000-0000-0000A7140000}"/>
    <cellStyle name="_20061103Holux_FP_SAP_MLP v2" xfId="5378" xr:uid="{00000000-0005-0000-0000-0000A8140000}"/>
    <cellStyle name="_20061103Holux_FP_SAP_MLP v2 2" xfId="5379" xr:uid="{00000000-0005-0000-0000-0000A9140000}"/>
    <cellStyle name="_20061103Holux_FP_SAP_MLP v2 3" xfId="5380" xr:uid="{00000000-0005-0000-0000-0000AA140000}"/>
    <cellStyle name="_20061103Holux_KeyDecisions" xfId="5381" xr:uid="{00000000-0005-0000-0000-0000AB140000}"/>
    <cellStyle name="_20061103Holux_KeyDecisions 2" xfId="5382" xr:uid="{00000000-0005-0000-0000-0000AC140000}"/>
    <cellStyle name="_20061103Holux_KeyDecisions 3" xfId="5383" xr:uid="{00000000-0005-0000-0000-0000AD140000}"/>
    <cellStyle name="_20061103Holux_LoanOriginationPMWorkbook 23Feb2010" xfId="5384" xr:uid="{00000000-0005-0000-0000-0000AE140000}"/>
    <cellStyle name="_20061103Holux_LoanOriginationPMWorkbook 23Feb2010 2" xfId="5385" xr:uid="{00000000-0005-0000-0000-0000AF140000}"/>
    <cellStyle name="_20061103Holux_LoanOriginationPMWorkbook 23Feb2010 3" xfId="5386" xr:uid="{00000000-0005-0000-0000-0000B0140000}"/>
    <cellStyle name="_20061103Holux_LoanOriginationPMWorkbook 23Feb2010_slm_llp_0520" xfId="5387" xr:uid="{00000000-0005-0000-0000-0000B1140000}"/>
    <cellStyle name="_20061103Holux_LoanOriginationPMWorkbook 23Feb2010_slm_llp_0520 2" xfId="5388" xr:uid="{00000000-0005-0000-0000-0000B2140000}"/>
    <cellStyle name="_20061103Holux_LoanOriginationPMWorkbook 23Feb2010_slm_llp_0520 2 2" xfId="5389" xr:uid="{00000000-0005-0000-0000-0000B3140000}"/>
    <cellStyle name="_20061103Holux_LoanOriginationPMWorkbook 23Feb2010_slm_llp_0520 2 3" xfId="5390" xr:uid="{00000000-0005-0000-0000-0000B4140000}"/>
    <cellStyle name="_20061103Holux_LoanOriginationPMWorkbook 23Feb2010_slm_llp_0520 3" xfId="5391" xr:uid="{00000000-0005-0000-0000-0000B5140000}"/>
    <cellStyle name="_20061103Holux_LoanOriginationPMWorkbook 23Feb2010_slm_llp_0520 3 2" xfId="5392" xr:uid="{00000000-0005-0000-0000-0000B6140000}"/>
    <cellStyle name="_20061103Holux_LoanOriginationPMWorkbook 23Feb2010_slm_llp_0520 3 3" xfId="5393" xr:uid="{00000000-0005-0000-0000-0000B7140000}"/>
    <cellStyle name="_20061103Holux_LoanOriginationPMWorkbook 23Feb2010_slm_llp_0520 4" xfId="5394" xr:uid="{00000000-0005-0000-0000-0000B8140000}"/>
    <cellStyle name="_20061103Holux_LoanOriginationPMWorkbook 23Feb2010_slm_llp_0520 5" xfId="5395" xr:uid="{00000000-0005-0000-0000-0000B9140000}"/>
    <cellStyle name="_20061103Holux_LoanOriginationPMWorkbook 23Feb2010_slm_llp_0520_Commissioning System Implementation_Project Workbook_06_10_2011" xfId="5396" xr:uid="{00000000-0005-0000-0000-0000BA140000}"/>
    <cellStyle name="_20061103Holux_LoanOriginationPMWorkbook 23Feb2010_slm_llp_0520_Commissioning System Implementation_Project Workbook_06_10_2011 2" xfId="5397" xr:uid="{00000000-0005-0000-0000-0000BB140000}"/>
    <cellStyle name="_20061103Holux_LoanOriginationPMWorkbook 23Feb2010_slm_llp_0520_Commissioning System Implementation_Project Workbook_06_10_2011 3" xfId="5398" xr:uid="{00000000-0005-0000-0000-0000BC140000}"/>
    <cellStyle name="_20061103Holux_LoanOriginationPMWorkbook 23Feb2010_slm_llp_0520_FairPoint_CampReport" xfId="5399" xr:uid="{00000000-0005-0000-0000-0000BD140000}"/>
    <cellStyle name="_20061103Holux_LoanOriginationPMWorkbook 23Feb2010_slm_llp_0520_FairPoint_CampReport 2" xfId="5400" xr:uid="{00000000-0005-0000-0000-0000BE140000}"/>
    <cellStyle name="_20061103Holux_LoanOriginationPMWorkbook 23Feb2010_slm_llp_0520_FairPoint_CampReport 3" xfId="5401" xr:uid="{00000000-0005-0000-0000-0000BF140000}"/>
    <cellStyle name="_20061103Holux_LoanOriginationPMWorkbook 23Feb2010_slm_llp_0520_FairPoint_FP comTechOps_ProgramWorkbook" xfId="5402" xr:uid="{00000000-0005-0000-0000-0000C0140000}"/>
    <cellStyle name="_20061103Holux_LoanOriginationPMWorkbook 23Feb2010_slm_llp_0520_FairPoint_FP comTechOps_ProgramWorkbook 2" xfId="5403" xr:uid="{00000000-0005-0000-0000-0000C1140000}"/>
    <cellStyle name="_20061103Holux_LoanOriginationPMWorkbook 23Feb2010_slm_llp_0520_FairPoint_FP comTechOps_ProgramWorkbook 3" xfId="5404" xr:uid="{00000000-0005-0000-0000-0000C2140000}"/>
    <cellStyle name="_20061103Holux_LoanOriginationPMWorkbook 23Feb2010_slm_llp_0520_FairPoint_FP comTechOps_ProgramWorkbook_sachin" xfId="5405" xr:uid="{00000000-0005-0000-0000-0000C3140000}"/>
    <cellStyle name="_20061103Holux_LoanOriginationPMWorkbook 23Feb2010_slm_llp_0520_FairPoint_FP comTechOps_ProgramWorkbook_sachin 2" xfId="5406" xr:uid="{00000000-0005-0000-0000-0000C4140000}"/>
    <cellStyle name="_20061103Holux_LoanOriginationPMWorkbook 23Feb2010_slm_llp_0520_FairPoint_FP comTechOps_ProgramWorkbook_sachin 3" xfId="5407" xr:uid="{00000000-0005-0000-0000-0000C5140000}"/>
    <cellStyle name="_20061103Holux_LoanOriginationPMWorkbook 23Feb2010_slm_llp_0520_FairPoint_FP comTechOps_ProgramWorkbook_sachin_v1" xfId="5408" xr:uid="{00000000-0005-0000-0000-0000C6140000}"/>
    <cellStyle name="_20061103Holux_LoanOriginationPMWorkbook 23Feb2010_slm_llp_0520_FairPoint_FP comTechOps_ProgramWorkbook_sachin_v1 2" xfId="5409" xr:uid="{00000000-0005-0000-0000-0000C7140000}"/>
    <cellStyle name="_20061103Holux_LoanOriginationPMWorkbook 23Feb2010_slm_llp_0520_FairPoint_FP comTechOps_ProgramWorkbook_sachin_v1 3" xfId="5410" xr:uid="{00000000-0005-0000-0000-0000C8140000}"/>
    <cellStyle name="_20061103Holux_LoanOriginationPMWorkbook 23Feb2010_slm_llp_0520_FP_CAMP&amp;ITReporting_Maintenance_Dashboard" xfId="5411" xr:uid="{00000000-0005-0000-0000-0000C9140000}"/>
    <cellStyle name="_20061103Holux_LoanOriginationPMWorkbook 23Feb2010_slm_llp_0520_FP_CAMP&amp;ITReporting_Maintenance_Dashboard 2" xfId="5412" xr:uid="{00000000-0005-0000-0000-0000CA140000}"/>
    <cellStyle name="_20061103Holux_LoanOriginationPMWorkbook 23Feb2010_slm_llp_0520_FP_CAMP&amp;ITReporting_Maintenance_Dashboard 3" xfId="5413" xr:uid="{00000000-0005-0000-0000-0000CB140000}"/>
    <cellStyle name="_20061103Holux_LoanOriginationPMWorkbook 23Feb2010_slm_llp_0520_FP_CAMPITReporting_Maintenance_Dashboard" xfId="5414" xr:uid="{00000000-0005-0000-0000-0000CC140000}"/>
    <cellStyle name="_20061103Holux_LoanOriginationPMWorkbook 23Feb2010_slm_llp_0520_FP_CAMPITReporting_Maintenance_Dashboard 2" xfId="5415" xr:uid="{00000000-0005-0000-0000-0000CD140000}"/>
    <cellStyle name="_20061103Holux_LoanOriginationPMWorkbook 23Feb2010_slm_llp_0520_FP_CAMPITReporting_Maintenance_Dashboard 3" xfId="5416" xr:uid="{00000000-0005-0000-0000-0000CE140000}"/>
    <cellStyle name="_20061103Holux_LoanOriginationPMWorkbook 23Feb2010_slm_llp_0520_FP_Commissions_Req_Dn_ProgramWorkBook_10-Dec-2010" xfId="5417" xr:uid="{00000000-0005-0000-0000-0000CF140000}"/>
    <cellStyle name="_20061103Holux_LoanOriginationPMWorkbook 23Feb2010_slm_llp_0520_FP_Commissions_Req_Dn_ProgramWorkBook_10-Dec-2010 2" xfId="5418" xr:uid="{00000000-0005-0000-0000-0000D0140000}"/>
    <cellStyle name="_20061103Holux_LoanOriginationPMWorkbook 23Feb2010_slm_llp_0520_FP_Commissions_Req_Dn_ProgramWorkBook_10-Dec-2010 3" xfId="5419" xr:uid="{00000000-0005-0000-0000-0000D1140000}"/>
    <cellStyle name="_20061103Holux_LoanOriginationPMWorkbook 23Feb2010_slm_llp_0520_FP_DW_Impl_ProgramWorkBook_07-Jan-2011" xfId="5420" xr:uid="{00000000-0005-0000-0000-0000D2140000}"/>
    <cellStyle name="_20061103Holux_LoanOriginationPMWorkbook 23Feb2010_slm_llp_0520_FP_DW_Impl_ProgramWorkBook_07-Jan-2011 2" xfId="5421" xr:uid="{00000000-0005-0000-0000-0000D3140000}"/>
    <cellStyle name="_20061103Holux_LoanOriginationPMWorkbook 23Feb2010_slm_llp_0520_FP_DW_Impl_ProgramWorkBook_07-Jan-2011 2 2" xfId="5422" xr:uid="{00000000-0005-0000-0000-0000D4140000}"/>
    <cellStyle name="_20061103Holux_LoanOriginationPMWorkbook 23Feb2010_slm_llp_0520_FP_DW_Impl_ProgramWorkBook_07-Jan-2011 2 3" xfId="5423" xr:uid="{00000000-0005-0000-0000-0000D5140000}"/>
    <cellStyle name="_20061103Holux_LoanOriginationPMWorkbook 23Feb2010_slm_llp_0520_FP_DW_Impl_ProgramWorkBook_07-Jan-2011 3" xfId="5424" xr:uid="{00000000-0005-0000-0000-0000D6140000}"/>
    <cellStyle name="_20061103Holux_LoanOriginationPMWorkbook 23Feb2010_slm_llp_0520_FP_DW_Impl_ProgramWorkBook_07-Jan-2011 4" xfId="5425" xr:uid="{00000000-0005-0000-0000-0000D7140000}"/>
    <cellStyle name="_20061103Holux_LoanOriginationPMWorkbook 23Feb2010_slm_llp_0520_FP_DW_Impl_ProgramWorkBook_11-Feb-2011" xfId="5426" xr:uid="{00000000-0005-0000-0000-0000D8140000}"/>
    <cellStyle name="_20061103Holux_LoanOriginationPMWorkbook 23Feb2010_slm_llp_0520_FP_DW_Impl_ProgramWorkBook_11-Feb-2011 2" xfId="5427" xr:uid="{00000000-0005-0000-0000-0000D9140000}"/>
    <cellStyle name="_20061103Holux_LoanOriginationPMWorkbook 23Feb2010_slm_llp_0520_FP_DW_Impl_ProgramWorkBook_11-Feb-2011 3" xfId="5428" xr:uid="{00000000-0005-0000-0000-0000DA140000}"/>
    <cellStyle name="_20061103Holux_LoanOriginationPMWorkbook 23Feb2010_slm_llp_0520_FP_DW_Impl_ProgramWorkBook_18-Feb-2011 - Working" xfId="5429" xr:uid="{00000000-0005-0000-0000-0000DB140000}"/>
    <cellStyle name="_20061103Holux_LoanOriginationPMWorkbook 23Feb2010_slm_llp_0520_FP_DW_Impl_ProgramWorkBook_18-Feb-2011 - Working 2" xfId="5430" xr:uid="{00000000-0005-0000-0000-0000DC140000}"/>
    <cellStyle name="_20061103Holux_LoanOriginationPMWorkbook 23Feb2010_slm_llp_0520_FP_DW_Impl_ProgramWorkBook_18-Feb-2011 - Working 3" xfId="5431" xr:uid="{00000000-0005-0000-0000-0000DD140000}"/>
    <cellStyle name="_20061103Holux_LoanOriginationPMWorkbook 23Feb2010_slm_llp_0520_FP_EnterprisePortal_ProgramWorkbook" xfId="5432" xr:uid="{00000000-0005-0000-0000-0000DE140000}"/>
    <cellStyle name="_20061103Holux_LoanOriginationPMWorkbook 23Feb2010_slm_llp_0520_FP_EnterprisePortal_ProgramWorkbook 2" xfId="5433" xr:uid="{00000000-0005-0000-0000-0000DF140000}"/>
    <cellStyle name="_20061103Holux_LoanOriginationPMWorkbook 23Feb2010_slm_llp_0520_FP_EnterprisePortal_ProgramWorkbook 3" xfId="5434" xr:uid="{00000000-0005-0000-0000-0000E0140000}"/>
    <cellStyle name="_20061103Holux_LoanOriginationPMWorkbook 23Feb2010_slm_llp_0520_FP_SAP_MLP v2" xfId="5435" xr:uid="{00000000-0005-0000-0000-0000E1140000}"/>
    <cellStyle name="_20061103Holux_LoanOriginationPMWorkbook 23Feb2010_slm_llp_0520_FP_SAP_MLP v2 2" xfId="5436" xr:uid="{00000000-0005-0000-0000-0000E2140000}"/>
    <cellStyle name="_20061103Holux_LoanOriginationPMWorkbook 23Feb2010_slm_llp_0520_FP_SAP_MLP v2 3" xfId="5437" xr:uid="{00000000-0005-0000-0000-0000E3140000}"/>
    <cellStyle name="_20061103Holux_LoanOriginationPMWorkbook 23Feb2010_slm_llp_0520_KeyDecisions" xfId="5438" xr:uid="{00000000-0005-0000-0000-0000E4140000}"/>
    <cellStyle name="_20061103Holux_LoanOriginationPMWorkbook 23Feb2010_slm_llp_0520_KeyDecisions 2" xfId="5439" xr:uid="{00000000-0005-0000-0000-0000E5140000}"/>
    <cellStyle name="_20061103Holux_LoanOriginationPMWorkbook 23Feb2010_slm_llp_0520_KeyDecisions 3" xfId="5440" xr:uid="{00000000-0005-0000-0000-0000E6140000}"/>
    <cellStyle name="_20061103Holux_LoanOriginationPMWorkbook 23Feb2010_slm_llp_0520_Sophia_Imp_ProjectWorkBook_02_18_2011" xfId="5441" xr:uid="{00000000-0005-0000-0000-0000E7140000}"/>
    <cellStyle name="_20061103Holux_LoanOriginationPMWorkbook 23Feb2010_slm_llp_0520_Sophia_Imp_ProjectWorkBook_02_18_2011 2" xfId="5442" xr:uid="{00000000-0005-0000-0000-0000E8140000}"/>
    <cellStyle name="_20061103Holux_LoanOriginationPMWorkbook 23Feb2010_slm_llp_0520_Sophia_Imp_ProjectWorkBook_02_18_2011 3" xfId="5443" xr:uid="{00000000-0005-0000-0000-0000E9140000}"/>
    <cellStyle name="_20061103Holux_LoanOriginationPMWorkbook 23Feb2010_slm_llp_0520_t" xfId="5444" xr:uid="{00000000-0005-0000-0000-0000EA140000}"/>
    <cellStyle name="_20061103Holux_LoanOriginationPMWorkbook 23Feb2010_slm_llp_0520_t 2" xfId="5445" xr:uid="{00000000-0005-0000-0000-0000EB140000}"/>
    <cellStyle name="_20061103Holux_LoanOriginationPMWorkbook 23Feb2010_slm_llp_0520_t 3" xfId="5446" xr:uid="{00000000-0005-0000-0000-0000EC140000}"/>
    <cellStyle name="_20061103Holux_ProgramWorkBook" xfId="5447" xr:uid="{00000000-0005-0000-0000-0000ED140000}"/>
    <cellStyle name="_20061103Holux_ProgramWorkBook 2" xfId="5448" xr:uid="{00000000-0005-0000-0000-0000EE140000}"/>
    <cellStyle name="_20061103Holux_ProgramWorkBook 2 2" xfId="5449" xr:uid="{00000000-0005-0000-0000-0000EF140000}"/>
    <cellStyle name="_20061103Holux_ProgramWorkBook 2 3" xfId="5450" xr:uid="{00000000-0005-0000-0000-0000F0140000}"/>
    <cellStyle name="_20061103Holux_ProgramWorkBook 3" xfId="5451" xr:uid="{00000000-0005-0000-0000-0000F1140000}"/>
    <cellStyle name="_20061103Holux_ProgramWorkBook 3 2" xfId="5452" xr:uid="{00000000-0005-0000-0000-0000F2140000}"/>
    <cellStyle name="_20061103Holux_ProgramWorkBook 3 3" xfId="5453" xr:uid="{00000000-0005-0000-0000-0000F3140000}"/>
    <cellStyle name="_20061103Holux_ProgramWorkBook 4" xfId="5454" xr:uid="{00000000-0005-0000-0000-0000F4140000}"/>
    <cellStyle name="_20061103Holux_ProgramWorkBook 5" xfId="5455" xr:uid="{00000000-0005-0000-0000-0000F5140000}"/>
    <cellStyle name="_20061103Holux_ProgramWorkBook_CMS_SOW_Deliverables_0430" xfId="5456" xr:uid="{00000000-0005-0000-0000-0000F6140000}"/>
    <cellStyle name="_20061103Holux_ProgramWorkBook_CMS_SOW_Deliverables_0430 2" xfId="5457" xr:uid="{00000000-0005-0000-0000-0000F7140000}"/>
    <cellStyle name="_20061103Holux_ProgramWorkBook_CMS_SOW_Deliverables_0430 2 2" xfId="5458" xr:uid="{00000000-0005-0000-0000-0000F8140000}"/>
    <cellStyle name="_20061103Holux_ProgramWorkBook_CMS_SOW_Deliverables_0430 2 3" xfId="5459" xr:uid="{00000000-0005-0000-0000-0000F9140000}"/>
    <cellStyle name="_20061103Holux_ProgramWorkBook_CMS_SOW_Deliverables_0430 3" xfId="5460" xr:uid="{00000000-0005-0000-0000-0000FA140000}"/>
    <cellStyle name="_20061103Holux_ProgramWorkBook_CMS_SOW_Deliverables_0430 3 2" xfId="5461" xr:uid="{00000000-0005-0000-0000-0000FB140000}"/>
    <cellStyle name="_20061103Holux_ProgramWorkBook_CMS_SOW_Deliverables_0430 3 3" xfId="5462" xr:uid="{00000000-0005-0000-0000-0000FC140000}"/>
    <cellStyle name="_20061103Holux_ProgramWorkBook_CMS_SOW_Deliverables_0430 4" xfId="5463" xr:uid="{00000000-0005-0000-0000-0000FD140000}"/>
    <cellStyle name="_20061103Holux_ProgramWorkBook_CMS_SOW_Deliverables_0430 5" xfId="5464" xr:uid="{00000000-0005-0000-0000-0000FE140000}"/>
    <cellStyle name="_20061103Holux_ProgramWorkBook_CMS_SOW_Deliverables_0430_Commissioning System Implementation_Project Workbook_06_10_2011" xfId="5465" xr:uid="{00000000-0005-0000-0000-0000FF140000}"/>
    <cellStyle name="_20061103Holux_ProgramWorkBook_CMS_SOW_Deliverables_0430_Commissioning System Implementation_Project Workbook_06_10_2011 2" xfId="5466" xr:uid="{00000000-0005-0000-0000-000000150000}"/>
    <cellStyle name="_20061103Holux_ProgramWorkBook_CMS_SOW_Deliverables_0430_Commissioning System Implementation_Project Workbook_06_10_2011 3" xfId="5467" xr:uid="{00000000-0005-0000-0000-000001150000}"/>
    <cellStyle name="_20061103Holux_ProgramWorkBook_CMS_SOW_Deliverables_0430_FairPoint_CampReport" xfId="5468" xr:uid="{00000000-0005-0000-0000-000002150000}"/>
    <cellStyle name="_20061103Holux_ProgramWorkBook_CMS_SOW_Deliverables_0430_FairPoint_CampReport 2" xfId="5469" xr:uid="{00000000-0005-0000-0000-000003150000}"/>
    <cellStyle name="_20061103Holux_ProgramWorkBook_CMS_SOW_Deliverables_0430_FairPoint_CampReport 3" xfId="5470" xr:uid="{00000000-0005-0000-0000-000004150000}"/>
    <cellStyle name="_20061103Holux_ProgramWorkBook_CMS_SOW_Deliverables_0430_FairPoint_FP comTechOps_ProgramWorkbook" xfId="5471" xr:uid="{00000000-0005-0000-0000-000005150000}"/>
    <cellStyle name="_20061103Holux_ProgramWorkBook_CMS_SOW_Deliverables_0430_FairPoint_FP comTechOps_ProgramWorkbook 2" xfId="5472" xr:uid="{00000000-0005-0000-0000-000006150000}"/>
    <cellStyle name="_20061103Holux_ProgramWorkBook_CMS_SOW_Deliverables_0430_FairPoint_FP comTechOps_ProgramWorkbook 3" xfId="5473" xr:uid="{00000000-0005-0000-0000-000007150000}"/>
    <cellStyle name="_20061103Holux_ProgramWorkBook_CMS_SOW_Deliverables_0430_FairPoint_FP comTechOps_ProgramWorkbook_sachin" xfId="5474" xr:uid="{00000000-0005-0000-0000-000008150000}"/>
    <cellStyle name="_20061103Holux_ProgramWorkBook_CMS_SOW_Deliverables_0430_FairPoint_FP comTechOps_ProgramWorkbook_sachin 2" xfId="5475" xr:uid="{00000000-0005-0000-0000-000009150000}"/>
    <cellStyle name="_20061103Holux_ProgramWorkBook_CMS_SOW_Deliverables_0430_FairPoint_FP comTechOps_ProgramWorkbook_sachin 3" xfId="5476" xr:uid="{00000000-0005-0000-0000-00000A150000}"/>
    <cellStyle name="_20061103Holux_ProgramWorkBook_CMS_SOW_Deliverables_0430_FairPoint_FP comTechOps_ProgramWorkbook_sachin_v1" xfId="5477" xr:uid="{00000000-0005-0000-0000-00000B150000}"/>
    <cellStyle name="_20061103Holux_ProgramWorkBook_CMS_SOW_Deliverables_0430_FairPoint_FP comTechOps_ProgramWorkbook_sachin_v1 2" xfId="5478" xr:uid="{00000000-0005-0000-0000-00000C150000}"/>
    <cellStyle name="_20061103Holux_ProgramWorkBook_CMS_SOW_Deliverables_0430_FairPoint_FP comTechOps_ProgramWorkbook_sachin_v1 3" xfId="5479" xr:uid="{00000000-0005-0000-0000-00000D150000}"/>
    <cellStyle name="_20061103Holux_ProgramWorkBook_CMS_SOW_Deliverables_0430_FP_CAMP&amp;ITReporting_Maintenance_Dashboard" xfId="5480" xr:uid="{00000000-0005-0000-0000-00000E150000}"/>
    <cellStyle name="_20061103Holux_ProgramWorkBook_CMS_SOW_Deliverables_0430_FP_CAMP&amp;ITReporting_Maintenance_Dashboard 2" xfId="5481" xr:uid="{00000000-0005-0000-0000-00000F150000}"/>
    <cellStyle name="_20061103Holux_ProgramWorkBook_CMS_SOW_Deliverables_0430_FP_CAMP&amp;ITReporting_Maintenance_Dashboard 3" xfId="5482" xr:uid="{00000000-0005-0000-0000-000010150000}"/>
    <cellStyle name="_20061103Holux_ProgramWorkBook_CMS_SOW_Deliverables_0430_FP_CAMPITReporting_Maintenance_Dashboard" xfId="5483" xr:uid="{00000000-0005-0000-0000-000011150000}"/>
    <cellStyle name="_20061103Holux_ProgramWorkBook_CMS_SOW_Deliverables_0430_FP_CAMPITReporting_Maintenance_Dashboard 2" xfId="5484" xr:uid="{00000000-0005-0000-0000-000012150000}"/>
    <cellStyle name="_20061103Holux_ProgramWorkBook_CMS_SOW_Deliverables_0430_FP_CAMPITReporting_Maintenance_Dashboard 3" xfId="5485" xr:uid="{00000000-0005-0000-0000-000013150000}"/>
    <cellStyle name="_20061103Holux_ProgramWorkBook_CMS_SOW_Deliverables_0430_FP_Commissions_Req_Dn_ProgramWorkBook_10-Dec-2010" xfId="5486" xr:uid="{00000000-0005-0000-0000-000014150000}"/>
    <cellStyle name="_20061103Holux_ProgramWorkBook_CMS_SOW_Deliverables_0430_FP_Commissions_Req_Dn_ProgramWorkBook_10-Dec-2010 2" xfId="5487" xr:uid="{00000000-0005-0000-0000-000015150000}"/>
    <cellStyle name="_20061103Holux_ProgramWorkBook_CMS_SOW_Deliverables_0430_FP_Commissions_Req_Dn_ProgramWorkBook_10-Dec-2010 3" xfId="5488" xr:uid="{00000000-0005-0000-0000-000016150000}"/>
    <cellStyle name="_20061103Holux_ProgramWorkBook_CMS_SOW_Deliverables_0430_FP_DW_Impl_ProgramWorkBook_07-Jan-2011" xfId="5489" xr:uid="{00000000-0005-0000-0000-000017150000}"/>
    <cellStyle name="_20061103Holux_ProgramWorkBook_CMS_SOW_Deliverables_0430_FP_DW_Impl_ProgramWorkBook_07-Jan-2011 2" xfId="5490" xr:uid="{00000000-0005-0000-0000-000018150000}"/>
    <cellStyle name="_20061103Holux_ProgramWorkBook_CMS_SOW_Deliverables_0430_FP_DW_Impl_ProgramWorkBook_07-Jan-2011 2 2" xfId="5491" xr:uid="{00000000-0005-0000-0000-000019150000}"/>
    <cellStyle name="_20061103Holux_ProgramWorkBook_CMS_SOW_Deliverables_0430_FP_DW_Impl_ProgramWorkBook_07-Jan-2011 2 3" xfId="5492" xr:uid="{00000000-0005-0000-0000-00001A150000}"/>
    <cellStyle name="_20061103Holux_ProgramWorkBook_CMS_SOW_Deliverables_0430_FP_DW_Impl_ProgramWorkBook_07-Jan-2011 3" xfId="5493" xr:uid="{00000000-0005-0000-0000-00001B150000}"/>
    <cellStyle name="_20061103Holux_ProgramWorkBook_CMS_SOW_Deliverables_0430_FP_DW_Impl_ProgramWorkBook_07-Jan-2011 4" xfId="5494" xr:uid="{00000000-0005-0000-0000-00001C150000}"/>
    <cellStyle name="_20061103Holux_ProgramWorkBook_CMS_SOW_Deliverables_0430_FP_DW_Impl_ProgramWorkBook_11-Feb-2011" xfId="5495" xr:uid="{00000000-0005-0000-0000-00001D150000}"/>
    <cellStyle name="_20061103Holux_ProgramWorkBook_CMS_SOW_Deliverables_0430_FP_DW_Impl_ProgramWorkBook_11-Feb-2011 2" xfId="5496" xr:uid="{00000000-0005-0000-0000-00001E150000}"/>
    <cellStyle name="_20061103Holux_ProgramWorkBook_CMS_SOW_Deliverables_0430_FP_DW_Impl_ProgramWorkBook_11-Feb-2011 3" xfId="5497" xr:uid="{00000000-0005-0000-0000-00001F150000}"/>
    <cellStyle name="_20061103Holux_ProgramWorkBook_CMS_SOW_Deliverables_0430_FP_DW_Impl_ProgramWorkBook_18-Feb-2011 - Working" xfId="5498" xr:uid="{00000000-0005-0000-0000-000020150000}"/>
    <cellStyle name="_20061103Holux_ProgramWorkBook_CMS_SOW_Deliverables_0430_FP_DW_Impl_ProgramWorkBook_18-Feb-2011 - Working 2" xfId="5499" xr:uid="{00000000-0005-0000-0000-000021150000}"/>
    <cellStyle name="_20061103Holux_ProgramWorkBook_CMS_SOW_Deliverables_0430_FP_DW_Impl_ProgramWorkBook_18-Feb-2011 - Working 3" xfId="5500" xr:uid="{00000000-0005-0000-0000-000022150000}"/>
    <cellStyle name="_20061103Holux_ProgramWorkBook_CMS_SOW_Deliverables_0430_FP_EnterprisePortal_ProgramWorkbook" xfId="5501" xr:uid="{00000000-0005-0000-0000-000023150000}"/>
    <cellStyle name="_20061103Holux_ProgramWorkBook_CMS_SOW_Deliverables_0430_FP_EnterprisePortal_ProgramWorkbook 2" xfId="5502" xr:uid="{00000000-0005-0000-0000-000024150000}"/>
    <cellStyle name="_20061103Holux_ProgramWorkBook_CMS_SOW_Deliverables_0430_FP_EnterprisePortal_ProgramWorkbook 3" xfId="5503" xr:uid="{00000000-0005-0000-0000-000025150000}"/>
    <cellStyle name="_20061103Holux_ProgramWorkBook_CMS_SOW_Deliverables_0430_FP_SAP_MLP v2" xfId="5504" xr:uid="{00000000-0005-0000-0000-000026150000}"/>
    <cellStyle name="_20061103Holux_ProgramWorkBook_CMS_SOW_Deliverables_0430_FP_SAP_MLP v2 2" xfId="5505" xr:uid="{00000000-0005-0000-0000-000027150000}"/>
    <cellStyle name="_20061103Holux_ProgramWorkBook_CMS_SOW_Deliverables_0430_FP_SAP_MLP v2 3" xfId="5506" xr:uid="{00000000-0005-0000-0000-000028150000}"/>
    <cellStyle name="_20061103Holux_ProgramWorkBook_CMS_SOW_Deliverables_0430_KeyDecisions" xfId="5507" xr:uid="{00000000-0005-0000-0000-000029150000}"/>
    <cellStyle name="_20061103Holux_ProgramWorkBook_CMS_SOW_Deliverables_0430_KeyDecisions 2" xfId="5508" xr:uid="{00000000-0005-0000-0000-00002A150000}"/>
    <cellStyle name="_20061103Holux_ProgramWorkBook_CMS_SOW_Deliverables_0430_KeyDecisions 3" xfId="5509" xr:uid="{00000000-0005-0000-0000-00002B150000}"/>
    <cellStyle name="_20061103Holux_ProgramWorkBook_CMS_SOW_Deliverables_0430_Sophia_Imp_ProjectWorkBook_02_18_2011" xfId="5510" xr:uid="{00000000-0005-0000-0000-00002C150000}"/>
    <cellStyle name="_20061103Holux_ProgramWorkBook_CMS_SOW_Deliverables_0430_Sophia_Imp_ProjectWorkBook_02_18_2011 2" xfId="5511" xr:uid="{00000000-0005-0000-0000-00002D150000}"/>
    <cellStyle name="_20061103Holux_ProgramWorkBook_CMS_SOW_Deliverables_0430_Sophia_Imp_ProjectWorkBook_02_18_2011 3" xfId="5512" xr:uid="{00000000-0005-0000-0000-00002E150000}"/>
    <cellStyle name="_20061103Holux_ProgramWorkBook_CMS_SOW_Deliverables_0430_t" xfId="5513" xr:uid="{00000000-0005-0000-0000-00002F150000}"/>
    <cellStyle name="_20061103Holux_ProgramWorkBook_CMS_SOW_Deliverables_0430_t 2" xfId="5514" xr:uid="{00000000-0005-0000-0000-000030150000}"/>
    <cellStyle name="_20061103Holux_ProgramWorkBook_CMS_SOW_Deliverables_0430_t 3" xfId="5515" xr:uid="{00000000-0005-0000-0000-000031150000}"/>
    <cellStyle name="_20061103Holux_ProgramWorkBook_CMS_Web_Design_Phase_Deliverables_0610" xfId="5516" xr:uid="{00000000-0005-0000-0000-000032150000}"/>
    <cellStyle name="_20061103Holux_ProgramWorkBook_CMS_Web_Design_Phase_Deliverables_0610 2" xfId="5517" xr:uid="{00000000-0005-0000-0000-000033150000}"/>
    <cellStyle name="_20061103Holux_ProgramWorkBook_CMS_Web_Design_Phase_Deliverables_0610 2 2" xfId="5518" xr:uid="{00000000-0005-0000-0000-000034150000}"/>
    <cellStyle name="_20061103Holux_ProgramWorkBook_CMS_Web_Design_Phase_Deliverables_0610 2 3" xfId="5519" xr:uid="{00000000-0005-0000-0000-000035150000}"/>
    <cellStyle name="_20061103Holux_ProgramWorkBook_CMS_Web_Design_Phase_Deliverables_0610 3" xfId="5520" xr:uid="{00000000-0005-0000-0000-000036150000}"/>
    <cellStyle name="_20061103Holux_ProgramWorkBook_CMS_Web_Design_Phase_Deliverables_0610 3 2" xfId="5521" xr:uid="{00000000-0005-0000-0000-000037150000}"/>
    <cellStyle name="_20061103Holux_ProgramWorkBook_CMS_Web_Design_Phase_Deliverables_0610 3 3" xfId="5522" xr:uid="{00000000-0005-0000-0000-000038150000}"/>
    <cellStyle name="_20061103Holux_ProgramWorkBook_CMS_Web_Design_Phase_Deliverables_0610 4" xfId="5523" xr:uid="{00000000-0005-0000-0000-000039150000}"/>
    <cellStyle name="_20061103Holux_ProgramWorkBook_CMS_Web_Design_Phase_Deliverables_0610 5" xfId="5524" xr:uid="{00000000-0005-0000-0000-00003A150000}"/>
    <cellStyle name="_20061103Holux_ProgramWorkBook_CMS_Web_Design_Phase_Deliverables_0610_Commissioning System Implementation_Project Workbook_06_10_2011" xfId="5525" xr:uid="{00000000-0005-0000-0000-00003B150000}"/>
    <cellStyle name="_20061103Holux_ProgramWorkBook_CMS_Web_Design_Phase_Deliverables_0610_Commissioning System Implementation_Project Workbook_06_10_2011 2" xfId="5526" xr:uid="{00000000-0005-0000-0000-00003C150000}"/>
    <cellStyle name="_20061103Holux_ProgramWorkBook_CMS_Web_Design_Phase_Deliverables_0610_Commissioning System Implementation_Project Workbook_06_10_2011 3" xfId="5527" xr:uid="{00000000-0005-0000-0000-00003D150000}"/>
    <cellStyle name="_20061103Holux_ProgramWorkBook_CMS_Web_Design_Phase_Deliverables_0610_FairPoint_CampReport" xfId="5528" xr:uid="{00000000-0005-0000-0000-00003E150000}"/>
    <cellStyle name="_20061103Holux_ProgramWorkBook_CMS_Web_Design_Phase_Deliverables_0610_FairPoint_CampReport 2" xfId="5529" xr:uid="{00000000-0005-0000-0000-00003F150000}"/>
    <cellStyle name="_20061103Holux_ProgramWorkBook_CMS_Web_Design_Phase_Deliverables_0610_FairPoint_CampReport 3" xfId="5530" xr:uid="{00000000-0005-0000-0000-000040150000}"/>
    <cellStyle name="_20061103Holux_ProgramWorkBook_CMS_Web_Design_Phase_Deliverables_0610_FairPoint_FP comTechOps_ProgramWorkbook" xfId="5531" xr:uid="{00000000-0005-0000-0000-000041150000}"/>
    <cellStyle name="_20061103Holux_ProgramWorkBook_CMS_Web_Design_Phase_Deliverables_0610_FairPoint_FP comTechOps_ProgramWorkbook 2" xfId="5532" xr:uid="{00000000-0005-0000-0000-000042150000}"/>
    <cellStyle name="_20061103Holux_ProgramWorkBook_CMS_Web_Design_Phase_Deliverables_0610_FairPoint_FP comTechOps_ProgramWorkbook 3" xfId="5533" xr:uid="{00000000-0005-0000-0000-000043150000}"/>
    <cellStyle name="_20061103Holux_ProgramWorkBook_CMS_Web_Design_Phase_Deliverables_0610_FairPoint_FP comTechOps_ProgramWorkbook_sachin" xfId="5534" xr:uid="{00000000-0005-0000-0000-000044150000}"/>
    <cellStyle name="_20061103Holux_ProgramWorkBook_CMS_Web_Design_Phase_Deliverables_0610_FairPoint_FP comTechOps_ProgramWorkbook_sachin 2" xfId="5535" xr:uid="{00000000-0005-0000-0000-000045150000}"/>
    <cellStyle name="_20061103Holux_ProgramWorkBook_CMS_Web_Design_Phase_Deliverables_0610_FairPoint_FP comTechOps_ProgramWorkbook_sachin 3" xfId="5536" xr:uid="{00000000-0005-0000-0000-000046150000}"/>
    <cellStyle name="_20061103Holux_ProgramWorkBook_CMS_Web_Design_Phase_Deliverables_0610_FairPoint_FP comTechOps_ProgramWorkbook_sachin_v1" xfId="5537" xr:uid="{00000000-0005-0000-0000-000047150000}"/>
    <cellStyle name="_20061103Holux_ProgramWorkBook_CMS_Web_Design_Phase_Deliverables_0610_FairPoint_FP comTechOps_ProgramWorkbook_sachin_v1 2" xfId="5538" xr:uid="{00000000-0005-0000-0000-000048150000}"/>
    <cellStyle name="_20061103Holux_ProgramWorkBook_CMS_Web_Design_Phase_Deliverables_0610_FairPoint_FP comTechOps_ProgramWorkbook_sachin_v1 3" xfId="5539" xr:uid="{00000000-0005-0000-0000-000049150000}"/>
    <cellStyle name="_20061103Holux_ProgramWorkBook_CMS_Web_Design_Phase_Deliverables_0610_FP_CAMP&amp;ITReporting_Maintenance_Dashboard" xfId="5540" xr:uid="{00000000-0005-0000-0000-00004A150000}"/>
    <cellStyle name="_20061103Holux_ProgramWorkBook_CMS_Web_Design_Phase_Deliverables_0610_FP_CAMP&amp;ITReporting_Maintenance_Dashboard 2" xfId="5541" xr:uid="{00000000-0005-0000-0000-00004B150000}"/>
    <cellStyle name="_20061103Holux_ProgramWorkBook_CMS_Web_Design_Phase_Deliverables_0610_FP_CAMP&amp;ITReporting_Maintenance_Dashboard 3" xfId="5542" xr:uid="{00000000-0005-0000-0000-00004C150000}"/>
    <cellStyle name="_20061103Holux_ProgramWorkBook_CMS_Web_Design_Phase_Deliverables_0610_FP_CAMPITReporting_Maintenance_Dashboard" xfId="5543" xr:uid="{00000000-0005-0000-0000-00004D150000}"/>
    <cellStyle name="_20061103Holux_ProgramWorkBook_CMS_Web_Design_Phase_Deliverables_0610_FP_CAMPITReporting_Maintenance_Dashboard 2" xfId="5544" xr:uid="{00000000-0005-0000-0000-00004E150000}"/>
    <cellStyle name="_20061103Holux_ProgramWorkBook_CMS_Web_Design_Phase_Deliverables_0610_FP_CAMPITReporting_Maintenance_Dashboard 3" xfId="5545" xr:uid="{00000000-0005-0000-0000-00004F150000}"/>
    <cellStyle name="_20061103Holux_ProgramWorkBook_CMS_Web_Design_Phase_Deliverables_0610_FP_Commissions_Req_Dn_ProgramWorkBook_10-Dec-2010" xfId="5546" xr:uid="{00000000-0005-0000-0000-000050150000}"/>
    <cellStyle name="_20061103Holux_ProgramWorkBook_CMS_Web_Design_Phase_Deliverables_0610_FP_Commissions_Req_Dn_ProgramWorkBook_10-Dec-2010 2" xfId="5547" xr:uid="{00000000-0005-0000-0000-000051150000}"/>
    <cellStyle name="_20061103Holux_ProgramWorkBook_CMS_Web_Design_Phase_Deliverables_0610_FP_Commissions_Req_Dn_ProgramWorkBook_10-Dec-2010 3" xfId="5548" xr:uid="{00000000-0005-0000-0000-000052150000}"/>
    <cellStyle name="_20061103Holux_ProgramWorkBook_CMS_Web_Design_Phase_Deliverables_0610_FP_DW_Impl_ProgramWorkBook_07-Jan-2011" xfId="5549" xr:uid="{00000000-0005-0000-0000-000053150000}"/>
    <cellStyle name="_20061103Holux_ProgramWorkBook_CMS_Web_Design_Phase_Deliverables_0610_FP_DW_Impl_ProgramWorkBook_07-Jan-2011 2" xfId="5550" xr:uid="{00000000-0005-0000-0000-000054150000}"/>
    <cellStyle name="_20061103Holux_ProgramWorkBook_CMS_Web_Design_Phase_Deliverables_0610_FP_DW_Impl_ProgramWorkBook_07-Jan-2011 2 2" xfId="5551" xr:uid="{00000000-0005-0000-0000-000055150000}"/>
    <cellStyle name="_20061103Holux_ProgramWorkBook_CMS_Web_Design_Phase_Deliverables_0610_FP_DW_Impl_ProgramWorkBook_07-Jan-2011 2 3" xfId="5552" xr:uid="{00000000-0005-0000-0000-000056150000}"/>
    <cellStyle name="_20061103Holux_ProgramWorkBook_CMS_Web_Design_Phase_Deliverables_0610_FP_DW_Impl_ProgramWorkBook_07-Jan-2011 3" xfId="5553" xr:uid="{00000000-0005-0000-0000-000057150000}"/>
    <cellStyle name="_20061103Holux_ProgramWorkBook_CMS_Web_Design_Phase_Deliverables_0610_FP_DW_Impl_ProgramWorkBook_07-Jan-2011 4" xfId="5554" xr:uid="{00000000-0005-0000-0000-000058150000}"/>
    <cellStyle name="_20061103Holux_ProgramWorkBook_CMS_Web_Design_Phase_Deliverables_0610_FP_DW_Impl_ProgramWorkBook_11-Feb-2011" xfId="5555" xr:uid="{00000000-0005-0000-0000-000059150000}"/>
    <cellStyle name="_20061103Holux_ProgramWorkBook_CMS_Web_Design_Phase_Deliverables_0610_FP_DW_Impl_ProgramWorkBook_11-Feb-2011 2" xfId="5556" xr:uid="{00000000-0005-0000-0000-00005A150000}"/>
    <cellStyle name="_20061103Holux_ProgramWorkBook_CMS_Web_Design_Phase_Deliverables_0610_FP_DW_Impl_ProgramWorkBook_11-Feb-2011 3" xfId="5557" xr:uid="{00000000-0005-0000-0000-00005B150000}"/>
    <cellStyle name="_20061103Holux_ProgramWorkBook_CMS_Web_Design_Phase_Deliverables_0610_FP_DW_Impl_ProgramWorkBook_18-Feb-2011 - Working" xfId="5558" xr:uid="{00000000-0005-0000-0000-00005C150000}"/>
    <cellStyle name="_20061103Holux_ProgramWorkBook_CMS_Web_Design_Phase_Deliverables_0610_FP_DW_Impl_ProgramWorkBook_18-Feb-2011 - Working 2" xfId="5559" xr:uid="{00000000-0005-0000-0000-00005D150000}"/>
    <cellStyle name="_20061103Holux_ProgramWorkBook_CMS_Web_Design_Phase_Deliverables_0610_FP_DW_Impl_ProgramWorkBook_18-Feb-2011 - Working 3" xfId="5560" xr:uid="{00000000-0005-0000-0000-00005E150000}"/>
    <cellStyle name="_20061103Holux_ProgramWorkBook_CMS_Web_Design_Phase_Deliverables_0610_FP_EnterprisePortal_ProgramWorkbook" xfId="5561" xr:uid="{00000000-0005-0000-0000-00005F150000}"/>
    <cellStyle name="_20061103Holux_ProgramWorkBook_CMS_Web_Design_Phase_Deliverables_0610_FP_EnterprisePortal_ProgramWorkbook 2" xfId="5562" xr:uid="{00000000-0005-0000-0000-000060150000}"/>
    <cellStyle name="_20061103Holux_ProgramWorkBook_CMS_Web_Design_Phase_Deliverables_0610_FP_EnterprisePortal_ProgramWorkbook 3" xfId="5563" xr:uid="{00000000-0005-0000-0000-000061150000}"/>
    <cellStyle name="_20061103Holux_ProgramWorkBook_CMS_Web_Design_Phase_Deliverables_0610_FP_SAP_MLP v2" xfId="5564" xr:uid="{00000000-0005-0000-0000-000062150000}"/>
    <cellStyle name="_20061103Holux_ProgramWorkBook_CMS_Web_Design_Phase_Deliverables_0610_FP_SAP_MLP v2 2" xfId="5565" xr:uid="{00000000-0005-0000-0000-000063150000}"/>
    <cellStyle name="_20061103Holux_ProgramWorkBook_CMS_Web_Design_Phase_Deliverables_0610_FP_SAP_MLP v2 3" xfId="5566" xr:uid="{00000000-0005-0000-0000-000064150000}"/>
    <cellStyle name="_20061103Holux_ProgramWorkBook_CMS_Web_Design_Phase_Deliverables_0610_KeyDecisions" xfId="5567" xr:uid="{00000000-0005-0000-0000-000065150000}"/>
    <cellStyle name="_20061103Holux_ProgramWorkBook_CMS_Web_Design_Phase_Deliverables_0610_KeyDecisions 2" xfId="5568" xr:uid="{00000000-0005-0000-0000-000066150000}"/>
    <cellStyle name="_20061103Holux_ProgramWorkBook_CMS_Web_Design_Phase_Deliverables_0610_KeyDecisions 3" xfId="5569" xr:uid="{00000000-0005-0000-0000-000067150000}"/>
    <cellStyle name="_20061103Holux_ProgramWorkBook_CMS_Web_Design_Phase_Deliverables_0610_Sophia_Imp_ProjectWorkBook_02_18_2011" xfId="5570" xr:uid="{00000000-0005-0000-0000-000068150000}"/>
    <cellStyle name="_20061103Holux_ProgramWorkBook_CMS_Web_Design_Phase_Deliverables_0610_Sophia_Imp_ProjectWorkBook_02_18_2011 2" xfId="5571" xr:uid="{00000000-0005-0000-0000-000069150000}"/>
    <cellStyle name="_20061103Holux_ProgramWorkBook_CMS_Web_Design_Phase_Deliverables_0610_Sophia_Imp_ProjectWorkBook_02_18_2011 3" xfId="5572" xr:uid="{00000000-0005-0000-0000-00006A150000}"/>
    <cellStyle name="_20061103Holux_ProgramWorkBook_CMS_Web_Design_Phase_Deliverables_0610_t" xfId="5573" xr:uid="{00000000-0005-0000-0000-00006B150000}"/>
    <cellStyle name="_20061103Holux_ProgramWorkBook_CMS_Web_Design_Phase_Deliverables_0610_t 2" xfId="5574" xr:uid="{00000000-0005-0000-0000-00006C150000}"/>
    <cellStyle name="_20061103Holux_ProgramWorkBook_CMS_Web_Design_Phase_Deliverables_0610_t 3" xfId="5575" xr:uid="{00000000-0005-0000-0000-00006D150000}"/>
    <cellStyle name="_20061103Holux_ProgramWorkBook_CMS_Web_Design_Phase_Deliverables_0618a" xfId="5576" xr:uid="{00000000-0005-0000-0000-00006E150000}"/>
    <cellStyle name="_20061103Holux_ProgramWorkBook_CMS_Web_Design_Phase_Deliverables_0618a 2" xfId="5577" xr:uid="{00000000-0005-0000-0000-00006F150000}"/>
    <cellStyle name="_20061103Holux_ProgramWorkBook_CMS_Web_Design_Phase_Deliverables_0618a 2 2" xfId="5578" xr:uid="{00000000-0005-0000-0000-000070150000}"/>
    <cellStyle name="_20061103Holux_ProgramWorkBook_CMS_Web_Design_Phase_Deliverables_0618a 2 3" xfId="5579" xr:uid="{00000000-0005-0000-0000-000071150000}"/>
    <cellStyle name="_20061103Holux_ProgramWorkBook_CMS_Web_Design_Phase_Deliverables_0618a 3" xfId="5580" xr:uid="{00000000-0005-0000-0000-000072150000}"/>
    <cellStyle name="_20061103Holux_ProgramWorkBook_CMS_Web_Design_Phase_Deliverables_0618a 3 2" xfId="5581" xr:uid="{00000000-0005-0000-0000-000073150000}"/>
    <cellStyle name="_20061103Holux_ProgramWorkBook_CMS_Web_Design_Phase_Deliverables_0618a 3 3" xfId="5582" xr:uid="{00000000-0005-0000-0000-000074150000}"/>
    <cellStyle name="_20061103Holux_ProgramWorkBook_CMS_Web_Design_Phase_Deliverables_0618a 4" xfId="5583" xr:uid="{00000000-0005-0000-0000-000075150000}"/>
    <cellStyle name="_20061103Holux_ProgramWorkBook_CMS_Web_Design_Phase_Deliverables_0618a 5" xfId="5584" xr:uid="{00000000-0005-0000-0000-000076150000}"/>
    <cellStyle name="_20061103Holux_ProgramWorkBook_CMS_Web_Design_Phase_Deliverables_0618a_Commissioning System Implementation_Project Workbook_06_10_2011" xfId="5585" xr:uid="{00000000-0005-0000-0000-000077150000}"/>
    <cellStyle name="_20061103Holux_ProgramWorkBook_CMS_Web_Design_Phase_Deliverables_0618a_Commissioning System Implementation_Project Workbook_06_10_2011 2" xfId="5586" xr:uid="{00000000-0005-0000-0000-000078150000}"/>
    <cellStyle name="_20061103Holux_ProgramWorkBook_CMS_Web_Design_Phase_Deliverables_0618a_Commissioning System Implementation_Project Workbook_06_10_2011 3" xfId="5587" xr:uid="{00000000-0005-0000-0000-000079150000}"/>
    <cellStyle name="_20061103Holux_ProgramWorkBook_CMS_Web_Design_Phase_Deliverables_0618a_FairPoint_CampReport" xfId="5588" xr:uid="{00000000-0005-0000-0000-00007A150000}"/>
    <cellStyle name="_20061103Holux_ProgramWorkBook_CMS_Web_Design_Phase_Deliverables_0618a_FairPoint_CampReport 2" xfId="5589" xr:uid="{00000000-0005-0000-0000-00007B150000}"/>
    <cellStyle name="_20061103Holux_ProgramWorkBook_CMS_Web_Design_Phase_Deliverables_0618a_FairPoint_CampReport 3" xfId="5590" xr:uid="{00000000-0005-0000-0000-00007C150000}"/>
    <cellStyle name="_20061103Holux_ProgramWorkBook_CMS_Web_Design_Phase_Deliverables_0618a_FairPoint_FP comTechOps_ProgramWorkbook" xfId="5591" xr:uid="{00000000-0005-0000-0000-00007D150000}"/>
    <cellStyle name="_20061103Holux_ProgramWorkBook_CMS_Web_Design_Phase_Deliverables_0618a_FairPoint_FP comTechOps_ProgramWorkbook 2" xfId="5592" xr:uid="{00000000-0005-0000-0000-00007E150000}"/>
    <cellStyle name="_20061103Holux_ProgramWorkBook_CMS_Web_Design_Phase_Deliverables_0618a_FairPoint_FP comTechOps_ProgramWorkbook 3" xfId="5593" xr:uid="{00000000-0005-0000-0000-00007F150000}"/>
    <cellStyle name="_20061103Holux_ProgramWorkBook_CMS_Web_Design_Phase_Deliverables_0618a_FairPoint_FP comTechOps_ProgramWorkbook_sachin" xfId="5594" xr:uid="{00000000-0005-0000-0000-000080150000}"/>
    <cellStyle name="_20061103Holux_ProgramWorkBook_CMS_Web_Design_Phase_Deliverables_0618a_FairPoint_FP comTechOps_ProgramWorkbook_sachin 2" xfId="5595" xr:uid="{00000000-0005-0000-0000-000081150000}"/>
    <cellStyle name="_20061103Holux_ProgramWorkBook_CMS_Web_Design_Phase_Deliverables_0618a_FairPoint_FP comTechOps_ProgramWorkbook_sachin 3" xfId="5596" xr:uid="{00000000-0005-0000-0000-000082150000}"/>
    <cellStyle name="_20061103Holux_ProgramWorkBook_CMS_Web_Design_Phase_Deliverables_0618a_FairPoint_FP comTechOps_ProgramWorkbook_sachin_v1" xfId="5597" xr:uid="{00000000-0005-0000-0000-000083150000}"/>
    <cellStyle name="_20061103Holux_ProgramWorkBook_CMS_Web_Design_Phase_Deliverables_0618a_FairPoint_FP comTechOps_ProgramWorkbook_sachin_v1 2" xfId="5598" xr:uid="{00000000-0005-0000-0000-000084150000}"/>
    <cellStyle name="_20061103Holux_ProgramWorkBook_CMS_Web_Design_Phase_Deliverables_0618a_FairPoint_FP comTechOps_ProgramWorkbook_sachin_v1 3" xfId="5599" xr:uid="{00000000-0005-0000-0000-000085150000}"/>
    <cellStyle name="_20061103Holux_ProgramWorkBook_CMS_Web_Design_Phase_Deliverables_0618a_FP_CAMP&amp;ITReporting_Maintenance_Dashboard" xfId="5600" xr:uid="{00000000-0005-0000-0000-000086150000}"/>
    <cellStyle name="_20061103Holux_ProgramWorkBook_CMS_Web_Design_Phase_Deliverables_0618a_FP_CAMP&amp;ITReporting_Maintenance_Dashboard 2" xfId="5601" xr:uid="{00000000-0005-0000-0000-000087150000}"/>
    <cellStyle name="_20061103Holux_ProgramWorkBook_CMS_Web_Design_Phase_Deliverables_0618a_FP_CAMP&amp;ITReporting_Maintenance_Dashboard 3" xfId="5602" xr:uid="{00000000-0005-0000-0000-000088150000}"/>
    <cellStyle name="_20061103Holux_ProgramWorkBook_CMS_Web_Design_Phase_Deliverables_0618a_FP_CAMPITReporting_Maintenance_Dashboard" xfId="5603" xr:uid="{00000000-0005-0000-0000-000089150000}"/>
    <cellStyle name="_20061103Holux_ProgramWorkBook_CMS_Web_Design_Phase_Deliverables_0618a_FP_CAMPITReporting_Maintenance_Dashboard 2" xfId="5604" xr:uid="{00000000-0005-0000-0000-00008A150000}"/>
    <cellStyle name="_20061103Holux_ProgramWorkBook_CMS_Web_Design_Phase_Deliverables_0618a_FP_CAMPITReporting_Maintenance_Dashboard 3" xfId="5605" xr:uid="{00000000-0005-0000-0000-00008B150000}"/>
    <cellStyle name="_20061103Holux_ProgramWorkBook_CMS_Web_Design_Phase_Deliverables_0618a_FP_Commissions_Req_Dn_ProgramWorkBook_10-Dec-2010" xfId="5606" xr:uid="{00000000-0005-0000-0000-00008C150000}"/>
    <cellStyle name="_20061103Holux_ProgramWorkBook_CMS_Web_Design_Phase_Deliverables_0618a_FP_Commissions_Req_Dn_ProgramWorkBook_10-Dec-2010 2" xfId="5607" xr:uid="{00000000-0005-0000-0000-00008D150000}"/>
    <cellStyle name="_20061103Holux_ProgramWorkBook_CMS_Web_Design_Phase_Deliverables_0618a_FP_Commissions_Req_Dn_ProgramWorkBook_10-Dec-2010 3" xfId="5608" xr:uid="{00000000-0005-0000-0000-00008E150000}"/>
    <cellStyle name="_20061103Holux_ProgramWorkBook_CMS_Web_Design_Phase_Deliverables_0618a_FP_DW_Impl_ProgramWorkBook_07-Jan-2011" xfId="5609" xr:uid="{00000000-0005-0000-0000-00008F150000}"/>
    <cellStyle name="_20061103Holux_ProgramWorkBook_CMS_Web_Design_Phase_Deliverables_0618a_FP_DW_Impl_ProgramWorkBook_07-Jan-2011 2" xfId="5610" xr:uid="{00000000-0005-0000-0000-000090150000}"/>
    <cellStyle name="_20061103Holux_ProgramWorkBook_CMS_Web_Design_Phase_Deliverables_0618a_FP_DW_Impl_ProgramWorkBook_07-Jan-2011 2 2" xfId="5611" xr:uid="{00000000-0005-0000-0000-000091150000}"/>
    <cellStyle name="_20061103Holux_ProgramWorkBook_CMS_Web_Design_Phase_Deliverables_0618a_FP_DW_Impl_ProgramWorkBook_07-Jan-2011 2 3" xfId="5612" xr:uid="{00000000-0005-0000-0000-000092150000}"/>
    <cellStyle name="_20061103Holux_ProgramWorkBook_CMS_Web_Design_Phase_Deliverables_0618a_FP_DW_Impl_ProgramWorkBook_07-Jan-2011 3" xfId="5613" xr:uid="{00000000-0005-0000-0000-000093150000}"/>
    <cellStyle name="_20061103Holux_ProgramWorkBook_CMS_Web_Design_Phase_Deliverables_0618a_FP_DW_Impl_ProgramWorkBook_07-Jan-2011 4" xfId="5614" xr:uid="{00000000-0005-0000-0000-000094150000}"/>
    <cellStyle name="_20061103Holux_ProgramWorkBook_CMS_Web_Design_Phase_Deliverables_0618a_FP_DW_Impl_ProgramWorkBook_11-Feb-2011" xfId="5615" xr:uid="{00000000-0005-0000-0000-000095150000}"/>
    <cellStyle name="_20061103Holux_ProgramWorkBook_CMS_Web_Design_Phase_Deliverables_0618a_FP_DW_Impl_ProgramWorkBook_11-Feb-2011 2" xfId="5616" xr:uid="{00000000-0005-0000-0000-000096150000}"/>
    <cellStyle name="_20061103Holux_ProgramWorkBook_CMS_Web_Design_Phase_Deliverables_0618a_FP_DW_Impl_ProgramWorkBook_11-Feb-2011 3" xfId="5617" xr:uid="{00000000-0005-0000-0000-000097150000}"/>
    <cellStyle name="_20061103Holux_ProgramWorkBook_CMS_Web_Design_Phase_Deliverables_0618a_FP_DW_Impl_ProgramWorkBook_18-Feb-2011 - Working" xfId="5618" xr:uid="{00000000-0005-0000-0000-000098150000}"/>
    <cellStyle name="_20061103Holux_ProgramWorkBook_CMS_Web_Design_Phase_Deliverables_0618a_FP_DW_Impl_ProgramWorkBook_18-Feb-2011 - Working 2" xfId="5619" xr:uid="{00000000-0005-0000-0000-000099150000}"/>
    <cellStyle name="_20061103Holux_ProgramWorkBook_CMS_Web_Design_Phase_Deliverables_0618a_FP_DW_Impl_ProgramWorkBook_18-Feb-2011 - Working 3" xfId="5620" xr:uid="{00000000-0005-0000-0000-00009A150000}"/>
    <cellStyle name="_20061103Holux_ProgramWorkBook_CMS_Web_Design_Phase_Deliverables_0618a_FP_EnterprisePortal_ProgramWorkbook" xfId="5621" xr:uid="{00000000-0005-0000-0000-00009B150000}"/>
    <cellStyle name="_20061103Holux_ProgramWorkBook_CMS_Web_Design_Phase_Deliverables_0618a_FP_EnterprisePortal_ProgramWorkbook 2" xfId="5622" xr:uid="{00000000-0005-0000-0000-00009C150000}"/>
    <cellStyle name="_20061103Holux_ProgramWorkBook_CMS_Web_Design_Phase_Deliverables_0618a_FP_EnterprisePortal_ProgramWorkbook 3" xfId="5623" xr:uid="{00000000-0005-0000-0000-00009D150000}"/>
    <cellStyle name="_20061103Holux_ProgramWorkBook_CMS_Web_Design_Phase_Deliverables_0618a_FP_SAP_MLP v2" xfId="5624" xr:uid="{00000000-0005-0000-0000-00009E150000}"/>
    <cellStyle name="_20061103Holux_ProgramWorkBook_CMS_Web_Design_Phase_Deliverables_0618a_FP_SAP_MLP v2 2" xfId="5625" xr:uid="{00000000-0005-0000-0000-00009F150000}"/>
    <cellStyle name="_20061103Holux_ProgramWorkBook_CMS_Web_Design_Phase_Deliverables_0618a_FP_SAP_MLP v2 3" xfId="5626" xr:uid="{00000000-0005-0000-0000-0000A0150000}"/>
    <cellStyle name="_20061103Holux_ProgramWorkBook_CMS_Web_Design_Phase_Deliverables_0618a_KeyDecisions" xfId="5627" xr:uid="{00000000-0005-0000-0000-0000A1150000}"/>
    <cellStyle name="_20061103Holux_ProgramWorkBook_CMS_Web_Design_Phase_Deliverables_0618a_KeyDecisions 2" xfId="5628" xr:uid="{00000000-0005-0000-0000-0000A2150000}"/>
    <cellStyle name="_20061103Holux_ProgramWorkBook_CMS_Web_Design_Phase_Deliverables_0618a_KeyDecisions 3" xfId="5629" xr:uid="{00000000-0005-0000-0000-0000A3150000}"/>
    <cellStyle name="_20061103Holux_ProgramWorkBook_CMS_Web_Design_Phase_Deliverables_0618a_Sophia_Imp_ProjectWorkBook_02_18_2011" xfId="5630" xr:uid="{00000000-0005-0000-0000-0000A4150000}"/>
    <cellStyle name="_20061103Holux_ProgramWorkBook_CMS_Web_Design_Phase_Deliverables_0618a_Sophia_Imp_ProjectWorkBook_02_18_2011 2" xfId="5631" xr:uid="{00000000-0005-0000-0000-0000A5150000}"/>
    <cellStyle name="_20061103Holux_ProgramWorkBook_CMS_Web_Design_Phase_Deliverables_0618a_Sophia_Imp_ProjectWorkBook_02_18_2011 3" xfId="5632" xr:uid="{00000000-0005-0000-0000-0000A6150000}"/>
    <cellStyle name="_20061103Holux_ProgramWorkBook_CMS_Web_Design_Phase_Deliverables_0618a_t" xfId="5633" xr:uid="{00000000-0005-0000-0000-0000A7150000}"/>
    <cellStyle name="_20061103Holux_ProgramWorkBook_CMS_Web_Design_Phase_Deliverables_0618a_t 2" xfId="5634" xr:uid="{00000000-0005-0000-0000-0000A8150000}"/>
    <cellStyle name="_20061103Holux_ProgramWorkBook_CMS_Web_Design_Phase_Deliverables_0618a_t 3" xfId="5635" xr:uid="{00000000-0005-0000-0000-0000A9150000}"/>
    <cellStyle name="_20061103Holux_ProgramWorkBook_CMS_Web_Design_Phase_Deliverables_0621" xfId="5636" xr:uid="{00000000-0005-0000-0000-0000AA150000}"/>
    <cellStyle name="_20061103Holux_ProgramWorkBook_CMS_Web_Design_Phase_Deliverables_0621 2" xfId="5637" xr:uid="{00000000-0005-0000-0000-0000AB150000}"/>
    <cellStyle name="_20061103Holux_ProgramWorkBook_CMS_Web_Design_Phase_Deliverables_0621 2 2" xfId="5638" xr:uid="{00000000-0005-0000-0000-0000AC150000}"/>
    <cellStyle name="_20061103Holux_ProgramWorkBook_CMS_Web_Design_Phase_Deliverables_0621 2 3" xfId="5639" xr:uid="{00000000-0005-0000-0000-0000AD150000}"/>
    <cellStyle name="_20061103Holux_ProgramWorkBook_CMS_Web_Design_Phase_Deliverables_0621 3" xfId="5640" xr:uid="{00000000-0005-0000-0000-0000AE150000}"/>
    <cellStyle name="_20061103Holux_ProgramWorkBook_CMS_Web_Design_Phase_Deliverables_0621 3 2" xfId="5641" xr:uid="{00000000-0005-0000-0000-0000AF150000}"/>
    <cellStyle name="_20061103Holux_ProgramWorkBook_CMS_Web_Design_Phase_Deliverables_0621 3 3" xfId="5642" xr:uid="{00000000-0005-0000-0000-0000B0150000}"/>
    <cellStyle name="_20061103Holux_ProgramWorkBook_CMS_Web_Design_Phase_Deliverables_0621 4" xfId="5643" xr:uid="{00000000-0005-0000-0000-0000B1150000}"/>
    <cellStyle name="_20061103Holux_ProgramWorkBook_CMS_Web_Design_Phase_Deliverables_0621 5" xfId="5644" xr:uid="{00000000-0005-0000-0000-0000B2150000}"/>
    <cellStyle name="_20061103Holux_ProgramWorkBook_CMS_Web_Design_Phase_Deliverables_0621_Commissioning System Implementation_Project Workbook_06_10_2011" xfId="5645" xr:uid="{00000000-0005-0000-0000-0000B3150000}"/>
    <cellStyle name="_20061103Holux_ProgramWorkBook_CMS_Web_Design_Phase_Deliverables_0621_Commissioning System Implementation_Project Workbook_06_10_2011 2" xfId="5646" xr:uid="{00000000-0005-0000-0000-0000B4150000}"/>
    <cellStyle name="_20061103Holux_ProgramWorkBook_CMS_Web_Design_Phase_Deliverables_0621_Commissioning System Implementation_Project Workbook_06_10_2011 3" xfId="5647" xr:uid="{00000000-0005-0000-0000-0000B5150000}"/>
    <cellStyle name="_20061103Holux_ProgramWorkBook_CMS_Web_Design_Phase_Deliverables_0621_FairPoint_CampReport" xfId="5648" xr:uid="{00000000-0005-0000-0000-0000B6150000}"/>
    <cellStyle name="_20061103Holux_ProgramWorkBook_CMS_Web_Design_Phase_Deliverables_0621_FairPoint_CampReport 2" xfId="5649" xr:uid="{00000000-0005-0000-0000-0000B7150000}"/>
    <cellStyle name="_20061103Holux_ProgramWorkBook_CMS_Web_Design_Phase_Deliverables_0621_FairPoint_CampReport 3" xfId="5650" xr:uid="{00000000-0005-0000-0000-0000B8150000}"/>
    <cellStyle name="_20061103Holux_ProgramWorkBook_CMS_Web_Design_Phase_Deliverables_0621_FairPoint_FP comTechOps_ProgramWorkbook" xfId="5651" xr:uid="{00000000-0005-0000-0000-0000B9150000}"/>
    <cellStyle name="_20061103Holux_ProgramWorkBook_CMS_Web_Design_Phase_Deliverables_0621_FairPoint_FP comTechOps_ProgramWorkbook 2" xfId="5652" xr:uid="{00000000-0005-0000-0000-0000BA150000}"/>
    <cellStyle name="_20061103Holux_ProgramWorkBook_CMS_Web_Design_Phase_Deliverables_0621_FairPoint_FP comTechOps_ProgramWorkbook 3" xfId="5653" xr:uid="{00000000-0005-0000-0000-0000BB150000}"/>
    <cellStyle name="_20061103Holux_ProgramWorkBook_CMS_Web_Design_Phase_Deliverables_0621_FairPoint_FP comTechOps_ProgramWorkbook_sachin" xfId="5654" xr:uid="{00000000-0005-0000-0000-0000BC150000}"/>
    <cellStyle name="_20061103Holux_ProgramWorkBook_CMS_Web_Design_Phase_Deliverables_0621_FairPoint_FP comTechOps_ProgramWorkbook_sachin 2" xfId="5655" xr:uid="{00000000-0005-0000-0000-0000BD150000}"/>
    <cellStyle name="_20061103Holux_ProgramWorkBook_CMS_Web_Design_Phase_Deliverables_0621_FairPoint_FP comTechOps_ProgramWorkbook_sachin 3" xfId="5656" xr:uid="{00000000-0005-0000-0000-0000BE150000}"/>
    <cellStyle name="_20061103Holux_ProgramWorkBook_CMS_Web_Design_Phase_Deliverables_0621_FairPoint_FP comTechOps_ProgramWorkbook_sachin_v1" xfId="5657" xr:uid="{00000000-0005-0000-0000-0000BF150000}"/>
    <cellStyle name="_20061103Holux_ProgramWorkBook_CMS_Web_Design_Phase_Deliverables_0621_FairPoint_FP comTechOps_ProgramWorkbook_sachin_v1 2" xfId="5658" xr:uid="{00000000-0005-0000-0000-0000C0150000}"/>
    <cellStyle name="_20061103Holux_ProgramWorkBook_CMS_Web_Design_Phase_Deliverables_0621_FairPoint_FP comTechOps_ProgramWorkbook_sachin_v1 3" xfId="5659" xr:uid="{00000000-0005-0000-0000-0000C1150000}"/>
    <cellStyle name="_20061103Holux_ProgramWorkBook_CMS_Web_Design_Phase_Deliverables_0621_FP_CAMP&amp;ITReporting_Maintenance_Dashboard" xfId="5660" xr:uid="{00000000-0005-0000-0000-0000C2150000}"/>
    <cellStyle name="_20061103Holux_ProgramWorkBook_CMS_Web_Design_Phase_Deliverables_0621_FP_CAMP&amp;ITReporting_Maintenance_Dashboard 2" xfId="5661" xr:uid="{00000000-0005-0000-0000-0000C3150000}"/>
    <cellStyle name="_20061103Holux_ProgramWorkBook_CMS_Web_Design_Phase_Deliverables_0621_FP_CAMP&amp;ITReporting_Maintenance_Dashboard 3" xfId="5662" xr:uid="{00000000-0005-0000-0000-0000C4150000}"/>
    <cellStyle name="_20061103Holux_ProgramWorkBook_CMS_Web_Design_Phase_Deliverables_0621_FP_CAMPITReporting_Maintenance_Dashboard" xfId="5663" xr:uid="{00000000-0005-0000-0000-0000C5150000}"/>
    <cellStyle name="_20061103Holux_ProgramWorkBook_CMS_Web_Design_Phase_Deliverables_0621_FP_CAMPITReporting_Maintenance_Dashboard 2" xfId="5664" xr:uid="{00000000-0005-0000-0000-0000C6150000}"/>
    <cellStyle name="_20061103Holux_ProgramWorkBook_CMS_Web_Design_Phase_Deliverables_0621_FP_CAMPITReporting_Maintenance_Dashboard 3" xfId="5665" xr:uid="{00000000-0005-0000-0000-0000C7150000}"/>
    <cellStyle name="_20061103Holux_ProgramWorkBook_CMS_Web_Design_Phase_Deliverables_0621_FP_Commissions_Req_Dn_ProgramWorkBook_10-Dec-2010" xfId="5666" xr:uid="{00000000-0005-0000-0000-0000C8150000}"/>
    <cellStyle name="_20061103Holux_ProgramWorkBook_CMS_Web_Design_Phase_Deliverables_0621_FP_Commissions_Req_Dn_ProgramWorkBook_10-Dec-2010 2" xfId="5667" xr:uid="{00000000-0005-0000-0000-0000C9150000}"/>
    <cellStyle name="_20061103Holux_ProgramWorkBook_CMS_Web_Design_Phase_Deliverables_0621_FP_Commissions_Req_Dn_ProgramWorkBook_10-Dec-2010 3" xfId="5668" xr:uid="{00000000-0005-0000-0000-0000CA150000}"/>
    <cellStyle name="_20061103Holux_ProgramWorkBook_CMS_Web_Design_Phase_Deliverables_0621_FP_DW_Impl_ProgramWorkBook_07-Jan-2011" xfId="5669" xr:uid="{00000000-0005-0000-0000-0000CB150000}"/>
    <cellStyle name="_20061103Holux_ProgramWorkBook_CMS_Web_Design_Phase_Deliverables_0621_FP_DW_Impl_ProgramWorkBook_07-Jan-2011 2" xfId="5670" xr:uid="{00000000-0005-0000-0000-0000CC150000}"/>
    <cellStyle name="_20061103Holux_ProgramWorkBook_CMS_Web_Design_Phase_Deliverables_0621_FP_DW_Impl_ProgramWorkBook_07-Jan-2011 2 2" xfId="5671" xr:uid="{00000000-0005-0000-0000-0000CD150000}"/>
    <cellStyle name="_20061103Holux_ProgramWorkBook_CMS_Web_Design_Phase_Deliverables_0621_FP_DW_Impl_ProgramWorkBook_07-Jan-2011 2 3" xfId="5672" xr:uid="{00000000-0005-0000-0000-0000CE150000}"/>
    <cellStyle name="_20061103Holux_ProgramWorkBook_CMS_Web_Design_Phase_Deliverables_0621_FP_DW_Impl_ProgramWorkBook_07-Jan-2011 3" xfId="5673" xr:uid="{00000000-0005-0000-0000-0000CF150000}"/>
    <cellStyle name="_20061103Holux_ProgramWorkBook_CMS_Web_Design_Phase_Deliverables_0621_FP_DW_Impl_ProgramWorkBook_07-Jan-2011 4" xfId="5674" xr:uid="{00000000-0005-0000-0000-0000D0150000}"/>
    <cellStyle name="_20061103Holux_ProgramWorkBook_CMS_Web_Design_Phase_Deliverables_0621_FP_DW_Impl_ProgramWorkBook_11-Feb-2011" xfId="5675" xr:uid="{00000000-0005-0000-0000-0000D1150000}"/>
    <cellStyle name="_20061103Holux_ProgramWorkBook_CMS_Web_Design_Phase_Deliverables_0621_FP_DW_Impl_ProgramWorkBook_11-Feb-2011 2" xfId="5676" xr:uid="{00000000-0005-0000-0000-0000D2150000}"/>
    <cellStyle name="_20061103Holux_ProgramWorkBook_CMS_Web_Design_Phase_Deliverables_0621_FP_DW_Impl_ProgramWorkBook_11-Feb-2011 3" xfId="5677" xr:uid="{00000000-0005-0000-0000-0000D3150000}"/>
    <cellStyle name="_20061103Holux_ProgramWorkBook_CMS_Web_Design_Phase_Deliverables_0621_FP_DW_Impl_ProgramWorkBook_18-Feb-2011 - Working" xfId="5678" xr:uid="{00000000-0005-0000-0000-0000D4150000}"/>
    <cellStyle name="_20061103Holux_ProgramWorkBook_CMS_Web_Design_Phase_Deliverables_0621_FP_DW_Impl_ProgramWorkBook_18-Feb-2011 - Working 2" xfId="5679" xr:uid="{00000000-0005-0000-0000-0000D5150000}"/>
    <cellStyle name="_20061103Holux_ProgramWorkBook_CMS_Web_Design_Phase_Deliverables_0621_FP_DW_Impl_ProgramWorkBook_18-Feb-2011 - Working 3" xfId="5680" xr:uid="{00000000-0005-0000-0000-0000D6150000}"/>
    <cellStyle name="_20061103Holux_ProgramWorkBook_CMS_Web_Design_Phase_Deliverables_0621_FP_EnterprisePortal_ProgramWorkbook" xfId="5681" xr:uid="{00000000-0005-0000-0000-0000D7150000}"/>
    <cellStyle name="_20061103Holux_ProgramWorkBook_CMS_Web_Design_Phase_Deliverables_0621_FP_EnterprisePortal_ProgramWorkbook 2" xfId="5682" xr:uid="{00000000-0005-0000-0000-0000D8150000}"/>
    <cellStyle name="_20061103Holux_ProgramWorkBook_CMS_Web_Design_Phase_Deliverables_0621_FP_EnterprisePortal_ProgramWorkbook 3" xfId="5683" xr:uid="{00000000-0005-0000-0000-0000D9150000}"/>
    <cellStyle name="_20061103Holux_ProgramWorkBook_CMS_Web_Design_Phase_Deliverables_0621_FP_SAP_MLP v2" xfId="5684" xr:uid="{00000000-0005-0000-0000-0000DA150000}"/>
    <cellStyle name="_20061103Holux_ProgramWorkBook_CMS_Web_Design_Phase_Deliverables_0621_FP_SAP_MLP v2 2" xfId="5685" xr:uid="{00000000-0005-0000-0000-0000DB150000}"/>
    <cellStyle name="_20061103Holux_ProgramWorkBook_CMS_Web_Design_Phase_Deliverables_0621_FP_SAP_MLP v2 3" xfId="5686" xr:uid="{00000000-0005-0000-0000-0000DC150000}"/>
    <cellStyle name="_20061103Holux_ProgramWorkBook_CMS_Web_Design_Phase_Deliverables_0621_KeyDecisions" xfId="5687" xr:uid="{00000000-0005-0000-0000-0000DD150000}"/>
    <cellStyle name="_20061103Holux_ProgramWorkBook_CMS_Web_Design_Phase_Deliverables_0621_KeyDecisions 2" xfId="5688" xr:uid="{00000000-0005-0000-0000-0000DE150000}"/>
    <cellStyle name="_20061103Holux_ProgramWorkBook_CMS_Web_Design_Phase_Deliverables_0621_KeyDecisions 3" xfId="5689" xr:uid="{00000000-0005-0000-0000-0000DF150000}"/>
    <cellStyle name="_20061103Holux_ProgramWorkBook_CMS_Web_Design_Phase_Deliverables_0621_Sophia_Imp_ProjectWorkBook_02_18_2011" xfId="5690" xr:uid="{00000000-0005-0000-0000-0000E0150000}"/>
    <cellStyle name="_20061103Holux_ProgramWorkBook_CMS_Web_Design_Phase_Deliverables_0621_Sophia_Imp_ProjectWorkBook_02_18_2011 2" xfId="5691" xr:uid="{00000000-0005-0000-0000-0000E1150000}"/>
    <cellStyle name="_20061103Holux_ProgramWorkBook_CMS_Web_Design_Phase_Deliverables_0621_Sophia_Imp_ProjectWorkBook_02_18_2011 3" xfId="5692" xr:uid="{00000000-0005-0000-0000-0000E2150000}"/>
    <cellStyle name="_20061103Holux_ProgramWorkBook_CMS_Web_Design_Phase_Deliverables_0621_t" xfId="5693" xr:uid="{00000000-0005-0000-0000-0000E3150000}"/>
    <cellStyle name="_20061103Holux_ProgramWorkBook_CMS_Web_Design_Phase_Deliverables_0621_t 2" xfId="5694" xr:uid="{00000000-0005-0000-0000-0000E4150000}"/>
    <cellStyle name="_20061103Holux_ProgramWorkBook_CMS_Web_Design_Phase_Deliverables_0621_t 3" xfId="5695" xr:uid="{00000000-0005-0000-0000-0000E5150000}"/>
    <cellStyle name="_20061103Holux_ProgramWorkBook_CMS_Web_Design_Phase_Deliverables_0625" xfId="5696" xr:uid="{00000000-0005-0000-0000-0000E6150000}"/>
    <cellStyle name="_20061103Holux_ProgramWorkBook_CMS_Web_Design_Phase_Deliverables_0625 2" xfId="5697" xr:uid="{00000000-0005-0000-0000-0000E7150000}"/>
    <cellStyle name="_20061103Holux_ProgramWorkBook_CMS_Web_Design_Phase_Deliverables_0625 2 2" xfId="5698" xr:uid="{00000000-0005-0000-0000-0000E8150000}"/>
    <cellStyle name="_20061103Holux_ProgramWorkBook_CMS_Web_Design_Phase_Deliverables_0625 2 3" xfId="5699" xr:uid="{00000000-0005-0000-0000-0000E9150000}"/>
    <cellStyle name="_20061103Holux_ProgramWorkBook_CMS_Web_Design_Phase_Deliverables_0625 3" xfId="5700" xr:uid="{00000000-0005-0000-0000-0000EA150000}"/>
    <cellStyle name="_20061103Holux_ProgramWorkBook_CMS_Web_Design_Phase_Deliverables_0625 3 2" xfId="5701" xr:uid="{00000000-0005-0000-0000-0000EB150000}"/>
    <cellStyle name="_20061103Holux_ProgramWorkBook_CMS_Web_Design_Phase_Deliverables_0625 3 3" xfId="5702" xr:uid="{00000000-0005-0000-0000-0000EC150000}"/>
    <cellStyle name="_20061103Holux_ProgramWorkBook_CMS_Web_Design_Phase_Deliverables_0625 4" xfId="5703" xr:uid="{00000000-0005-0000-0000-0000ED150000}"/>
    <cellStyle name="_20061103Holux_ProgramWorkBook_CMS_Web_Design_Phase_Deliverables_0625 5" xfId="5704" xr:uid="{00000000-0005-0000-0000-0000EE150000}"/>
    <cellStyle name="_20061103Holux_ProgramWorkBook_CMS_Web_Design_Phase_Deliverables_0625_Commissioning System Implementation_Project Workbook_06_10_2011" xfId="5705" xr:uid="{00000000-0005-0000-0000-0000EF150000}"/>
    <cellStyle name="_20061103Holux_ProgramWorkBook_CMS_Web_Design_Phase_Deliverables_0625_Commissioning System Implementation_Project Workbook_06_10_2011 2" xfId="5706" xr:uid="{00000000-0005-0000-0000-0000F0150000}"/>
    <cellStyle name="_20061103Holux_ProgramWorkBook_CMS_Web_Design_Phase_Deliverables_0625_Commissioning System Implementation_Project Workbook_06_10_2011 3" xfId="5707" xr:uid="{00000000-0005-0000-0000-0000F1150000}"/>
    <cellStyle name="_20061103Holux_ProgramWorkBook_CMS_Web_Design_Phase_Deliverables_0625_FairPoint_CampReport" xfId="5708" xr:uid="{00000000-0005-0000-0000-0000F2150000}"/>
    <cellStyle name="_20061103Holux_ProgramWorkBook_CMS_Web_Design_Phase_Deliverables_0625_FairPoint_CampReport 2" xfId="5709" xr:uid="{00000000-0005-0000-0000-0000F3150000}"/>
    <cellStyle name="_20061103Holux_ProgramWorkBook_CMS_Web_Design_Phase_Deliverables_0625_FairPoint_CampReport 3" xfId="5710" xr:uid="{00000000-0005-0000-0000-0000F4150000}"/>
    <cellStyle name="_20061103Holux_ProgramWorkBook_CMS_Web_Design_Phase_Deliverables_0625_FairPoint_FP comTechOps_ProgramWorkbook" xfId="5711" xr:uid="{00000000-0005-0000-0000-0000F5150000}"/>
    <cellStyle name="_20061103Holux_ProgramWorkBook_CMS_Web_Design_Phase_Deliverables_0625_FairPoint_FP comTechOps_ProgramWorkbook 2" xfId="5712" xr:uid="{00000000-0005-0000-0000-0000F6150000}"/>
    <cellStyle name="_20061103Holux_ProgramWorkBook_CMS_Web_Design_Phase_Deliverables_0625_FairPoint_FP comTechOps_ProgramWorkbook 3" xfId="5713" xr:uid="{00000000-0005-0000-0000-0000F7150000}"/>
    <cellStyle name="_20061103Holux_ProgramWorkBook_CMS_Web_Design_Phase_Deliverables_0625_FairPoint_FP comTechOps_ProgramWorkbook_sachin" xfId="5714" xr:uid="{00000000-0005-0000-0000-0000F8150000}"/>
    <cellStyle name="_20061103Holux_ProgramWorkBook_CMS_Web_Design_Phase_Deliverables_0625_FairPoint_FP comTechOps_ProgramWorkbook_sachin 2" xfId="5715" xr:uid="{00000000-0005-0000-0000-0000F9150000}"/>
    <cellStyle name="_20061103Holux_ProgramWorkBook_CMS_Web_Design_Phase_Deliverables_0625_FairPoint_FP comTechOps_ProgramWorkbook_sachin 3" xfId="5716" xr:uid="{00000000-0005-0000-0000-0000FA150000}"/>
    <cellStyle name="_20061103Holux_ProgramWorkBook_CMS_Web_Design_Phase_Deliverables_0625_FairPoint_FP comTechOps_ProgramWorkbook_sachin_v1" xfId="5717" xr:uid="{00000000-0005-0000-0000-0000FB150000}"/>
    <cellStyle name="_20061103Holux_ProgramWorkBook_CMS_Web_Design_Phase_Deliverables_0625_FairPoint_FP comTechOps_ProgramWorkbook_sachin_v1 2" xfId="5718" xr:uid="{00000000-0005-0000-0000-0000FC150000}"/>
    <cellStyle name="_20061103Holux_ProgramWorkBook_CMS_Web_Design_Phase_Deliverables_0625_FairPoint_FP comTechOps_ProgramWorkbook_sachin_v1 3" xfId="5719" xr:uid="{00000000-0005-0000-0000-0000FD150000}"/>
    <cellStyle name="_20061103Holux_ProgramWorkBook_CMS_Web_Design_Phase_Deliverables_0625_FP_CAMP&amp;ITReporting_Maintenance_Dashboard" xfId="5720" xr:uid="{00000000-0005-0000-0000-0000FE150000}"/>
    <cellStyle name="_20061103Holux_ProgramWorkBook_CMS_Web_Design_Phase_Deliverables_0625_FP_CAMP&amp;ITReporting_Maintenance_Dashboard 2" xfId="5721" xr:uid="{00000000-0005-0000-0000-0000FF150000}"/>
    <cellStyle name="_20061103Holux_ProgramWorkBook_CMS_Web_Design_Phase_Deliverables_0625_FP_CAMP&amp;ITReporting_Maintenance_Dashboard 3" xfId="5722" xr:uid="{00000000-0005-0000-0000-000000160000}"/>
    <cellStyle name="_20061103Holux_ProgramWorkBook_CMS_Web_Design_Phase_Deliverables_0625_FP_CAMPITReporting_Maintenance_Dashboard" xfId="5723" xr:uid="{00000000-0005-0000-0000-000001160000}"/>
    <cellStyle name="_20061103Holux_ProgramWorkBook_CMS_Web_Design_Phase_Deliverables_0625_FP_CAMPITReporting_Maintenance_Dashboard 2" xfId="5724" xr:uid="{00000000-0005-0000-0000-000002160000}"/>
    <cellStyle name="_20061103Holux_ProgramWorkBook_CMS_Web_Design_Phase_Deliverables_0625_FP_CAMPITReporting_Maintenance_Dashboard 3" xfId="5725" xr:uid="{00000000-0005-0000-0000-000003160000}"/>
    <cellStyle name="_20061103Holux_ProgramWorkBook_CMS_Web_Design_Phase_Deliverables_0625_FP_Commissions_Req_Dn_ProgramWorkBook_10-Dec-2010" xfId="5726" xr:uid="{00000000-0005-0000-0000-000004160000}"/>
    <cellStyle name="_20061103Holux_ProgramWorkBook_CMS_Web_Design_Phase_Deliverables_0625_FP_Commissions_Req_Dn_ProgramWorkBook_10-Dec-2010 2" xfId="5727" xr:uid="{00000000-0005-0000-0000-000005160000}"/>
    <cellStyle name="_20061103Holux_ProgramWorkBook_CMS_Web_Design_Phase_Deliverables_0625_FP_Commissions_Req_Dn_ProgramWorkBook_10-Dec-2010 3" xfId="5728" xr:uid="{00000000-0005-0000-0000-000006160000}"/>
    <cellStyle name="_20061103Holux_ProgramWorkBook_CMS_Web_Design_Phase_Deliverables_0625_FP_DW_Impl_ProgramWorkBook_07-Jan-2011" xfId="5729" xr:uid="{00000000-0005-0000-0000-000007160000}"/>
    <cellStyle name="_20061103Holux_ProgramWorkBook_CMS_Web_Design_Phase_Deliverables_0625_FP_DW_Impl_ProgramWorkBook_07-Jan-2011 2" xfId="5730" xr:uid="{00000000-0005-0000-0000-000008160000}"/>
    <cellStyle name="_20061103Holux_ProgramWorkBook_CMS_Web_Design_Phase_Deliverables_0625_FP_DW_Impl_ProgramWorkBook_07-Jan-2011 2 2" xfId="5731" xr:uid="{00000000-0005-0000-0000-000009160000}"/>
    <cellStyle name="_20061103Holux_ProgramWorkBook_CMS_Web_Design_Phase_Deliverables_0625_FP_DW_Impl_ProgramWorkBook_07-Jan-2011 2 3" xfId="5732" xr:uid="{00000000-0005-0000-0000-00000A160000}"/>
    <cellStyle name="_20061103Holux_ProgramWorkBook_CMS_Web_Design_Phase_Deliverables_0625_FP_DW_Impl_ProgramWorkBook_07-Jan-2011 3" xfId="5733" xr:uid="{00000000-0005-0000-0000-00000B160000}"/>
    <cellStyle name="_20061103Holux_ProgramWorkBook_CMS_Web_Design_Phase_Deliverables_0625_FP_DW_Impl_ProgramWorkBook_07-Jan-2011 4" xfId="5734" xr:uid="{00000000-0005-0000-0000-00000C160000}"/>
    <cellStyle name="_20061103Holux_ProgramWorkBook_CMS_Web_Design_Phase_Deliverables_0625_FP_DW_Impl_ProgramWorkBook_11-Feb-2011" xfId="5735" xr:uid="{00000000-0005-0000-0000-00000D160000}"/>
    <cellStyle name="_20061103Holux_ProgramWorkBook_CMS_Web_Design_Phase_Deliverables_0625_FP_DW_Impl_ProgramWorkBook_11-Feb-2011 2" xfId="5736" xr:uid="{00000000-0005-0000-0000-00000E160000}"/>
    <cellStyle name="_20061103Holux_ProgramWorkBook_CMS_Web_Design_Phase_Deliverables_0625_FP_DW_Impl_ProgramWorkBook_11-Feb-2011 3" xfId="5737" xr:uid="{00000000-0005-0000-0000-00000F160000}"/>
    <cellStyle name="_20061103Holux_ProgramWorkBook_CMS_Web_Design_Phase_Deliverables_0625_FP_DW_Impl_ProgramWorkBook_18-Feb-2011 - Working" xfId="5738" xr:uid="{00000000-0005-0000-0000-000010160000}"/>
    <cellStyle name="_20061103Holux_ProgramWorkBook_CMS_Web_Design_Phase_Deliverables_0625_FP_DW_Impl_ProgramWorkBook_18-Feb-2011 - Working 2" xfId="5739" xr:uid="{00000000-0005-0000-0000-000011160000}"/>
    <cellStyle name="_20061103Holux_ProgramWorkBook_CMS_Web_Design_Phase_Deliverables_0625_FP_DW_Impl_ProgramWorkBook_18-Feb-2011 - Working 3" xfId="5740" xr:uid="{00000000-0005-0000-0000-000012160000}"/>
    <cellStyle name="_20061103Holux_ProgramWorkBook_CMS_Web_Design_Phase_Deliverables_0625_FP_EnterprisePortal_ProgramWorkbook" xfId="5741" xr:uid="{00000000-0005-0000-0000-000013160000}"/>
    <cellStyle name="_20061103Holux_ProgramWorkBook_CMS_Web_Design_Phase_Deliverables_0625_FP_EnterprisePortal_ProgramWorkbook 2" xfId="5742" xr:uid="{00000000-0005-0000-0000-000014160000}"/>
    <cellStyle name="_20061103Holux_ProgramWorkBook_CMS_Web_Design_Phase_Deliverables_0625_FP_EnterprisePortal_ProgramWorkbook 3" xfId="5743" xr:uid="{00000000-0005-0000-0000-000015160000}"/>
    <cellStyle name="_20061103Holux_ProgramWorkBook_CMS_Web_Design_Phase_Deliverables_0625_FP_SAP_MLP v2" xfId="5744" xr:uid="{00000000-0005-0000-0000-000016160000}"/>
    <cellStyle name="_20061103Holux_ProgramWorkBook_CMS_Web_Design_Phase_Deliverables_0625_FP_SAP_MLP v2 2" xfId="5745" xr:uid="{00000000-0005-0000-0000-000017160000}"/>
    <cellStyle name="_20061103Holux_ProgramWorkBook_CMS_Web_Design_Phase_Deliverables_0625_FP_SAP_MLP v2 3" xfId="5746" xr:uid="{00000000-0005-0000-0000-000018160000}"/>
    <cellStyle name="_20061103Holux_ProgramWorkBook_CMS_Web_Design_Phase_Deliverables_0625_KeyDecisions" xfId="5747" xr:uid="{00000000-0005-0000-0000-000019160000}"/>
    <cellStyle name="_20061103Holux_ProgramWorkBook_CMS_Web_Design_Phase_Deliverables_0625_KeyDecisions 2" xfId="5748" xr:uid="{00000000-0005-0000-0000-00001A160000}"/>
    <cellStyle name="_20061103Holux_ProgramWorkBook_CMS_Web_Design_Phase_Deliverables_0625_KeyDecisions 3" xfId="5749" xr:uid="{00000000-0005-0000-0000-00001B160000}"/>
    <cellStyle name="_20061103Holux_ProgramWorkBook_CMS_Web_Design_Phase_Deliverables_0625_Sophia_Imp_ProjectWorkBook_02_18_2011" xfId="5750" xr:uid="{00000000-0005-0000-0000-00001C160000}"/>
    <cellStyle name="_20061103Holux_ProgramWorkBook_CMS_Web_Design_Phase_Deliverables_0625_Sophia_Imp_ProjectWorkBook_02_18_2011 2" xfId="5751" xr:uid="{00000000-0005-0000-0000-00001D160000}"/>
    <cellStyle name="_20061103Holux_ProgramWorkBook_CMS_Web_Design_Phase_Deliverables_0625_Sophia_Imp_ProjectWorkBook_02_18_2011 3" xfId="5752" xr:uid="{00000000-0005-0000-0000-00001E160000}"/>
    <cellStyle name="_20061103Holux_ProgramWorkBook_CMS_Web_Design_Phase_Deliverables_0625_t" xfId="5753" xr:uid="{00000000-0005-0000-0000-00001F160000}"/>
    <cellStyle name="_20061103Holux_ProgramWorkBook_CMS_Web_Design_Phase_Deliverables_0625_t 2" xfId="5754" xr:uid="{00000000-0005-0000-0000-000020160000}"/>
    <cellStyle name="_20061103Holux_ProgramWorkBook_CMS_Web_Design_Phase_Deliverables_0625_t 3" xfId="5755" xr:uid="{00000000-0005-0000-0000-000021160000}"/>
    <cellStyle name="_20061103Holux_ProgramWorkBook_CMS_Web_Design_Phase_Deliverables_MLP_0627" xfId="5756" xr:uid="{00000000-0005-0000-0000-000022160000}"/>
    <cellStyle name="_20061103Holux_ProgramWorkBook_CMS_Web_Design_Phase_Deliverables_MLP_0627 2" xfId="5757" xr:uid="{00000000-0005-0000-0000-000023160000}"/>
    <cellStyle name="_20061103Holux_ProgramWorkBook_CMS_Web_Design_Phase_Deliverables_MLP_0627 2 2" xfId="5758" xr:uid="{00000000-0005-0000-0000-000024160000}"/>
    <cellStyle name="_20061103Holux_ProgramWorkBook_CMS_Web_Design_Phase_Deliverables_MLP_0627 2 3" xfId="5759" xr:uid="{00000000-0005-0000-0000-000025160000}"/>
    <cellStyle name="_20061103Holux_ProgramWorkBook_CMS_Web_Design_Phase_Deliverables_MLP_0627 3" xfId="5760" xr:uid="{00000000-0005-0000-0000-000026160000}"/>
    <cellStyle name="_20061103Holux_ProgramWorkBook_CMS_Web_Design_Phase_Deliverables_MLP_0627 3 2" xfId="5761" xr:uid="{00000000-0005-0000-0000-000027160000}"/>
    <cellStyle name="_20061103Holux_ProgramWorkBook_CMS_Web_Design_Phase_Deliverables_MLP_0627 3 3" xfId="5762" xr:uid="{00000000-0005-0000-0000-000028160000}"/>
    <cellStyle name="_20061103Holux_ProgramWorkBook_CMS_Web_Design_Phase_Deliverables_MLP_0627 4" xfId="5763" xr:uid="{00000000-0005-0000-0000-000029160000}"/>
    <cellStyle name="_20061103Holux_ProgramWorkBook_CMS_Web_Design_Phase_Deliverables_MLP_0627 5" xfId="5764" xr:uid="{00000000-0005-0000-0000-00002A160000}"/>
    <cellStyle name="_20061103Holux_ProgramWorkBook_CMS_Web_Design_Phase_Deliverables_MLP_0627_Commissioning System Implementation_Project Workbook_06_10_2011" xfId="5765" xr:uid="{00000000-0005-0000-0000-00002B160000}"/>
    <cellStyle name="_20061103Holux_ProgramWorkBook_CMS_Web_Design_Phase_Deliverables_MLP_0627_Commissioning System Implementation_Project Workbook_06_10_2011 2" xfId="5766" xr:uid="{00000000-0005-0000-0000-00002C160000}"/>
    <cellStyle name="_20061103Holux_ProgramWorkBook_CMS_Web_Design_Phase_Deliverables_MLP_0627_Commissioning System Implementation_Project Workbook_06_10_2011 3" xfId="5767" xr:uid="{00000000-0005-0000-0000-00002D160000}"/>
    <cellStyle name="_20061103Holux_ProgramWorkBook_CMS_Web_Design_Phase_Deliverables_MLP_0627_FairPoint_CampReport" xfId="5768" xr:uid="{00000000-0005-0000-0000-00002E160000}"/>
    <cellStyle name="_20061103Holux_ProgramWorkBook_CMS_Web_Design_Phase_Deliverables_MLP_0627_FairPoint_CampReport 2" xfId="5769" xr:uid="{00000000-0005-0000-0000-00002F160000}"/>
    <cellStyle name="_20061103Holux_ProgramWorkBook_CMS_Web_Design_Phase_Deliverables_MLP_0627_FairPoint_CampReport 3" xfId="5770" xr:uid="{00000000-0005-0000-0000-000030160000}"/>
    <cellStyle name="_20061103Holux_ProgramWorkBook_CMS_Web_Design_Phase_Deliverables_MLP_0627_FairPoint_FP comTechOps_ProgramWorkbook" xfId="5771" xr:uid="{00000000-0005-0000-0000-000031160000}"/>
    <cellStyle name="_20061103Holux_ProgramWorkBook_CMS_Web_Design_Phase_Deliverables_MLP_0627_FairPoint_FP comTechOps_ProgramWorkbook 2" xfId="5772" xr:uid="{00000000-0005-0000-0000-000032160000}"/>
    <cellStyle name="_20061103Holux_ProgramWorkBook_CMS_Web_Design_Phase_Deliverables_MLP_0627_FairPoint_FP comTechOps_ProgramWorkbook 3" xfId="5773" xr:uid="{00000000-0005-0000-0000-000033160000}"/>
    <cellStyle name="_20061103Holux_ProgramWorkBook_CMS_Web_Design_Phase_Deliverables_MLP_0627_FairPoint_FP comTechOps_ProgramWorkbook_sachin" xfId="5774" xr:uid="{00000000-0005-0000-0000-000034160000}"/>
    <cellStyle name="_20061103Holux_ProgramWorkBook_CMS_Web_Design_Phase_Deliverables_MLP_0627_FairPoint_FP comTechOps_ProgramWorkbook_sachin 2" xfId="5775" xr:uid="{00000000-0005-0000-0000-000035160000}"/>
    <cellStyle name="_20061103Holux_ProgramWorkBook_CMS_Web_Design_Phase_Deliverables_MLP_0627_FairPoint_FP comTechOps_ProgramWorkbook_sachin 3" xfId="5776" xr:uid="{00000000-0005-0000-0000-000036160000}"/>
    <cellStyle name="_20061103Holux_ProgramWorkBook_CMS_Web_Design_Phase_Deliverables_MLP_0627_FairPoint_FP comTechOps_ProgramWorkbook_sachin_v1" xfId="5777" xr:uid="{00000000-0005-0000-0000-000037160000}"/>
    <cellStyle name="_20061103Holux_ProgramWorkBook_CMS_Web_Design_Phase_Deliverables_MLP_0627_FairPoint_FP comTechOps_ProgramWorkbook_sachin_v1 2" xfId="5778" xr:uid="{00000000-0005-0000-0000-000038160000}"/>
    <cellStyle name="_20061103Holux_ProgramWorkBook_CMS_Web_Design_Phase_Deliverables_MLP_0627_FairPoint_FP comTechOps_ProgramWorkbook_sachin_v1 3" xfId="5779" xr:uid="{00000000-0005-0000-0000-000039160000}"/>
    <cellStyle name="_20061103Holux_ProgramWorkBook_CMS_Web_Design_Phase_Deliverables_MLP_0627_FP_CAMP&amp;ITReporting_Maintenance_Dashboard" xfId="5780" xr:uid="{00000000-0005-0000-0000-00003A160000}"/>
    <cellStyle name="_20061103Holux_ProgramWorkBook_CMS_Web_Design_Phase_Deliverables_MLP_0627_FP_CAMP&amp;ITReporting_Maintenance_Dashboard 2" xfId="5781" xr:uid="{00000000-0005-0000-0000-00003B160000}"/>
    <cellStyle name="_20061103Holux_ProgramWorkBook_CMS_Web_Design_Phase_Deliverables_MLP_0627_FP_CAMP&amp;ITReporting_Maintenance_Dashboard 3" xfId="5782" xr:uid="{00000000-0005-0000-0000-00003C160000}"/>
    <cellStyle name="_20061103Holux_ProgramWorkBook_CMS_Web_Design_Phase_Deliverables_MLP_0627_FP_CAMPITReporting_Maintenance_Dashboard" xfId="5783" xr:uid="{00000000-0005-0000-0000-00003D160000}"/>
    <cellStyle name="_20061103Holux_ProgramWorkBook_CMS_Web_Design_Phase_Deliverables_MLP_0627_FP_CAMPITReporting_Maintenance_Dashboard 2" xfId="5784" xr:uid="{00000000-0005-0000-0000-00003E160000}"/>
    <cellStyle name="_20061103Holux_ProgramWorkBook_CMS_Web_Design_Phase_Deliverables_MLP_0627_FP_CAMPITReporting_Maintenance_Dashboard 3" xfId="5785" xr:uid="{00000000-0005-0000-0000-00003F160000}"/>
    <cellStyle name="_20061103Holux_ProgramWorkBook_CMS_Web_Design_Phase_Deliverables_MLP_0627_FP_Commissions_Req_Dn_ProgramWorkBook_10-Dec-2010" xfId="5786" xr:uid="{00000000-0005-0000-0000-000040160000}"/>
    <cellStyle name="_20061103Holux_ProgramWorkBook_CMS_Web_Design_Phase_Deliverables_MLP_0627_FP_Commissions_Req_Dn_ProgramWorkBook_10-Dec-2010 2" xfId="5787" xr:uid="{00000000-0005-0000-0000-000041160000}"/>
    <cellStyle name="_20061103Holux_ProgramWorkBook_CMS_Web_Design_Phase_Deliverables_MLP_0627_FP_Commissions_Req_Dn_ProgramWorkBook_10-Dec-2010 3" xfId="5788" xr:uid="{00000000-0005-0000-0000-000042160000}"/>
    <cellStyle name="_20061103Holux_ProgramWorkBook_CMS_Web_Design_Phase_Deliverables_MLP_0627_FP_DW_Impl_ProgramWorkBook_07-Jan-2011" xfId="5789" xr:uid="{00000000-0005-0000-0000-000043160000}"/>
    <cellStyle name="_20061103Holux_ProgramWorkBook_CMS_Web_Design_Phase_Deliverables_MLP_0627_FP_DW_Impl_ProgramWorkBook_07-Jan-2011 2" xfId="5790" xr:uid="{00000000-0005-0000-0000-000044160000}"/>
    <cellStyle name="_20061103Holux_ProgramWorkBook_CMS_Web_Design_Phase_Deliverables_MLP_0627_FP_DW_Impl_ProgramWorkBook_07-Jan-2011 2 2" xfId="5791" xr:uid="{00000000-0005-0000-0000-000045160000}"/>
    <cellStyle name="_20061103Holux_ProgramWorkBook_CMS_Web_Design_Phase_Deliverables_MLP_0627_FP_DW_Impl_ProgramWorkBook_07-Jan-2011 2 3" xfId="5792" xr:uid="{00000000-0005-0000-0000-000046160000}"/>
    <cellStyle name="_20061103Holux_ProgramWorkBook_CMS_Web_Design_Phase_Deliverables_MLP_0627_FP_DW_Impl_ProgramWorkBook_07-Jan-2011 3" xfId="5793" xr:uid="{00000000-0005-0000-0000-000047160000}"/>
    <cellStyle name="_20061103Holux_ProgramWorkBook_CMS_Web_Design_Phase_Deliverables_MLP_0627_FP_DW_Impl_ProgramWorkBook_07-Jan-2011 4" xfId="5794" xr:uid="{00000000-0005-0000-0000-000048160000}"/>
    <cellStyle name="_20061103Holux_ProgramWorkBook_CMS_Web_Design_Phase_Deliverables_MLP_0627_FP_DW_Impl_ProgramWorkBook_11-Feb-2011" xfId="5795" xr:uid="{00000000-0005-0000-0000-000049160000}"/>
    <cellStyle name="_20061103Holux_ProgramWorkBook_CMS_Web_Design_Phase_Deliverables_MLP_0627_FP_DW_Impl_ProgramWorkBook_11-Feb-2011 2" xfId="5796" xr:uid="{00000000-0005-0000-0000-00004A160000}"/>
    <cellStyle name="_20061103Holux_ProgramWorkBook_CMS_Web_Design_Phase_Deliverables_MLP_0627_FP_DW_Impl_ProgramWorkBook_11-Feb-2011 3" xfId="5797" xr:uid="{00000000-0005-0000-0000-00004B160000}"/>
    <cellStyle name="_20061103Holux_ProgramWorkBook_CMS_Web_Design_Phase_Deliverables_MLP_0627_FP_DW_Impl_ProgramWorkBook_18-Feb-2011 - Working" xfId="5798" xr:uid="{00000000-0005-0000-0000-00004C160000}"/>
    <cellStyle name="_20061103Holux_ProgramWorkBook_CMS_Web_Design_Phase_Deliverables_MLP_0627_FP_DW_Impl_ProgramWorkBook_18-Feb-2011 - Working 2" xfId="5799" xr:uid="{00000000-0005-0000-0000-00004D160000}"/>
    <cellStyle name="_20061103Holux_ProgramWorkBook_CMS_Web_Design_Phase_Deliverables_MLP_0627_FP_DW_Impl_ProgramWorkBook_18-Feb-2011 - Working 3" xfId="5800" xr:uid="{00000000-0005-0000-0000-00004E160000}"/>
    <cellStyle name="_20061103Holux_ProgramWorkBook_CMS_Web_Design_Phase_Deliverables_MLP_0627_FP_EnterprisePortal_ProgramWorkbook" xfId="5801" xr:uid="{00000000-0005-0000-0000-00004F160000}"/>
    <cellStyle name="_20061103Holux_ProgramWorkBook_CMS_Web_Design_Phase_Deliverables_MLP_0627_FP_EnterprisePortal_ProgramWorkbook 2" xfId="5802" xr:uid="{00000000-0005-0000-0000-000050160000}"/>
    <cellStyle name="_20061103Holux_ProgramWorkBook_CMS_Web_Design_Phase_Deliverables_MLP_0627_FP_EnterprisePortal_ProgramWorkbook 3" xfId="5803" xr:uid="{00000000-0005-0000-0000-000051160000}"/>
    <cellStyle name="_20061103Holux_ProgramWorkBook_CMS_Web_Design_Phase_Deliverables_MLP_0627_FP_SAP_MLP v2" xfId="5804" xr:uid="{00000000-0005-0000-0000-000052160000}"/>
    <cellStyle name="_20061103Holux_ProgramWorkBook_CMS_Web_Design_Phase_Deliverables_MLP_0627_FP_SAP_MLP v2 2" xfId="5805" xr:uid="{00000000-0005-0000-0000-000053160000}"/>
    <cellStyle name="_20061103Holux_ProgramWorkBook_CMS_Web_Design_Phase_Deliverables_MLP_0627_FP_SAP_MLP v2 3" xfId="5806" xr:uid="{00000000-0005-0000-0000-000054160000}"/>
    <cellStyle name="_20061103Holux_ProgramWorkBook_CMS_Web_Design_Phase_Deliverables_MLP_0627_KeyDecisions" xfId="5807" xr:uid="{00000000-0005-0000-0000-000055160000}"/>
    <cellStyle name="_20061103Holux_ProgramWorkBook_CMS_Web_Design_Phase_Deliverables_MLP_0627_KeyDecisions 2" xfId="5808" xr:uid="{00000000-0005-0000-0000-000056160000}"/>
    <cellStyle name="_20061103Holux_ProgramWorkBook_CMS_Web_Design_Phase_Deliverables_MLP_0627_KeyDecisions 3" xfId="5809" xr:uid="{00000000-0005-0000-0000-000057160000}"/>
    <cellStyle name="_20061103Holux_ProgramWorkBook_CMS_Web_Design_Phase_Deliverables_MLP_0627_Sophia_Imp_ProjectWorkBook_02_18_2011" xfId="5810" xr:uid="{00000000-0005-0000-0000-000058160000}"/>
    <cellStyle name="_20061103Holux_ProgramWorkBook_CMS_Web_Design_Phase_Deliverables_MLP_0627_Sophia_Imp_ProjectWorkBook_02_18_2011 2" xfId="5811" xr:uid="{00000000-0005-0000-0000-000059160000}"/>
    <cellStyle name="_20061103Holux_ProgramWorkBook_CMS_Web_Design_Phase_Deliverables_MLP_0627_Sophia_Imp_ProjectWorkBook_02_18_2011 3" xfId="5812" xr:uid="{00000000-0005-0000-0000-00005A160000}"/>
    <cellStyle name="_20061103Holux_ProgramWorkBook_CMS_Web_Design_Phase_Deliverables_MLP_0627_t" xfId="5813" xr:uid="{00000000-0005-0000-0000-00005B160000}"/>
    <cellStyle name="_20061103Holux_ProgramWorkBook_CMS_Web_Design_Phase_Deliverables_MLP_0627_t 2" xfId="5814" xr:uid="{00000000-0005-0000-0000-00005C160000}"/>
    <cellStyle name="_20061103Holux_ProgramWorkBook_CMS_Web_Design_Phase_Deliverables_MLP_0627_t 3" xfId="5815" xr:uid="{00000000-0005-0000-0000-00005D160000}"/>
    <cellStyle name="_20061103Holux_ProgramWorkBook_CMS_Web_Design_Phase_Deliverables_MLP_LLP_7-12-2010_Combined" xfId="5816" xr:uid="{00000000-0005-0000-0000-00005E160000}"/>
    <cellStyle name="_20061103Holux_ProgramWorkBook_CMS_Web_Design_Phase_Deliverables_MLP_LLP_7-12-2010_Combined 2" xfId="5817" xr:uid="{00000000-0005-0000-0000-00005F160000}"/>
    <cellStyle name="_20061103Holux_ProgramWorkBook_CMS_Web_Design_Phase_Deliverables_MLP_LLP_7-12-2010_Combined 2 2" xfId="5818" xr:uid="{00000000-0005-0000-0000-000060160000}"/>
    <cellStyle name="_20061103Holux_ProgramWorkBook_CMS_Web_Design_Phase_Deliverables_MLP_LLP_7-12-2010_Combined 2 3" xfId="5819" xr:uid="{00000000-0005-0000-0000-000061160000}"/>
    <cellStyle name="_20061103Holux_ProgramWorkBook_CMS_Web_Design_Phase_Deliverables_MLP_LLP_7-12-2010_Combined 3" xfId="5820" xr:uid="{00000000-0005-0000-0000-000062160000}"/>
    <cellStyle name="_20061103Holux_ProgramWorkBook_CMS_Web_Design_Phase_Deliverables_MLP_LLP_7-12-2010_Combined 3 2" xfId="5821" xr:uid="{00000000-0005-0000-0000-000063160000}"/>
    <cellStyle name="_20061103Holux_ProgramWorkBook_CMS_Web_Design_Phase_Deliverables_MLP_LLP_7-12-2010_Combined 3 3" xfId="5822" xr:uid="{00000000-0005-0000-0000-000064160000}"/>
    <cellStyle name="_20061103Holux_ProgramWorkBook_CMS_Web_Design_Phase_Deliverables_MLP_LLP_7-12-2010_Combined 4" xfId="5823" xr:uid="{00000000-0005-0000-0000-000065160000}"/>
    <cellStyle name="_20061103Holux_ProgramWorkBook_CMS_Web_Design_Phase_Deliverables_MLP_LLP_7-12-2010_Combined 5" xfId="5824" xr:uid="{00000000-0005-0000-0000-000066160000}"/>
    <cellStyle name="_20061103Holux_ProgramWorkBook_CMS_Web_Design_Phase_Deliverables_MLP_LLP_7-12-2010_Combined_Commissioning System Implementation_Project Workbook_06_10_2011" xfId="5825" xr:uid="{00000000-0005-0000-0000-000067160000}"/>
    <cellStyle name="_20061103Holux_ProgramWorkBook_CMS_Web_Design_Phase_Deliverables_MLP_LLP_7-12-2010_Combined_Commissioning System Implementation_Project Workbook_06_10_2011 2" xfId="5826" xr:uid="{00000000-0005-0000-0000-000068160000}"/>
    <cellStyle name="_20061103Holux_ProgramWorkBook_CMS_Web_Design_Phase_Deliverables_MLP_LLP_7-12-2010_Combined_Commissioning System Implementation_Project Workbook_06_10_2011 3" xfId="5827" xr:uid="{00000000-0005-0000-0000-000069160000}"/>
    <cellStyle name="_20061103Holux_ProgramWorkBook_CMS_Web_Design_Phase_Deliverables_MLP_LLP_7-12-2010_Combined_FairPoint_CampReport" xfId="5828" xr:uid="{00000000-0005-0000-0000-00006A160000}"/>
    <cellStyle name="_20061103Holux_ProgramWorkBook_CMS_Web_Design_Phase_Deliverables_MLP_LLP_7-12-2010_Combined_FairPoint_CampReport 2" xfId="5829" xr:uid="{00000000-0005-0000-0000-00006B160000}"/>
    <cellStyle name="_20061103Holux_ProgramWorkBook_CMS_Web_Design_Phase_Deliverables_MLP_LLP_7-12-2010_Combined_FairPoint_CampReport 3" xfId="5830" xr:uid="{00000000-0005-0000-0000-00006C160000}"/>
    <cellStyle name="_20061103Holux_ProgramWorkBook_CMS_Web_Design_Phase_Deliverables_MLP_LLP_7-12-2010_Combined_FairPoint_FP comTechOps_ProgramWorkbook" xfId="5831" xr:uid="{00000000-0005-0000-0000-00006D160000}"/>
    <cellStyle name="_20061103Holux_ProgramWorkBook_CMS_Web_Design_Phase_Deliverables_MLP_LLP_7-12-2010_Combined_FairPoint_FP comTechOps_ProgramWorkbook 2" xfId="5832" xr:uid="{00000000-0005-0000-0000-00006E160000}"/>
    <cellStyle name="_20061103Holux_ProgramWorkBook_CMS_Web_Design_Phase_Deliverables_MLP_LLP_7-12-2010_Combined_FairPoint_FP comTechOps_ProgramWorkbook 3" xfId="5833" xr:uid="{00000000-0005-0000-0000-00006F160000}"/>
    <cellStyle name="_20061103Holux_ProgramWorkBook_CMS_Web_Design_Phase_Deliverables_MLP_LLP_7-12-2010_Combined_FairPoint_FP comTechOps_ProgramWorkbook_sachin" xfId="5834" xr:uid="{00000000-0005-0000-0000-000070160000}"/>
    <cellStyle name="_20061103Holux_ProgramWorkBook_CMS_Web_Design_Phase_Deliverables_MLP_LLP_7-12-2010_Combined_FairPoint_FP comTechOps_ProgramWorkbook_sachin 2" xfId="5835" xr:uid="{00000000-0005-0000-0000-000071160000}"/>
    <cellStyle name="_20061103Holux_ProgramWorkBook_CMS_Web_Design_Phase_Deliverables_MLP_LLP_7-12-2010_Combined_FairPoint_FP comTechOps_ProgramWorkbook_sachin 3" xfId="5836" xr:uid="{00000000-0005-0000-0000-000072160000}"/>
    <cellStyle name="_20061103Holux_ProgramWorkBook_CMS_Web_Design_Phase_Deliverables_MLP_LLP_7-12-2010_Combined_FairPoint_FP comTechOps_ProgramWorkbook_sachin_v1" xfId="5837" xr:uid="{00000000-0005-0000-0000-000073160000}"/>
    <cellStyle name="_20061103Holux_ProgramWorkBook_CMS_Web_Design_Phase_Deliverables_MLP_LLP_7-12-2010_Combined_FairPoint_FP comTechOps_ProgramWorkbook_sachin_v1 2" xfId="5838" xr:uid="{00000000-0005-0000-0000-000074160000}"/>
    <cellStyle name="_20061103Holux_ProgramWorkBook_CMS_Web_Design_Phase_Deliverables_MLP_LLP_7-12-2010_Combined_FairPoint_FP comTechOps_ProgramWorkbook_sachin_v1 3" xfId="5839" xr:uid="{00000000-0005-0000-0000-000075160000}"/>
    <cellStyle name="_20061103Holux_ProgramWorkBook_CMS_Web_Design_Phase_Deliverables_MLP_LLP_7-12-2010_Combined_FP_CAMP&amp;ITReporting_Maintenance_Dashboard" xfId="5840" xr:uid="{00000000-0005-0000-0000-000076160000}"/>
    <cellStyle name="_20061103Holux_ProgramWorkBook_CMS_Web_Design_Phase_Deliverables_MLP_LLP_7-12-2010_Combined_FP_CAMP&amp;ITReporting_Maintenance_Dashboard 2" xfId="5841" xr:uid="{00000000-0005-0000-0000-000077160000}"/>
    <cellStyle name="_20061103Holux_ProgramWorkBook_CMS_Web_Design_Phase_Deliverables_MLP_LLP_7-12-2010_Combined_FP_CAMP&amp;ITReporting_Maintenance_Dashboard 3" xfId="5842" xr:uid="{00000000-0005-0000-0000-000078160000}"/>
    <cellStyle name="_20061103Holux_ProgramWorkBook_CMS_Web_Design_Phase_Deliverables_MLP_LLP_7-12-2010_Combined_FP_CAMPITReporting_Maintenance_Dashboard" xfId="5843" xr:uid="{00000000-0005-0000-0000-000079160000}"/>
    <cellStyle name="_20061103Holux_ProgramWorkBook_CMS_Web_Design_Phase_Deliverables_MLP_LLP_7-12-2010_Combined_FP_CAMPITReporting_Maintenance_Dashboard 2" xfId="5844" xr:uid="{00000000-0005-0000-0000-00007A160000}"/>
    <cellStyle name="_20061103Holux_ProgramWorkBook_CMS_Web_Design_Phase_Deliverables_MLP_LLP_7-12-2010_Combined_FP_CAMPITReporting_Maintenance_Dashboard 3" xfId="5845" xr:uid="{00000000-0005-0000-0000-00007B160000}"/>
    <cellStyle name="_20061103Holux_ProgramWorkBook_CMS_Web_Design_Phase_Deliverables_MLP_LLP_7-12-2010_Combined_FP_Commissions_Req_Dn_ProgramWorkBook_10-Dec-2010" xfId="5846" xr:uid="{00000000-0005-0000-0000-00007C160000}"/>
    <cellStyle name="_20061103Holux_ProgramWorkBook_CMS_Web_Design_Phase_Deliverables_MLP_LLP_7-12-2010_Combined_FP_Commissions_Req_Dn_ProgramWorkBook_10-Dec-2010 2" xfId="5847" xr:uid="{00000000-0005-0000-0000-00007D160000}"/>
    <cellStyle name="_20061103Holux_ProgramWorkBook_CMS_Web_Design_Phase_Deliverables_MLP_LLP_7-12-2010_Combined_FP_Commissions_Req_Dn_ProgramWorkBook_10-Dec-2010 3" xfId="5848" xr:uid="{00000000-0005-0000-0000-00007E160000}"/>
    <cellStyle name="_20061103Holux_ProgramWorkBook_CMS_Web_Design_Phase_Deliverables_MLP_LLP_7-12-2010_Combined_FP_DW_Impl_ProgramWorkBook_07-Jan-2011" xfId="5849" xr:uid="{00000000-0005-0000-0000-00007F160000}"/>
    <cellStyle name="_20061103Holux_ProgramWorkBook_CMS_Web_Design_Phase_Deliverables_MLP_LLP_7-12-2010_Combined_FP_DW_Impl_ProgramWorkBook_07-Jan-2011 2" xfId="5850" xr:uid="{00000000-0005-0000-0000-000080160000}"/>
    <cellStyle name="_20061103Holux_ProgramWorkBook_CMS_Web_Design_Phase_Deliverables_MLP_LLP_7-12-2010_Combined_FP_DW_Impl_ProgramWorkBook_07-Jan-2011 2 2" xfId="5851" xr:uid="{00000000-0005-0000-0000-000081160000}"/>
    <cellStyle name="_20061103Holux_ProgramWorkBook_CMS_Web_Design_Phase_Deliverables_MLP_LLP_7-12-2010_Combined_FP_DW_Impl_ProgramWorkBook_07-Jan-2011 2 3" xfId="5852" xr:uid="{00000000-0005-0000-0000-000082160000}"/>
    <cellStyle name="_20061103Holux_ProgramWorkBook_CMS_Web_Design_Phase_Deliverables_MLP_LLP_7-12-2010_Combined_FP_DW_Impl_ProgramWorkBook_07-Jan-2011 3" xfId="5853" xr:uid="{00000000-0005-0000-0000-000083160000}"/>
    <cellStyle name="_20061103Holux_ProgramWorkBook_CMS_Web_Design_Phase_Deliverables_MLP_LLP_7-12-2010_Combined_FP_DW_Impl_ProgramWorkBook_07-Jan-2011 4" xfId="5854" xr:uid="{00000000-0005-0000-0000-000084160000}"/>
    <cellStyle name="_20061103Holux_ProgramWorkBook_CMS_Web_Design_Phase_Deliverables_MLP_LLP_7-12-2010_Combined_FP_DW_Impl_ProgramWorkBook_11-Feb-2011" xfId="5855" xr:uid="{00000000-0005-0000-0000-000085160000}"/>
    <cellStyle name="_20061103Holux_ProgramWorkBook_CMS_Web_Design_Phase_Deliverables_MLP_LLP_7-12-2010_Combined_FP_DW_Impl_ProgramWorkBook_11-Feb-2011 2" xfId="5856" xr:uid="{00000000-0005-0000-0000-000086160000}"/>
    <cellStyle name="_20061103Holux_ProgramWorkBook_CMS_Web_Design_Phase_Deliverables_MLP_LLP_7-12-2010_Combined_FP_DW_Impl_ProgramWorkBook_11-Feb-2011 3" xfId="5857" xr:uid="{00000000-0005-0000-0000-000087160000}"/>
    <cellStyle name="_20061103Holux_ProgramWorkBook_CMS_Web_Design_Phase_Deliverables_MLP_LLP_7-12-2010_Combined_FP_DW_Impl_ProgramWorkBook_18-Feb-2011 - Working" xfId="5858" xr:uid="{00000000-0005-0000-0000-000088160000}"/>
    <cellStyle name="_20061103Holux_ProgramWorkBook_CMS_Web_Design_Phase_Deliverables_MLP_LLP_7-12-2010_Combined_FP_DW_Impl_ProgramWorkBook_18-Feb-2011 - Working 2" xfId="5859" xr:uid="{00000000-0005-0000-0000-000089160000}"/>
    <cellStyle name="_20061103Holux_ProgramWorkBook_CMS_Web_Design_Phase_Deliverables_MLP_LLP_7-12-2010_Combined_FP_DW_Impl_ProgramWorkBook_18-Feb-2011 - Working 3" xfId="5860" xr:uid="{00000000-0005-0000-0000-00008A160000}"/>
    <cellStyle name="_20061103Holux_ProgramWorkBook_CMS_Web_Design_Phase_Deliverables_MLP_LLP_7-12-2010_Combined_FP_EnterprisePortal_ProgramWorkbook" xfId="5861" xr:uid="{00000000-0005-0000-0000-00008B160000}"/>
    <cellStyle name="_20061103Holux_ProgramWorkBook_CMS_Web_Design_Phase_Deliverables_MLP_LLP_7-12-2010_Combined_FP_EnterprisePortal_ProgramWorkbook 2" xfId="5862" xr:uid="{00000000-0005-0000-0000-00008C160000}"/>
    <cellStyle name="_20061103Holux_ProgramWorkBook_CMS_Web_Design_Phase_Deliverables_MLP_LLP_7-12-2010_Combined_FP_EnterprisePortal_ProgramWorkbook 3" xfId="5863" xr:uid="{00000000-0005-0000-0000-00008D160000}"/>
    <cellStyle name="_20061103Holux_ProgramWorkBook_CMS_Web_Design_Phase_Deliverables_MLP_LLP_7-12-2010_Combined_FP_SAP_MLP v2" xfId="5864" xr:uid="{00000000-0005-0000-0000-00008E160000}"/>
    <cellStyle name="_20061103Holux_ProgramWorkBook_CMS_Web_Design_Phase_Deliverables_MLP_LLP_7-12-2010_Combined_FP_SAP_MLP v2 2" xfId="5865" xr:uid="{00000000-0005-0000-0000-00008F160000}"/>
    <cellStyle name="_20061103Holux_ProgramWorkBook_CMS_Web_Design_Phase_Deliverables_MLP_LLP_7-12-2010_Combined_FP_SAP_MLP v2 3" xfId="5866" xr:uid="{00000000-0005-0000-0000-000090160000}"/>
    <cellStyle name="_20061103Holux_ProgramWorkBook_CMS_Web_Design_Phase_Deliverables_MLP_LLP_7-12-2010_Combined_KeyDecisions" xfId="5867" xr:uid="{00000000-0005-0000-0000-000091160000}"/>
    <cellStyle name="_20061103Holux_ProgramWorkBook_CMS_Web_Design_Phase_Deliverables_MLP_LLP_7-12-2010_Combined_KeyDecisions 2" xfId="5868" xr:uid="{00000000-0005-0000-0000-000092160000}"/>
    <cellStyle name="_20061103Holux_ProgramWorkBook_CMS_Web_Design_Phase_Deliverables_MLP_LLP_7-12-2010_Combined_KeyDecisions 3" xfId="5869" xr:uid="{00000000-0005-0000-0000-000093160000}"/>
    <cellStyle name="_20061103Holux_ProgramWorkBook_CMS_Web_Design_Phase_Deliverables_MLP_LLP_7-12-2010_Combined_Sophia_Imp_ProjectWorkBook_02_18_2011" xfId="5870" xr:uid="{00000000-0005-0000-0000-000094160000}"/>
    <cellStyle name="_20061103Holux_ProgramWorkBook_CMS_Web_Design_Phase_Deliverables_MLP_LLP_7-12-2010_Combined_Sophia_Imp_ProjectWorkBook_02_18_2011 2" xfId="5871" xr:uid="{00000000-0005-0000-0000-000095160000}"/>
    <cellStyle name="_20061103Holux_ProgramWorkBook_CMS_Web_Design_Phase_Deliverables_MLP_LLP_7-12-2010_Combined_Sophia_Imp_ProjectWorkBook_02_18_2011 3" xfId="5872" xr:uid="{00000000-0005-0000-0000-000096160000}"/>
    <cellStyle name="_20061103Holux_ProgramWorkBook_CMS_Web_Design_Phase_Deliverables_MLP_LLP_7-12-2010_Combined_t" xfId="5873" xr:uid="{00000000-0005-0000-0000-000097160000}"/>
    <cellStyle name="_20061103Holux_ProgramWorkBook_CMS_Web_Design_Phase_Deliverables_MLP_LLP_7-12-2010_Combined_t 2" xfId="5874" xr:uid="{00000000-0005-0000-0000-000098160000}"/>
    <cellStyle name="_20061103Holux_ProgramWorkBook_CMS_Web_Design_Phase_Deliverables_MLP_LLP_7-12-2010_Combined_t 3" xfId="5875" xr:uid="{00000000-0005-0000-0000-000099160000}"/>
    <cellStyle name="_20061103Holux_ProgramWorkBook_CMS_Web_Design_Phase_Deliverables_MLP_LLP_7-14-2010_Combined" xfId="5876" xr:uid="{00000000-0005-0000-0000-00009A160000}"/>
    <cellStyle name="_20061103Holux_ProgramWorkBook_CMS_Web_Design_Phase_Deliverables_MLP_LLP_7-14-2010_Combined 2" xfId="5877" xr:uid="{00000000-0005-0000-0000-00009B160000}"/>
    <cellStyle name="_20061103Holux_ProgramWorkBook_CMS_Web_Design_Phase_Deliverables_MLP_LLP_7-14-2010_Combined 2 2" xfId="5878" xr:uid="{00000000-0005-0000-0000-00009C160000}"/>
    <cellStyle name="_20061103Holux_ProgramWorkBook_CMS_Web_Design_Phase_Deliverables_MLP_LLP_7-14-2010_Combined 2 3" xfId="5879" xr:uid="{00000000-0005-0000-0000-00009D160000}"/>
    <cellStyle name="_20061103Holux_ProgramWorkBook_CMS_Web_Design_Phase_Deliverables_MLP_LLP_7-14-2010_Combined 3" xfId="5880" xr:uid="{00000000-0005-0000-0000-00009E160000}"/>
    <cellStyle name="_20061103Holux_ProgramWorkBook_CMS_Web_Design_Phase_Deliverables_MLP_LLP_7-14-2010_Combined 3 2" xfId="5881" xr:uid="{00000000-0005-0000-0000-00009F160000}"/>
    <cellStyle name="_20061103Holux_ProgramWorkBook_CMS_Web_Design_Phase_Deliverables_MLP_LLP_7-14-2010_Combined 3 3" xfId="5882" xr:uid="{00000000-0005-0000-0000-0000A0160000}"/>
    <cellStyle name="_20061103Holux_ProgramWorkBook_CMS_Web_Design_Phase_Deliverables_MLP_LLP_7-14-2010_Combined 4" xfId="5883" xr:uid="{00000000-0005-0000-0000-0000A1160000}"/>
    <cellStyle name="_20061103Holux_ProgramWorkBook_CMS_Web_Design_Phase_Deliverables_MLP_LLP_7-14-2010_Combined 5" xfId="5884" xr:uid="{00000000-0005-0000-0000-0000A2160000}"/>
    <cellStyle name="_20061103Holux_ProgramWorkBook_CMS_Web_Design_Phase_Deliverables_MLP_LLP_7-14-2010_Combined_Commissioning System Implementation_Project Workbook_06_10_2011" xfId="5885" xr:uid="{00000000-0005-0000-0000-0000A3160000}"/>
    <cellStyle name="_20061103Holux_ProgramWorkBook_CMS_Web_Design_Phase_Deliverables_MLP_LLP_7-14-2010_Combined_Commissioning System Implementation_Project Workbook_06_10_2011 2" xfId="5886" xr:uid="{00000000-0005-0000-0000-0000A4160000}"/>
    <cellStyle name="_20061103Holux_ProgramWorkBook_CMS_Web_Design_Phase_Deliverables_MLP_LLP_7-14-2010_Combined_Commissioning System Implementation_Project Workbook_06_10_2011 3" xfId="5887" xr:uid="{00000000-0005-0000-0000-0000A5160000}"/>
    <cellStyle name="_20061103Holux_ProgramWorkBook_CMS_Web_Design_Phase_Deliverables_MLP_LLP_7-14-2010_Combined_FairPoint_CampReport" xfId="5888" xr:uid="{00000000-0005-0000-0000-0000A6160000}"/>
    <cellStyle name="_20061103Holux_ProgramWorkBook_CMS_Web_Design_Phase_Deliverables_MLP_LLP_7-14-2010_Combined_FairPoint_CampReport 2" xfId="5889" xr:uid="{00000000-0005-0000-0000-0000A7160000}"/>
    <cellStyle name="_20061103Holux_ProgramWorkBook_CMS_Web_Design_Phase_Deliverables_MLP_LLP_7-14-2010_Combined_FairPoint_CampReport 3" xfId="5890" xr:uid="{00000000-0005-0000-0000-0000A8160000}"/>
    <cellStyle name="_20061103Holux_ProgramWorkBook_CMS_Web_Design_Phase_Deliverables_MLP_LLP_7-14-2010_Combined_FairPoint_FP comTechOps_ProgramWorkbook" xfId="5891" xr:uid="{00000000-0005-0000-0000-0000A9160000}"/>
    <cellStyle name="_20061103Holux_ProgramWorkBook_CMS_Web_Design_Phase_Deliverables_MLP_LLP_7-14-2010_Combined_FairPoint_FP comTechOps_ProgramWorkbook 2" xfId="5892" xr:uid="{00000000-0005-0000-0000-0000AA160000}"/>
    <cellStyle name="_20061103Holux_ProgramWorkBook_CMS_Web_Design_Phase_Deliverables_MLP_LLP_7-14-2010_Combined_FairPoint_FP comTechOps_ProgramWorkbook 3" xfId="5893" xr:uid="{00000000-0005-0000-0000-0000AB160000}"/>
    <cellStyle name="_20061103Holux_ProgramWorkBook_CMS_Web_Design_Phase_Deliverables_MLP_LLP_7-14-2010_Combined_FairPoint_FP comTechOps_ProgramWorkbook_sachin" xfId="5894" xr:uid="{00000000-0005-0000-0000-0000AC160000}"/>
    <cellStyle name="_20061103Holux_ProgramWorkBook_CMS_Web_Design_Phase_Deliverables_MLP_LLP_7-14-2010_Combined_FairPoint_FP comTechOps_ProgramWorkbook_sachin 2" xfId="5895" xr:uid="{00000000-0005-0000-0000-0000AD160000}"/>
    <cellStyle name="_20061103Holux_ProgramWorkBook_CMS_Web_Design_Phase_Deliverables_MLP_LLP_7-14-2010_Combined_FairPoint_FP comTechOps_ProgramWorkbook_sachin 3" xfId="5896" xr:uid="{00000000-0005-0000-0000-0000AE160000}"/>
    <cellStyle name="_20061103Holux_ProgramWorkBook_CMS_Web_Design_Phase_Deliverables_MLP_LLP_7-14-2010_Combined_FairPoint_FP comTechOps_ProgramWorkbook_sachin_v1" xfId="5897" xr:uid="{00000000-0005-0000-0000-0000AF160000}"/>
    <cellStyle name="_20061103Holux_ProgramWorkBook_CMS_Web_Design_Phase_Deliverables_MLP_LLP_7-14-2010_Combined_FairPoint_FP comTechOps_ProgramWorkbook_sachin_v1 2" xfId="5898" xr:uid="{00000000-0005-0000-0000-0000B0160000}"/>
    <cellStyle name="_20061103Holux_ProgramWorkBook_CMS_Web_Design_Phase_Deliverables_MLP_LLP_7-14-2010_Combined_FairPoint_FP comTechOps_ProgramWorkbook_sachin_v1 3" xfId="5899" xr:uid="{00000000-0005-0000-0000-0000B1160000}"/>
    <cellStyle name="_20061103Holux_ProgramWorkBook_CMS_Web_Design_Phase_Deliverables_MLP_LLP_7-14-2010_Combined_FP_CAMP&amp;ITReporting_Maintenance_Dashboard" xfId="5900" xr:uid="{00000000-0005-0000-0000-0000B2160000}"/>
    <cellStyle name="_20061103Holux_ProgramWorkBook_CMS_Web_Design_Phase_Deliverables_MLP_LLP_7-14-2010_Combined_FP_CAMP&amp;ITReporting_Maintenance_Dashboard 2" xfId="5901" xr:uid="{00000000-0005-0000-0000-0000B3160000}"/>
    <cellStyle name="_20061103Holux_ProgramWorkBook_CMS_Web_Design_Phase_Deliverables_MLP_LLP_7-14-2010_Combined_FP_CAMP&amp;ITReporting_Maintenance_Dashboard 3" xfId="5902" xr:uid="{00000000-0005-0000-0000-0000B4160000}"/>
    <cellStyle name="_20061103Holux_ProgramWorkBook_CMS_Web_Design_Phase_Deliverables_MLP_LLP_7-14-2010_Combined_FP_CAMPITReporting_Maintenance_Dashboard" xfId="5903" xr:uid="{00000000-0005-0000-0000-0000B5160000}"/>
    <cellStyle name="_20061103Holux_ProgramWorkBook_CMS_Web_Design_Phase_Deliverables_MLP_LLP_7-14-2010_Combined_FP_CAMPITReporting_Maintenance_Dashboard 2" xfId="5904" xr:uid="{00000000-0005-0000-0000-0000B6160000}"/>
    <cellStyle name="_20061103Holux_ProgramWorkBook_CMS_Web_Design_Phase_Deliverables_MLP_LLP_7-14-2010_Combined_FP_CAMPITReporting_Maintenance_Dashboard 3" xfId="5905" xr:uid="{00000000-0005-0000-0000-0000B7160000}"/>
    <cellStyle name="_20061103Holux_ProgramWorkBook_CMS_Web_Design_Phase_Deliverables_MLP_LLP_7-14-2010_Combined_FP_Commissions_Req_Dn_ProgramWorkBook_10-Dec-2010" xfId="5906" xr:uid="{00000000-0005-0000-0000-0000B8160000}"/>
    <cellStyle name="_20061103Holux_ProgramWorkBook_CMS_Web_Design_Phase_Deliverables_MLP_LLP_7-14-2010_Combined_FP_Commissions_Req_Dn_ProgramWorkBook_10-Dec-2010 2" xfId="5907" xr:uid="{00000000-0005-0000-0000-0000B9160000}"/>
    <cellStyle name="_20061103Holux_ProgramWorkBook_CMS_Web_Design_Phase_Deliverables_MLP_LLP_7-14-2010_Combined_FP_Commissions_Req_Dn_ProgramWorkBook_10-Dec-2010 3" xfId="5908" xr:uid="{00000000-0005-0000-0000-0000BA160000}"/>
    <cellStyle name="_20061103Holux_ProgramWorkBook_CMS_Web_Design_Phase_Deliverables_MLP_LLP_7-14-2010_Combined_FP_DW_Impl_ProgramWorkBook_07-Jan-2011" xfId="5909" xr:uid="{00000000-0005-0000-0000-0000BB160000}"/>
    <cellStyle name="_20061103Holux_ProgramWorkBook_CMS_Web_Design_Phase_Deliverables_MLP_LLP_7-14-2010_Combined_FP_DW_Impl_ProgramWorkBook_07-Jan-2011 2" xfId="5910" xr:uid="{00000000-0005-0000-0000-0000BC160000}"/>
    <cellStyle name="_20061103Holux_ProgramWorkBook_CMS_Web_Design_Phase_Deliverables_MLP_LLP_7-14-2010_Combined_FP_DW_Impl_ProgramWorkBook_07-Jan-2011 2 2" xfId="5911" xr:uid="{00000000-0005-0000-0000-0000BD160000}"/>
    <cellStyle name="_20061103Holux_ProgramWorkBook_CMS_Web_Design_Phase_Deliverables_MLP_LLP_7-14-2010_Combined_FP_DW_Impl_ProgramWorkBook_07-Jan-2011 2 3" xfId="5912" xr:uid="{00000000-0005-0000-0000-0000BE160000}"/>
    <cellStyle name="_20061103Holux_ProgramWorkBook_CMS_Web_Design_Phase_Deliverables_MLP_LLP_7-14-2010_Combined_FP_DW_Impl_ProgramWorkBook_07-Jan-2011 3" xfId="5913" xr:uid="{00000000-0005-0000-0000-0000BF160000}"/>
    <cellStyle name="_20061103Holux_ProgramWorkBook_CMS_Web_Design_Phase_Deliverables_MLP_LLP_7-14-2010_Combined_FP_DW_Impl_ProgramWorkBook_07-Jan-2011 4" xfId="5914" xr:uid="{00000000-0005-0000-0000-0000C0160000}"/>
    <cellStyle name="_20061103Holux_ProgramWorkBook_CMS_Web_Design_Phase_Deliverables_MLP_LLP_7-14-2010_Combined_FP_DW_Impl_ProgramWorkBook_11-Feb-2011" xfId="5915" xr:uid="{00000000-0005-0000-0000-0000C1160000}"/>
    <cellStyle name="_20061103Holux_ProgramWorkBook_CMS_Web_Design_Phase_Deliverables_MLP_LLP_7-14-2010_Combined_FP_DW_Impl_ProgramWorkBook_11-Feb-2011 2" xfId="5916" xr:uid="{00000000-0005-0000-0000-0000C2160000}"/>
    <cellStyle name="_20061103Holux_ProgramWorkBook_CMS_Web_Design_Phase_Deliverables_MLP_LLP_7-14-2010_Combined_FP_DW_Impl_ProgramWorkBook_11-Feb-2011 3" xfId="5917" xr:uid="{00000000-0005-0000-0000-0000C3160000}"/>
    <cellStyle name="_20061103Holux_ProgramWorkBook_CMS_Web_Design_Phase_Deliverables_MLP_LLP_7-14-2010_Combined_FP_DW_Impl_ProgramWorkBook_18-Feb-2011 - Working" xfId="5918" xr:uid="{00000000-0005-0000-0000-0000C4160000}"/>
    <cellStyle name="_20061103Holux_ProgramWorkBook_CMS_Web_Design_Phase_Deliverables_MLP_LLP_7-14-2010_Combined_FP_DW_Impl_ProgramWorkBook_18-Feb-2011 - Working 2" xfId="5919" xr:uid="{00000000-0005-0000-0000-0000C5160000}"/>
    <cellStyle name="_20061103Holux_ProgramWorkBook_CMS_Web_Design_Phase_Deliverables_MLP_LLP_7-14-2010_Combined_FP_DW_Impl_ProgramWorkBook_18-Feb-2011 - Working 3" xfId="5920" xr:uid="{00000000-0005-0000-0000-0000C6160000}"/>
    <cellStyle name="_20061103Holux_ProgramWorkBook_CMS_Web_Design_Phase_Deliverables_MLP_LLP_7-14-2010_Combined_FP_EnterprisePortal_ProgramWorkbook" xfId="5921" xr:uid="{00000000-0005-0000-0000-0000C7160000}"/>
    <cellStyle name="_20061103Holux_ProgramWorkBook_CMS_Web_Design_Phase_Deliverables_MLP_LLP_7-14-2010_Combined_FP_EnterprisePortal_ProgramWorkbook 2" xfId="5922" xr:uid="{00000000-0005-0000-0000-0000C8160000}"/>
    <cellStyle name="_20061103Holux_ProgramWorkBook_CMS_Web_Design_Phase_Deliverables_MLP_LLP_7-14-2010_Combined_FP_EnterprisePortal_ProgramWorkbook 3" xfId="5923" xr:uid="{00000000-0005-0000-0000-0000C9160000}"/>
    <cellStyle name="_20061103Holux_ProgramWorkBook_CMS_Web_Design_Phase_Deliverables_MLP_LLP_7-14-2010_Combined_FP_SAP_MLP v2" xfId="5924" xr:uid="{00000000-0005-0000-0000-0000CA160000}"/>
    <cellStyle name="_20061103Holux_ProgramWorkBook_CMS_Web_Design_Phase_Deliverables_MLP_LLP_7-14-2010_Combined_FP_SAP_MLP v2 2" xfId="5925" xr:uid="{00000000-0005-0000-0000-0000CB160000}"/>
    <cellStyle name="_20061103Holux_ProgramWorkBook_CMS_Web_Design_Phase_Deliverables_MLP_LLP_7-14-2010_Combined_FP_SAP_MLP v2 3" xfId="5926" xr:uid="{00000000-0005-0000-0000-0000CC160000}"/>
    <cellStyle name="_20061103Holux_ProgramWorkBook_CMS_Web_Design_Phase_Deliverables_MLP_LLP_7-14-2010_Combined_KeyDecisions" xfId="5927" xr:uid="{00000000-0005-0000-0000-0000CD160000}"/>
    <cellStyle name="_20061103Holux_ProgramWorkBook_CMS_Web_Design_Phase_Deliverables_MLP_LLP_7-14-2010_Combined_KeyDecisions 2" xfId="5928" xr:uid="{00000000-0005-0000-0000-0000CE160000}"/>
    <cellStyle name="_20061103Holux_ProgramWorkBook_CMS_Web_Design_Phase_Deliverables_MLP_LLP_7-14-2010_Combined_KeyDecisions 3" xfId="5929" xr:uid="{00000000-0005-0000-0000-0000CF160000}"/>
    <cellStyle name="_20061103Holux_ProgramWorkBook_CMS_Web_Design_Phase_Deliverables_MLP_LLP_7-14-2010_Combined_Sophia_Imp_ProjectWorkBook_02_18_2011" xfId="5930" xr:uid="{00000000-0005-0000-0000-0000D0160000}"/>
    <cellStyle name="_20061103Holux_ProgramWorkBook_CMS_Web_Design_Phase_Deliverables_MLP_LLP_7-14-2010_Combined_Sophia_Imp_ProjectWorkBook_02_18_2011 2" xfId="5931" xr:uid="{00000000-0005-0000-0000-0000D1160000}"/>
    <cellStyle name="_20061103Holux_ProgramWorkBook_CMS_Web_Design_Phase_Deliverables_MLP_LLP_7-14-2010_Combined_Sophia_Imp_ProjectWorkBook_02_18_2011 3" xfId="5932" xr:uid="{00000000-0005-0000-0000-0000D2160000}"/>
    <cellStyle name="_20061103Holux_ProgramWorkBook_CMS_Web_Design_Phase_Deliverables_MLP_LLP_7-14-2010_Combined_t" xfId="5933" xr:uid="{00000000-0005-0000-0000-0000D3160000}"/>
    <cellStyle name="_20061103Holux_ProgramWorkBook_CMS_Web_Design_Phase_Deliverables_MLP_LLP_7-14-2010_Combined_t 2" xfId="5934" xr:uid="{00000000-0005-0000-0000-0000D4160000}"/>
    <cellStyle name="_20061103Holux_ProgramWorkBook_CMS_Web_Design_Phase_Deliverables_MLP_LLP_7-14-2010_Combined_t 3" xfId="5935" xr:uid="{00000000-0005-0000-0000-0000D5160000}"/>
    <cellStyle name="_20061103Holux_ProgramWorkBook_Commissioning System Implementation_Project Workbook_06_10_2011" xfId="5936" xr:uid="{00000000-0005-0000-0000-0000D6160000}"/>
    <cellStyle name="_20061103Holux_ProgramWorkBook_Commissioning System Implementation_Project Workbook_06_10_2011 2" xfId="5937" xr:uid="{00000000-0005-0000-0000-0000D7160000}"/>
    <cellStyle name="_20061103Holux_ProgramWorkBook_Commissioning System Implementation_Project Workbook_06_10_2011 3" xfId="5938" xr:uid="{00000000-0005-0000-0000-0000D8160000}"/>
    <cellStyle name="_20061103Holux_ProgramWorkBook_Detailed_Requirements_Plan" xfId="5939" xr:uid="{00000000-0005-0000-0000-0000D9160000}"/>
    <cellStyle name="_20061103Holux_ProgramWorkBook_Detailed_Requirements_Plan 2" xfId="5940" xr:uid="{00000000-0005-0000-0000-0000DA160000}"/>
    <cellStyle name="_20061103Holux_ProgramWorkBook_Detailed_Requirements_Plan 3" xfId="5941" xr:uid="{00000000-0005-0000-0000-0000DB160000}"/>
    <cellStyle name="_20061103Holux_ProgramWorkBook_Doneness Matrix v2" xfId="5942" xr:uid="{00000000-0005-0000-0000-0000DC160000}"/>
    <cellStyle name="_20061103Holux_ProgramWorkBook_Doneness Matrix v2 2" xfId="5943" xr:uid="{00000000-0005-0000-0000-0000DD160000}"/>
    <cellStyle name="_20061103Holux_ProgramWorkBook_Doneness Matrix v2 2 2" xfId="5944" xr:uid="{00000000-0005-0000-0000-0000DE160000}"/>
    <cellStyle name="_20061103Holux_ProgramWorkBook_Doneness Matrix v2 2 3" xfId="5945" xr:uid="{00000000-0005-0000-0000-0000DF160000}"/>
    <cellStyle name="_20061103Holux_ProgramWorkBook_Doneness Matrix v2 3" xfId="5946" xr:uid="{00000000-0005-0000-0000-0000E0160000}"/>
    <cellStyle name="_20061103Holux_ProgramWorkBook_Doneness Matrix v2 3 2" xfId="5947" xr:uid="{00000000-0005-0000-0000-0000E1160000}"/>
    <cellStyle name="_20061103Holux_ProgramWorkBook_Doneness Matrix v2 3 3" xfId="5948" xr:uid="{00000000-0005-0000-0000-0000E2160000}"/>
    <cellStyle name="_20061103Holux_ProgramWorkBook_Doneness Matrix v2 4" xfId="5949" xr:uid="{00000000-0005-0000-0000-0000E3160000}"/>
    <cellStyle name="_20061103Holux_ProgramWorkBook_Doneness Matrix v2 5" xfId="5950" xr:uid="{00000000-0005-0000-0000-0000E4160000}"/>
    <cellStyle name="_20061103Holux_ProgramWorkBook_Doneness Matrix v2_Commissioning System Implementation_Project Workbook_06_10_2011" xfId="5951" xr:uid="{00000000-0005-0000-0000-0000E5160000}"/>
    <cellStyle name="_20061103Holux_ProgramWorkBook_Doneness Matrix v2_Commissioning System Implementation_Project Workbook_06_10_2011 2" xfId="5952" xr:uid="{00000000-0005-0000-0000-0000E6160000}"/>
    <cellStyle name="_20061103Holux_ProgramWorkBook_Doneness Matrix v2_Commissioning System Implementation_Project Workbook_06_10_2011 3" xfId="5953" xr:uid="{00000000-0005-0000-0000-0000E7160000}"/>
    <cellStyle name="_20061103Holux_ProgramWorkBook_Doneness Matrix v2_FairPoint_CampReport" xfId="5954" xr:uid="{00000000-0005-0000-0000-0000E8160000}"/>
    <cellStyle name="_20061103Holux_ProgramWorkBook_Doneness Matrix v2_FairPoint_CampReport 2" xfId="5955" xr:uid="{00000000-0005-0000-0000-0000E9160000}"/>
    <cellStyle name="_20061103Holux_ProgramWorkBook_Doneness Matrix v2_FairPoint_CampReport 3" xfId="5956" xr:uid="{00000000-0005-0000-0000-0000EA160000}"/>
    <cellStyle name="_20061103Holux_ProgramWorkBook_Doneness Matrix v2_FairPoint_FP comTechOps_ProgramWorkbook" xfId="5957" xr:uid="{00000000-0005-0000-0000-0000EB160000}"/>
    <cellStyle name="_20061103Holux_ProgramWorkBook_Doneness Matrix v2_FairPoint_FP comTechOps_ProgramWorkbook 2" xfId="5958" xr:uid="{00000000-0005-0000-0000-0000EC160000}"/>
    <cellStyle name="_20061103Holux_ProgramWorkBook_Doneness Matrix v2_FairPoint_FP comTechOps_ProgramWorkbook 3" xfId="5959" xr:uid="{00000000-0005-0000-0000-0000ED160000}"/>
    <cellStyle name="_20061103Holux_ProgramWorkBook_Doneness Matrix v2_FairPoint_FP comTechOps_ProgramWorkbook_sachin" xfId="5960" xr:uid="{00000000-0005-0000-0000-0000EE160000}"/>
    <cellStyle name="_20061103Holux_ProgramWorkBook_Doneness Matrix v2_FairPoint_FP comTechOps_ProgramWorkbook_sachin 2" xfId="5961" xr:uid="{00000000-0005-0000-0000-0000EF160000}"/>
    <cellStyle name="_20061103Holux_ProgramWorkBook_Doneness Matrix v2_FairPoint_FP comTechOps_ProgramWorkbook_sachin 3" xfId="5962" xr:uid="{00000000-0005-0000-0000-0000F0160000}"/>
    <cellStyle name="_20061103Holux_ProgramWorkBook_Doneness Matrix v2_FairPoint_FP comTechOps_ProgramWorkbook_sachin_v1" xfId="5963" xr:uid="{00000000-0005-0000-0000-0000F1160000}"/>
    <cellStyle name="_20061103Holux_ProgramWorkBook_Doneness Matrix v2_FairPoint_FP comTechOps_ProgramWorkbook_sachin_v1 2" xfId="5964" xr:uid="{00000000-0005-0000-0000-0000F2160000}"/>
    <cellStyle name="_20061103Holux_ProgramWorkBook_Doneness Matrix v2_FairPoint_FP comTechOps_ProgramWorkbook_sachin_v1 3" xfId="5965" xr:uid="{00000000-0005-0000-0000-0000F3160000}"/>
    <cellStyle name="_20061103Holux_ProgramWorkBook_Doneness Matrix v2_FP_CAMP&amp;ITReporting_Maintenance_Dashboard" xfId="5966" xr:uid="{00000000-0005-0000-0000-0000F4160000}"/>
    <cellStyle name="_20061103Holux_ProgramWorkBook_Doneness Matrix v2_FP_CAMP&amp;ITReporting_Maintenance_Dashboard 2" xfId="5967" xr:uid="{00000000-0005-0000-0000-0000F5160000}"/>
    <cellStyle name="_20061103Holux_ProgramWorkBook_Doneness Matrix v2_FP_CAMP&amp;ITReporting_Maintenance_Dashboard 3" xfId="5968" xr:uid="{00000000-0005-0000-0000-0000F6160000}"/>
    <cellStyle name="_20061103Holux_ProgramWorkBook_Doneness Matrix v2_FP_CAMPITReporting_Maintenance_Dashboard" xfId="5969" xr:uid="{00000000-0005-0000-0000-0000F7160000}"/>
    <cellStyle name="_20061103Holux_ProgramWorkBook_Doneness Matrix v2_FP_CAMPITReporting_Maintenance_Dashboard 2" xfId="5970" xr:uid="{00000000-0005-0000-0000-0000F8160000}"/>
    <cellStyle name="_20061103Holux_ProgramWorkBook_Doneness Matrix v2_FP_CAMPITReporting_Maintenance_Dashboard 3" xfId="5971" xr:uid="{00000000-0005-0000-0000-0000F9160000}"/>
    <cellStyle name="_20061103Holux_ProgramWorkBook_Doneness Matrix v2_FP_Commissions_Req_Dn_ProgramWorkBook_10-Dec-2010" xfId="5972" xr:uid="{00000000-0005-0000-0000-0000FA160000}"/>
    <cellStyle name="_20061103Holux_ProgramWorkBook_Doneness Matrix v2_FP_Commissions_Req_Dn_ProgramWorkBook_10-Dec-2010 2" xfId="5973" xr:uid="{00000000-0005-0000-0000-0000FB160000}"/>
    <cellStyle name="_20061103Holux_ProgramWorkBook_Doneness Matrix v2_FP_Commissions_Req_Dn_ProgramWorkBook_10-Dec-2010 3" xfId="5974" xr:uid="{00000000-0005-0000-0000-0000FC160000}"/>
    <cellStyle name="_20061103Holux_ProgramWorkBook_Doneness Matrix v2_FP_DW_Impl_ProgramWorkBook_07-Jan-2011" xfId="5975" xr:uid="{00000000-0005-0000-0000-0000FD160000}"/>
    <cellStyle name="_20061103Holux_ProgramWorkBook_Doneness Matrix v2_FP_DW_Impl_ProgramWorkBook_07-Jan-2011 2" xfId="5976" xr:uid="{00000000-0005-0000-0000-0000FE160000}"/>
    <cellStyle name="_20061103Holux_ProgramWorkBook_Doneness Matrix v2_FP_DW_Impl_ProgramWorkBook_07-Jan-2011 2 2" xfId="5977" xr:uid="{00000000-0005-0000-0000-0000FF160000}"/>
    <cellStyle name="_20061103Holux_ProgramWorkBook_Doneness Matrix v2_FP_DW_Impl_ProgramWorkBook_07-Jan-2011 2 3" xfId="5978" xr:uid="{00000000-0005-0000-0000-000000170000}"/>
    <cellStyle name="_20061103Holux_ProgramWorkBook_Doneness Matrix v2_FP_DW_Impl_ProgramWorkBook_07-Jan-2011 3" xfId="5979" xr:uid="{00000000-0005-0000-0000-000001170000}"/>
    <cellStyle name="_20061103Holux_ProgramWorkBook_Doneness Matrix v2_FP_DW_Impl_ProgramWorkBook_07-Jan-2011 4" xfId="5980" xr:uid="{00000000-0005-0000-0000-000002170000}"/>
    <cellStyle name="_20061103Holux_ProgramWorkBook_Doneness Matrix v2_FP_DW_Impl_ProgramWorkBook_11-Feb-2011" xfId="5981" xr:uid="{00000000-0005-0000-0000-000003170000}"/>
    <cellStyle name="_20061103Holux_ProgramWorkBook_Doneness Matrix v2_FP_DW_Impl_ProgramWorkBook_11-Feb-2011 2" xfId="5982" xr:uid="{00000000-0005-0000-0000-000004170000}"/>
    <cellStyle name="_20061103Holux_ProgramWorkBook_Doneness Matrix v2_FP_DW_Impl_ProgramWorkBook_11-Feb-2011 3" xfId="5983" xr:uid="{00000000-0005-0000-0000-000005170000}"/>
    <cellStyle name="_20061103Holux_ProgramWorkBook_Doneness Matrix v2_FP_DW_Impl_ProgramWorkBook_18-Feb-2011 - Working" xfId="5984" xr:uid="{00000000-0005-0000-0000-000006170000}"/>
    <cellStyle name="_20061103Holux_ProgramWorkBook_Doneness Matrix v2_FP_DW_Impl_ProgramWorkBook_18-Feb-2011 - Working 2" xfId="5985" xr:uid="{00000000-0005-0000-0000-000007170000}"/>
    <cellStyle name="_20061103Holux_ProgramWorkBook_Doneness Matrix v2_FP_DW_Impl_ProgramWorkBook_18-Feb-2011 - Working 3" xfId="5986" xr:uid="{00000000-0005-0000-0000-000008170000}"/>
    <cellStyle name="_20061103Holux_ProgramWorkBook_Doneness Matrix v2_FP_EnterprisePortal_ProgramWorkbook" xfId="5987" xr:uid="{00000000-0005-0000-0000-000009170000}"/>
    <cellStyle name="_20061103Holux_ProgramWorkBook_Doneness Matrix v2_FP_EnterprisePortal_ProgramWorkbook 2" xfId="5988" xr:uid="{00000000-0005-0000-0000-00000A170000}"/>
    <cellStyle name="_20061103Holux_ProgramWorkBook_Doneness Matrix v2_FP_EnterprisePortal_ProgramWorkbook 3" xfId="5989" xr:uid="{00000000-0005-0000-0000-00000B170000}"/>
    <cellStyle name="_20061103Holux_ProgramWorkBook_Doneness Matrix v2_FP_SAP_MLP v2" xfId="5990" xr:uid="{00000000-0005-0000-0000-00000C170000}"/>
    <cellStyle name="_20061103Holux_ProgramWorkBook_Doneness Matrix v2_FP_SAP_MLP v2 2" xfId="5991" xr:uid="{00000000-0005-0000-0000-00000D170000}"/>
    <cellStyle name="_20061103Holux_ProgramWorkBook_Doneness Matrix v2_FP_SAP_MLP v2 3" xfId="5992" xr:uid="{00000000-0005-0000-0000-00000E170000}"/>
    <cellStyle name="_20061103Holux_ProgramWorkBook_Doneness Matrix v2_KeyDecisions" xfId="5993" xr:uid="{00000000-0005-0000-0000-00000F170000}"/>
    <cellStyle name="_20061103Holux_ProgramWorkBook_Doneness Matrix v2_KeyDecisions 2" xfId="5994" xr:uid="{00000000-0005-0000-0000-000010170000}"/>
    <cellStyle name="_20061103Holux_ProgramWorkBook_Doneness Matrix v2_KeyDecisions 3" xfId="5995" xr:uid="{00000000-0005-0000-0000-000011170000}"/>
    <cellStyle name="_20061103Holux_ProgramWorkBook_Doneness Matrix v2_Sophia_Imp_ProjectWorkBook_02_18_2011" xfId="5996" xr:uid="{00000000-0005-0000-0000-000012170000}"/>
    <cellStyle name="_20061103Holux_ProgramWorkBook_Doneness Matrix v2_Sophia_Imp_ProjectWorkBook_02_18_2011 2" xfId="5997" xr:uid="{00000000-0005-0000-0000-000013170000}"/>
    <cellStyle name="_20061103Holux_ProgramWorkBook_Doneness Matrix v2_Sophia_Imp_ProjectWorkBook_02_18_2011 3" xfId="5998" xr:uid="{00000000-0005-0000-0000-000014170000}"/>
    <cellStyle name="_20061103Holux_ProgramWorkBook_Doneness Matrix v2_t" xfId="5999" xr:uid="{00000000-0005-0000-0000-000015170000}"/>
    <cellStyle name="_20061103Holux_ProgramWorkBook_Doneness Matrix v2_t 2" xfId="6000" xr:uid="{00000000-0005-0000-0000-000016170000}"/>
    <cellStyle name="_20061103Holux_ProgramWorkBook_Doneness Matrix v2_t 3" xfId="6001" xr:uid="{00000000-0005-0000-0000-000017170000}"/>
    <cellStyle name="_20061103Holux_ProgramWorkBook_EnterprisePortalRequirements_PMWorkbook" xfId="6002" xr:uid="{00000000-0005-0000-0000-000018170000}"/>
    <cellStyle name="_20061103Holux_ProgramWorkBook_EnterprisePortalRequirements_PMWorkbook (2)" xfId="6003" xr:uid="{00000000-0005-0000-0000-000019170000}"/>
    <cellStyle name="_20061103Holux_ProgramWorkBook_EnterprisePortalRequirements_PMWorkbook (2) 2" xfId="6004" xr:uid="{00000000-0005-0000-0000-00001A170000}"/>
    <cellStyle name="_20061103Holux_ProgramWorkBook_EnterprisePortalRequirements_PMWorkbook (2) 3" xfId="6005" xr:uid="{00000000-0005-0000-0000-00001B170000}"/>
    <cellStyle name="_20061103Holux_ProgramWorkBook_EnterprisePortalRequirements_PMWorkbook 10" xfId="6006" xr:uid="{00000000-0005-0000-0000-00001C170000}"/>
    <cellStyle name="_20061103Holux_ProgramWorkBook_EnterprisePortalRequirements_PMWorkbook 2" xfId="6007" xr:uid="{00000000-0005-0000-0000-00001D170000}"/>
    <cellStyle name="_20061103Holux_ProgramWorkBook_EnterprisePortalRequirements_PMWorkbook 3" xfId="6008" xr:uid="{00000000-0005-0000-0000-00001E170000}"/>
    <cellStyle name="_20061103Holux_ProgramWorkBook_EnterprisePortalRequirements_PMWorkbook 4" xfId="6009" xr:uid="{00000000-0005-0000-0000-00001F170000}"/>
    <cellStyle name="_20061103Holux_ProgramWorkBook_EnterprisePortalRequirements_PMWorkbook 5" xfId="6010" xr:uid="{00000000-0005-0000-0000-000020170000}"/>
    <cellStyle name="_20061103Holux_ProgramWorkBook_EnterprisePortalRequirements_PMWorkbook 6" xfId="6011" xr:uid="{00000000-0005-0000-0000-000021170000}"/>
    <cellStyle name="_20061103Holux_ProgramWorkBook_EnterprisePortalRequirements_PMWorkbook 7" xfId="6012" xr:uid="{00000000-0005-0000-0000-000022170000}"/>
    <cellStyle name="_20061103Holux_ProgramWorkBook_EnterprisePortalRequirements_PMWorkbook 8" xfId="6013" xr:uid="{00000000-0005-0000-0000-000023170000}"/>
    <cellStyle name="_20061103Holux_ProgramWorkBook_EnterprisePortalRequirements_PMWorkbook 9" xfId="6014" xr:uid="{00000000-0005-0000-0000-000024170000}"/>
    <cellStyle name="_20061103Holux_ProgramWorkBook_FairPoint_CampReport" xfId="6015" xr:uid="{00000000-0005-0000-0000-000025170000}"/>
    <cellStyle name="_20061103Holux_ProgramWorkBook_FairPoint_CampReport 2" xfId="6016" xr:uid="{00000000-0005-0000-0000-000026170000}"/>
    <cellStyle name="_20061103Holux_ProgramWorkBook_FairPoint_CampReport 3" xfId="6017" xr:uid="{00000000-0005-0000-0000-000027170000}"/>
    <cellStyle name="_20061103Holux_ProgramWorkBook_FairPoint_FP comTechOps_ProgramWorkbook" xfId="6018" xr:uid="{00000000-0005-0000-0000-000028170000}"/>
    <cellStyle name="_20061103Holux_ProgramWorkBook_FairPoint_FP comTechOps_ProgramWorkbook 2" xfId="6019" xr:uid="{00000000-0005-0000-0000-000029170000}"/>
    <cellStyle name="_20061103Holux_ProgramWorkBook_FairPoint_FP comTechOps_ProgramWorkbook 3" xfId="6020" xr:uid="{00000000-0005-0000-0000-00002A170000}"/>
    <cellStyle name="_20061103Holux_ProgramWorkBook_FairPoint_FP comTechOps_ProgramWorkbook_sachin" xfId="6021" xr:uid="{00000000-0005-0000-0000-00002B170000}"/>
    <cellStyle name="_20061103Holux_ProgramWorkBook_FairPoint_FP comTechOps_ProgramWorkbook_sachin 2" xfId="6022" xr:uid="{00000000-0005-0000-0000-00002C170000}"/>
    <cellStyle name="_20061103Holux_ProgramWorkBook_FairPoint_FP comTechOps_ProgramWorkbook_sachin 3" xfId="6023" xr:uid="{00000000-0005-0000-0000-00002D170000}"/>
    <cellStyle name="_20061103Holux_ProgramWorkBook_FairPoint_FP comTechOps_ProgramWorkbook_sachin_v1" xfId="6024" xr:uid="{00000000-0005-0000-0000-00002E170000}"/>
    <cellStyle name="_20061103Holux_ProgramWorkBook_FairPoint_FP comTechOps_ProgramWorkbook_sachin_v1 2" xfId="6025" xr:uid="{00000000-0005-0000-0000-00002F170000}"/>
    <cellStyle name="_20061103Holux_ProgramWorkBook_FairPoint_FP comTechOps_ProgramWorkbook_sachin_v1 3" xfId="6026" xr:uid="{00000000-0005-0000-0000-000030170000}"/>
    <cellStyle name="_20061103Holux_ProgramWorkBook_FairPoint_IntialSetup_Focus" xfId="6027" xr:uid="{00000000-0005-0000-0000-000031170000}"/>
    <cellStyle name="_20061103Holux_ProgramWorkBook_FairPoint_IntialSetup_Focus 2" xfId="6028" xr:uid="{00000000-0005-0000-0000-000032170000}"/>
    <cellStyle name="_20061103Holux_ProgramWorkBook_FairPoint_IntialSetup_Focus 2 2" xfId="6029" xr:uid="{00000000-0005-0000-0000-000033170000}"/>
    <cellStyle name="_20061103Holux_ProgramWorkBook_FairPoint_IntialSetup_Focus 2 3" xfId="6030" xr:uid="{00000000-0005-0000-0000-000034170000}"/>
    <cellStyle name="_20061103Holux_ProgramWorkBook_FairPoint_IntialSetup_Focus 3" xfId="6031" xr:uid="{00000000-0005-0000-0000-000035170000}"/>
    <cellStyle name="_20061103Holux_ProgramWorkBook_FairPoint_IntialSetup_Focus 3 2" xfId="6032" xr:uid="{00000000-0005-0000-0000-000036170000}"/>
    <cellStyle name="_20061103Holux_ProgramWorkBook_FairPoint_IntialSetup_Focus 3 3" xfId="6033" xr:uid="{00000000-0005-0000-0000-000037170000}"/>
    <cellStyle name="_20061103Holux_ProgramWorkBook_FairPoint_IntialSetup_Focus 4" xfId="6034" xr:uid="{00000000-0005-0000-0000-000038170000}"/>
    <cellStyle name="_20061103Holux_ProgramWorkBook_FairPoint_IntialSetup_Focus 5" xfId="6035" xr:uid="{00000000-0005-0000-0000-000039170000}"/>
    <cellStyle name="_20061103Holux_ProgramWorkBook_FairPoint_IntialSetup_Focus_Commissioning System Implementation_Project Workbook_06_10_2011" xfId="6036" xr:uid="{00000000-0005-0000-0000-00003A170000}"/>
    <cellStyle name="_20061103Holux_ProgramWorkBook_FairPoint_IntialSetup_Focus_Commissioning System Implementation_Project Workbook_06_10_2011 2" xfId="6037" xr:uid="{00000000-0005-0000-0000-00003B170000}"/>
    <cellStyle name="_20061103Holux_ProgramWorkBook_FairPoint_IntialSetup_Focus_Commissioning System Implementation_Project Workbook_06_10_2011 3" xfId="6038" xr:uid="{00000000-0005-0000-0000-00003C170000}"/>
    <cellStyle name="_20061103Holux_ProgramWorkBook_FairPoint_IntialSetup_Focus_FairPoint_CampReport" xfId="6039" xr:uid="{00000000-0005-0000-0000-00003D170000}"/>
    <cellStyle name="_20061103Holux_ProgramWorkBook_FairPoint_IntialSetup_Focus_FairPoint_CampReport 2" xfId="6040" xr:uid="{00000000-0005-0000-0000-00003E170000}"/>
    <cellStyle name="_20061103Holux_ProgramWorkBook_FairPoint_IntialSetup_Focus_FairPoint_CampReport 3" xfId="6041" xr:uid="{00000000-0005-0000-0000-00003F170000}"/>
    <cellStyle name="_20061103Holux_ProgramWorkBook_FairPoint_IntialSetup_Focus_FairPoint_FP comTechOps_ProgramWorkbook" xfId="6042" xr:uid="{00000000-0005-0000-0000-000040170000}"/>
    <cellStyle name="_20061103Holux_ProgramWorkBook_FairPoint_IntialSetup_Focus_FairPoint_FP comTechOps_ProgramWorkbook 2" xfId="6043" xr:uid="{00000000-0005-0000-0000-000041170000}"/>
    <cellStyle name="_20061103Holux_ProgramWorkBook_FairPoint_IntialSetup_Focus_FairPoint_FP comTechOps_ProgramWorkbook 3" xfId="6044" xr:uid="{00000000-0005-0000-0000-000042170000}"/>
    <cellStyle name="_20061103Holux_ProgramWorkBook_FairPoint_IntialSetup_Focus_FairPoint_FP comTechOps_ProgramWorkbook_sachin" xfId="6045" xr:uid="{00000000-0005-0000-0000-000043170000}"/>
    <cellStyle name="_20061103Holux_ProgramWorkBook_FairPoint_IntialSetup_Focus_FairPoint_FP comTechOps_ProgramWorkbook_sachin 2" xfId="6046" xr:uid="{00000000-0005-0000-0000-000044170000}"/>
    <cellStyle name="_20061103Holux_ProgramWorkBook_FairPoint_IntialSetup_Focus_FairPoint_FP comTechOps_ProgramWorkbook_sachin 3" xfId="6047" xr:uid="{00000000-0005-0000-0000-000045170000}"/>
    <cellStyle name="_20061103Holux_ProgramWorkBook_FairPoint_IntialSetup_Focus_FairPoint_FP comTechOps_ProgramWorkbook_sachin_v1" xfId="6048" xr:uid="{00000000-0005-0000-0000-000046170000}"/>
    <cellStyle name="_20061103Holux_ProgramWorkBook_FairPoint_IntialSetup_Focus_FairPoint_FP comTechOps_ProgramWorkbook_sachin_v1 2" xfId="6049" xr:uid="{00000000-0005-0000-0000-000047170000}"/>
    <cellStyle name="_20061103Holux_ProgramWorkBook_FairPoint_IntialSetup_Focus_FairPoint_FP comTechOps_ProgramWorkbook_sachin_v1 3" xfId="6050" xr:uid="{00000000-0005-0000-0000-000048170000}"/>
    <cellStyle name="_20061103Holux_ProgramWorkBook_FairPoint_IntialSetup_Focus_FP_CAMP&amp;ITReporting_Maintenance_Dashboard" xfId="6051" xr:uid="{00000000-0005-0000-0000-000049170000}"/>
    <cellStyle name="_20061103Holux_ProgramWorkBook_FairPoint_IntialSetup_Focus_FP_CAMP&amp;ITReporting_Maintenance_Dashboard 2" xfId="6052" xr:uid="{00000000-0005-0000-0000-00004A170000}"/>
    <cellStyle name="_20061103Holux_ProgramWorkBook_FairPoint_IntialSetup_Focus_FP_CAMP&amp;ITReporting_Maintenance_Dashboard 3" xfId="6053" xr:uid="{00000000-0005-0000-0000-00004B170000}"/>
    <cellStyle name="_20061103Holux_ProgramWorkBook_FairPoint_IntialSetup_Focus_FP_CAMPITReporting_Maintenance_Dashboard" xfId="6054" xr:uid="{00000000-0005-0000-0000-00004C170000}"/>
    <cellStyle name="_20061103Holux_ProgramWorkBook_FairPoint_IntialSetup_Focus_FP_CAMPITReporting_Maintenance_Dashboard 2" xfId="6055" xr:uid="{00000000-0005-0000-0000-00004D170000}"/>
    <cellStyle name="_20061103Holux_ProgramWorkBook_FairPoint_IntialSetup_Focus_FP_CAMPITReporting_Maintenance_Dashboard 3" xfId="6056" xr:uid="{00000000-0005-0000-0000-00004E170000}"/>
    <cellStyle name="_20061103Holux_ProgramWorkBook_FairPoint_IntialSetup_Focus_FP_Commissions_Req_Dn_ProgramWorkBook_10-Dec-2010" xfId="6057" xr:uid="{00000000-0005-0000-0000-00004F170000}"/>
    <cellStyle name="_20061103Holux_ProgramWorkBook_FairPoint_IntialSetup_Focus_FP_Commissions_Req_Dn_ProgramWorkBook_10-Dec-2010 2" xfId="6058" xr:uid="{00000000-0005-0000-0000-000050170000}"/>
    <cellStyle name="_20061103Holux_ProgramWorkBook_FairPoint_IntialSetup_Focus_FP_Commissions_Req_Dn_ProgramWorkBook_10-Dec-2010 3" xfId="6059" xr:uid="{00000000-0005-0000-0000-000051170000}"/>
    <cellStyle name="_20061103Holux_ProgramWorkBook_FairPoint_IntialSetup_Focus_FP_DW_Impl_ProgramWorkBook_07-Jan-2011" xfId="6060" xr:uid="{00000000-0005-0000-0000-000052170000}"/>
    <cellStyle name="_20061103Holux_ProgramWorkBook_FairPoint_IntialSetup_Focus_FP_DW_Impl_ProgramWorkBook_07-Jan-2011 2" xfId="6061" xr:uid="{00000000-0005-0000-0000-000053170000}"/>
    <cellStyle name="_20061103Holux_ProgramWorkBook_FairPoint_IntialSetup_Focus_FP_DW_Impl_ProgramWorkBook_07-Jan-2011 2 2" xfId="6062" xr:uid="{00000000-0005-0000-0000-000054170000}"/>
    <cellStyle name="_20061103Holux_ProgramWorkBook_FairPoint_IntialSetup_Focus_FP_DW_Impl_ProgramWorkBook_07-Jan-2011 2 3" xfId="6063" xr:uid="{00000000-0005-0000-0000-000055170000}"/>
    <cellStyle name="_20061103Holux_ProgramWorkBook_FairPoint_IntialSetup_Focus_FP_DW_Impl_ProgramWorkBook_07-Jan-2011 3" xfId="6064" xr:uid="{00000000-0005-0000-0000-000056170000}"/>
    <cellStyle name="_20061103Holux_ProgramWorkBook_FairPoint_IntialSetup_Focus_FP_DW_Impl_ProgramWorkBook_07-Jan-2011 4" xfId="6065" xr:uid="{00000000-0005-0000-0000-000057170000}"/>
    <cellStyle name="_20061103Holux_ProgramWorkBook_FairPoint_IntialSetup_Focus_FP_DW_Impl_ProgramWorkBook_11-Feb-2011" xfId="6066" xr:uid="{00000000-0005-0000-0000-000058170000}"/>
    <cellStyle name="_20061103Holux_ProgramWorkBook_FairPoint_IntialSetup_Focus_FP_DW_Impl_ProgramWorkBook_11-Feb-2011 2" xfId="6067" xr:uid="{00000000-0005-0000-0000-000059170000}"/>
    <cellStyle name="_20061103Holux_ProgramWorkBook_FairPoint_IntialSetup_Focus_FP_DW_Impl_ProgramWorkBook_11-Feb-2011 3" xfId="6068" xr:uid="{00000000-0005-0000-0000-00005A170000}"/>
    <cellStyle name="_20061103Holux_ProgramWorkBook_FairPoint_IntialSetup_Focus_FP_DW_Impl_ProgramWorkBook_18-Feb-2011 - Working" xfId="6069" xr:uid="{00000000-0005-0000-0000-00005B170000}"/>
    <cellStyle name="_20061103Holux_ProgramWorkBook_FairPoint_IntialSetup_Focus_FP_DW_Impl_ProgramWorkBook_18-Feb-2011 - Working 2" xfId="6070" xr:uid="{00000000-0005-0000-0000-00005C170000}"/>
    <cellStyle name="_20061103Holux_ProgramWorkBook_FairPoint_IntialSetup_Focus_FP_DW_Impl_ProgramWorkBook_18-Feb-2011 - Working 3" xfId="6071" xr:uid="{00000000-0005-0000-0000-00005D170000}"/>
    <cellStyle name="_20061103Holux_ProgramWorkBook_FairPoint_IntialSetup_Focus_FP_EnterprisePortal_ProgramWorkbook" xfId="6072" xr:uid="{00000000-0005-0000-0000-00005E170000}"/>
    <cellStyle name="_20061103Holux_ProgramWorkBook_FairPoint_IntialSetup_Focus_FP_EnterprisePortal_ProgramWorkbook 2" xfId="6073" xr:uid="{00000000-0005-0000-0000-00005F170000}"/>
    <cellStyle name="_20061103Holux_ProgramWorkBook_FairPoint_IntialSetup_Focus_FP_EnterprisePortal_ProgramWorkbook 3" xfId="6074" xr:uid="{00000000-0005-0000-0000-000060170000}"/>
    <cellStyle name="_20061103Holux_ProgramWorkBook_FairPoint_IntialSetup_Focus_FP_SAP_MLP v2" xfId="6075" xr:uid="{00000000-0005-0000-0000-000061170000}"/>
    <cellStyle name="_20061103Holux_ProgramWorkBook_FairPoint_IntialSetup_Focus_FP_SAP_MLP v2 2" xfId="6076" xr:uid="{00000000-0005-0000-0000-000062170000}"/>
    <cellStyle name="_20061103Holux_ProgramWorkBook_FairPoint_IntialSetup_Focus_FP_SAP_MLP v2 3" xfId="6077" xr:uid="{00000000-0005-0000-0000-000063170000}"/>
    <cellStyle name="_20061103Holux_ProgramWorkBook_FairPoint_IntialSetup_Focus_KeyDecisions" xfId="6078" xr:uid="{00000000-0005-0000-0000-000064170000}"/>
    <cellStyle name="_20061103Holux_ProgramWorkBook_FairPoint_IntialSetup_Focus_KeyDecisions 2" xfId="6079" xr:uid="{00000000-0005-0000-0000-000065170000}"/>
    <cellStyle name="_20061103Holux_ProgramWorkBook_FairPoint_IntialSetup_Focus_KeyDecisions 3" xfId="6080" xr:uid="{00000000-0005-0000-0000-000066170000}"/>
    <cellStyle name="_20061103Holux_ProgramWorkBook_FairPoint_IntialSetup_Focus_Sophia_Imp_ProjectWorkBook_02_18_2011" xfId="6081" xr:uid="{00000000-0005-0000-0000-000067170000}"/>
    <cellStyle name="_20061103Holux_ProgramWorkBook_FairPoint_IntialSetup_Focus_Sophia_Imp_ProjectWorkBook_02_18_2011 2" xfId="6082" xr:uid="{00000000-0005-0000-0000-000068170000}"/>
    <cellStyle name="_20061103Holux_ProgramWorkBook_FairPoint_IntialSetup_Focus_Sophia_Imp_ProjectWorkBook_02_18_2011 3" xfId="6083" xr:uid="{00000000-0005-0000-0000-000069170000}"/>
    <cellStyle name="_20061103Holux_ProgramWorkBook_FairPoint_IntialSetup_Focus_t" xfId="6084" xr:uid="{00000000-0005-0000-0000-00006A170000}"/>
    <cellStyle name="_20061103Holux_ProgramWorkBook_FairPoint_IntialSetup_Focus_t 2" xfId="6085" xr:uid="{00000000-0005-0000-0000-00006B170000}"/>
    <cellStyle name="_20061103Holux_ProgramWorkBook_FairPoint_IntialSetup_Focus_t 3" xfId="6086" xr:uid="{00000000-0005-0000-0000-00006C170000}"/>
    <cellStyle name="_20061103Holux_ProgramWorkBook_FairPoint_TechnicalImplementation_Plan" xfId="6087" xr:uid="{00000000-0005-0000-0000-00006D170000}"/>
    <cellStyle name="_20061103Holux_ProgramWorkBook_FairPoint_TechnicalImplementation_Plan 2" xfId="6088" xr:uid="{00000000-0005-0000-0000-00006E170000}"/>
    <cellStyle name="_20061103Holux_ProgramWorkBook_FairPoint_TechnicalImplementation_Plan 2 2" xfId="6089" xr:uid="{00000000-0005-0000-0000-00006F170000}"/>
    <cellStyle name="_20061103Holux_ProgramWorkBook_FairPoint_TechnicalImplementation_Plan 2 3" xfId="6090" xr:uid="{00000000-0005-0000-0000-000070170000}"/>
    <cellStyle name="_20061103Holux_ProgramWorkBook_FairPoint_TechnicalImplementation_Plan 3" xfId="6091" xr:uid="{00000000-0005-0000-0000-000071170000}"/>
    <cellStyle name="_20061103Holux_ProgramWorkBook_FairPoint_TechnicalImplementation_Plan 3 2" xfId="6092" xr:uid="{00000000-0005-0000-0000-000072170000}"/>
    <cellStyle name="_20061103Holux_ProgramWorkBook_FairPoint_TechnicalImplementation_Plan 3 3" xfId="6093" xr:uid="{00000000-0005-0000-0000-000073170000}"/>
    <cellStyle name="_20061103Holux_ProgramWorkBook_FairPoint_TechnicalImplementation_Plan 4" xfId="6094" xr:uid="{00000000-0005-0000-0000-000074170000}"/>
    <cellStyle name="_20061103Holux_ProgramWorkBook_FairPoint_TechnicalImplementation_Plan 5" xfId="6095" xr:uid="{00000000-0005-0000-0000-000075170000}"/>
    <cellStyle name="_20061103Holux_ProgramWorkBook_FairPoint_TechnicalImplementation_Plan_Commissioning System Implementation_Project Workbook_06_10_2011" xfId="6096" xr:uid="{00000000-0005-0000-0000-000076170000}"/>
    <cellStyle name="_20061103Holux_ProgramWorkBook_FairPoint_TechnicalImplementation_Plan_Commissioning System Implementation_Project Workbook_06_10_2011 2" xfId="6097" xr:uid="{00000000-0005-0000-0000-000077170000}"/>
    <cellStyle name="_20061103Holux_ProgramWorkBook_FairPoint_TechnicalImplementation_Plan_Commissioning System Implementation_Project Workbook_06_10_2011 3" xfId="6098" xr:uid="{00000000-0005-0000-0000-000078170000}"/>
    <cellStyle name="_20061103Holux_ProgramWorkBook_FairPoint_TechnicalImplementation_Plan_FairPoint_CampReport" xfId="6099" xr:uid="{00000000-0005-0000-0000-000079170000}"/>
    <cellStyle name="_20061103Holux_ProgramWorkBook_FairPoint_TechnicalImplementation_Plan_FairPoint_CampReport 2" xfId="6100" xr:uid="{00000000-0005-0000-0000-00007A170000}"/>
    <cellStyle name="_20061103Holux_ProgramWorkBook_FairPoint_TechnicalImplementation_Plan_FairPoint_CampReport 3" xfId="6101" xr:uid="{00000000-0005-0000-0000-00007B170000}"/>
    <cellStyle name="_20061103Holux_ProgramWorkBook_FairPoint_TechnicalImplementation_Plan_FairPoint_FP comTechOps_ProgramWorkbook" xfId="6102" xr:uid="{00000000-0005-0000-0000-00007C170000}"/>
    <cellStyle name="_20061103Holux_ProgramWorkBook_FairPoint_TechnicalImplementation_Plan_FairPoint_FP comTechOps_ProgramWorkbook 2" xfId="6103" xr:uid="{00000000-0005-0000-0000-00007D170000}"/>
    <cellStyle name="_20061103Holux_ProgramWorkBook_FairPoint_TechnicalImplementation_Plan_FairPoint_FP comTechOps_ProgramWorkbook 3" xfId="6104" xr:uid="{00000000-0005-0000-0000-00007E170000}"/>
    <cellStyle name="_20061103Holux_ProgramWorkBook_FairPoint_TechnicalImplementation_Plan_FairPoint_FP comTechOps_ProgramWorkbook_sachin" xfId="6105" xr:uid="{00000000-0005-0000-0000-00007F170000}"/>
    <cellStyle name="_20061103Holux_ProgramWorkBook_FairPoint_TechnicalImplementation_Plan_FairPoint_FP comTechOps_ProgramWorkbook_sachin 2" xfId="6106" xr:uid="{00000000-0005-0000-0000-000080170000}"/>
    <cellStyle name="_20061103Holux_ProgramWorkBook_FairPoint_TechnicalImplementation_Plan_FairPoint_FP comTechOps_ProgramWorkbook_sachin 3" xfId="6107" xr:uid="{00000000-0005-0000-0000-000081170000}"/>
    <cellStyle name="_20061103Holux_ProgramWorkBook_FairPoint_TechnicalImplementation_Plan_FairPoint_FP comTechOps_ProgramWorkbook_sachin_v1" xfId="6108" xr:uid="{00000000-0005-0000-0000-000082170000}"/>
    <cellStyle name="_20061103Holux_ProgramWorkBook_FairPoint_TechnicalImplementation_Plan_FairPoint_FP comTechOps_ProgramWorkbook_sachin_v1 2" xfId="6109" xr:uid="{00000000-0005-0000-0000-000083170000}"/>
    <cellStyle name="_20061103Holux_ProgramWorkBook_FairPoint_TechnicalImplementation_Plan_FairPoint_FP comTechOps_ProgramWorkbook_sachin_v1 3" xfId="6110" xr:uid="{00000000-0005-0000-0000-000084170000}"/>
    <cellStyle name="_20061103Holux_ProgramWorkBook_FairPoint_TechnicalImplementation_Plan_FP_CAMP&amp;ITReporting_Maintenance_Dashboard" xfId="6111" xr:uid="{00000000-0005-0000-0000-000085170000}"/>
    <cellStyle name="_20061103Holux_ProgramWorkBook_FairPoint_TechnicalImplementation_Plan_FP_CAMP&amp;ITReporting_Maintenance_Dashboard 2" xfId="6112" xr:uid="{00000000-0005-0000-0000-000086170000}"/>
    <cellStyle name="_20061103Holux_ProgramWorkBook_FairPoint_TechnicalImplementation_Plan_FP_CAMP&amp;ITReporting_Maintenance_Dashboard 3" xfId="6113" xr:uid="{00000000-0005-0000-0000-000087170000}"/>
    <cellStyle name="_20061103Holux_ProgramWorkBook_FairPoint_TechnicalImplementation_Plan_FP_CAMPITReporting_Maintenance_Dashboard" xfId="6114" xr:uid="{00000000-0005-0000-0000-000088170000}"/>
    <cellStyle name="_20061103Holux_ProgramWorkBook_FairPoint_TechnicalImplementation_Plan_FP_CAMPITReporting_Maintenance_Dashboard 2" xfId="6115" xr:uid="{00000000-0005-0000-0000-000089170000}"/>
    <cellStyle name="_20061103Holux_ProgramWorkBook_FairPoint_TechnicalImplementation_Plan_FP_CAMPITReporting_Maintenance_Dashboard 3" xfId="6116" xr:uid="{00000000-0005-0000-0000-00008A170000}"/>
    <cellStyle name="_20061103Holux_ProgramWorkBook_FairPoint_TechnicalImplementation_Plan_FP_Commissions_Req_Dn_ProgramWorkBook_10-Dec-2010" xfId="6117" xr:uid="{00000000-0005-0000-0000-00008B170000}"/>
    <cellStyle name="_20061103Holux_ProgramWorkBook_FairPoint_TechnicalImplementation_Plan_FP_Commissions_Req_Dn_ProgramWorkBook_10-Dec-2010 2" xfId="6118" xr:uid="{00000000-0005-0000-0000-00008C170000}"/>
    <cellStyle name="_20061103Holux_ProgramWorkBook_FairPoint_TechnicalImplementation_Plan_FP_Commissions_Req_Dn_ProgramWorkBook_10-Dec-2010 3" xfId="6119" xr:uid="{00000000-0005-0000-0000-00008D170000}"/>
    <cellStyle name="_20061103Holux_ProgramWorkBook_FairPoint_TechnicalImplementation_Plan_FP_DW_Impl_ProgramWorkBook_07-Jan-2011" xfId="6120" xr:uid="{00000000-0005-0000-0000-00008E170000}"/>
    <cellStyle name="_20061103Holux_ProgramWorkBook_FairPoint_TechnicalImplementation_Plan_FP_DW_Impl_ProgramWorkBook_07-Jan-2011 2" xfId="6121" xr:uid="{00000000-0005-0000-0000-00008F170000}"/>
    <cellStyle name="_20061103Holux_ProgramWorkBook_FairPoint_TechnicalImplementation_Plan_FP_DW_Impl_ProgramWorkBook_07-Jan-2011 2 2" xfId="6122" xr:uid="{00000000-0005-0000-0000-000090170000}"/>
    <cellStyle name="_20061103Holux_ProgramWorkBook_FairPoint_TechnicalImplementation_Plan_FP_DW_Impl_ProgramWorkBook_07-Jan-2011 2 3" xfId="6123" xr:uid="{00000000-0005-0000-0000-000091170000}"/>
    <cellStyle name="_20061103Holux_ProgramWorkBook_FairPoint_TechnicalImplementation_Plan_FP_DW_Impl_ProgramWorkBook_07-Jan-2011 3" xfId="6124" xr:uid="{00000000-0005-0000-0000-000092170000}"/>
    <cellStyle name="_20061103Holux_ProgramWorkBook_FairPoint_TechnicalImplementation_Plan_FP_DW_Impl_ProgramWorkBook_07-Jan-2011 4" xfId="6125" xr:uid="{00000000-0005-0000-0000-000093170000}"/>
    <cellStyle name="_20061103Holux_ProgramWorkBook_FairPoint_TechnicalImplementation_Plan_FP_DW_Impl_ProgramWorkBook_11-Feb-2011" xfId="6126" xr:uid="{00000000-0005-0000-0000-000094170000}"/>
    <cellStyle name="_20061103Holux_ProgramWorkBook_FairPoint_TechnicalImplementation_Plan_FP_DW_Impl_ProgramWorkBook_11-Feb-2011 2" xfId="6127" xr:uid="{00000000-0005-0000-0000-000095170000}"/>
    <cellStyle name="_20061103Holux_ProgramWorkBook_FairPoint_TechnicalImplementation_Plan_FP_DW_Impl_ProgramWorkBook_11-Feb-2011 3" xfId="6128" xr:uid="{00000000-0005-0000-0000-000096170000}"/>
    <cellStyle name="_20061103Holux_ProgramWorkBook_FairPoint_TechnicalImplementation_Plan_FP_DW_Impl_ProgramWorkBook_18-Feb-2011 - Working" xfId="6129" xr:uid="{00000000-0005-0000-0000-000097170000}"/>
    <cellStyle name="_20061103Holux_ProgramWorkBook_FairPoint_TechnicalImplementation_Plan_FP_DW_Impl_ProgramWorkBook_18-Feb-2011 - Working 2" xfId="6130" xr:uid="{00000000-0005-0000-0000-000098170000}"/>
    <cellStyle name="_20061103Holux_ProgramWorkBook_FairPoint_TechnicalImplementation_Plan_FP_DW_Impl_ProgramWorkBook_18-Feb-2011 - Working 3" xfId="6131" xr:uid="{00000000-0005-0000-0000-000099170000}"/>
    <cellStyle name="_20061103Holux_ProgramWorkBook_FairPoint_TechnicalImplementation_Plan_FP_EnterprisePortal_ProgramWorkbook" xfId="6132" xr:uid="{00000000-0005-0000-0000-00009A170000}"/>
    <cellStyle name="_20061103Holux_ProgramWorkBook_FairPoint_TechnicalImplementation_Plan_FP_EnterprisePortal_ProgramWorkbook 2" xfId="6133" xr:uid="{00000000-0005-0000-0000-00009B170000}"/>
    <cellStyle name="_20061103Holux_ProgramWorkBook_FairPoint_TechnicalImplementation_Plan_FP_EnterprisePortal_ProgramWorkbook 3" xfId="6134" xr:uid="{00000000-0005-0000-0000-00009C170000}"/>
    <cellStyle name="_20061103Holux_ProgramWorkBook_FairPoint_TechnicalImplementation_Plan_FP_SAP_MLP v2" xfId="6135" xr:uid="{00000000-0005-0000-0000-00009D170000}"/>
    <cellStyle name="_20061103Holux_ProgramWorkBook_FairPoint_TechnicalImplementation_Plan_FP_SAP_MLP v2 2" xfId="6136" xr:uid="{00000000-0005-0000-0000-00009E170000}"/>
    <cellStyle name="_20061103Holux_ProgramWorkBook_FairPoint_TechnicalImplementation_Plan_FP_SAP_MLP v2 3" xfId="6137" xr:uid="{00000000-0005-0000-0000-00009F170000}"/>
    <cellStyle name="_20061103Holux_ProgramWorkBook_FairPoint_TechnicalImplementation_Plan_KeyDecisions" xfId="6138" xr:uid="{00000000-0005-0000-0000-0000A0170000}"/>
    <cellStyle name="_20061103Holux_ProgramWorkBook_FairPoint_TechnicalImplementation_Plan_KeyDecisions 2" xfId="6139" xr:uid="{00000000-0005-0000-0000-0000A1170000}"/>
    <cellStyle name="_20061103Holux_ProgramWorkBook_FairPoint_TechnicalImplementation_Plan_KeyDecisions 3" xfId="6140" xr:uid="{00000000-0005-0000-0000-0000A2170000}"/>
    <cellStyle name="_20061103Holux_ProgramWorkBook_FairPoint_TechnicalImplementation_Plan_Sophia_Imp_ProjectWorkBook_02_18_2011" xfId="6141" xr:uid="{00000000-0005-0000-0000-0000A3170000}"/>
    <cellStyle name="_20061103Holux_ProgramWorkBook_FairPoint_TechnicalImplementation_Plan_Sophia_Imp_ProjectWorkBook_02_18_2011 2" xfId="6142" xr:uid="{00000000-0005-0000-0000-0000A4170000}"/>
    <cellStyle name="_20061103Holux_ProgramWorkBook_FairPoint_TechnicalImplementation_Plan_Sophia_Imp_ProjectWorkBook_02_18_2011 3" xfId="6143" xr:uid="{00000000-0005-0000-0000-0000A5170000}"/>
    <cellStyle name="_20061103Holux_ProgramWorkBook_FairPoint_TechnicalImplementation_Plan_t" xfId="6144" xr:uid="{00000000-0005-0000-0000-0000A6170000}"/>
    <cellStyle name="_20061103Holux_ProgramWorkBook_FairPoint_TechnicalImplementation_Plan_t 2" xfId="6145" xr:uid="{00000000-0005-0000-0000-0000A7170000}"/>
    <cellStyle name="_20061103Holux_ProgramWorkBook_FairPoint_TechnicalImplementation_Plan_t 3" xfId="6146" xr:uid="{00000000-0005-0000-0000-0000A8170000}"/>
    <cellStyle name="_20061103Holux_ProgramWorkBook_FP_CAMP&amp;ITReporting_Maintenance_Dashboard" xfId="6147" xr:uid="{00000000-0005-0000-0000-0000A9170000}"/>
    <cellStyle name="_20061103Holux_ProgramWorkBook_FP_CAMP&amp;ITReporting_Maintenance_Dashboard 2" xfId="6148" xr:uid="{00000000-0005-0000-0000-0000AA170000}"/>
    <cellStyle name="_20061103Holux_ProgramWorkBook_FP_CAMP&amp;ITReporting_Maintenance_Dashboard 3" xfId="6149" xr:uid="{00000000-0005-0000-0000-0000AB170000}"/>
    <cellStyle name="_20061103Holux_ProgramWorkBook_FP_CAMPITReporting_Maintenance_Dashboard" xfId="6150" xr:uid="{00000000-0005-0000-0000-0000AC170000}"/>
    <cellStyle name="_20061103Holux_ProgramWorkBook_FP_CAMPITReporting_Maintenance_Dashboard 2" xfId="6151" xr:uid="{00000000-0005-0000-0000-0000AD170000}"/>
    <cellStyle name="_20061103Holux_ProgramWorkBook_FP_CAMPITReporting_Maintenance_Dashboard 3" xfId="6152" xr:uid="{00000000-0005-0000-0000-0000AE170000}"/>
    <cellStyle name="_20061103Holux_ProgramWorkBook_FP_Commissions_Req_Dn_ProgramWorkBook_10-Dec-2010" xfId="6153" xr:uid="{00000000-0005-0000-0000-0000AF170000}"/>
    <cellStyle name="_20061103Holux_ProgramWorkBook_FP_Commissions_Req_Dn_ProgramWorkBook_10-Dec-2010 2" xfId="6154" xr:uid="{00000000-0005-0000-0000-0000B0170000}"/>
    <cellStyle name="_20061103Holux_ProgramWorkBook_FP_Commissions_Req_Dn_ProgramWorkBook_10-Dec-2010 3" xfId="6155" xr:uid="{00000000-0005-0000-0000-0000B1170000}"/>
    <cellStyle name="_20061103Holux_ProgramWorkBook_FP_DW_Impl_ProgramWorkBook_03-Dec-2010111" xfId="6156" xr:uid="{00000000-0005-0000-0000-0000B2170000}"/>
    <cellStyle name="_20061103Holux_ProgramWorkBook_FP_DW_Impl_ProgramWorkBook_03-Dec-2010111 2" xfId="6157" xr:uid="{00000000-0005-0000-0000-0000B3170000}"/>
    <cellStyle name="_20061103Holux_ProgramWorkBook_FP_DW_Impl_ProgramWorkBook_03-Dec-2010111 3" xfId="6158" xr:uid="{00000000-0005-0000-0000-0000B4170000}"/>
    <cellStyle name="_20061103Holux_ProgramWorkBook_FP_DW_Impl_ProgramWorkBook_07-Jan-2011" xfId="6159" xr:uid="{00000000-0005-0000-0000-0000B5170000}"/>
    <cellStyle name="_20061103Holux_ProgramWorkBook_FP_DW_Impl_ProgramWorkBook_07-Jan-2011 2" xfId="6160" xr:uid="{00000000-0005-0000-0000-0000B6170000}"/>
    <cellStyle name="_20061103Holux_ProgramWorkBook_FP_DW_Impl_ProgramWorkBook_07-Jan-2011 3" xfId="6161" xr:uid="{00000000-0005-0000-0000-0000B7170000}"/>
    <cellStyle name="_20061103Holux_ProgramWorkBook_FP_DW_Impl_ProgramWorkBook_11-Feb-2011" xfId="6162" xr:uid="{00000000-0005-0000-0000-0000B8170000}"/>
    <cellStyle name="_20061103Holux_ProgramWorkBook_FP_DW_Impl_ProgramWorkBook_11-Feb-2011 2" xfId="6163" xr:uid="{00000000-0005-0000-0000-0000B9170000}"/>
    <cellStyle name="_20061103Holux_ProgramWorkBook_FP_DW_Impl_ProgramWorkBook_11-Feb-2011 3" xfId="6164" xr:uid="{00000000-0005-0000-0000-0000BA170000}"/>
    <cellStyle name="_20061103Holux_ProgramWorkBook_FP_DW_Impl_ProgramWorkBook_18-Feb-2011 - Working" xfId="6165" xr:uid="{00000000-0005-0000-0000-0000BB170000}"/>
    <cellStyle name="_20061103Holux_ProgramWorkBook_FP_DW_Impl_ProgramWorkBook_18-Feb-2011 - Working 2" xfId="6166" xr:uid="{00000000-0005-0000-0000-0000BC170000}"/>
    <cellStyle name="_20061103Holux_ProgramWorkBook_FP_DW_Impl_ProgramWorkBook_18-Feb-2011 - Working 3" xfId="6167" xr:uid="{00000000-0005-0000-0000-0000BD170000}"/>
    <cellStyle name="_20061103Holux_ProgramWorkBook_FP_EnterprisePortal_ProgramWorkbook" xfId="6168" xr:uid="{00000000-0005-0000-0000-0000BE170000}"/>
    <cellStyle name="_20061103Holux_ProgramWorkBook_FP_EnterprisePortal_ProgramWorkbook 2" xfId="6169" xr:uid="{00000000-0005-0000-0000-0000BF170000}"/>
    <cellStyle name="_20061103Holux_ProgramWorkBook_FP_EnterprisePortal_ProgramWorkbook 3" xfId="6170" xr:uid="{00000000-0005-0000-0000-0000C0170000}"/>
    <cellStyle name="_20061103Holux_ProgramWorkBook_FP_SAP_MLP v2" xfId="6171" xr:uid="{00000000-0005-0000-0000-0000C1170000}"/>
    <cellStyle name="_20061103Holux_ProgramWorkBook_FP_SAP_MLP v2 2" xfId="6172" xr:uid="{00000000-0005-0000-0000-0000C2170000}"/>
    <cellStyle name="_20061103Holux_ProgramWorkBook_FP_SAP_MLP v2 3" xfId="6173" xr:uid="{00000000-0005-0000-0000-0000C3170000}"/>
    <cellStyle name="_20061103Holux_ProgramWorkBook_KeyDecisions" xfId="6174" xr:uid="{00000000-0005-0000-0000-0000C4170000}"/>
    <cellStyle name="_20061103Holux_ProgramWorkBook_KeyDecisions 2" xfId="6175" xr:uid="{00000000-0005-0000-0000-0000C5170000}"/>
    <cellStyle name="_20061103Holux_ProgramWorkBook_KeyDecisions 2_Steps of Doneness" xfId="6176" xr:uid="{00000000-0005-0000-0000-0000C6170000}"/>
    <cellStyle name="_20061103Holux_ProgramWorkBook_KeyDecisions 3" xfId="6177" xr:uid="{00000000-0005-0000-0000-0000C7170000}"/>
    <cellStyle name="_20061103Holux_ProgramWorkBook_LoanOriginationPMWorkbook 23Feb2010" xfId="6178" xr:uid="{00000000-0005-0000-0000-0000C8170000}"/>
    <cellStyle name="_20061103Holux_ProgramWorkBook_LoanOriginationPMWorkbook 23Feb2010 2" xfId="6179" xr:uid="{00000000-0005-0000-0000-0000C9170000}"/>
    <cellStyle name="_20061103Holux_ProgramWorkBook_LoanOriginationPMWorkbook 23Feb2010 2_Steps of Doneness" xfId="6180" xr:uid="{00000000-0005-0000-0000-0000CA170000}"/>
    <cellStyle name="_20061103Holux_ProgramWorkBook_LoanOriginationPMWorkbook 23Feb2010 3" xfId="6181" xr:uid="{00000000-0005-0000-0000-0000CB170000}"/>
    <cellStyle name="_20061103Holux_ProgramWorkBook_LoanOriginationPMWorkbook 23Feb2010_slm_llp_0520" xfId="6182" xr:uid="{00000000-0005-0000-0000-0000CC170000}"/>
    <cellStyle name="_20061103Holux_ProgramWorkBook_LoanOriginationPMWorkbook 23Feb2010_slm_llp_0520 2" xfId="6183" xr:uid="{00000000-0005-0000-0000-0000CD170000}"/>
    <cellStyle name="_20061103Holux_ProgramWorkBook_LoanOriginationPMWorkbook 23Feb2010_slm_llp_0520 2 2" xfId="6184" xr:uid="{00000000-0005-0000-0000-0000CE170000}"/>
    <cellStyle name="_20061103Holux_ProgramWorkBook_LoanOriginationPMWorkbook 23Feb2010_slm_llp_0520 2 2_Steps of Doneness" xfId="6185" xr:uid="{00000000-0005-0000-0000-0000CF170000}"/>
    <cellStyle name="_20061103Holux_ProgramWorkBook_LoanOriginationPMWorkbook 23Feb2010_slm_llp_0520 2 3" xfId="6186" xr:uid="{00000000-0005-0000-0000-0000D0170000}"/>
    <cellStyle name="_20061103Holux_ProgramWorkBook_LoanOriginationPMWorkbook 23Feb2010_slm_llp_0520 2_Steps of Doneness" xfId="6187" xr:uid="{00000000-0005-0000-0000-0000D1170000}"/>
    <cellStyle name="_20061103Holux_ProgramWorkBook_LoanOriginationPMWorkbook 23Feb2010_slm_llp_0520 3" xfId="6188" xr:uid="{00000000-0005-0000-0000-0000D2170000}"/>
    <cellStyle name="_20061103Holux_ProgramWorkBook_LoanOriginationPMWorkbook 23Feb2010_slm_llp_0520 3 2" xfId="6189" xr:uid="{00000000-0005-0000-0000-0000D3170000}"/>
    <cellStyle name="_20061103Holux_ProgramWorkBook_LoanOriginationPMWorkbook 23Feb2010_slm_llp_0520 3 2_Steps of Doneness" xfId="6190" xr:uid="{00000000-0005-0000-0000-0000D4170000}"/>
    <cellStyle name="_20061103Holux_ProgramWorkBook_LoanOriginationPMWorkbook 23Feb2010_slm_llp_0520 3 3" xfId="6191" xr:uid="{00000000-0005-0000-0000-0000D5170000}"/>
    <cellStyle name="_20061103Holux_ProgramWorkBook_LoanOriginationPMWorkbook 23Feb2010_slm_llp_0520 3_Steps of Doneness" xfId="6192" xr:uid="{00000000-0005-0000-0000-0000D6170000}"/>
    <cellStyle name="_20061103Holux_ProgramWorkBook_LoanOriginationPMWorkbook 23Feb2010_slm_llp_0520 4" xfId="6193" xr:uid="{00000000-0005-0000-0000-0000D7170000}"/>
    <cellStyle name="_20061103Holux_ProgramWorkBook_LoanOriginationPMWorkbook 23Feb2010_slm_llp_0520 4_Steps of Doneness" xfId="6194" xr:uid="{00000000-0005-0000-0000-0000D8170000}"/>
    <cellStyle name="_20061103Holux_ProgramWorkBook_LoanOriginationPMWorkbook 23Feb2010_slm_llp_0520 5" xfId="6195" xr:uid="{00000000-0005-0000-0000-0000D9170000}"/>
    <cellStyle name="_20061103Holux_ProgramWorkBook_LoanOriginationPMWorkbook 23Feb2010_slm_llp_0520 6" xfId="6196" xr:uid="{00000000-0005-0000-0000-0000DA170000}"/>
    <cellStyle name="_20061103Holux_ProgramWorkBook_LoanOriginationPMWorkbook 23Feb2010_slm_llp_0520_Commissioning System Implementation_Project Workbook_06_10_2011" xfId="6197" xr:uid="{00000000-0005-0000-0000-0000DB170000}"/>
    <cellStyle name="_20061103Holux_ProgramWorkBook_LoanOriginationPMWorkbook 23Feb2010_slm_llp_0520_Commissioning System Implementation_Project Workbook_06_10_2011 2" xfId="6198" xr:uid="{00000000-0005-0000-0000-0000DC170000}"/>
    <cellStyle name="_20061103Holux_ProgramWorkBook_LoanOriginationPMWorkbook 23Feb2010_slm_llp_0520_Commissioning System Implementation_Project Workbook_06_10_2011 2_Steps of Doneness" xfId="6199" xr:uid="{00000000-0005-0000-0000-0000DD170000}"/>
    <cellStyle name="_20061103Holux_ProgramWorkBook_LoanOriginationPMWorkbook 23Feb2010_slm_llp_0520_Commissioning System Implementation_Project Workbook_06_10_2011 3" xfId="6200" xr:uid="{00000000-0005-0000-0000-0000DE170000}"/>
    <cellStyle name="_20061103Holux_ProgramWorkBook_LoanOriginationPMWorkbook 23Feb2010_slm_llp_0520_Commissioning System Implementation_Project Workbook_06_10_2011_Steps of Doneness" xfId="6201" xr:uid="{00000000-0005-0000-0000-0000DF170000}"/>
    <cellStyle name="_20061103Holux_ProgramWorkBook_LoanOriginationPMWorkbook 23Feb2010_slm_llp_0520_FairPoint_CampReport" xfId="6202" xr:uid="{00000000-0005-0000-0000-0000E0170000}"/>
    <cellStyle name="_20061103Holux_ProgramWorkBook_LoanOriginationPMWorkbook 23Feb2010_slm_llp_0520_FairPoint_CampReport 2" xfId="6203" xr:uid="{00000000-0005-0000-0000-0000E1170000}"/>
    <cellStyle name="_20061103Holux_ProgramWorkBook_LoanOriginationPMWorkbook 23Feb2010_slm_llp_0520_FairPoint_CampReport 2_Steps of Doneness" xfId="6204" xr:uid="{00000000-0005-0000-0000-0000E2170000}"/>
    <cellStyle name="_20061103Holux_ProgramWorkBook_LoanOriginationPMWorkbook 23Feb2010_slm_llp_0520_FairPoint_CampReport 3" xfId="6205" xr:uid="{00000000-0005-0000-0000-0000E3170000}"/>
    <cellStyle name="_20061103Holux_ProgramWorkBook_LoanOriginationPMWorkbook 23Feb2010_slm_llp_0520_FairPoint_CampReport_Steps of Doneness" xfId="6206" xr:uid="{00000000-0005-0000-0000-0000E4170000}"/>
    <cellStyle name="_20061103Holux_ProgramWorkBook_LoanOriginationPMWorkbook 23Feb2010_slm_llp_0520_FairPoint_FP comTechOps_ProgramWorkbook" xfId="6207" xr:uid="{00000000-0005-0000-0000-0000E5170000}"/>
    <cellStyle name="_20061103Holux_ProgramWorkBook_LoanOriginationPMWorkbook 23Feb2010_slm_llp_0520_FairPoint_FP comTechOps_ProgramWorkbook 2" xfId="6208" xr:uid="{00000000-0005-0000-0000-0000E6170000}"/>
    <cellStyle name="_20061103Holux_ProgramWorkBook_LoanOriginationPMWorkbook 23Feb2010_slm_llp_0520_FairPoint_FP comTechOps_ProgramWorkbook 2_Steps of Doneness" xfId="6209" xr:uid="{00000000-0005-0000-0000-0000E7170000}"/>
    <cellStyle name="_20061103Holux_ProgramWorkBook_LoanOriginationPMWorkbook 23Feb2010_slm_llp_0520_FairPoint_FP comTechOps_ProgramWorkbook 3" xfId="6210" xr:uid="{00000000-0005-0000-0000-0000E8170000}"/>
    <cellStyle name="_20061103Holux_ProgramWorkBook_LoanOriginationPMWorkbook 23Feb2010_slm_llp_0520_FairPoint_FP comTechOps_ProgramWorkbook_sachin" xfId="6211" xr:uid="{00000000-0005-0000-0000-0000E9170000}"/>
    <cellStyle name="_20061103Holux_ProgramWorkBook_LoanOriginationPMWorkbook 23Feb2010_slm_llp_0520_FairPoint_FP comTechOps_ProgramWorkbook_sachin 2" xfId="6212" xr:uid="{00000000-0005-0000-0000-0000EA170000}"/>
    <cellStyle name="_20061103Holux_ProgramWorkBook_LoanOriginationPMWorkbook 23Feb2010_slm_llp_0520_FairPoint_FP comTechOps_ProgramWorkbook_sachin 2_Steps of Doneness" xfId="6213" xr:uid="{00000000-0005-0000-0000-0000EB170000}"/>
    <cellStyle name="_20061103Holux_ProgramWorkBook_LoanOriginationPMWorkbook 23Feb2010_slm_llp_0520_FairPoint_FP comTechOps_ProgramWorkbook_sachin 3" xfId="6214" xr:uid="{00000000-0005-0000-0000-0000EC170000}"/>
    <cellStyle name="_20061103Holux_ProgramWorkBook_LoanOriginationPMWorkbook 23Feb2010_slm_llp_0520_FairPoint_FP comTechOps_ProgramWorkbook_sachin_Steps of Doneness" xfId="6215" xr:uid="{00000000-0005-0000-0000-0000ED170000}"/>
    <cellStyle name="_20061103Holux_ProgramWorkBook_LoanOriginationPMWorkbook 23Feb2010_slm_llp_0520_FairPoint_FP comTechOps_ProgramWorkbook_sachin_v1" xfId="6216" xr:uid="{00000000-0005-0000-0000-0000EE170000}"/>
    <cellStyle name="_20061103Holux_ProgramWorkBook_LoanOriginationPMWorkbook 23Feb2010_slm_llp_0520_FairPoint_FP comTechOps_ProgramWorkbook_sachin_v1 2" xfId="6217" xr:uid="{00000000-0005-0000-0000-0000EF170000}"/>
    <cellStyle name="_20061103Holux_ProgramWorkBook_LoanOriginationPMWorkbook 23Feb2010_slm_llp_0520_FairPoint_FP comTechOps_ProgramWorkbook_sachin_v1 2_Steps of Doneness" xfId="6218" xr:uid="{00000000-0005-0000-0000-0000F0170000}"/>
    <cellStyle name="_20061103Holux_ProgramWorkBook_LoanOriginationPMWorkbook 23Feb2010_slm_llp_0520_FairPoint_FP comTechOps_ProgramWorkbook_sachin_v1 3" xfId="6219" xr:uid="{00000000-0005-0000-0000-0000F1170000}"/>
    <cellStyle name="_20061103Holux_ProgramWorkBook_LoanOriginationPMWorkbook 23Feb2010_slm_llp_0520_FairPoint_FP comTechOps_ProgramWorkbook_sachin_v1_Steps of Doneness" xfId="6220" xr:uid="{00000000-0005-0000-0000-0000F2170000}"/>
    <cellStyle name="_20061103Holux_ProgramWorkBook_LoanOriginationPMWorkbook 23Feb2010_slm_llp_0520_FairPoint_FP comTechOps_ProgramWorkbook_Steps of Doneness" xfId="6221" xr:uid="{00000000-0005-0000-0000-0000F3170000}"/>
    <cellStyle name="_20061103Holux_ProgramWorkBook_LoanOriginationPMWorkbook 23Feb2010_slm_llp_0520_FP_CAMP&amp;ITReporting_Maintenance_Dashboard" xfId="6222" xr:uid="{00000000-0005-0000-0000-0000F4170000}"/>
    <cellStyle name="_20061103Holux_ProgramWorkBook_LoanOriginationPMWorkbook 23Feb2010_slm_llp_0520_FP_CAMP&amp;ITReporting_Maintenance_Dashboard 2" xfId="6223" xr:uid="{00000000-0005-0000-0000-0000F5170000}"/>
    <cellStyle name="_20061103Holux_ProgramWorkBook_LoanOriginationPMWorkbook 23Feb2010_slm_llp_0520_FP_CAMP&amp;ITReporting_Maintenance_Dashboard 2_Steps of Doneness" xfId="6224" xr:uid="{00000000-0005-0000-0000-0000F6170000}"/>
    <cellStyle name="_20061103Holux_ProgramWorkBook_LoanOriginationPMWorkbook 23Feb2010_slm_llp_0520_FP_CAMP&amp;ITReporting_Maintenance_Dashboard 3" xfId="6225" xr:uid="{00000000-0005-0000-0000-0000F7170000}"/>
    <cellStyle name="_20061103Holux_ProgramWorkBook_LoanOriginationPMWorkbook 23Feb2010_slm_llp_0520_FP_CAMP&amp;ITReporting_Maintenance_Dashboard_Steps of Doneness" xfId="6226" xr:uid="{00000000-0005-0000-0000-0000F8170000}"/>
    <cellStyle name="_20061103Holux_ProgramWorkBook_LoanOriginationPMWorkbook 23Feb2010_slm_llp_0520_FP_CAMPITReporting_Maintenance_Dashboard" xfId="6227" xr:uid="{00000000-0005-0000-0000-0000F9170000}"/>
    <cellStyle name="_20061103Holux_ProgramWorkBook_LoanOriginationPMWorkbook 23Feb2010_slm_llp_0520_FP_CAMPITReporting_Maintenance_Dashboard 2" xfId="6228" xr:uid="{00000000-0005-0000-0000-0000FA170000}"/>
    <cellStyle name="_20061103Holux_ProgramWorkBook_LoanOriginationPMWorkbook 23Feb2010_slm_llp_0520_FP_CAMPITReporting_Maintenance_Dashboard 2_Steps of Doneness" xfId="6229" xr:uid="{00000000-0005-0000-0000-0000FB170000}"/>
    <cellStyle name="_20061103Holux_ProgramWorkBook_LoanOriginationPMWorkbook 23Feb2010_slm_llp_0520_FP_CAMPITReporting_Maintenance_Dashboard 3" xfId="6230" xr:uid="{00000000-0005-0000-0000-0000FC170000}"/>
    <cellStyle name="_20061103Holux_ProgramWorkBook_LoanOriginationPMWorkbook 23Feb2010_slm_llp_0520_FP_CAMPITReporting_Maintenance_Dashboard_Steps of Doneness" xfId="6231" xr:uid="{00000000-0005-0000-0000-0000FD170000}"/>
    <cellStyle name="_20061103Holux_ProgramWorkBook_LoanOriginationPMWorkbook 23Feb2010_slm_llp_0520_FP_Commissions_Req_Dn_ProgramWorkBook_10-Dec-2010" xfId="6232" xr:uid="{00000000-0005-0000-0000-0000FE170000}"/>
    <cellStyle name="_20061103Holux_ProgramWorkBook_LoanOriginationPMWorkbook 23Feb2010_slm_llp_0520_FP_Commissions_Req_Dn_ProgramWorkBook_10-Dec-2010 2" xfId="6233" xr:uid="{00000000-0005-0000-0000-0000FF170000}"/>
    <cellStyle name="_20061103Holux_ProgramWorkBook_LoanOriginationPMWorkbook 23Feb2010_slm_llp_0520_FP_Commissions_Req_Dn_ProgramWorkBook_10-Dec-2010 2_Steps of Doneness" xfId="6234" xr:uid="{00000000-0005-0000-0000-000000180000}"/>
    <cellStyle name="_20061103Holux_ProgramWorkBook_LoanOriginationPMWorkbook 23Feb2010_slm_llp_0520_FP_Commissions_Req_Dn_ProgramWorkBook_10-Dec-2010 3" xfId="6235" xr:uid="{00000000-0005-0000-0000-000001180000}"/>
    <cellStyle name="_20061103Holux_ProgramWorkBook_LoanOriginationPMWorkbook 23Feb2010_slm_llp_0520_FP_Commissions_Req_Dn_ProgramWorkBook_10-Dec-2010_Steps of Doneness" xfId="6236" xr:uid="{00000000-0005-0000-0000-000002180000}"/>
    <cellStyle name="_20061103Holux_ProgramWorkBook_LoanOriginationPMWorkbook 23Feb2010_slm_llp_0520_FP_DW_Impl_ProgramWorkBook_07-Jan-2011" xfId="6237" xr:uid="{00000000-0005-0000-0000-000003180000}"/>
    <cellStyle name="_20061103Holux_ProgramWorkBook_LoanOriginationPMWorkbook 23Feb2010_slm_llp_0520_FP_DW_Impl_ProgramWorkBook_07-Jan-2011 2" xfId="6238" xr:uid="{00000000-0005-0000-0000-000004180000}"/>
    <cellStyle name="_20061103Holux_ProgramWorkBook_LoanOriginationPMWorkbook 23Feb2010_slm_llp_0520_FP_DW_Impl_ProgramWorkBook_07-Jan-2011 2 2" xfId="6239" xr:uid="{00000000-0005-0000-0000-000005180000}"/>
    <cellStyle name="_20061103Holux_ProgramWorkBook_LoanOriginationPMWorkbook 23Feb2010_slm_llp_0520_FP_DW_Impl_ProgramWorkBook_07-Jan-2011 2 2_Steps of Doneness" xfId="6240" xr:uid="{00000000-0005-0000-0000-000006180000}"/>
    <cellStyle name="_20061103Holux_ProgramWorkBook_LoanOriginationPMWorkbook 23Feb2010_slm_llp_0520_FP_DW_Impl_ProgramWorkBook_07-Jan-2011 2 3" xfId="6241" xr:uid="{00000000-0005-0000-0000-000007180000}"/>
    <cellStyle name="_20061103Holux_ProgramWorkBook_LoanOriginationPMWorkbook 23Feb2010_slm_llp_0520_FP_DW_Impl_ProgramWorkBook_07-Jan-2011 2_Steps of Doneness" xfId="6242" xr:uid="{00000000-0005-0000-0000-000008180000}"/>
    <cellStyle name="_20061103Holux_ProgramWorkBook_LoanOriginationPMWorkbook 23Feb2010_slm_llp_0520_FP_DW_Impl_ProgramWorkBook_07-Jan-2011 3" xfId="6243" xr:uid="{00000000-0005-0000-0000-000009180000}"/>
    <cellStyle name="_20061103Holux_ProgramWorkBook_LoanOriginationPMWorkbook 23Feb2010_slm_llp_0520_FP_DW_Impl_ProgramWorkBook_07-Jan-2011 3_Steps of Doneness" xfId="6244" xr:uid="{00000000-0005-0000-0000-00000A180000}"/>
    <cellStyle name="_20061103Holux_ProgramWorkBook_LoanOriginationPMWorkbook 23Feb2010_slm_llp_0520_FP_DW_Impl_ProgramWorkBook_07-Jan-2011 4" xfId="6245" xr:uid="{00000000-0005-0000-0000-00000B180000}"/>
    <cellStyle name="_20061103Holux_ProgramWorkBook_LoanOriginationPMWorkbook 23Feb2010_slm_llp_0520_FP_DW_Impl_ProgramWorkBook_07-Jan-2011_Steps of Doneness" xfId="6246" xr:uid="{00000000-0005-0000-0000-00000C180000}"/>
    <cellStyle name="_20061103Holux_ProgramWorkBook_LoanOriginationPMWorkbook 23Feb2010_slm_llp_0520_FP_DW_Impl_ProgramWorkBook_11-Feb-2011" xfId="6247" xr:uid="{00000000-0005-0000-0000-00000D180000}"/>
    <cellStyle name="_20061103Holux_ProgramWorkBook_LoanOriginationPMWorkbook 23Feb2010_slm_llp_0520_FP_DW_Impl_ProgramWorkBook_11-Feb-2011 2" xfId="6248" xr:uid="{00000000-0005-0000-0000-00000E180000}"/>
    <cellStyle name="_20061103Holux_ProgramWorkBook_LoanOriginationPMWorkbook 23Feb2010_slm_llp_0520_FP_DW_Impl_ProgramWorkBook_11-Feb-2011 2_Steps of Doneness" xfId="6249" xr:uid="{00000000-0005-0000-0000-00000F180000}"/>
    <cellStyle name="_20061103Holux_ProgramWorkBook_LoanOriginationPMWorkbook 23Feb2010_slm_llp_0520_FP_DW_Impl_ProgramWorkBook_11-Feb-2011 3" xfId="6250" xr:uid="{00000000-0005-0000-0000-000010180000}"/>
    <cellStyle name="_20061103Holux_ProgramWorkBook_LoanOriginationPMWorkbook 23Feb2010_slm_llp_0520_FP_DW_Impl_ProgramWorkBook_11-Feb-2011_Steps of Doneness" xfId="6251" xr:uid="{00000000-0005-0000-0000-000011180000}"/>
    <cellStyle name="_20061103Holux_ProgramWorkBook_LoanOriginationPMWorkbook 23Feb2010_slm_llp_0520_FP_DW_Impl_ProgramWorkBook_18-Feb-2011 - Working" xfId="6252" xr:uid="{00000000-0005-0000-0000-000012180000}"/>
    <cellStyle name="_20061103Holux_ProgramWorkBook_LoanOriginationPMWorkbook 23Feb2010_slm_llp_0520_FP_DW_Impl_ProgramWorkBook_18-Feb-2011 - Working 2" xfId="6253" xr:uid="{00000000-0005-0000-0000-000013180000}"/>
    <cellStyle name="_20061103Holux_ProgramWorkBook_LoanOriginationPMWorkbook 23Feb2010_slm_llp_0520_FP_DW_Impl_ProgramWorkBook_18-Feb-2011 - Working 2_Steps of Doneness" xfId="6254" xr:uid="{00000000-0005-0000-0000-000014180000}"/>
    <cellStyle name="_20061103Holux_ProgramWorkBook_LoanOriginationPMWorkbook 23Feb2010_slm_llp_0520_FP_DW_Impl_ProgramWorkBook_18-Feb-2011 - Working 3" xfId="6255" xr:uid="{00000000-0005-0000-0000-000015180000}"/>
    <cellStyle name="_20061103Holux_ProgramWorkBook_LoanOriginationPMWorkbook 23Feb2010_slm_llp_0520_FP_DW_Impl_ProgramWorkBook_18-Feb-2011 - Working_Steps of Doneness" xfId="6256" xr:uid="{00000000-0005-0000-0000-000016180000}"/>
    <cellStyle name="_20061103Holux_ProgramWorkBook_LoanOriginationPMWorkbook 23Feb2010_slm_llp_0520_FP_EnterprisePortal_ProgramWorkbook" xfId="6257" xr:uid="{00000000-0005-0000-0000-000017180000}"/>
    <cellStyle name="_20061103Holux_ProgramWorkBook_LoanOriginationPMWorkbook 23Feb2010_slm_llp_0520_FP_EnterprisePortal_ProgramWorkbook 2" xfId="6258" xr:uid="{00000000-0005-0000-0000-000018180000}"/>
    <cellStyle name="_20061103Holux_ProgramWorkBook_LoanOriginationPMWorkbook 23Feb2010_slm_llp_0520_FP_EnterprisePortal_ProgramWorkbook 2_Steps of Doneness" xfId="6259" xr:uid="{00000000-0005-0000-0000-000019180000}"/>
    <cellStyle name="_20061103Holux_ProgramWorkBook_LoanOriginationPMWorkbook 23Feb2010_slm_llp_0520_FP_EnterprisePortal_ProgramWorkbook 3" xfId="6260" xr:uid="{00000000-0005-0000-0000-00001A180000}"/>
    <cellStyle name="_20061103Holux_ProgramWorkBook_LoanOriginationPMWorkbook 23Feb2010_slm_llp_0520_FP_EnterprisePortal_ProgramWorkbook_Steps of Doneness" xfId="6261" xr:uid="{00000000-0005-0000-0000-00001B180000}"/>
    <cellStyle name="_20061103Holux_ProgramWorkBook_LoanOriginationPMWorkbook 23Feb2010_slm_llp_0520_FP_SAP_MLP v2" xfId="6262" xr:uid="{00000000-0005-0000-0000-00001C180000}"/>
    <cellStyle name="_20061103Holux_ProgramWorkBook_LoanOriginationPMWorkbook 23Feb2010_slm_llp_0520_FP_SAP_MLP v2 2" xfId="6263" xr:uid="{00000000-0005-0000-0000-00001D180000}"/>
    <cellStyle name="_20061103Holux_ProgramWorkBook_LoanOriginationPMWorkbook 23Feb2010_slm_llp_0520_FP_SAP_MLP v2 2_Steps of Doneness" xfId="6264" xr:uid="{00000000-0005-0000-0000-00001E180000}"/>
    <cellStyle name="_20061103Holux_ProgramWorkBook_LoanOriginationPMWorkbook 23Feb2010_slm_llp_0520_FP_SAP_MLP v2 3" xfId="6265" xr:uid="{00000000-0005-0000-0000-00001F180000}"/>
    <cellStyle name="_20061103Holux_ProgramWorkBook_LoanOriginationPMWorkbook 23Feb2010_slm_llp_0520_FP_SAP_MLP v2_Steps of Doneness" xfId="6266" xr:uid="{00000000-0005-0000-0000-000020180000}"/>
    <cellStyle name="_20061103Holux_ProgramWorkBook_LoanOriginationPMWorkbook 23Feb2010_slm_llp_0520_KeyDecisions" xfId="6267" xr:uid="{00000000-0005-0000-0000-000021180000}"/>
    <cellStyle name="_20061103Holux_ProgramWorkBook_LoanOriginationPMWorkbook 23Feb2010_slm_llp_0520_KeyDecisions 2" xfId="6268" xr:uid="{00000000-0005-0000-0000-000022180000}"/>
    <cellStyle name="_20061103Holux_ProgramWorkBook_LoanOriginationPMWorkbook 23Feb2010_slm_llp_0520_KeyDecisions 2_Steps of Doneness" xfId="6269" xr:uid="{00000000-0005-0000-0000-000023180000}"/>
    <cellStyle name="_20061103Holux_ProgramWorkBook_LoanOriginationPMWorkbook 23Feb2010_slm_llp_0520_KeyDecisions 3" xfId="6270" xr:uid="{00000000-0005-0000-0000-000024180000}"/>
    <cellStyle name="_20061103Holux_ProgramWorkBook_LoanOriginationPMWorkbook 23Feb2010_slm_llp_0520_KeyDecisions_Steps of Doneness" xfId="6271" xr:uid="{00000000-0005-0000-0000-000025180000}"/>
    <cellStyle name="_20061103Holux_ProgramWorkBook_LoanOriginationPMWorkbook 23Feb2010_slm_llp_0520_Sophia_Imp_ProjectWorkBook_02_18_2011" xfId="6272" xr:uid="{00000000-0005-0000-0000-000026180000}"/>
    <cellStyle name="_20061103Holux_ProgramWorkBook_LoanOriginationPMWorkbook 23Feb2010_slm_llp_0520_Sophia_Imp_ProjectWorkBook_02_18_2011 2" xfId="6273" xr:uid="{00000000-0005-0000-0000-000027180000}"/>
    <cellStyle name="_20061103Holux_ProgramWorkBook_LoanOriginationPMWorkbook 23Feb2010_slm_llp_0520_Sophia_Imp_ProjectWorkBook_02_18_2011 2_Steps of Doneness" xfId="6274" xr:uid="{00000000-0005-0000-0000-000028180000}"/>
    <cellStyle name="_20061103Holux_ProgramWorkBook_LoanOriginationPMWorkbook 23Feb2010_slm_llp_0520_Sophia_Imp_ProjectWorkBook_02_18_2011 3" xfId="6275" xr:uid="{00000000-0005-0000-0000-000029180000}"/>
    <cellStyle name="_20061103Holux_ProgramWorkBook_LoanOriginationPMWorkbook 23Feb2010_slm_llp_0520_Sophia_Imp_ProjectWorkBook_02_18_2011_Steps of Doneness" xfId="6276" xr:uid="{00000000-0005-0000-0000-00002A180000}"/>
    <cellStyle name="_20061103Holux_ProgramWorkBook_LoanOriginationPMWorkbook 23Feb2010_slm_llp_0520_Steps of Doneness" xfId="6277" xr:uid="{00000000-0005-0000-0000-00002B180000}"/>
    <cellStyle name="_20061103Holux_ProgramWorkBook_LoanOriginationPMWorkbook 23Feb2010_slm_llp_0520_t" xfId="6278" xr:uid="{00000000-0005-0000-0000-00002C180000}"/>
    <cellStyle name="_20061103Holux_ProgramWorkBook_LoanOriginationPMWorkbook 23Feb2010_slm_llp_0520_t 2" xfId="6279" xr:uid="{00000000-0005-0000-0000-00002D180000}"/>
    <cellStyle name="_20061103Holux_ProgramWorkBook_LoanOriginationPMWorkbook 23Feb2010_slm_llp_0520_t 2_Steps of Doneness" xfId="6280" xr:uid="{00000000-0005-0000-0000-00002E180000}"/>
    <cellStyle name="_20061103Holux_ProgramWorkBook_LoanOriginationPMWorkbook 23Feb2010_slm_llp_0520_t 3" xfId="6281" xr:uid="{00000000-0005-0000-0000-00002F180000}"/>
    <cellStyle name="_20061103Holux_ProgramWorkBook_LoanOriginationPMWorkbook 23Feb2010_slm_llp_0520_t_Steps of Doneness" xfId="6282" xr:uid="{00000000-0005-0000-0000-000030180000}"/>
    <cellStyle name="_20061103Holux_ProgramWorkBook_LoanOriginationPMWorkbook 23Feb2010_Steps of Doneness" xfId="6283" xr:uid="{00000000-0005-0000-0000-000031180000}"/>
    <cellStyle name="_20061103Holux_ProgramWorkBook_Re-engineering SLM_PM_Workbook_01252010" xfId="6284" xr:uid="{00000000-0005-0000-0000-000032180000}"/>
    <cellStyle name="_20061103Holux_ProgramWorkBook_Re-engineering SLM_PM_Workbook_01252010 2" xfId="6285" xr:uid="{00000000-0005-0000-0000-000033180000}"/>
    <cellStyle name="_20061103Holux_ProgramWorkBook_Re-engineering SLM_PM_Workbook_01252010 2 2" xfId="6286" xr:uid="{00000000-0005-0000-0000-000034180000}"/>
    <cellStyle name="_20061103Holux_ProgramWorkBook_Re-engineering SLM_PM_Workbook_01252010 2 2_Steps of Doneness" xfId="6287" xr:uid="{00000000-0005-0000-0000-000035180000}"/>
    <cellStyle name="_20061103Holux_ProgramWorkBook_Re-engineering SLM_PM_Workbook_01252010 2 3" xfId="6288" xr:uid="{00000000-0005-0000-0000-000036180000}"/>
    <cellStyle name="_20061103Holux_ProgramWorkBook_Re-engineering SLM_PM_Workbook_01252010 2_Steps of Doneness" xfId="6289" xr:uid="{00000000-0005-0000-0000-000037180000}"/>
    <cellStyle name="_20061103Holux_ProgramWorkBook_Re-engineering SLM_PM_Workbook_01252010 3" xfId="6290" xr:uid="{00000000-0005-0000-0000-000038180000}"/>
    <cellStyle name="_20061103Holux_ProgramWorkBook_Re-engineering SLM_PM_Workbook_01252010 3 2" xfId="6291" xr:uid="{00000000-0005-0000-0000-000039180000}"/>
    <cellStyle name="_20061103Holux_ProgramWorkBook_Re-engineering SLM_PM_Workbook_01252010 3 2_Steps of Doneness" xfId="6292" xr:uid="{00000000-0005-0000-0000-00003A180000}"/>
    <cellStyle name="_20061103Holux_ProgramWorkBook_Re-engineering SLM_PM_Workbook_01252010 3 3" xfId="6293" xr:uid="{00000000-0005-0000-0000-00003B180000}"/>
    <cellStyle name="_20061103Holux_ProgramWorkBook_Re-engineering SLM_PM_Workbook_01252010 3_Steps of Doneness" xfId="6294" xr:uid="{00000000-0005-0000-0000-00003C180000}"/>
    <cellStyle name="_20061103Holux_ProgramWorkBook_Re-engineering SLM_PM_Workbook_01252010 4" xfId="6295" xr:uid="{00000000-0005-0000-0000-00003D180000}"/>
    <cellStyle name="_20061103Holux_ProgramWorkBook_Re-engineering SLM_PM_Workbook_01252010 4_Steps of Doneness" xfId="6296" xr:uid="{00000000-0005-0000-0000-00003E180000}"/>
    <cellStyle name="_20061103Holux_ProgramWorkBook_Re-engineering SLM_PM_Workbook_01252010 5" xfId="6297" xr:uid="{00000000-0005-0000-0000-00003F180000}"/>
    <cellStyle name="_20061103Holux_ProgramWorkBook_Re-engineering SLM_PM_Workbook_01252010 6" xfId="6298" xr:uid="{00000000-0005-0000-0000-000040180000}"/>
    <cellStyle name="_20061103Holux_ProgramWorkBook_Re-engineering SLM_PM_Workbook_01252010_Commissioning System Implementation_Project Workbook_06_10_2011" xfId="6299" xr:uid="{00000000-0005-0000-0000-000041180000}"/>
    <cellStyle name="_20061103Holux_ProgramWorkBook_Re-engineering SLM_PM_Workbook_01252010_Commissioning System Implementation_Project Workbook_06_10_2011 2" xfId="6300" xr:uid="{00000000-0005-0000-0000-000042180000}"/>
    <cellStyle name="_20061103Holux_ProgramWorkBook_Re-engineering SLM_PM_Workbook_01252010_Commissioning System Implementation_Project Workbook_06_10_2011 2_Steps of Doneness" xfId="6301" xr:uid="{00000000-0005-0000-0000-000043180000}"/>
    <cellStyle name="_20061103Holux_ProgramWorkBook_Re-engineering SLM_PM_Workbook_01252010_Commissioning System Implementation_Project Workbook_06_10_2011 3" xfId="6302" xr:uid="{00000000-0005-0000-0000-000044180000}"/>
    <cellStyle name="_20061103Holux_ProgramWorkBook_Re-engineering SLM_PM_Workbook_01252010_Commissioning System Implementation_Project Workbook_06_10_2011_Steps of Doneness" xfId="6303" xr:uid="{00000000-0005-0000-0000-000045180000}"/>
    <cellStyle name="_20061103Holux_ProgramWorkBook_Re-engineering SLM_PM_Workbook_01252010_FairPoint_CampReport" xfId="6304" xr:uid="{00000000-0005-0000-0000-000046180000}"/>
    <cellStyle name="_20061103Holux_ProgramWorkBook_Re-engineering SLM_PM_Workbook_01252010_FairPoint_CampReport 2" xfId="6305" xr:uid="{00000000-0005-0000-0000-000047180000}"/>
    <cellStyle name="_20061103Holux_ProgramWorkBook_Re-engineering SLM_PM_Workbook_01252010_FairPoint_CampReport 2_Steps of Doneness" xfId="6306" xr:uid="{00000000-0005-0000-0000-000048180000}"/>
    <cellStyle name="_20061103Holux_ProgramWorkBook_Re-engineering SLM_PM_Workbook_01252010_FairPoint_CampReport 3" xfId="6307" xr:uid="{00000000-0005-0000-0000-000049180000}"/>
    <cellStyle name="_20061103Holux_ProgramWorkBook_Re-engineering SLM_PM_Workbook_01252010_FairPoint_CampReport_Steps of Doneness" xfId="6308" xr:uid="{00000000-0005-0000-0000-00004A180000}"/>
    <cellStyle name="_20061103Holux_ProgramWorkBook_Re-engineering SLM_PM_Workbook_01252010_FairPoint_FP comTechOps_ProgramWorkbook" xfId="6309" xr:uid="{00000000-0005-0000-0000-00004B180000}"/>
    <cellStyle name="_20061103Holux_ProgramWorkBook_Re-engineering SLM_PM_Workbook_01252010_FairPoint_FP comTechOps_ProgramWorkbook 2" xfId="6310" xr:uid="{00000000-0005-0000-0000-00004C180000}"/>
    <cellStyle name="_20061103Holux_ProgramWorkBook_Re-engineering SLM_PM_Workbook_01252010_FairPoint_FP comTechOps_ProgramWorkbook 2_Steps of Doneness" xfId="6311" xr:uid="{00000000-0005-0000-0000-00004D180000}"/>
    <cellStyle name="_20061103Holux_ProgramWorkBook_Re-engineering SLM_PM_Workbook_01252010_FairPoint_FP comTechOps_ProgramWorkbook 3" xfId="6312" xr:uid="{00000000-0005-0000-0000-00004E180000}"/>
    <cellStyle name="_20061103Holux_ProgramWorkBook_Re-engineering SLM_PM_Workbook_01252010_FairPoint_FP comTechOps_ProgramWorkbook_sachin" xfId="6313" xr:uid="{00000000-0005-0000-0000-00004F180000}"/>
    <cellStyle name="_20061103Holux_ProgramWorkBook_Re-engineering SLM_PM_Workbook_01252010_FairPoint_FP comTechOps_ProgramWorkbook_sachin 2" xfId="6314" xr:uid="{00000000-0005-0000-0000-000050180000}"/>
    <cellStyle name="_20061103Holux_ProgramWorkBook_Re-engineering SLM_PM_Workbook_01252010_FairPoint_FP comTechOps_ProgramWorkbook_sachin 2_Steps of Doneness" xfId="6315" xr:uid="{00000000-0005-0000-0000-000051180000}"/>
    <cellStyle name="_20061103Holux_ProgramWorkBook_Re-engineering SLM_PM_Workbook_01252010_FairPoint_FP comTechOps_ProgramWorkbook_sachin 3" xfId="6316" xr:uid="{00000000-0005-0000-0000-000052180000}"/>
    <cellStyle name="_20061103Holux_ProgramWorkBook_Re-engineering SLM_PM_Workbook_01252010_FairPoint_FP comTechOps_ProgramWorkbook_sachin_Steps of Doneness" xfId="6317" xr:uid="{00000000-0005-0000-0000-000053180000}"/>
    <cellStyle name="_20061103Holux_ProgramWorkBook_Re-engineering SLM_PM_Workbook_01252010_FairPoint_FP comTechOps_ProgramWorkbook_sachin_v1" xfId="6318" xr:uid="{00000000-0005-0000-0000-000054180000}"/>
    <cellStyle name="_20061103Holux_ProgramWorkBook_Re-engineering SLM_PM_Workbook_01252010_FairPoint_FP comTechOps_ProgramWorkbook_sachin_v1 2" xfId="6319" xr:uid="{00000000-0005-0000-0000-000055180000}"/>
    <cellStyle name="_20061103Holux_ProgramWorkBook_Re-engineering SLM_PM_Workbook_01252010_FairPoint_FP comTechOps_ProgramWorkbook_sachin_v1 2_Steps of Doneness" xfId="6320" xr:uid="{00000000-0005-0000-0000-000056180000}"/>
    <cellStyle name="_20061103Holux_ProgramWorkBook_Re-engineering SLM_PM_Workbook_01252010_FairPoint_FP comTechOps_ProgramWorkbook_sachin_v1 3" xfId="6321" xr:uid="{00000000-0005-0000-0000-000057180000}"/>
    <cellStyle name="_20061103Holux_ProgramWorkBook_Re-engineering SLM_PM_Workbook_01252010_FairPoint_FP comTechOps_ProgramWorkbook_sachin_v1_Steps of Doneness" xfId="6322" xr:uid="{00000000-0005-0000-0000-000058180000}"/>
    <cellStyle name="_20061103Holux_ProgramWorkBook_Re-engineering SLM_PM_Workbook_01252010_FairPoint_FP comTechOps_ProgramWorkbook_Steps of Doneness" xfId="6323" xr:uid="{00000000-0005-0000-0000-000059180000}"/>
    <cellStyle name="_20061103Holux_ProgramWorkBook_Re-engineering SLM_PM_Workbook_01252010_FP_CAMP&amp;ITReporting_Maintenance_Dashboard" xfId="6324" xr:uid="{00000000-0005-0000-0000-00005A180000}"/>
    <cellStyle name="_20061103Holux_ProgramWorkBook_Re-engineering SLM_PM_Workbook_01252010_FP_CAMP&amp;ITReporting_Maintenance_Dashboard 2" xfId="6325" xr:uid="{00000000-0005-0000-0000-00005B180000}"/>
    <cellStyle name="_20061103Holux_ProgramWorkBook_Re-engineering SLM_PM_Workbook_01252010_FP_CAMP&amp;ITReporting_Maintenance_Dashboard 2_Steps of Doneness" xfId="6326" xr:uid="{00000000-0005-0000-0000-00005C180000}"/>
    <cellStyle name="_20061103Holux_ProgramWorkBook_Re-engineering SLM_PM_Workbook_01252010_FP_CAMP&amp;ITReporting_Maintenance_Dashboard 3" xfId="6327" xr:uid="{00000000-0005-0000-0000-00005D180000}"/>
    <cellStyle name="_20061103Holux_ProgramWorkBook_Re-engineering SLM_PM_Workbook_01252010_FP_CAMP&amp;ITReporting_Maintenance_Dashboard_Steps of Doneness" xfId="6328" xr:uid="{00000000-0005-0000-0000-00005E180000}"/>
    <cellStyle name="_20061103Holux_ProgramWorkBook_Re-engineering SLM_PM_Workbook_01252010_FP_CAMPITReporting_Maintenance_Dashboard" xfId="6329" xr:uid="{00000000-0005-0000-0000-00005F180000}"/>
    <cellStyle name="_20061103Holux_ProgramWorkBook_Re-engineering SLM_PM_Workbook_01252010_FP_CAMPITReporting_Maintenance_Dashboard 2" xfId="6330" xr:uid="{00000000-0005-0000-0000-000060180000}"/>
    <cellStyle name="_20061103Holux_ProgramWorkBook_Re-engineering SLM_PM_Workbook_01252010_FP_CAMPITReporting_Maintenance_Dashboard 2_Steps of Doneness" xfId="6331" xr:uid="{00000000-0005-0000-0000-000061180000}"/>
    <cellStyle name="_20061103Holux_ProgramWorkBook_Re-engineering SLM_PM_Workbook_01252010_FP_CAMPITReporting_Maintenance_Dashboard 3" xfId="6332" xr:uid="{00000000-0005-0000-0000-000062180000}"/>
    <cellStyle name="_20061103Holux_ProgramWorkBook_Re-engineering SLM_PM_Workbook_01252010_FP_CAMPITReporting_Maintenance_Dashboard_Steps of Doneness" xfId="6333" xr:uid="{00000000-0005-0000-0000-000063180000}"/>
    <cellStyle name="_20061103Holux_ProgramWorkBook_Re-engineering SLM_PM_Workbook_01252010_FP_Commissions_Req_Dn_ProgramWorkBook_10-Dec-2010" xfId="6334" xr:uid="{00000000-0005-0000-0000-000064180000}"/>
    <cellStyle name="_20061103Holux_ProgramWorkBook_Re-engineering SLM_PM_Workbook_01252010_FP_Commissions_Req_Dn_ProgramWorkBook_10-Dec-2010 2" xfId="6335" xr:uid="{00000000-0005-0000-0000-000065180000}"/>
    <cellStyle name="_20061103Holux_ProgramWorkBook_Re-engineering SLM_PM_Workbook_01252010_FP_Commissions_Req_Dn_ProgramWorkBook_10-Dec-2010 2_Steps of Doneness" xfId="6336" xr:uid="{00000000-0005-0000-0000-000066180000}"/>
    <cellStyle name="_20061103Holux_ProgramWorkBook_Re-engineering SLM_PM_Workbook_01252010_FP_Commissions_Req_Dn_ProgramWorkBook_10-Dec-2010 3" xfId="6337" xr:uid="{00000000-0005-0000-0000-000067180000}"/>
    <cellStyle name="_20061103Holux_ProgramWorkBook_Re-engineering SLM_PM_Workbook_01252010_FP_Commissions_Req_Dn_ProgramWorkBook_10-Dec-2010_Steps of Doneness" xfId="6338" xr:uid="{00000000-0005-0000-0000-000068180000}"/>
    <cellStyle name="_20061103Holux_ProgramWorkBook_Re-engineering SLM_PM_Workbook_01252010_FP_DW_Impl_ProgramWorkBook_07-Jan-2011" xfId="6339" xr:uid="{00000000-0005-0000-0000-000069180000}"/>
    <cellStyle name="_20061103Holux_ProgramWorkBook_Re-engineering SLM_PM_Workbook_01252010_FP_DW_Impl_ProgramWorkBook_07-Jan-2011 2" xfId="6340" xr:uid="{00000000-0005-0000-0000-00006A180000}"/>
    <cellStyle name="_20061103Holux_ProgramWorkBook_Re-engineering SLM_PM_Workbook_01252010_FP_DW_Impl_ProgramWorkBook_07-Jan-2011 2 2" xfId="6341" xr:uid="{00000000-0005-0000-0000-00006B180000}"/>
    <cellStyle name="_20061103Holux_ProgramWorkBook_Re-engineering SLM_PM_Workbook_01252010_FP_DW_Impl_ProgramWorkBook_07-Jan-2011 2 2_Steps of Doneness" xfId="6342" xr:uid="{00000000-0005-0000-0000-00006C180000}"/>
    <cellStyle name="_20061103Holux_ProgramWorkBook_Re-engineering SLM_PM_Workbook_01252010_FP_DW_Impl_ProgramWorkBook_07-Jan-2011 2 3" xfId="6343" xr:uid="{00000000-0005-0000-0000-00006D180000}"/>
    <cellStyle name="_20061103Holux_ProgramWorkBook_Re-engineering SLM_PM_Workbook_01252010_FP_DW_Impl_ProgramWorkBook_07-Jan-2011 2_Steps of Doneness" xfId="6344" xr:uid="{00000000-0005-0000-0000-00006E180000}"/>
    <cellStyle name="_20061103Holux_ProgramWorkBook_Re-engineering SLM_PM_Workbook_01252010_FP_DW_Impl_ProgramWorkBook_07-Jan-2011 3" xfId="6345" xr:uid="{00000000-0005-0000-0000-00006F180000}"/>
    <cellStyle name="_20061103Holux_ProgramWorkBook_Re-engineering SLM_PM_Workbook_01252010_FP_DW_Impl_ProgramWorkBook_07-Jan-2011 3_Steps of Doneness" xfId="6346" xr:uid="{00000000-0005-0000-0000-000070180000}"/>
    <cellStyle name="_20061103Holux_ProgramWorkBook_Re-engineering SLM_PM_Workbook_01252010_FP_DW_Impl_ProgramWorkBook_07-Jan-2011 4" xfId="6347" xr:uid="{00000000-0005-0000-0000-000071180000}"/>
    <cellStyle name="_20061103Holux_ProgramWorkBook_Re-engineering SLM_PM_Workbook_01252010_FP_DW_Impl_ProgramWorkBook_07-Jan-2011_Steps of Doneness" xfId="6348" xr:uid="{00000000-0005-0000-0000-000072180000}"/>
    <cellStyle name="_20061103Holux_ProgramWorkBook_Re-engineering SLM_PM_Workbook_01252010_FP_DW_Impl_ProgramWorkBook_11-Feb-2011" xfId="6349" xr:uid="{00000000-0005-0000-0000-000073180000}"/>
    <cellStyle name="_20061103Holux_ProgramWorkBook_Re-engineering SLM_PM_Workbook_01252010_FP_DW_Impl_ProgramWorkBook_11-Feb-2011 2" xfId="6350" xr:uid="{00000000-0005-0000-0000-000074180000}"/>
    <cellStyle name="_20061103Holux_ProgramWorkBook_Re-engineering SLM_PM_Workbook_01252010_FP_DW_Impl_ProgramWorkBook_11-Feb-2011 2_Steps of Doneness" xfId="6351" xr:uid="{00000000-0005-0000-0000-000075180000}"/>
    <cellStyle name="_20061103Holux_ProgramWorkBook_Re-engineering SLM_PM_Workbook_01252010_FP_DW_Impl_ProgramWorkBook_11-Feb-2011 3" xfId="6352" xr:uid="{00000000-0005-0000-0000-000076180000}"/>
    <cellStyle name="_20061103Holux_ProgramWorkBook_Re-engineering SLM_PM_Workbook_01252010_FP_DW_Impl_ProgramWorkBook_11-Feb-2011_Steps of Doneness" xfId="6353" xr:uid="{00000000-0005-0000-0000-000077180000}"/>
    <cellStyle name="_20061103Holux_ProgramWorkBook_Re-engineering SLM_PM_Workbook_01252010_FP_DW_Impl_ProgramWorkBook_18-Feb-2011 - Working" xfId="6354" xr:uid="{00000000-0005-0000-0000-000078180000}"/>
    <cellStyle name="_20061103Holux_ProgramWorkBook_Re-engineering SLM_PM_Workbook_01252010_FP_DW_Impl_ProgramWorkBook_18-Feb-2011 - Working 2" xfId="6355" xr:uid="{00000000-0005-0000-0000-000079180000}"/>
    <cellStyle name="_20061103Holux_ProgramWorkBook_Re-engineering SLM_PM_Workbook_01252010_FP_DW_Impl_ProgramWorkBook_18-Feb-2011 - Working 2_Steps of Doneness" xfId="6356" xr:uid="{00000000-0005-0000-0000-00007A180000}"/>
    <cellStyle name="_20061103Holux_ProgramWorkBook_Re-engineering SLM_PM_Workbook_01252010_FP_DW_Impl_ProgramWorkBook_18-Feb-2011 - Working 3" xfId="6357" xr:uid="{00000000-0005-0000-0000-00007B180000}"/>
    <cellStyle name="_20061103Holux_ProgramWorkBook_Re-engineering SLM_PM_Workbook_01252010_FP_DW_Impl_ProgramWorkBook_18-Feb-2011 - Working_Steps of Doneness" xfId="6358" xr:uid="{00000000-0005-0000-0000-00007C180000}"/>
    <cellStyle name="_20061103Holux_ProgramWorkBook_Re-engineering SLM_PM_Workbook_01252010_FP_EnterprisePortal_ProgramWorkbook" xfId="6359" xr:uid="{00000000-0005-0000-0000-00007D180000}"/>
    <cellStyle name="_20061103Holux_ProgramWorkBook_Re-engineering SLM_PM_Workbook_01252010_FP_EnterprisePortal_ProgramWorkbook 2" xfId="6360" xr:uid="{00000000-0005-0000-0000-00007E180000}"/>
    <cellStyle name="_20061103Holux_ProgramWorkBook_Re-engineering SLM_PM_Workbook_01252010_FP_EnterprisePortal_ProgramWorkbook 2_Steps of Doneness" xfId="6361" xr:uid="{00000000-0005-0000-0000-00007F180000}"/>
    <cellStyle name="_20061103Holux_ProgramWorkBook_Re-engineering SLM_PM_Workbook_01252010_FP_EnterprisePortal_ProgramWorkbook 3" xfId="6362" xr:uid="{00000000-0005-0000-0000-000080180000}"/>
    <cellStyle name="_20061103Holux_ProgramWorkBook_Re-engineering SLM_PM_Workbook_01252010_FP_EnterprisePortal_ProgramWorkbook_Steps of Doneness" xfId="6363" xr:uid="{00000000-0005-0000-0000-000081180000}"/>
    <cellStyle name="_20061103Holux_ProgramWorkBook_Re-engineering SLM_PM_Workbook_01252010_FP_SAP_MLP v2" xfId="6364" xr:uid="{00000000-0005-0000-0000-000082180000}"/>
    <cellStyle name="_20061103Holux_ProgramWorkBook_Re-engineering SLM_PM_Workbook_01252010_FP_SAP_MLP v2 2" xfId="6365" xr:uid="{00000000-0005-0000-0000-000083180000}"/>
    <cellStyle name="_20061103Holux_ProgramWorkBook_Re-engineering SLM_PM_Workbook_01252010_FP_SAP_MLP v2 2_Steps of Doneness" xfId="6366" xr:uid="{00000000-0005-0000-0000-000084180000}"/>
    <cellStyle name="_20061103Holux_ProgramWorkBook_Re-engineering SLM_PM_Workbook_01252010_FP_SAP_MLP v2 3" xfId="6367" xr:uid="{00000000-0005-0000-0000-000085180000}"/>
    <cellStyle name="_20061103Holux_ProgramWorkBook_Re-engineering SLM_PM_Workbook_01252010_FP_SAP_MLP v2_Steps of Doneness" xfId="6368" xr:uid="{00000000-0005-0000-0000-000086180000}"/>
    <cellStyle name="_20061103Holux_ProgramWorkBook_Re-engineering SLM_PM_Workbook_01252010_KeyDecisions" xfId="6369" xr:uid="{00000000-0005-0000-0000-000087180000}"/>
    <cellStyle name="_20061103Holux_ProgramWorkBook_Re-engineering SLM_PM_Workbook_01252010_KeyDecisions 2" xfId="6370" xr:uid="{00000000-0005-0000-0000-000088180000}"/>
    <cellStyle name="_20061103Holux_ProgramWorkBook_Re-engineering SLM_PM_Workbook_01252010_KeyDecisions 2_Steps of Doneness" xfId="6371" xr:uid="{00000000-0005-0000-0000-000089180000}"/>
    <cellStyle name="_20061103Holux_ProgramWorkBook_Re-engineering SLM_PM_Workbook_01252010_KeyDecisions 3" xfId="6372" xr:uid="{00000000-0005-0000-0000-00008A180000}"/>
    <cellStyle name="_20061103Holux_ProgramWorkBook_Re-engineering SLM_PM_Workbook_01252010_KeyDecisions_Steps of Doneness" xfId="6373" xr:uid="{00000000-0005-0000-0000-00008B180000}"/>
    <cellStyle name="_20061103Holux_ProgramWorkBook_Re-engineering SLM_PM_Workbook_01252010_Sophia_Imp_ProjectWorkBook_02_18_2011" xfId="6374" xr:uid="{00000000-0005-0000-0000-00008C180000}"/>
    <cellStyle name="_20061103Holux_ProgramWorkBook_Re-engineering SLM_PM_Workbook_01252010_Sophia_Imp_ProjectWorkBook_02_18_2011 2" xfId="6375" xr:uid="{00000000-0005-0000-0000-00008D180000}"/>
    <cellStyle name="_20061103Holux_ProgramWorkBook_Re-engineering SLM_PM_Workbook_01252010_Sophia_Imp_ProjectWorkBook_02_18_2011 2_Steps of Doneness" xfId="6376" xr:uid="{00000000-0005-0000-0000-00008E180000}"/>
    <cellStyle name="_20061103Holux_ProgramWorkBook_Re-engineering SLM_PM_Workbook_01252010_Sophia_Imp_ProjectWorkBook_02_18_2011 3" xfId="6377" xr:uid="{00000000-0005-0000-0000-00008F180000}"/>
    <cellStyle name="_20061103Holux_ProgramWorkBook_Re-engineering SLM_PM_Workbook_01252010_Sophia_Imp_ProjectWorkBook_02_18_2011_Steps of Doneness" xfId="6378" xr:uid="{00000000-0005-0000-0000-000090180000}"/>
    <cellStyle name="_20061103Holux_ProgramWorkBook_Re-engineering SLM_PM_Workbook_01252010_Steps of Doneness" xfId="6379" xr:uid="{00000000-0005-0000-0000-000091180000}"/>
    <cellStyle name="_20061103Holux_ProgramWorkBook_Re-engineering SLM_PM_Workbook_01252010_t" xfId="6380" xr:uid="{00000000-0005-0000-0000-000092180000}"/>
    <cellStyle name="_20061103Holux_ProgramWorkBook_Re-engineering SLM_PM_Workbook_01252010_t 2" xfId="6381" xr:uid="{00000000-0005-0000-0000-000093180000}"/>
    <cellStyle name="_20061103Holux_ProgramWorkBook_Re-engineering SLM_PM_Workbook_01252010_t 2_Steps of Doneness" xfId="6382" xr:uid="{00000000-0005-0000-0000-000094180000}"/>
    <cellStyle name="_20061103Holux_ProgramWorkBook_Re-engineering SLM_PM_Workbook_01252010_t 3" xfId="6383" xr:uid="{00000000-0005-0000-0000-000095180000}"/>
    <cellStyle name="_20061103Holux_ProgramWorkBook_Re-engineering SLM_PM_Workbook_01252010_t_Steps of Doneness" xfId="6384" xr:uid="{00000000-0005-0000-0000-000096180000}"/>
    <cellStyle name="_20061103Holux_ProgramWorkBook_Re-engineering SLM_PM_Workbook_021510" xfId="6385" xr:uid="{00000000-0005-0000-0000-000097180000}"/>
    <cellStyle name="_20061103Holux_ProgramWorkBook_Re-engineering SLM_PM_Workbook_021510 2" xfId="6386" xr:uid="{00000000-0005-0000-0000-000098180000}"/>
    <cellStyle name="_20061103Holux_ProgramWorkBook_Re-engineering SLM_PM_Workbook_021510 2 2" xfId="6387" xr:uid="{00000000-0005-0000-0000-000099180000}"/>
    <cellStyle name="_20061103Holux_ProgramWorkBook_Re-engineering SLM_PM_Workbook_021510 2 2_Steps of Doneness" xfId="6388" xr:uid="{00000000-0005-0000-0000-00009A180000}"/>
    <cellStyle name="_20061103Holux_ProgramWorkBook_Re-engineering SLM_PM_Workbook_021510 2 3" xfId="6389" xr:uid="{00000000-0005-0000-0000-00009B180000}"/>
    <cellStyle name="_20061103Holux_ProgramWorkBook_Re-engineering SLM_PM_Workbook_021510 2_Steps of Doneness" xfId="6390" xr:uid="{00000000-0005-0000-0000-00009C180000}"/>
    <cellStyle name="_20061103Holux_ProgramWorkBook_Re-engineering SLM_PM_Workbook_021510 3" xfId="6391" xr:uid="{00000000-0005-0000-0000-00009D180000}"/>
    <cellStyle name="_20061103Holux_ProgramWorkBook_Re-engineering SLM_PM_Workbook_021510 3 2" xfId="6392" xr:uid="{00000000-0005-0000-0000-00009E180000}"/>
    <cellStyle name="_20061103Holux_ProgramWorkBook_Re-engineering SLM_PM_Workbook_021510 3 2_Steps of Doneness" xfId="6393" xr:uid="{00000000-0005-0000-0000-00009F180000}"/>
    <cellStyle name="_20061103Holux_ProgramWorkBook_Re-engineering SLM_PM_Workbook_021510 3 3" xfId="6394" xr:uid="{00000000-0005-0000-0000-0000A0180000}"/>
    <cellStyle name="_20061103Holux_ProgramWorkBook_Re-engineering SLM_PM_Workbook_021510 3_Steps of Doneness" xfId="6395" xr:uid="{00000000-0005-0000-0000-0000A1180000}"/>
    <cellStyle name="_20061103Holux_ProgramWorkBook_Re-engineering SLM_PM_Workbook_021510 4" xfId="6396" xr:uid="{00000000-0005-0000-0000-0000A2180000}"/>
    <cellStyle name="_20061103Holux_ProgramWorkBook_Re-engineering SLM_PM_Workbook_021510 4_Steps of Doneness" xfId="6397" xr:uid="{00000000-0005-0000-0000-0000A3180000}"/>
    <cellStyle name="_20061103Holux_ProgramWorkBook_Re-engineering SLM_PM_Workbook_021510 5" xfId="6398" xr:uid="{00000000-0005-0000-0000-0000A4180000}"/>
    <cellStyle name="_20061103Holux_ProgramWorkBook_Re-engineering SLM_PM_Workbook_021510 6" xfId="6399" xr:uid="{00000000-0005-0000-0000-0000A5180000}"/>
    <cellStyle name="_20061103Holux_ProgramWorkBook_Re-engineering SLM_PM_Workbook_021510_Commissioning System Implementation_Project Workbook_06_10_2011" xfId="6400" xr:uid="{00000000-0005-0000-0000-0000A6180000}"/>
    <cellStyle name="_20061103Holux_ProgramWorkBook_Re-engineering SLM_PM_Workbook_021510_Commissioning System Implementation_Project Workbook_06_10_2011 2" xfId="6401" xr:uid="{00000000-0005-0000-0000-0000A7180000}"/>
    <cellStyle name="_20061103Holux_ProgramWorkBook_Re-engineering SLM_PM_Workbook_021510_Commissioning System Implementation_Project Workbook_06_10_2011 2_Steps of Doneness" xfId="6402" xr:uid="{00000000-0005-0000-0000-0000A8180000}"/>
    <cellStyle name="_20061103Holux_ProgramWorkBook_Re-engineering SLM_PM_Workbook_021510_Commissioning System Implementation_Project Workbook_06_10_2011 3" xfId="6403" xr:uid="{00000000-0005-0000-0000-0000A9180000}"/>
    <cellStyle name="_20061103Holux_ProgramWorkBook_Re-engineering SLM_PM_Workbook_021510_Commissioning System Implementation_Project Workbook_06_10_2011_Steps of Doneness" xfId="6404" xr:uid="{00000000-0005-0000-0000-0000AA180000}"/>
    <cellStyle name="_20061103Holux_ProgramWorkBook_Re-engineering SLM_PM_Workbook_021510_FairPoint_CampReport" xfId="6405" xr:uid="{00000000-0005-0000-0000-0000AB180000}"/>
    <cellStyle name="_20061103Holux_ProgramWorkBook_Re-engineering SLM_PM_Workbook_021510_FairPoint_CampReport 2" xfId="6406" xr:uid="{00000000-0005-0000-0000-0000AC180000}"/>
    <cellStyle name="_20061103Holux_ProgramWorkBook_Re-engineering SLM_PM_Workbook_021510_FairPoint_CampReport 2_Steps of Doneness" xfId="6407" xr:uid="{00000000-0005-0000-0000-0000AD180000}"/>
    <cellStyle name="_20061103Holux_ProgramWorkBook_Re-engineering SLM_PM_Workbook_021510_FairPoint_CampReport 3" xfId="6408" xr:uid="{00000000-0005-0000-0000-0000AE180000}"/>
    <cellStyle name="_20061103Holux_ProgramWorkBook_Re-engineering SLM_PM_Workbook_021510_FairPoint_CampReport_Steps of Doneness" xfId="6409" xr:uid="{00000000-0005-0000-0000-0000AF180000}"/>
    <cellStyle name="_20061103Holux_ProgramWorkBook_Re-engineering SLM_PM_Workbook_021510_FairPoint_FP comTechOps_ProgramWorkbook" xfId="6410" xr:uid="{00000000-0005-0000-0000-0000B0180000}"/>
    <cellStyle name="_20061103Holux_ProgramWorkBook_Re-engineering SLM_PM_Workbook_021510_FairPoint_FP comTechOps_ProgramWorkbook 2" xfId="6411" xr:uid="{00000000-0005-0000-0000-0000B1180000}"/>
    <cellStyle name="_20061103Holux_ProgramWorkBook_Re-engineering SLM_PM_Workbook_021510_FairPoint_FP comTechOps_ProgramWorkbook 2_Steps of Doneness" xfId="6412" xr:uid="{00000000-0005-0000-0000-0000B2180000}"/>
    <cellStyle name="_20061103Holux_ProgramWorkBook_Re-engineering SLM_PM_Workbook_021510_FairPoint_FP comTechOps_ProgramWorkbook 3" xfId="6413" xr:uid="{00000000-0005-0000-0000-0000B3180000}"/>
    <cellStyle name="_20061103Holux_ProgramWorkBook_Re-engineering SLM_PM_Workbook_021510_FairPoint_FP comTechOps_ProgramWorkbook_sachin" xfId="6414" xr:uid="{00000000-0005-0000-0000-0000B4180000}"/>
    <cellStyle name="_20061103Holux_ProgramWorkBook_Re-engineering SLM_PM_Workbook_021510_FairPoint_FP comTechOps_ProgramWorkbook_sachin 2" xfId="6415" xr:uid="{00000000-0005-0000-0000-0000B5180000}"/>
    <cellStyle name="_20061103Holux_ProgramWorkBook_Re-engineering SLM_PM_Workbook_021510_FairPoint_FP comTechOps_ProgramWorkbook_sachin 2_Steps of Doneness" xfId="6416" xr:uid="{00000000-0005-0000-0000-0000B6180000}"/>
    <cellStyle name="_20061103Holux_ProgramWorkBook_Re-engineering SLM_PM_Workbook_021510_FairPoint_FP comTechOps_ProgramWorkbook_sachin 3" xfId="6417" xr:uid="{00000000-0005-0000-0000-0000B7180000}"/>
    <cellStyle name="_20061103Holux_ProgramWorkBook_Re-engineering SLM_PM_Workbook_021510_FairPoint_FP comTechOps_ProgramWorkbook_sachin_Steps of Doneness" xfId="6418" xr:uid="{00000000-0005-0000-0000-0000B8180000}"/>
    <cellStyle name="_20061103Holux_ProgramWorkBook_Re-engineering SLM_PM_Workbook_021510_FairPoint_FP comTechOps_ProgramWorkbook_sachin_v1" xfId="6419" xr:uid="{00000000-0005-0000-0000-0000B9180000}"/>
    <cellStyle name="_20061103Holux_ProgramWorkBook_Re-engineering SLM_PM_Workbook_021510_FairPoint_FP comTechOps_ProgramWorkbook_sachin_v1 2" xfId="6420" xr:uid="{00000000-0005-0000-0000-0000BA180000}"/>
    <cellStyle name="_20061103Holux_ProgramWorkBook_Re-engineering SLM_PM_Workbook_021510_FairPoint_FP comTechOps_ProgramWorkbook_sachin_v1 2_Steps of Doneness" xfId="6421" xr:uid="{00000000-0005-0000-0000-0000BB180000}"/>
    <cellStyle name="_20061103Holux_ProgramWorkBook_Re-engineering SLM_PM_Workbook_021510_FairPoint_FP comTechOps_ProgramWorkbook_sachin_v1 3" xfId="6422" xr:uid="{00000000-0005-0000-0000-0000BC180000}"/>
    <cellStyle name="_20061103Holux_ProgramWorkBook_Re-engineering SLM_PM_Workbook_021510_FairPoint_FP comTechOps_ProgramWorkbook_sachin_v1_Steps of Doneness" xfId="6423" xr:uid="{00000000-0005-0000-0000-0000BD180000}"/>
    <cellStyle name="_20061103Holux_ProgramWorkBook_Re-engineering SLM_PM_Workbook_021510_FairPoint_FP comTechOps_ProgramWorkbook_Steps of Doneness" xfId="6424" xr:uid="{00000000-0005-0000-0000-0000BE180000}"/>
    <cellStyle name="_20061103Holux_ProgramWorkBook_Re-engineering SLM_PM_Workbook_021510_FP_CAMP&amp;ITReporting_Maintenance_Dashboard" xfId="6425" xr:uid="{00000000-0005-0000-0000-0000BF180000}"/>
    <cellStyle name="_20061103Holux_ProgramWorkBook_Re-engineering SLM_PM_Workbook_021510_FP_CAMP&amp;ITReporting_Maintenance_Dashboard 2" xfId="6426" xr:uid="{00000000-0005-0000-0000-0000C0180000}"/>
    <cellStyle name="_20061103Holux_ProgramWorkBook_Re-engineering SLM_PM_Workbook_021510_FP_CAMP&amp;ITReporting_Maintenance_Dashboard 2_Steps of Doneness" xfId="6427" xr:uid="{00000000-0005-0000-0000-0000C1180000}"/>
    <cellStyle name="_20061103Holux_ProgramWorkBook_Re-engineering SLM_PM_Workbook_021510_FP_CAMP&amp;ITReporting_Maintenance_Dashboard 3" xfId="6428" xr:uid="{00000000-0005-0000-0000-0000C2180000}"/>
    <cellStyle name="_20061103Holux_ProgramWorkBook_Re-engineering SLM_PM_Workbook_021510_FP_CAMP&amp;ITReporting_Maintenance_Dashboard_Steps of Doneness" xfId="6429" xr:uid="{00000000-0005-0000-0000-0000C3180000}"/>
    <cellStyle name="_20061103Holux_ProgramWorkBook_Re-engineering SLM_PM_Workbook_021510_FP_CAMPITReporting_Maintenance_Dashboard" xfId="6430" xr:uid="{00000000-0005-0000-0000-0000C4180000}"/>
    <cellStyle name="_20061103Holux_ProgramWorkBook_Re-engineering SLM_PM_Workbook_021510_FP_CAMPITReporting_Maintenance_Dashboard 2" xfId="6431" xr:uid="{00000000-0005-0000-0000-0000C5180000}"/>
    <cellStyle name="_20061103Holux_ProgramWorkBook_Re-engineering SLM_PM_Workbook_021510_FP_CAMPITReporting_Maintenance_Dashboard 2_Steps of Doneness" xfId="6432" xr:uid="{00000000-0005-0000-0000-0000C6180000}"/>
    <cellStyle name="_20061103Holux_ProgramWorkBook_Re-engineering SLM_PM_Workbook_021510_FP_CAMPITReporting_Maintenance_Dashboard 3" xfId="6433" xr:uid="{00000000-0005-0000-0000-0000C7180000}"/>
    <cellStyle name="_20061103Holux_ProgramWorkBook_Re-engineering SLM_PM_Workbook_021510_FP_CAMPITReporting_Maintenance_Dashboard_Steps of Doneness" xfId="6434" xr:uid="{00000000-0005-0000-0000-0000C8180000}"/>
    <cellStyle name="_20061103Holux_ProgramWorkBook_Re-engineering SLM_PM_Workbook_021510_FP_Commissions_Req_Dn_ProgramWorkBook_10-Dec-2010" xfId="6435" xr:uid="{00000000-0005-0000-0000-0000C9180000}"/>
    <cellStyle name="_20061103Holux_ProgramWorkBook_Re-engineering SLM_PM_Workbook_021510_FP_Commissions_Req_Dn_ProgramWorkBook_10-Dec-2010 2" xfId="6436" xr:uid="{00000000-0005-0000-0000-0000CA180000}"/>
    <cellStyle name="_20061103Holux_ProgramWorkBook_Re-engineering SLM_PM_Workbook_021510_FP_Commissions_Req_Dn_ProgramWorkBook_10-Dec-2010 2_Steps of Doneness" xfId="6437" xr:uid="{00000000-0005-0000-0000-0000CB180000}"/>
    <cellStyle name="_20061103Holux_ProgramWorkBook_Re-engineering SLM_PM_Workbook_021510_FP_Commissions_Req_Dn_ProgramWorkBook_10-Dec-2010 3" xfId="6438" xr:uid="{00000000-0005-0000-0000-0000CC180000}"/>
    <cellStyle name="_20061103Holux_ProgramWorkBook_Re-engineering SLM_PM_Workbook_021510_FP_Commissions_Req_Dn_ProgramWorkBook_10-Dec-2010_Steps of Doneness" xfId="6439" xr:uid="{00000000-0005-0000-0000-0000CD180000}"/>
    <cellStyle name="_20061103Holux_ProgramWorkBook_Re-engineering SLM_PM_Workbook_021510_FP_DW_Impl_ProgramWorkBook_07-Jan-2011" xfId="6440" xr:uid="{00000000-0005-0000-0000-0000CE180000}"/>
    <cellStyle name="_20061103Holux_ProgramWorkBook_Re-engineering SLM_PM_Workbook_021510_FP_DW_Impl_ProgramWorkBook_07-Jan-2011 2" xfId="6441" xr:uid="{00000000-0005-0000-0000-0000CF180000}"/>
    <cellStyle name="_20061103Holux_ProgramWorkBook_Re-engineering SLM_PM_Workbook_021510_FP_DW_Impl_ProgramWorkBook_07-Jan-2011 2 2" xfId="6442" xr:uid="{00000000-0005-0000-0000-0000D0180000}"/>
    <cellStyle name="_20061103Holux_ProgramWorkBook_Re-engineering SLM_PM_Workbook_021510_FP_DW_Impl_ProgramWorkBook_07-Jan-2011 2 2_Steps of Doneness" xfId="6443" xr:uid="{00000000-0005-0000-0000-0000D1180000}"/>
    <cellStyle name="_20061103Holux_ProgramWorkBook_Re-engineering SLM_PM_Workbook_021510_FP_DW_Impl_ProgramWorkBook_07-Jan-2011 2 3" xfId="6444" xr:uid="{00000000-0005-0000-0000-0000D2180000}"/>
    <cellStyle name="_20061103Holux_ProgramWorkBook_Re-engineering SLM_PM_Workbook_021510_FP_DW_Impl_ProgramWorkBook_07-Jan-2011 2_Steps of Doneness" xfId="6445" xr:uid="{00000000-0005-0000-0000-0000D3180000}"/>
    <cellStyle name="_20061103Holux_ProgramWorkBook_Re-engineering SLM_PM_Workbook_021510_FP_DW_Impl_ProgramWorkBook_07-Jan-2011 3" xfId="6446" xr:uid="{00000000-0005-0000-0000-0000D4180000}"/>
    <cellStyle name="_20061103Holux_ProgramWorkBook_Re-engineering SLM_PM_Workbook_021510_FP_DW_Impl_ProgramWorkBook_07-Jan-2011 3_Steps of Doneness" xfId="6447" xr:uid="{00000000-0005-0000-0000-0000D5180000}"/>
    <cellStyle name="_20061103Holux_ProgramWorkBook_Re-engineering SLM_PM_Workbook_021510_FP_DW_Impl_ProgramWorkBook_07-Jan-2011 4" xfId="6448" xr:uid="{00000000-0005-0000-0000-0000D6180000}"/>
    <cellStyle name="_20061103Holux_ProgramWorkBook_Re-engineering SLM_PM_Workbook_021510_FP_DW_Impl_ProgramWorkBook_07-Jan-2011_Steps of Doneness" xfId="6449" xr:uid="{00000000-0005-0000-0000-0000D7180000}"/>
    <cellStyle name="_20061103Holux_ProgramWorkBook_Re-engineering SLM_PM_Workbook_021510_FP_DW_Impl_ProgramWorkBook_11-Feb-2011" xfId="6450" xr:uid="{00000000-0005-0000-0000-0000D8180000}"/>
    <cellStyle name="_20061103Holux_ProgramWorkBook_Re-engineering SLM_PM_Workbook_021510_FP_DW_Impl_ProgramWorkBook_11-Feb-2011 2" xfId="6451" xr:uid="{00000000-0005-0000-0000-0000D9180000}"/>
    <cellStyle name="_20061103Holux_ProgramWorkBook_Re-engineering SLM_PM_Workbook_021510_FP_DW_Impl_ProgramWorkBook_11-Feb-2011 2_Steps of Doneness" xfId="6452" xr:uid="{00000000-0005-0000-0000-0000DA180000}"/>
    <cellStyle name="_20061103Holux_ProgramWorkBook_Re-engineering SLM_PM_Workbook_021510_FP_DW_Impl_ProgramWorkBook_11-Feb-2011 3" xfId="6453" xr:uid="{00000000-0005-0000-0000-0000DB180000}"/>
    <cellStyle name="_20061103Holux_ProgramWorkBook_Re-engineering SLM_PM_Workbook_021510_FP_DW_Impl_ProgramWorkBook_11-Feb-2011_Steps of Doneness" xfId="6454" xr:uid="{00000000-0005-0000-0000-0000DC180000}"/>
    <cellStyle name="_20061103Holux_ProgramWorkBook_Re-engineering SLM_PM_Workbook_021510_FP_DW_Impl_ProgramWorkBook_18-Feb-2011 - Working" xfId="6455" xr:uid="{00000000-0005-0000-0000-0000DD180000}"/>
    <cellStyle name="_20061103Holux_ProgramWorkBook_Re-engineering SLM_PM_Workbook_021510_FP_DW_Impl_ProgramWorkBook_18-Feb-2011 - Working 2" xfId="6456" xr:uid="{00000000-0005-0000-0000-0000DE180000}"/>
    <cellStyle name="_20061103Holux_ProgramWorkBook_Re-engineering SLM_PM_Workbook_021510_FP_DW_Impl_ProgramWorkBook_18-Feb-2011 - Working 2_Steps of Doneness" xfId="6457" xr:uid="{00000000-0005-0000-0000-0000DF180000}"/>
    <cellStyle name="_20061103Holux_ProgramWorkBook_Re-engineering SLM_PM_Workbook_021510_FP_DW_Impl_ProgramWorkBook_18-Feb-2011 - Working 3" xfId="6458" xr:uid="{00000000-0005-0000-0000-0000E0180000}"/>
    <cellStyle name="_20061103Holux_ProgramWorkBook_Re-engineering SLM_PM_Workbook_021510_FP_DW_Impl_ProgramWorkBook_18-Feb-2011 - Working_Steps of Doneness" xfId="6459" xr:uid="{00000000-0005-0000-0000-0000E1180000}"/>
    <cellStyle name="_20061103Holux_ProgramWorkBook_Re-engineering SLM_PM_Workbook_021510_FP_EnterprisePortal_ProgramWorkbook" xfId="6460" xr:uid="{00000000-0005-0000-0000-0000E2180000}"/>
    <cellStyle name="_20061103Holux_ProgramWorkBook_Re-engineering SLM_PM_Workbook_021510_FP_EnterprisePortal_ProgramWorkbook 2" xfId="6461" xr:uid="{00000000-0005-0000-0000-0000E3180000}"/>
    <cellStyle name="_20061103Holux_ProgramWorkBook_Re-engineering SLM_PM_Workbook_021510_FP_EnterprisePortal_ProgramWorkbook 2_Steps of Doneness" xfId="6462" xr:uid="{00000000-0005-0000-0000-0000E4180000}"/>
    <cellStyle name="_20061103Holux_ProgramWorkBook_Re-engineering SLM_PM_Workbook_021510_FP_EnterprisePortal_ProgramWorkbook 3" xfId="6463" xr:uid="{00000000-0005-0000-0000-0000E5180000}"/>
    <cellStyle name="_20061103Holux_ProgramWorkBook_Re-engineering SLM_PM_Workbook_021510_FP_EnterprisePortal_ProgramWorkbook_Steps of Doneness" xfId="6464" xr:uid="{00000000-0005-0000-0000-0000E6180000}"/>
    <cellStyle name="_20061103Holux_ProgramWorkBook_Re-engineering SLM_PM_Workbook_021510_FP_SAP_MLP v2" xfId="6465" xr:uid="{00000000-0005-0000-0000-0000E7180000}"/>
    <cellStyle name="_20061103Holux_ProgramWorkBook_Re-engineering SLM_PM_Workbook_021510_FP_SAP_MLP v2 2" xfId="6466" xr:uid="{00000000-0005-0000-0000-0000E8180000}"/>
    <cellStyle name="_20061103Holux_ProgramWorkBook_Re-engineering SLM_PM_Workbook_021510_FP_SAP_MLP v2 2_Steps of Doneness" xfId="6467" xr:uid="{00000000-0005-0000-0000-0000E9180000}"/>
    <cellStyle name="_20061103Holux_ProgramWorkBook_Re-engineering SLM_PM_Workbook_021510_FP_SAP_MLP v2 3" xfId="6468" xr:uid="{00000000-0005-0000-0000-0000EA180000}"/>
    <cellStyle name="_20061103Holux_ProgramWorkBook_Re-engineering SLM_PM_Workbook_021510_FP_SAP_MLP v2_Steps of Doneness" xfId="6469" xr:uid="{00000000-0005-0000-0000-0000EB180000}"/>
    <cellStyle name="_20061103Holux_ProgramWorkBook_Re-engineering SLM_PM_Workbook_021510_KeyDecisions" xfId="6470" xr:uid="{00000000-0005-0000-0000-0000EC180000}"/>
    <cellStyle name="_20061103Holux_ProgramWorkBook_Re-engineering SLM_PM_Workbook_021510_KeyDecisions 2" xfId="6471" xr:uid="{00000000-0005-0000-0000-0000ED180000}"/>
    <cellStyle name="_20061103Holux_ProgramWorkBook_Re-engineering SLM_PM_Workbook_021510_KeyDecisions 2_Steps of Doneness" xfId="6472" xr:uid="{00000000-0005-0000-0000-0000EE180000}"/>
    <cellStyle name="_20061103Holux_ProgramWorkBook_Re-engineering SLM_PM_Workbook_021510_KeyDecisions 3" xfId="6473" xr:uid="{00000000-0005-0000-0000-0000EF180000}"/>
    <cellStyle name="_20061103Holux_ProgramWorkBook_Re-engineering SLM_PM_Workbook_021510_KeyDecisions_Steps of Doneness" xfId="6474" xr:uid="{00000000-0005-0000-0000-0000F0180000}"/>
    <cellStyle name="_20061103Holux_ProgramWorkBook_Re-engineering SLM_PM_Workbook_021510_Sophia_Imp_ProjectWorkBook_02_18_2011" xfId="6475" xr:uid="{00000000-0005-0000-0000-0000F1180000}"/>
    <cellStyle name="_20061103Holux_ProgramWorkBook_Re-engineering SLM_PM_Workbook_021510_Sophia_Imp_ProjectWorkBook_02_18_2011 2" xfId="6476" xr:uid="{00000000-0005-0000-0000-0000F2180000}"/>
    <cellStyle name="_20061103Holux_ProgramWorkBook_Re-engineering SLM_PM_Workbook_021510_Sophia_Imp_ProjectWorkBook_02_18_2011 2_Steps of Doneness" xfId="6477" xr:uid="{00000000-0005-0000-0000-0000F3180000}"/>
    <cellStyle name="_20061103Holux_ProgramWorkBook_Re-engineering SLM_PM_Workbook_021510_Sophia_Imp_ProjectWorkBook_02_18_2011 3" xfId="6478" xr:uid="{00000000-0005-0000-0000-0000F4180000}"/>
    <cellStyle name="_20061103Holux_ProgramWorkBook_Re-engineering SLM_PM_Workbook_021510_Sophia_Imp_ProjectWorkBook_02_18_2011_Steps of Doneness" xfId="6479" xr:uid="{00000000-0005-0000-0000-0000F5180000}"/>
    <cellStyle name="_20061103Holux_ProgramWorkBook_Re-engineering SLM_PM_Workbook_021510_Steps of Doneness" xfId="6480" xr:uid="{00000000-0005-0000-0000-0000F6180000}"/>
    <cellStyle name="_20061103Holux_ProgramWorkBook_Re-engineering SLM_PM_Workbook_021510_t" xfId="6481" xr:uid="{00000000-0005-0000-0000-0000F7180000}"/>
    <cellStyle name="_20061103Holux_ProgramWorkBook_Re-engineering SLM_PM_Workbook_021510_t 2" xfId="6482" xr:uid="{00000000-0005-0000-0000-0000F8180000}"/>
    <cellStyle name="_20061103Holux_ProgramWorkBook_Re-engineering SLM_PM_Workbook_021510_t 2_Steps of Doneness" xfId="6483" xr:uid="{00000000-0005-0000-0000-0000F9180000}"/>
    <cellStyle name="_20061103Holux_ProgramWorkBook_Re-engineering SLM_PM_Workbook_021510_t 3" xfId="6484" xr:uid="{00000000-0005-0000-0000-0000FA180000}"/>
    <cellStyle name="_20061103Holux_ProgramWorkBook_Re-engineering SLM_PM_Workbook_021510_t_Steps of Doneness" xfId="6485" xr:uid="{00000000-0005-0000-0000-0000FB180000}"/>
    <cellStyle name="_20061103Holux_ProgramWorkBook_Re-engineering SLM_PM_Workbook_030810" xfId="6486" xr:uid="{00000000-0005-0000-0000-0000FC180000}"/>
    <cellStyle name="_20061103Holux_ProgramWorkBook_Re-engineering SLM_PM_Workbook_030810 2" xfId="6487" xr:uid="{00000000-0005-0000-0000-0000FD180000}"/>
    <cellStyle name="_20061103Holux_ProgramWorkBook_Re-engineering SLM_PM_Workbook_030810 2 2" xfId="6488" xr:uid="{00000000-0005-0000-0000-0000FE180000}"/>
    <cellStyle name="_20061103Holux_ProgramWorkBook_Re-engineering SLM_PM_Workbook_030810 2 2_Steps of Doneness" xfId="6489" xr:uid="{00000000-0005-0000-0000-0000FF180000}"/>
    <cellStyle name="_20061103Holux_ProgramWorkBook_Re-engineering SLM_PM_Workbook_030810 2 3" xfId="6490" xr:uid="{00000000-0005-0000-0000-000000190000}"/>
    <cellStyle name="_20061103Holux_ProgramWorkBook_Re-engineering SLM_PM_Workbook_030810 2_Steps of Doneness" xfId="6491" xr:uid="{00000000-0005-0000-0000-000001190000}"/>
    <cellStyle name="_20061103Holux_ProgramWorkBook_Re-engineering SLM_PM_Workbook_030810 3" xfId="6492" xr:uid="{00000000-0005-0000-0000-000002190000}"/>
    <cellStyle name="_20061103Holux_ProgramWorkBook_Re-engineering SLM_PM_Workbook_030810 3 2" xfId="6493" xr:uid="{00000000-0005-0000-0000-000003190000}"/>
    <cellStyle name="_20061103Holux_ProgramWorkBook_Re-engineering SLM_PM_Workbook_030810 3 2_Steps of Doneness" xfId="6494" xr:uid="{00000000-0005-0000-0000-000004190000}"/>
    <cellStyle name="_20061103Holux_ProgramWorkBook_Re-engineering SLM_PM_Workbook_030810 3 3" xfId="6495" xr:uid="{00000000-0005-0000-0000-000005190000}"/>
    <cellStyle name="_20061103Holux_ProgramWorkBook_Re-engineering SLM_PM_Workbook_030810 3_Steps of Doneness" xfId="6496" xr:uid="{00000000-0005-0000-0000-000006190000}"/>
    <cellStyle name="_20061103Holux_ProgramWorkBook_Re-engineering SLM_PM_Workbook_030810 4" xfId="6497" xr:uid="{00000000-0005-0000-0000-000007190000}"/>
    <cellStyle name="_20061103Holux_ProgramWorkBook_Re-engineering SLM_PM_Workbook_030810 4_Steps of Doneness" xfId="6498" xr:uid="{00000000-0005-0000-0000-000008190000}"/>
    <cellStyle name="_20061103Holux_ProgramWorkBook_Re-engineering SLM_PM_Workbook_030810 5" xfId="6499" xr:uid="{00000000-0005-0000-0000-000009190000}"/>
    <cellStyle name="_20061103Holux_ProgramWorkBook_Re-engineering SLM_PM_Workbook_030810 6" xfId="6500" xr:uid="{00000000-0005-0000-0000-00000A190000}"/>
    <cellStyle name="_20061103Holux_ProgramWorkBook_Re-engineering SLM_PM_Workbook_030810_Commissioning System Implementation_Project Workbook_06_10_2011" xfId="6501" xr:uid="{00000000-0005-0000-0000-00000B190000}"/>
    <cellStyle name="_20061103Holux_ProgramWorkBook_Re-engineering SLM_PM_Workbook_030810_Commissioning System Implementation_Project Workbook_06_10_2011 2" xfId="6502" xr:uid="{00000000-0005-0000-0000-00000C190000}"/>
    <cellStyle name="_20061103Holux_ProgramWorkBook_Re-engineering SLM_PM_Workbook_030810_Commissioning System Implementation_Project Workbook_06_10_2011 2_Steps of Doneness" xfId="6503" xr:uid="{00000000-0005-0000-0000-00000D190000}"/>
    <cellStyle name="_20061103Holux_ProgramWorkBook_Re-engineering SLM_PM_Workbook_030810_Commissioning System Implementation_Project Workbook_06_10_2011 3" xfId="6504" xr:uid="{00000000-0005-0000-0000-00000E190000}"/>
    <cellStyle name="_20061103Holux_ProgramWorkBook_Re-engineering SLM_PM_Workbook_030810_Commissioning System Implementation_Project Workbook_06_10_2011_Steps of Doneness" xfId="6505" xr:uid="{00000000-0005-0000-0000-00000F190000}"/>
    <cellStyle name="_20061103Holux_ProgramWorkBook_Re-engineering SLM_PM_Workbook_030810_FairPoint_CampReport" xfId="6506" xr:uid="{00000000-0005-0000-0000-000010190000}"/>
    <cellStyle name="_20061103Holux_ProgramWorkBook_Re-engineering SLM_PM_Workbook_030810_FairPoint_CampReport 2" xfId="6507" xr:uid="{00000000-0005-0000-0000-000011190000}"/>
    <cellStyle name="_20061103Holux_ProgramWorkBook_Re-engineering SLM_PM_Workbook_030810_FairPoint_CampReport 2_Steps of Doneness" xfId="6508" xr:uid="{00000000-0005-0000-0000-000012190000}"/>
    <cellStyle name="_20061103Holux_ProgramWorkBook_Re-engineering SLM_PM_Workbook_030810_FairPoint_CampReport 3" xfId="6509" xr:uid="{00000000-0005-0000-0000-000013190000}"/>
    <cellStyle name="_20061103Holux_ProgramWorkBook_Re-engineering SLM_PM_Workbook_030810_FairPoint_CampReport_Steps of Doneness" xfId="6510" xr:uid="{00000000-0005-0000-0000-000014190000}"/>
    <cellStyle name="_20061103Holux_ProgramWorkBook_Re-engineering SLM_PM_Workbook_030810_FairPoint_FP comTechOps_ProgramWorkbook" xfId="6511" xr:uid="{00000000-0005-0000-0000-000015190000}"/>
    <cellStyle name="_20061103Holux_ProgramWorkBook_Re-engineering SLM_PM_Workbook_030810_FairPoint_FP comTechOps_ProgramWorkbook 2" xfId="6512" xr:uid="{00000000-0005-0000-0000-000016190000}"/>
    <cellStyle name="_20061103Holux_ProgramWorkBook_Re-engineering SLM_PM_Workbook_030810_FairPoint_FP comTechOps_ProgramWorkbook 2_Steps of Doneness" xfId="6513" xr:uid="{00000000-0005-0000-0000-000017190000}"/>
    <cellStyle name="_20061103Holux_ProgramWorkBook_Re-engineering SLM_PM_Workbook_030810_FairPoint_FP comTechOps_ProgramWorkbook 3" xfId="6514" xr:uid="{00000000-0005-0000-0000-000018190000}"/>
    <cellStyle name="_20061103Holux_ProgramWorkBook_Re-engineering SLM_PM_Workbook_030810_FairPoint_FP comTechOps_ProgramWorkbook_sachin" xfId="6515" xr:uid="{00000000-0005-0000-0000-000019190000}"/>
    <cellStyle name="_20061103Holux_ProgramWorkBook_Re-engineering SLM_PM_Workbook_030810_FairPoint_FP comTechOps_ProgramWorkbook_sachin 2" xfId="6516" xr:uid="{00000000-0005-0000-0000-00001A190000}"/>
    <cellStyle name="_20061103Holux_ProgramWorkBook_Re-engineering SLM_PM_Workbook_030810_FairPoint_FP comTechOps_ProgramWorkbook_sachin 2_Steps of Doneness" xfId="6517" xr:uid="{00000000-0005-0000-0000-00001B190000}"/>
    <cellStyle name="_20061103Holux_ProgramWorkBook_Re-engineering SLM_PM_Workbook_030810_FairPoint_FP comTechOps_ProgramWorkbook_sachin 3" xfId="6518" xr:uid="{00000000-0005-0000-0000-00001C190000}"/>
    <cellStyle name="_20061103Holux_ProgramWorkBook_Re-engineering SLM_PM_Workbook_030810_FairPoint_FP comTechOps_ProgramWorkbook_sachin_Steps of Doneness" xfId="6519" xr:uid="{00000000-0005-0000-0000-00001D190000}"/>
    <cellStyle name="_20061103Holux_ProgramWorkBook_Re-engineering SLM_PM_Workbook_030810_FairPoint_FP comTechOps_ProgramWorkbook_sachin_v1" xfId="6520" xr:uid="{00000000-0005-0000-0000-00001E190000}"/>
    <cellStyle name="_20061103Holux_ProgramWorkBook_Re-engineering SLM_PM_Workbook_030810_FairPoint_FP comTechOps_ProgramWorkbook_sachin_v1 2" xfId="6521" xr:uid="{00000000-0005-0000-0000-00001F190000}"/>
    <cellStyle name="_20061103Holux_ProgramWorkBook_Re-engineering SLM_PM_Workbook_030810_FairPoint_FP comTechOps_ProgramWorkbook_sachin_v1 2_Steps of Doneness" xfId="6522" xr:uid="{00000000-0005-0000-0000-000020190000}"/>
    <cellStyle name="_20061103Holux_ProgramWorkBook_Re-engineering SLM_PM_Workbook_030810_FairPoint_FP comTechOps_ProgramWorkbook_sachin_v1 3" xfId="6523" xr:uid="{00000000-0005-0000-0000-000021190000}"/>
    <cellStyle name="_20061103Holux_ProgramWorkBook_Re-engineering SLM_PM_Workbook_030810_FairPoint_FP comTechOps_ProgramWorkbook_sachin_v1_Steps of Doneness" xfId="6524" xr:uid="{00000000-0005-0000-0000-000022190000}"/>
    <cellStyle name="_20061103Holux_ProgramWorkBook_Re-engineering SLM_PM_Workbook_030810_FairPoint_FP comTechOps_ProgramWorkbook_Steps of Doneness" xfId="6525" xr:uid="{00000000-0005-0000-0000-000023190000}"/>
    <cellStyle name="_20061103Holux_ProgramWorkBook_Re-engineering SLM_PM_Workbook_030810_FP_CAMP&amp;ITReporting_Maintenance_Dashboard" xfId="6526" xr:uid="{00000000-0005-0000-0000-000024190000}"/>
    <cellStyle name="_20061103Holux_ProgramWorkBook_Re-engineering SLM_PM_Workbook_030810_FP_CAMP&amp;ITReporting_Maintenance_Dashboard 2" xfId="6527" xr:uid="{00000000-0005-0000-0000-000025190000}"/>
    <cellStyle name="_20061103Holux_ProgramWorkBook_Re-engineering SLM_PM_Workbook_030810_FP_CAMP&amp;ITReporting_Maintenance_Dashboard 2_Steps of Doneness" xfId="6528" xr:uid="{00000000-0005-0000-0000-000026190000}"/>
    <cellStyle name="_20061103Holux_ProgramWorkBook_Re-engineering SLM_PM_Workbook_030810_FP_CAMP&amp;ITReporting_Maintenance_Dashboard 3" xfId="6529" xr:uid="{00000000-0005-0000-0000-000027190000}"/>
    <cellStyle name="_20061103Holux_ProgramWorkBook_Re-engineering SLM_PM_Workbook_030810_FP_CAMP&amp;ITReporting_Maintenance_Dashboard_Steps of Doneness" xfId="6530" xr:uid="{00000000-0005-0000-0000-000028190000}"/>
    <cellStyle name="_20061103Holux_ProgramWorkBook_Re-engineering SLM_PM_Workbook_030810_FP_CAMPITReporting_Maintenance_Dashboard" xfId="6531" xr:uid="{00000000-0005-0000-0000-000029190000}"/>
    <cellStyle name="_20061103Holux_ProgramWorkBook_Re-engineering SLM_PM_Workbook_030810_FP_CAMPITReporting_Maintenance_Dashboard 2" xfId="6532" xr:uid="{00000000-0005-0000-0000-00002A190000}"/>
    <cellStyle name="_20061103Holux_ProgramWorkBook_Re-engineering SLM_PM_Workbook_030810_FP_CAMPITReporting_Maintenance_Dashboard 2_Steps of Doneness" xfId="6533" xr:uid="{00000000-0005-0000-0000-00002B190000}"/>
    <cellStyle name="_20061103Holux_ProgramWorkBook_Re-engineering SLM_PM_Workbook_030810_FP_CAMPITReporting_Maintenance_Dashboard 3" xfId="6534" xr:uid="{00000000-0005-0000-0000-00002C190000}"/>
    <cellStyle name="_20061103Holux_ProgramWorkBook_Re-engineering SLM_PM_Workbook_030810_FP_CAMPITReporting_Maintenance_Dashboard_Steps of Doneness" xfId="6535" xr:uid="{00000000-0005-0000-0000-00002D190000}"/>
    <cellStyle name="_20061103Holux_ProgramWorkBook_Re-engineering SLM_PM_Workbook_030810_FP_Commissions_Req_Dn_ProgramWorkBook_10-Dec-2010" xfId="6536" xr:uid="{00000000-0005-0000-0000-00002E190000}"/>
    <cellStyle name="_20061103Holux_ProgramWorkBook_Re-engineering SLM_PM_Workbook_030810_FP_Commissions_Req_Dn_ProgramWorkBook_10-Dec-2010 2" xfId="6537" xr:uid="{00000000-0005-0000-0000-00002F190000}"/>
    <cellStyle name="_20061103Holux_ProgramWorkBook_Re-engineering SLM_PM_Workbook_030810_FP_Commissions_Req_Dn_ProgramWorkBook_10-Dec-2010 2_Steps of Doneness" xfId="6538" xr:uid="{00000000-0005-0000-0000-000030190000}"/>
    <cellStyle name="_20061103Holux_ProgramWorkBook_Re-engineering SLM_PM_Workbook_030810_FP_Commissions_Req_Dn_ProgramWorkBook_10-Dec-2010 3" xfId="6539" xr:uid="{00000000-0005-0000-0000-000031190000}"/>
    <cellStyle name="_20061103Holux_ProgramWorkBook_Re-engineering SLM_PM_Workbook_030810_FP_Commissions_Req_Dn_ProgramWorkBook_10-Dec-2010_Steps of Doneness" xfId="6540" xr:uid="{00000000-0005-0000-0000-000032190000}"/>
    <cellStyle name="_20061103Holux_ProgramWorkBook_Re-engineering SLM_PM_Workbook_030810_FP_DW_Impl_ProgramWorkBook_07-Jan-2011" xfId="6541" xr:uid="{00000000-0005-0000-0000-000033190000}"/>
    <cellStyle name="_20061103Holux_ProgramWorkBook_Re-engineering SLM_PM_Workbook_030810_FP_DW_Impl_ProgramWorkBook_07-Jan-2011 2" xfId="6542" xr:uid="{00000000-0005-0000-0000-000034190000}"/>
    <cellStyle name="_20061103Holux_ProgramWorkBook_Re-engineering SLM_PM_Workbook_030810_FP_DW_Impl_ProgramWorkBook_07-Jan-2011 2 2" xfId="6543" xr:uid="{00000000-0005-0000-0000-000035190000}"/>
    <cellStyle name="_20061103Holux_ProgramWorkBook_Re-engineering SLM_PM_Workbook_030810_FP_DW_Impl_ProgramWorkBook_07-Jan-2011 2 2_Steps of Doneness" xfId="6544" xr:uid="{00000000-0005-0000-0000-000036190000}"/>
    <cellStyle name="_20061103Holux_ProgramWorkBook_Re-engineering SLM_PM_Workbook_030810_FP_DW_Impl_ProgramWorkBook_07-Jan-2011 2 3" xfId="6545" xr:uid="{00000000-0005-0000-0000-000037190000}"/>
    <cellStyle name="_20061103Holux_ProgramWorkBook_Re-engineering SLM_PM_Workbook_030810_FP_DW_Impl_ProgramWorkBook_07-Jan-2011 2_Steps of Doneness" xfId="6546" xr:uid="{00000000-0005-0000-0000-000038190000}"/>
    <cellStyle name="_20061103Holux_ProgramWorkBook_Re-engineering SLM_PM_Workbook_030810_FP_DW_Impl_ProgramWorkBook_07-Jan-2011 3" xfId="6547" xr:uid="{00000000-0005-0000-0000-000039190000}"/>
    <cellStyle name="_20061103Holux_ProgramWorkBook_Re-engineering SLM_PM_Workbook_030810_FP_DW_Impl_ProgramWorkBook_07-Jan-2011 3_Steps of Doneness" xfId="6548" xr:uid="{00000000-0005-0000-0000-00003A190000}"/>
    <cellStyle name="_20061103Holux_ProgramWorkBook_Re-engineering SLM_PM_Workbook_030810_FP_DW_Impl_ProgramWorkBook_07-Jan-2011 4" xfId="6549" xr:uid="{00000000-0005-0000-0000-00003B190000}"/>
    <cellStyle name="_20061103Holux_ProgramWorkBook_Re-engineering SLM_PM_Workbook_030810_FP_DW_Impl_ProgramWorkBook_07-Jan-2011_Steps of Doneness" xfId="6550" xr:uid="{00000000-0005-0000-0000-00003C190000}"/>
    <cellStyle name="_20061103Holux_ProgramWorkBook_Re-engineering SLM_PM_Workbook_030810_FP_DW_Impl_ProgramWorkBook_11-Feb-2011" xfId="6551" xr:uid="{00000000-0005-0000-0000-00003D190000}"/>
    <cellStyle name="_20061103Holux_ProgramWorkBook_Re-engineering SLM_PM_Workbook_030810_FP_DW_Impl_ProgramWorkBook_11-Feb-2011 2" xfId="6552" xr:uid="{00000000-0005-0000-0000-00003E190000}"/>
    <cellStyle name="_20061103Holux_ProgramWorkBook_Re-engineering SLM_PM_Workbook_030810_FP_DW_Impl_ProgramWorkBook_11-Feb-2011 2_Steps of Doneness" xfId="6553" xr:uid="{00000000-0005-0000-0000-00003F190000}"/>
    <cellStyle name="_20061103Holux_ProgramWorkBook_Re-engineering SLM_PM_Workbook_030810_FP_DW_Impl_ProgramWorkBook_11-Feb-2011 3" xfId="6554" xr:uid="{00000000-0005-0000-0000-000040190000}"/>
    <cellStyle name="_20061103Holux_ProgramWorkBook_Re-engineering SLM_PM_Workbook_030810_FP_DW_Impl_ProgramWorkBook_11-Feb-2011_Steps of Doneness" xfId="6555" xr:uid="{00000000-0005-0000-0000-000041190000}"/>
    <cellStyle name="_20061103Holux_ProgramWorkBook_Re-engineering SLM_PM_Workbook_030810_FP_DW_Impl_ProgramWorkBook_18-Feb-2011 - Working" xfId="6556" xr:uid="{00000000-0005-0000-0000-000042190000}"/>
    <cellStyle name="_20061103Holux_ProgramWorkBook_Re-engineering SLM_PM_Workbook_030810_FP_DW_Impl_ProgramWorkBook_18-Feb-2011 - Working 2" xfId="6557" xr:uid="{00000000-0005-0000-0000-000043190000}"/>
    <cellStyle name="_20061103Holux_ProgramWorkBook_Re-engineering SLM_PM_Workbook_030810_FP_DW_Impl_ProgramWorkBook_18-Feb-2011 - Working 2_Steps of Doneness" xfId="6558" xr:uid="{00000000-0005-0000-0000-000044190000}"/>
    <cellStyle name="_20061103Holux_ProgramWorkBook_Re-engineering SLM_PM_Workbook_030810_FP_DW_Impl_ProgramWorkBook_18-Feb-2011 - Working 3" xfId="6559" xr:uid="{00000000-0005-0000-0000-000045190000}"/>
    <cellStyle name="_20061103Holux_ProgramWorkBook_Re-engineering SLM_PM_Workbook_030810_FP_DW_Impl_ProgramWorkBook_18-Feb-2011 - Working_Steps of Doneness" xfId="6560" xr:uid="{00000000-0005-0000-0000-000046190000}"/>
    <cellStyle name="_20061103Holux_ProgramWorkBook_Re-engineering SLM_PM_Workbook_030810_FP_EnterprisePortal_ProgramWorkbook" xfId="6561" xr:uid="{00000000-0005-0000-0000-000047190000}"/>
    <cellStyle name="_20061103Holux_ProgramWorkBook_Re-engineering SLM_PM_Workbook_030810_FP_EnterprisePortal_ProgramWorkbook 2" xfId="6562" xr:uid="{00000000-0005-0000-0000-000048190000}"/>
    <cellStyle name="_20061103Holux_ProgramWorkBook_Re-engineering SLM_PM_Workbook_030810_FP_EnterprisePortal_ProgramWorkbook 2_Steps of Doneness" xfId="6563" xr:uid="{00000000-0005-0000-0000-000049190000}"/>
    <cellStyle name="_20061103Holux_ProgramWorkBook_Re-engineering SLM_PM_Workbook_030810_FP_EnterprisePortal_ProgramWorkbook 3" xfId="6564" xr:uid="{00000000-0005-0000-0000-00004A190000}"/>
    <cellStyle name="_20061103Holux_ProgramWorkBook_Re-engineering SLM_PM_Workbook_030810_FP_EnterprisePortal_ProgramWorkbook_Steps of Doneness" xfId="6565" xr:uid="{00000000-0005-0000-0000-00004B190000}"/>
    <cellStyle name="_20061103Holux_ProgramWorkBook_Re-engineering SLM_PM_Workbook_030810_FP_SAP_MLP v2" xfId="6566" xr:uid="{00000000-0005-0000-0000-00004C190000}"/>
    <cellStyle name="_20061103Holux_ProgramWorkBook_Re-engineering SLM_PM_Workbook_030810_FP_SAP_MLP v2 2" xfId="6567" xr:uid="{00000000-0005-0000-0000-00004D190000}"/>
    <cellStyle name="_20061103Holux_ProgramWorkBook_Re-engineering SLM_PM_Workbook_030810_FP_SAP_MLP v2 2_Steps of Doneness" xfId="6568" xr:uid="{00000000-0005-0000-0000-00004E190000}"/>
    <cellStyle name="_20061103Holux_ProgramWorkBook_Re-engineering SLM_PM_Workbook_030810_FP_SAP_MLP v2 3" xfId="6569" xr:uid="{00000000-0005-0000-0000-00004F190000}"/>
    <cellStyle name="_20061103Holux_ProgramWorkBook_Re-engineering SLM_PM_Workbook_030810_FP_SAP_MLP v2_Steps of Doneness" xfId="6570" xr:uid="{00000000-0005-0000-0000-000050190000}"/>
    <cellStyle name="_20061103Holux_ProgramWorkBook_Re-engineering SLM_PM_Workbook_030810_KeyDecisions" xfId="6571" xr:uid="{00000000-0005-0000-0000-000051190000}"/>
    <cellStyle name="_20061103Holux_ProgramWorkBook_Re-engineering SLM_PM_Workbook_030810_KeyDecisions 2" xfId="6572" xr:uid="{00000000-0005-0000-0000-000052190000}"/>
    <cellStyle name="_20061103Holux_ProgramWorkBook_Re-engineering SLM_PM_Workbook_030810_KeyDecisions 2_Steps of Doneness" xfId="6573" xr:uid="{00000000-0005-0000-0000-000053190000}"/>
    <cellStyle name="_20061103Holux_ProgramWorkBook_Re-engineering SLM_PM_Workbook_030810_KeyDecisions 3" xfId="6574" xr:uid="{00000000-0005-0000-0000-000054190000}"/>
    <cellStyle name="_20061103Holux_ProgramWorkBook_Re-engineering SLM_PM_Workbook_030810_KeyDecisions_Steps of Doneness" xfId="6575" xr:uid="{00000000-0005-0000-0000-000055190000}"/>
    <cellStyle name="_20061103Holux_ProgramWorkBook_Re-engineering SLM_PM_Workbook_030810_Sophia_Imp_ProjectWorkBook_02_18_2011" xfId="6576" xr:uid="{00000000-0005-0000-0000-000056190000}"/>
    <cellStyle name="_20061103Holux_ProgramWorkBook_Re-engineering SLM_PM_Workbook_030810_Sophia_Imp_ProjectWorkBook_02_18_2011 2" xfId="6577" xr:uid="{00000000-0005-0000-0000-000057190000}"/>
    <cellStyle name="_20061103Holux_ProgramWorkBook_Re-engineering SLM_PM_Workbook_030810_Sophia_Imp_ProjectWorkBook_02_18_2011 2_Steps of Doneness" xfId="6578" xr:uid="{00000000-0005-0000-0000-000058190000}"/>
    <cellStyle name="_20061103Holux_ProgramWorkBook_Re-engineering SLM_PM_Workbook_030810_Sophia_Imp_ProjectWorkBook_02_18_2011 3" xfId="6579" xr:uid="{00000000-0005-0000-0000-000059190000}"/>
    <cellStyle name="_20061103Holux_ProgramWorkBook_Re-engineering SLM_PM_Workbook_030810_Sophia_Imp_ProjectWorkBook_02_18_2011_Steps of Doneness" xfId="6580" xr:uid="{00000000-0005-0000-0000-00005A190000}"/>
    <cellStyle name="_20061103Holux_ProgramWorkBook_Re-engineering SLM_PM_Workbook_030810_Steps of Doneness" xfId="6581" xr:uid="{00000000-0005-0000-0000-00005B190000}"/>
    <cellStyle name="_20061103Holux_ProgramWorkBook_Re-engineering SLM_PM_Workbook_030810_t" xfId="6582" xr:uid="{00000000-0005-0000-0000-00005C190000}"/>
    <cellStyle name="_20061103Holux_ProgramWorkBook_Re-engineering SLM_PM_Workbook_030810_t 2" xfId="6583" xr:uid="{00000000-0005-0000-0000-00005D190000}"/>
    <cellStyle name="_20061103Holux_ProgramWorkBook_Re-engineering SLM_PM_Workbook_030810_t 2_Steps of Doneness" xfId="6584" xr:uid="{00000000-0005-0000-0000-00005E190000}"/>
    <cellStyle name="_20061103Holux_ProgramWorkBook_Re-engineering SLM_PM_Workbook_030810_t 3" xfId="6585" xr:uid="{00000000-0005-0000-0000-00005F190000}"/>
    <cellStyle name="_20061103Holux_ProgramWorkBook_Re-engineering SLM_PM_Workbook_030810_t_Steps of Doneness" xfId="6586" xr:uid="{00000000-0005-0000-0000-000060190000}"/>
    <cellStyle name="_20061103Holux_ProgramWorkBook_Scope and Deliverable Summary" xfId="6587" xr:uid="{00000000-0005-0000-0000-000061190000}"/>
    <cellStyle name="_20061103Holux_ProgramWorkBook_Scope and Deliverable Summary 2" xfId="6588" xr:uid="{00000000-0005-0000-0000-000062190000}"/>
    <cellStyle name="_20061103Holux_ProgramWorkBook_Scope and Deliverable Summary 2 2" xfId="6589" xr:uid="{00000000-0005-0000-0000-000063190000}"/>
    <cellStyle name="_20061103Holux_ProgramWorkBook_Scope and Deliverable Summary 2 2_Steps of Doneness" xfId="6590" xr:uid="{00000000-0005-0000-0000-000064190000}"/>
    <cellStyle name="_20061103Holux_ProgramWorkBook_Scope and Deliverable Summary 2 3" xfId="6591" xr:uid="{00000000-0005-0000-0000-000065190000}"/>
    <cellStyle name="_20061103Holux_ProgramWorkBook_Scope and Deliverable Summary 2_Steps of Doneness" xfId="6592" xr:uid="{00000000-0005-0000-0000-000066190000}"/>
    <cellStyle name="_20061103Holux_ProgramWorkBook_Scope and Deliverable Summary 3" xfId="6593" xr:uid="{00000000-0005-0000-0000-000067190000}"/>
    <cellStyle name="_20061103Holux_ProgramWorkBook_Scope and Deliverable Summary 3 2" xfId="6594" xr:uid="{00000000-0005-0000-0000-000068190000}"/>
    <cellStyle name="_20061103Holux_ProgramWorkBook_Scope and Deliverable Summary 3 2_Steps of Doneness" xfId="6595" xr:uid="{00000000-0005-0000-0000-000069190000}"/>
    <cellStyle name="_20061103Holux_ProgramWorkBook_Scope and Deliverable Summary 3 3" xfId="6596" xr:uid="{00000000-0005-0000-0000-00006A190000}"/>
    <cellStyle name="_20061103Holux_ProgramWorkBook_Scope and Deliverable Summary 3_Steps of Doneness" xfId="6597" xr:uid="{00000000-0005-0000-0000-00006B190000}"/>
    <cellStyle name="_20061103Holux_ProgramWorkBook_Scope and Deliverable Summary 4" xfId="6598" xr:uid="{00000000-0005-0000-0000-00006C190000}"/>
    <cellStyle name="_20061103Holux_ProgramWorkBook_Scope and Deliverable Summary 4_Steps of Doneness" xfId="6599" xr:uid="{00000000-0005-0000-0000-00006D190000}"/>
    <cellStyle name="_20061103Holux_ProgramWorkBook_Scope and Deliverable Summary 5" xfId="6600" xr:uid="{00000000-0005-0000-0000-00006E190000}"/>
    <cellStyle name="_20061103Holux_ProgramWorkBook_Scope and Deliverable Summary 6" xfId="6601" xr:uid="{00000000-0005-0000-0000-00006F190000}"/>
    <cellStyle name="_20061103Holux_ProgramWorkBook_Scope and Deliverable Summary_Commissioning System Implementation_Project Workbook_06_10_2011" xfId="6602" xr:uid="{00000000-0005-0000-0000-000070190000}"/>
    <cellStyle name="_20061103Holux_ProgramWorkBook_Scope and Deliverable Summary_Commissioning System Implementation_Project Workbook_06_10_2011 2" xfId="6603" xr:uid="{00000000-0005-0000-0000-000071190000}"/>
    <cellStyle name="_20061103Holux_ProgramWorkBook_Scope and Deliverable Summary_Commissioning System Implementation_Project Workbook_06_10_2011 2_Steps of Doneness" xfId="6604" xr:uid="{00000000-0005-0000-0000-000072190000}"/>
    <cellStyle name="_20061103Holux_ProgramWorkBook_Scope and Deliverable Summary_Commissioning System Implementation_Project Workbook_06_10_2011 3" xfId="6605" xr:uid="{00000000-0005-0000-0000-000073190000}"/>
    <cellStyle name="_20061103Holux_ProgramWorkBook_Scope and Deliverable Summary_Commissioning System Implementation_Project Workbook_06_10_2011_Steps of Doneness" xfId="6606" xr:uid="{00000000-0005-0000-0000-000074190000}"/>
    <cellStyle name="_20061103Holux_ProgramWorkBook_Scope and Deliverable Summary_FairPoint_CampReport" xfId="6607" xr:uid="{00000000-0005-0000-0000-000075190000}"/>
    <cellStyle name="_20061103Holux_ProgramWorkBook_Scope and Deliverable Summary_FairPoint_CampReport 2" xfId="6608" xr:uid="{00000000-0005-0000-0000-000076190000}"/>
    <cellStyle name="_20061103Holux_ProgramWorkBook_Scope and Deliverable Summary_FairPoint_CampReport 2_Steps of Doneness" xfId="6609" xr:uid="{00000000-0005-0000-0000-000077190000}"/>
    <cellStyle name="_20061103Holux_ProgramWorkBook_Scope and Deliverable Summary_FairPoint_CampReport 3" xfId="6610" xr:uid="{00000000-0005-0000-0000-000078190000}"/>
    <cellStyle name="_20061103Holux_ProgramWorkBook_Scope and Deliverable Summary_FairPoint_CampReport_Steps of Doneness" xfId="6611" xr:uid="{00000000-0005-0000-0000-000079190000}"/>
    <cellStyle name="_20061103Holux_ProgramWorkBook_Scope and Deliverable Summary_FairPoint_FP comTechOps_ProgramWorkbook" xfId="6612" xr:uid="{00000000-0005-0000-0000-00007A190000}"/>
    <cellStyle name="_20061103Holux_ProgramWorkBook_Scope and Deliverable Summary_FairPoint_FP comTechOps_ProgramWorkbook 2" xfId="6613" xr:uid="{00000000-0005-0000-0000-00007B190000}"/>
    <cellStyle name="_20061103Holux_ProgramWorkBook_Scope and Deliverable Summary_FairPoint_FP comTechOps_ProgramWorkbook 2_Steps of Doneness" xfId="6614" xr:uid="{00000000-0005-0000-0000-00007C190000}"/>
    <cellStyle name="_20061103Holux_ProgramWorkBook_Scope and Deliverable Summary_FairPoint_FP comTechOps_ProgramWorkbook 3" xfId="6615" xr:uid="{00000000-0005-0000-0000-00007D190000}"/>
    <cellStyle name="_20061103Holux_ProgramWorkBook_Scope and Deliverable Summary_FairPoint_FP comTechOps_ProgramWorkbook_sachin" xfId="6616" xr:uid="{00000000-0005-0000-0000-00007E190000}"/>
    <cellStyle name="_20061103Holux_ProgramWorkBook_Scope and Deliverable Summary_FairPoint_FP comTechOps_ProgramWorkbook_sachin 2" xfId="6617" xr:uid="{00000000-0005-0000-0000-00007F190000}"/>
    <cellStyle name="_20061103Holux_ProgramWorkBook_Scope and Deliverable Summary_FairPoint_FP comTechOps_ProgramWorkbook_sachin 2_Steps of Doneness" xfId="6618" xr:uid="{00000000-0005-0000-0000-000080190000}"/>
    <cellStyle name="_20061103Holux_ProgramWorkBook_Scope and Deliverable Summary_FairPoint_FP comTechOps_ProgramWorkbook_sachin 3" xfId="6619" xr:uid="{00000000-0005-0000-0000-000081190000}"/>
    <cellStyle name="_20061103Holux_ProgramWorkBook_Scope and Deliverable Summary_FairPoint_FP comTechOps_ProgramWorkbook_sachin_Steps of Doneness" xfId="6620" xr:uid="{00000000-0005-0000-0000-000082190000}"/>
    <cellStyle name="_20061103Holux_ProgramWorkBook_Scope and Deliverable Summary_FairPoint_FP comTechOps_ProgramWorkbook_sachin_v1" xfId="6621" xr:uid="{00000000-0005-0000-0000-000083190000}"/>
    <cellStyle name="_20061103Holux_ProgramWorkBook_Scope and Deliverable Summary_FairPoint_FP comTechOps_ProgramWorkbook_sachin_v1 2" xfId="6622" xr:uid="{00000000-0005-0000-0000-000084190000}"/>
    <cellStyle name="_20061103Holux_ProgramWorkBook_Scope and Deliverable Summary_FairPoint_FP comTechOps_ProgramWorkbook_sachin_v1 2_Steps of Doneness" xfId="6623" xr:uid="{00000000-0005-0000-0000-000085190000}"/>
    <cellStyle name="_20061103Holux_ProgramWorkBook_Scope and Deliverable Summary_FairPoint_FP comTechOps_ProgramWorkbook_sachin_v1 3" xfId="6624" xr:uid="{00000000-0005-0000-0000-000086190000}"/>
    <cellStyle name="_20061103Holux_ProgramWorkBook_Scope and Deliverable Summary_FairPoint_FP comTechOps_ProgramWorkbook_sachin_v1_Steps of Doneness" xfId="6625" xr:uid="{00000000-0005-0000-0000-000087190000}"/>
    <cellStyle name="_20061103Holux_ProgramWorkBook_Scope and Deliverable Summary_FairPoint_FP comTechOps_ProgramWorkbook_Steps of Doneness" xfId="6626" xr:uid="{00000000-0005-0000-0000-000088190000}"/>
    <cellStyle name="_20061103Holux_ProgramWorkBook_Scope and Deliverable Summary_FP_CAMP&amp;ITReporting_Maintenance_Dashboard" xfId="6627" xr:uid="{00000000-0005-0000-0000-000089190000}"/>
    <cellStyle name="_20061103Holux_ProgramWorkBook_Scope and Deliverable Summary_FP_CAMP&amp;ITReporting_Maintenance_Dashboard 2" xfId="6628" xr:uid="{00000000-0005-0000-0000-00008A190000}"/>
    <cellStyle name="_20061103Holux_ProgramWorkBook_Scope and Deliverable Summary_FP_CAMP&amp;ITReporting_Maintenance_Dashboard 2_Steps of Doneness" xfId="6629" xr:uid="{00000000-0005-0000-0000-00008B190000}"/>
    <cellStyle name="_20061103Holux_ProgramWorkBook_Scope and Deliverable Summary_FP_CAMP&amp;ITReporting_Maintenance_Dashboard 3" xfId="6630" xr:uid="{00000000-0005-0000-0000-00008C190000}"/>
    <cellStyle name="_20061103Holux_ProgramWorkBook_Scope and Deliverable Summary_FP_CAMP&amp;ITReporting_Maintenance_Dashboard_Steps of Doneness" xfId="6631" xr:uid="{00000000-0005-0000-0000-00008D190000}"/>
    <cellStyle name="_20061103Holux_ProgramWorkBook_Scope and Deliverable Summary_FP_CAMPITReporting_Maintenance_Dashboard" xfId="6632" xr:uid="{00000000-0005-0000-0000-00008E190000}"/>
    <cellStyle name="_20061103Holux_ProgramWorkBook_Scope and Deliverable Summary_FP_CAMPITReporting_Maintenance_Dashboard 2" xfId="6633" xr:uid="{00000000-0005-0000-0000-00008F190000}"/>
    <cellStyle name="_20061103Holux_ProgramWorkBook_Scope and Deliverable Summary_FP_CAMPITReporting_Maintenance_Dashboard 2_Steps of Doneness" xfId="6634" xr:uid="{00000000-0005-0000-0000-000090190000}"/>
    <cellStyle name="_20061103Holux_ProgramWorkBook_Scope and Deliverable Summary_FP_CAMPITReporting_Maintenance_Dashboard 3" xfId="6635" xr:uid="{00000000-0005-0000-0000-000091190000}"/>
    <cellStyle name="_20061103Holux_ProgramWorkBook_Scope and Deliverable Summary_FP_CAMPITReporting_Maintenance_Dashboard_Steps of Doneness" xfId="6636" xr:uid="{00000000-0005-0000-0000-000092190000}"/>
    <cellStyle name="_20061103Holux_ProgramWorkBook_Scope and Deliverable Summary_FP_Commissions_Req_Dn_ProgramWorkBook_10-Dec-2010" xfId="6637" xr:uid="{00000000-0005-0000-0000-000093190000}"/>
    <cellStyle name="_20061103Holux_ProgramWorkBook_Scope and Deliverable Summary_FP_Commissions_Req_Dn_ProgramWorkBook_10-Dec-2010 2" xfId="6638" xr:uid="{00000000-0005-0000-0000-000094190000}"/>
    <cellStyle name="_20061103Holux_ProgramWorkBook_Scope and Deliverable Summary_FP_Commissions_Req_Dn_ProgramWorkBook_10-Dec-2010 2_Steps of Doneness" xfId="6639" xr:uid="{00000000-0005-0000-0000-000095190000}"/>
    <cellStyle name="_20061103Holux_ProgramWorkBook_Scope and Deliverable Summary_FP_Commissions_Req_Dn_ProgramWorkBook_10-Dec-2010 3" xfId="6640" xr:uid="{00000000-0005-0000-0000-000096190000}"/>
    <cellStyle name="_20061103Holux_ProgramWorkBook_Scope and Deliverable Summary_FP_Commissions_Req_Dn_ProgramWorkBook_10-Dec-2010_Steps of Doneness" xfId="6641" xr:uid="{00000000-0005-0000-0000-000097190000}"/>
    <cellStyle name="_20061103Holux_ProgramWorkBook_Scope and Deliverable Summary_FP_DW_Impl_ProgramWorkBook_07-Jan-2011" xfId="6642" xr:uid="{00000000-0005-0000-0000-000098190000}"/>
    <cellStyle name="_20061103Holux_ProgramWorkBook_Scope and Deliverable Summary_FP_DW_Impl_ProgramWorkBook_07-Jan-2011 2" xfId="6643" xr:uid="{00000000-0005-0000-0000-000099190000}"/>
    <cellStyle name="_20061103Holux_ProgramWorkBook_Scope and Deliverable Summary_FP_DW_Impl_ProgramWorkBook_07-Jan-2011 2 2" xfId="6644" xr:uid="{00000000-0005-0000-0000-00009A190000}"/>
    <cellStyle name="_20061103Holux_ProgramWorkBook_Scope and Deliverable Summary_FP_DW_Impl_ProgramWorkBook_07-Jan-2011 2 2_Steps of Doneness" xfId="6645" xr:uid="{00000000-0005-0000-0000-00009B190000}"/>
    <cellStyle name="_20061103Holux_ProgramWorkBook_Scope and Deliverable Summary_FP_DW_Impl_ProgramWorkBook_07-Jan-2011 2 3" xfId="6646" xr:uid="{00000000-0005-0000-0000-00009C190000}"/>
    <cellStyle name="_20061103Holux_ProgramWorkBook_Scope and Deliverable Summary_FP_DW_Impl_ProgramWorkBook_07-Jan-2011 2_Steps of Doneness" xfId="6647" xr:uid="{00000000-0005-0000-0000-00009D190000}"/>
    <cellStyle name="_20061103Holux_ProgramWorkBook_Scope and Deliverable Summary_FP_DW_Impl_ProgramWorkBook_07-Jan-2011 3" xfId="6648" xr:uid="{00000000-0005-0000-0000-00009E190000}"/>
    <cellStyle name="_20061103Holux_ProgramWorkBook_Scope and Deliverable Summary_FP_DW_Impl_ProgramWorkBook_07-Jan-2011 3_Steps of Doneness" xfId="6649" xr:uid="{00000000-0005-0000-0000-00009F190000}"/>
    <cellStyle name="_20061103Holux_ProgramWorkBook_Scope and Deliverable Summary_FP_DW_Impl_ProgramWorkBook_07-Jan-2011 4" xfId="6650" xr:uid="{00000000-0005-0000-0000-0000A0190000}"/>
    <cellStyle name="_20061103Holux_ProgramWorkBook_Scope and Deliverable Summary_FP_DW_Impl_ProgramWorkBook_07-Jan-2011_Steps of Doneness" xfId="6651" xr:uid="{00000000-0005-0000-0000-0000A1190000}"/>
    <cellStyle name="_20061103Holux_ProgramWorkBook_Scope and Deliverable Summary_FP_DW_Impl_ProgramWorkBook_11-Feb-2011" xfId="6652" xr:uid="{00000000-0005-0000-0000-0000A2190000}"/>
    <cellStyle name="_20061103Holux_ProgramWorkBook_Scope and Deliverable Summary_FP_DW_Impl_ProgramWorkBook_11-Feb-2011 2" xfId="6653" xr:uid="{00000000-0005-0000-0000-0000A3190000}"/>
    <cellStyle name="_20061103Holux_ProgramWorkBook_Scope and Deliverable Summary_FP_DW_Impl_ProgramWorkBook_11-Feb-2011 2_Steps of Doneness" xfId="6654" xr:uid="{00000000-0005-0000-0000-0000A4190000}"/>
    <cellStyle name="_20061103Holux_ProgramWorkBook_Scope and Deliverable Summary_FP_DW_Impl_ProgramWorkBook_11-Feb-2011 3" xfId="6655" xr:uid="{00000000-0005-0000-0000-0000A5190000}"/>
    <cellStyle name="_20061103Holux_ProgramWorkBook_Scope and Deliverable Summary_FP_DW_Impl_ProgramWorkBook_11-Feb-2011_Steps of Doneness" xfId="6656" xr:uid="{00000000-0005-0000-0000-0000A6190000}"/>
    <cellStyle name="_20061103Holux_ProgramWorkBook_Scope and Deliverable Summary_FP_DW_Impl_ProgramWorkBook_18-Feb-2011 - Working" xfId="6657" xr:uid="{00000000-0005-0000-0000-0000A7190000}"/>
    <cellStyle name="_20061103Holux_ProgramWorkBook_Scope and Deliverable Summary_FP_DW_Impl_ProgramWorkBook_18-Feb-2011 - Working 2" xfId="6658" xr:uid="{00000000-0005-0000-0000-0000A8190000}"/>
    <cellStyle name="_20061103Holux_ProgramWorkBook_Scope and Deliverable Summary_FP_DW_Impl_ProgramWorkBook_18-Feb-2011 - Working 2_Steps of Doneness" xfId="6659" xr:uid="{00000000-0005-0000-0000-0000A9190000}"/>
    <cellStyle name="_20061103Holux_ProgramWorkBook_Scope and Deliverable Summary_FP_DW_Impl_ProgramWorkBook_18-Feb-2011 - Working 3" xfId="6660" xr:uid="{00000000-0005-0000-0000-0000AA190000}"/>
    <cellStyle name="_20061103Holux_ProgramWorkBook_Scope and Deliverable Summary_FP_DW_Impl_ProgramWorkBook_18-Feb-2011 - Working_Steps of Doneness" xfId="6661" xr:uid="{00000000-0005-0000-0000-0000AB190000}"/>
    <cellStyle name="_20061103Holux_ProgramWorkBook_Scope and Deliverable Summary_FP_EnterprisePortal_ProgramWorkbook" xfId="6662" xr:uid="{00000000-0005-0000-0000-0000AC190000}"/>
    <cellStyle name="_20061103Holux_ProgramWorkBook_Scope and Deliverable Summary_FP_EnterprisePortal_ProgramWorkbook 2" xfId="6663" xr:uid="{00000000-0005-0000-0000-0000AD190000}"/>
    <cellStyle name="_20061103Holux_ProgramWorkBook_Scope and Deliverable Summary_FP_EnterprisePortal_ProgramWorkbook 2_Steps of Doneness" xfId="6664" xr:uid="{00000000-0005-0000-0000-0000AE190000}"/>
    <cellStyle name="_20061103Holux_ProgramWorkBook_Scope and Deliverable Summary_FP_EnterprisePortal_ProgramWorkbook 3" xfId="6665" xr:uid="{00000000-0005-0000-0000-0000AF190000}"/>
    <cellStyle name="_20061103Holux_ProgramWorkBook_Scope and Deliverable Summary_FP_EnterprisePortal_ProgramWorkbook_Steps of Doneness" xfId="6666" xr:uid="{00000000-0005-0000-0000-0000B0190000}"/>
    <cellStyle name="_20061103Holux_ProgramWorkBook_Scope and Deliverable Summary_FP_SAP_MLP v2" xfId="6667" xr:uid="{00000000-0005-0000-0000-0000B1190000}"/>
    <cellStyle name="_20061103Holux_ProgramWorkBook_Scope and Deliverable Summary_FP_SAP_MLP v2 2" xfId="6668" xr:uid="{00000000-0005-0000-0000-0000B2190000}"/>
    <cellStyle name="_20061103Holux_ProgramWorkBook_Scope and Deliverable Summary_FP_SAP_MLP v2 2_Steps of Doneness" xfId="6669" xr:uid="{00000000-0005-0000-0000-0000B3190000}"/>
    <cellStyle name="_20061103Holux_ProgramWorkBook_Scope and Deliverable Summary_FP_SAP_MLP v2 3" xfId="6670" xr:uid="{00000000-0005-0000-0000-0000B4190000}"/>
    <cellStyle name="_20061103Holux_ProgramWorkBook_Scope and Deliverable Summary_FP_SAP_MLP v2_Steps of Doneness" xfId="6671" xr:uid="{00000000-0005-0000-0000-0000B5190000}"/>
    <cellStyle name="_20061103Holux_ProgramWorkBook_Scope and Deliverable Summary_KeyDecisions" xfId="6672" xr:uid="{00000000-0005-0000-0000-0000B6190000}"/>
    <cellStyle name="_20061103Holux_ProgramWorkBook_Scope and Deliverable Summary_KeyDecisions 2" xfId="6673" xr:uid="{00000000-0005-0000-0000-0000B7190000}"/>
    <cellStyle name="_20061103Holux_ProgramWorkBook_Scope and Deliverable Summary_KeyDecisions 2_Steps of Doneness" xfId="6674" xr:uid="{00000000-0005-0000-0000-0000B8190000}"/>
    <cellStyle name="_20061103Holux_ProgramWorkBook_Scope and Deliverable Summary_KeyDecisions 3" xfId="6675" xr:uid="{00000000-0005-0000-0000-0000B9190000}"/>
    <cellStyle name="_20061103Holux_ProgramWorkBook_Scope and Deliverable Summary_KeyDecisions_Steps of Doneness" xfId="6676" xr:uid="{00000000-0005-0000-0000-0000BA190000}"/>
    <cellStyle name="_20061103Holux_ProgramWorkBook_Scope and Deliverable Summary_Sophia_Imp_ProjectWorkBook_02_18_2011" xfId="6677" xr:uid="{00000000-0005-0000-0000-0000BB190000}"/>
    <cellStyle name="_20061103Holux_ProgramWorkBook_Scope and Deliverable Summary_Sophia_Imp_ProjectWorkBook_02_18_2011 2" xfId="6678" xr:uid="{00000000-0005-0000-0000-0000BC190000}"/>
    <cellStyle name="_20061103Holux_ProgramWorkBook_Scope and Deliverable Summary_Sophia_Imp_ProjectWorkBook_02_18_2011 2_Steps of Doneness" xfId="6679" xr:uid="{00000000-0005-0000-0000-0000BD190000}"/>
    <cellStyle name="_20061103Holux_ProgramWorkBook_Scope and Deliverable Summary_Sophia_Imp_ProjectWorkBook_02_18_2011 3" xfId="6680" xr:uid="{00000000-0005-0000-0000-0000BE190000}"/>
    <cellStyle name="_20061103Holux_ProgramWorkBook_Scope and Deliverable Summary_Sophia_Imp_ProjectWorkBook_02_18_2011_Steps of Doneness" xfId="6681" xr:uid="{00000000-0005-0000-0000-0000BF190000}"/>
    <cellStyle name="_20061103Holux_ProgramWorkBook_Scope and Deliverable Summary_Steps of Doneness" xfId="6682" xr:uid="{00000000-0005-0000-0000-0000C0190000}"/>
    <cellStyle name="_20061103Holux_ProgramWorkBook_Scope and Deliverable Summary_t" xfId="6683" xr:uid="{00000000-0005-0000-0000-0000C1190000}"/>
    <cellStyle name="_20061103Holux_ProgramWorkBook_Scope and Deliverable Summary_t 2" xfId="6684" xr:uid="{00000000-0005-0000-0000-0000C2190000}"/>
    <cellStyle name="_20061103Holux_ProgramWorkBook_Scope and Deliverable Summary_t 2_Steps of Doneness" xfId="6685" xr:uid="{00000000-0005-0000-0000-0000C3190000}"/>
    <cellStyle name="_20061103Holux_ProgramWorkBook_Scope and Deliverable Summary_t 3" xfId="6686" xr:uid="{00000000-0005-0000-0000-0000C4190000}"/>
    <cellStyle name="_20061103Holux_ProgramWorkBook_Scope and Deliverable Summary_t_Steps of Doneness" xfId="6687" xr:uid="{00000000-0005-0000-0000-0000C5190000}"/>
    <cellStyle name="_20061103Holux_ProgramWorkBook_Scope and Deliverables Summary_0320" xfId="6688" xr:uid="{00000000-0005-0000-0000-0000C6190000}"/>
    <cellStyle name="_20061103Holux_ProgramWorkBook_Scope and Deliverables Summary_0320 2" xfId="6689" xr:uid="{00000000-0005-0000-0000-0000C7190000}"/>
    <cellStyle name="_20061103Holux_ProgramWorkBook_Scope and Deliverables Summary_0320 2 2" xfId="6690" xr:uid="{00000000-0005-0000-0000-0000C8190000}"/>
    <cellStyle name="_20061103Holux_ProgramWorkBook_Scope and Deliverables Summary_0320 2 2_Steps of Doneness" xfId="6691" xr:uid="{00000000-0005-0000-0000-0000C9190000}"/>
    <cellStyle name="_20061103Holux_ProgramWorkBook_Scope and Deliverables Summary_0320 2 3" xfId="6692" xr:uid="{00000000-0005-0000-0000-0000CA190000}"/>
    <cellStyle name="_20061103Holux_ProgramWorkBook_Scope and Deliverables Summary_0320 2_Steps of Doneness" xfId="6693" xr:uid="{00000000-0005-0000-0000-0000CB190000}"/>
    <cellStyle name="_20061103Holux_ProgramWorkBook_Scope and Deliverables Summary_0320 3" xfId="6694" xr:uid="{00000000-0005-0000-0000-0000CC190000}"/>
    <cellStyle name="_20061103Holux_ProgramWorkBook_Scope and Deliverables Summary_0320 3 2" xfId="6695" xr:uid="{00000000-0005-0000-0000-0000CD190000}"/>
    <cellStyle name="_20061103Holux_ProgramWorkBook_Scope and Deliverables Summary_0320 3 2_Steps of Doneness" xfId="6696" xr:uid="{00000000-0005-0000-0000-0000CE190000}"/>
    <cellStyle name="_20061103Holux_ProgramWorkBook_Scope and Deliverables Summary_0320 3 3" xfId="6697" xr:uid="{00000000-0005-0000-0000-0000CF190000}"/>
    <cellStyle name="_20061103Holux_ProgramWorkBook_Scope and Deliverables Summary_0320 3_Steps of Doneness" xfId="6698" xr:uid="{00000000-0005-0000-0000-0000D0190000}"/>
    <cellStyle name="_20061103Holux_ProgramWorkBook_Scope and Deliverables Summary_0320 4" xfId="6699" xr:uid="{00000000-0005-0000-0000-0000D1190000}"/>
    <cellStyle name="_20061103Holux_ProgramWorkBook_Scope and Deliverables Summary_0320 4_Steps of Doneness" xfId="6700" xr:uid="{00000000-0005-0000-0000-0000D2190000}"/>
    <cellStyle name="_20061103Holux_ProgramWorkBook_Scope and Deliverables Summary_0320 5" xfId="6701" xr:uid="{00000000-0005-0000-0000-0000D3190000}"/>
    <cellStyle name="_20061103Holux_ProgramWorkBook_Scope and Deliverables Summary_0320 6" xfId="6702" xr:uid="{00000000-0005-0000-0000-0000D4190000}"/>
    <cellStyle name="_20061103Holux_ProgramWorkBook_Scope and Deliverables Summary_0320_Commissioning System Implementation_Project Workbook_06_10_2011" xfId="6703" xr:uid="{00000000-0005-0000-0000-0000D5190000}"/>
    <cellStyle name="_20061103Holux_ProgramWorkBook_Scope and Deliverables Summary_0320_Commissioning System Implementation_Project Workbook_06_10_2011 2" xfId="6704" xr:uid="{00000000-0005-0000-0000-0000D6190000}"/>
    <cellStyle name="_20061103Holux_ProgramWorkBook_Scope and Deliverables Summary_0320_Commissioning System Implementation_Project Workbook_06_10_2011 2_Steps of Doneness" xfId="6705" xr:uid="{00000000-0005-0000-0000-0000D7190000}"/>
    <cellStyle name="_20061103Holux_ProgramWorkBook_Scope and Deliverables Summary_0320_Commissioning System Implementation_Project Workbook_06_10_2011 3" xfId="6706" xr:uid="{00000000-0005-0000-0000-0000D8190000}"/>
    <cellStyle name="_20061103Holux_ProgramWorkBook_Scope and Deliverables Summary_0320_Commissioning System Implementation_Project Workbook_06_10_2011_Steps of Doneness" xfId="6707" xr:uid="{00000000-0005-0000-0000-0000D9190000}"/>
    <cellStyle name="_20061103Holux_ProgramWorkBook_Scope and Deliverables Summary_0320_FairPoint_CampReport" xfId="6708" xr:uid="{00000000-0005-0000-0000-0000DA190000}"/>
    <cellStyle name="_20061103Holux_ProgramWorkBook_Scope and Deliverables Summary_0320_FairPoint_CampReport 2" xfId="6709" xr:uid="{00000000-0005-0000-0000-0000DB190000}"/>
    <cellStyle name="_20061103Holux_ProgramWorkBook_Scope and Deliverables Summary_0320_FairPoint_CampReport 2_Steps of Doneness" xfId="6710" xr:uid="{00000000-0005-0000-0000-0000DC190000}"/>
    <cellStyle name="_20061103Holux_ProgramWorkBook_Scope and Deliverables Summary_0320_FairPoint_CampReport 3" xfId="6711" xr:uid="{00000000-0005-0000-0000-0000DD190000}"/>
    <cellStyle name="_20061103Holux_ProgramWorkBook_Scope and Deliverables Summary_0320_FairPoint_CampReport_Steps of Doneness" xfId="6712" xr:uid="{00000000-0005-0000-0000-0000DE190000}"/>
    <cellStyle name="_20061103Holux_ProgramWorkBook_Scope and Deliverables Summary_0320_FairPoint_FP comTechOps_ProgramWorkbook" xfId="6713" xr:uid="{00000000-0005-0000-0000-0000DF190000}"/>
    <cellStyle name="_20061103Holux_ProgramWorkBook_Scope and Deliverables Summary_0320_FairPoint_FP comTechOps_ProgramWorkbook 2" xfId="6714" xr:uid="{00000000-0005-0000-0000-0000E0190000}"/>
    <cellStyle name="_20061103Holux_ProgramWorkBook_Scope and Deliverables Summary_0320_FairPoint_FP comTechOps_ProgramWorkbook 2_Steps of Doneness" xfId="6715" xr:uid="{00000000-0005-0000-0000-0000E1190000}"/>
    <cellStyle name="_20061103Holux_ProgramWorkBook_Scope and Deliverables Summary_0320_FairPoint_FP comTechOps_ProgramWorkbook 3" xfId="6716" xr:uid="{00000000-0005-0000-0000-0000E2190000}"/>
    <cellStyle name="_20061103Holux_ProgramWorkBook_Scope and Deliverables Summary_0320_FairPoint_FP comTechOps_ProgramWorkbook_sachin" xfId="6717" xr:uid="{00000000-0005-0000-0000-0000E3190000}"/>
    <cellStyle name="_20061103Holux_ProgramWorkBook_Scope and Deliverables Summary_0320_FairPoint_FP comTechOps_ProgramWorkbook_sachin 2" xfId="6718" xr:uid="{00000000-0005-0000-0000-0000E4190000}"/>
    <cellStyle name="_20061103Holux_ProgramWorkBook_Scope and Deliverables Summary_0320_FairPoint_FP comTechOps_ProgramWorkbook_sachin 2_Steps of Doneness" xfId="6719" xr:uid="{00000000-0005-0000-0000-0000E5190000}"/>
    <cellStyle name="_20061103Holux_ProgramWorkBook_Scope and Deliverables Summary_0320_FairPoint_FP comTechOps_ProgramWorkbook_sachin 3" xfId="6720" xr:uid="{00000000-0005-0000-0000-0000E6190000}"/>
    <cellStyle name="_20061103Holux_ProgramWorkBook_Scope and Deliverables Summary_0320_FairPoint_FP comTechOps_ProgramWorkbook_sachin_Steps of Doneness" xfId="6721" xr:uid="{00000000-0005-0000-0000-0000E7190000}"/>
    <cellStyle name="_20061103Holux_ProgramWorkBook_Scope and Deliverables Summary_0320_FairPoint_FP comTechOps_ProgramWorkbook_sachin_v1" xfId="6722" xr:uid="{00000000-0005-0000-0000-0000E8190000}"/>
    <cellStyle name="_20061103Holux_ProgramWorkBook_Scope and Deliverables Summary_0320_FairPoint_FP comTechOps_ProgramWorkbook_sachin_v1 2" xfId="6723" xr:uid="{00000000-0005-0000-0000-0000E9190000}"/>
    <cellStyle name="_20061103Holux_ProgramWorkBook_Scope and Deliverables Summary_0320_FairPoint_FP comTechOps_ProgramWorkbook_sachin_v1 2_Steps of Doneness" xfId="6724" xr:uid="{00000000-0005-0000-0000-0000EA190000}"/>
    <cellStyle name="_20061103Holux_ProgramWorkBook_Scope and Deliverables Summary_0320_FairPoint_FP comTechOps_ProgramWorkbook_sachin_v1 3" xfId="6725" xr:uid="{00000000-0005-0000-0000-0000EB190000}"/>
    <cellStyle name="_20061103Holux_ProgramWorkBook_Scope and Deliverables Summary_0320_FairPoint_FP comTechOps_ProgramWorkbook_sachin_v1_Steps of Doneness" xfId="6726" xr:uid="{00000000-0005-0000-0000-0000EC190000}"/>
    <cellStyle name="_20061103Holux_ProgramWorkBook_Scope and Deliverables Summary_0320_FairPoint_FP comTechOps_ProgramWorkbook_Steps of Doneness" xfId="6727" xr:uid="{00000000-0005-0000-0000-0000ED190000}"/>
    <cellStyle name="_20061103Holux_ProgramWorkBook_Scope and Deliverables Summary_0320_FP_CAMP&amp;ITReporting_Maintenance_Dashboard" xfId="6728" xr:uid="{00000000-0005-0000-0000-0000EE190000}"/>
    <cellStyle name="_20061103Holux_ProgramWorkBook_Scope and Deliverables Summary_0320_FP_CAMP&amp;ITReporting_Maintenance_Dashboard 2" xfId="6729" xr:uid="{00000000-0005-0000-0000-0000EF190000}"/>
    <cellStyle name="_20061103Holux_ProgramWorkBook_Scope and Deliverables Summary_0320_FP_CAMP&amp;ITReporting_Maintenance_Dashboard 2_Steps of Doneness" xfId="6730" xr:uid="{00000000-0005-0000-0000-0000F0190000}"/>
    <cellStyle name="_20061103Holux_ProgramWorkBook_Scope and Deliverables Summary_0320_FP_CAMP&amp;ITReporting_Maintenance_Dashboard 3" xfId="6731" xr:uid="{00000000-0005-0000-0000-0000F1190000}"/>
    <cellStyle name="_20061103Holux_ProgramWorkBook_Scope and Deliverables Summary_0320_FP_CAMP&amp;ITReporting_Maintenance_Dashboard_Steps of Doneness" xfId="6732" xr:uid="{00000000-0005-0000-0000-0000F2190000}"/>
    <cellStyle name="_20061103Holux_ProgramWorkBook_Scope and Deliverables Summary_0320_FP_CAMPITReporting_Maintenance_Dashboard" xfId="6733" xr:uid="{00000000-0005-0000-0000-0000F3190000}"/>
    <cellStyle name="_20061103Holux_ProgramWorkBook_Scope and Deliverables Summary_0320_FP_CAMPITReporting_Maintenance_Dashboard 2" xfId="6734" xr:uid="{00000000-0005-0000-0000-0000F4190000}"/>
    <cellStyle name="_20061103Holux_ProgramWorkBook_Scope and Deliverables Summary_0320_FP_CAMPITReporting_Maintenance_Dashboard 2_Steps of Doneness" xfId="6735" xr:uid="{00000000-0005-0000-0000-0000F5190000}"/>
    <cellStyle name="_20061103Holux_ProgramWorkBook_Scope and Deliverables Summary_0320_FP_CAMPITReporting_Maintenance_Dashboard 3" xfId="6736" xr:uid="{00000000-0005-0000-0000-0000F6190000}"/>
    <cellStyle name="_20061103Holux_ProgramWorkBook_Scope and Deliverables Summary_0320_FP_CAMPITReporting_Maintenance_Dashboard_Steps of Doneness" xfId="6737" xr:uid="{00000000-0005-0000-0000-0000F7190000}"/>
    <cellStyle name="_20061103Holux_ProgramWorkBook_Scope and Deliverables Summary_0320_FP_Commissions_Req_Dn_ProgramWorkBook_10-Dec-2010" xfId="6738" xr:uid="{00000000-0005-0000-0000-0000F8190000}"/>
    <cellStyle name="_20061103Holux_ProgramWorkBook_Scope and Deliverables Summary_0320_FP_Commissions_Req_Dn_ProgramWorkBook_10-Dec-2010 2" xfId="6739" xr:uid="{00000000-0005-0000-0000-0000F9190000}"/>
    <cellStyle name="_20061103Holux_ProgramWorkBook_Scope and Deliverables Summary_0320_FP_Commissions_Req_Dn_ProgramWorkBook_10-Dec-2010 2_Steps of Doneness" xfId="6740" xr:uid="{00000000-0005-0000-0000-0000FA190000}"/>
    <cellStyle name="_20061103Holux_ProgramWorkBook_Scope and Deliverables Summary_0320_FP_Commissions_Req_Dn_ProgramWorkBook_10-Dec-2010 3" xfId="6741" xr:uid="{00000000-0005-0000-0000-0000FB190000}"/>
    <cellStyle name="_20061103Holux_ProgramWorkBook_Scope and Deliverables Summary_0320_FP_Commissions_Req_Dn_ProgramWorkBook_10-Dec-2010_Steps of Doneness" xfId="6742" xr:uid="{00000000-0005-0000-0000-0000FC190000}"/>
    <cellStyle name="_20061103Holux_ProgramWorkBook_Scope and Deliverables Summary_0320_FP_DW_Impl_ProgramWorkBook_07-Jan-2011" xfId="6743" xr:uid="{00000000-0005-0000-0000-0000FD190000}"/>
    <cellStyle name="_20061103Holux_ProgramWorkBook_Scope and Deliverables Summary_0320_FP_DW_Impl_ProgramWorkBook_07-Jan-2011 2" xfId="6744" xr:uid="{00000000-0005-0000-0000-0000FE190000}"/>
    <cellStyle name="_20061103Holux_ProgramWorkBook_Scope and Deliverables Summary_0320_FP_DW_Impl_ProgramWorkBook_07-Jan-2011 2 2" xfId="6745" xr:uid="{00000000-0005-0000-0000-0000FF190000}"/>
    <cellStyle name="_20061103Holux_ProgramWorkBook_Scope and Deliverables Summary_0320_FP_DW_Impl_ProgramWorkBook_07-Jan-2011 2 2_Steps of Doneness" xfId="6746" xr:uid="{00000000-0005-0000-0000-0000001A0000}"/>
    <cellStyle name="_20061103Holux_ProgramWorkBook_Scope and Deliverables Summary_0320_FP_DW_Impl_ProgramWorkBook_07-Jan-2011 2 3" xfId="6747" xr:uid="{00000000-0005-0000-0000-0000011A0000}"/>
    <cellStyle name="_20061103Holux_ProgramWorkBook_Scope and Deliverables Summary_0320_FP_DW_Impl_ProgramWorkBook_07-Jan-2011 2_Steps of Doneness" xfId="6748" xr:uid="{00000000-0005-0000-0000-0000021A0000}"/>
    <cellStyle name="_20061103Holux_ProgramWorkBook_Scope and Deliverables Summary_0320_FP_DW_Impl_ProgramWorkBook_07-Jan-2011 3" xfId="6749" xr:uid="{00000000-0005-0000-0000-0000031A0000}"/>
    <cellStyle name="_20061103Holux_ProgramWorkBook_Scope and Deliverables Summary_0320_FP_DW_Impl_ProgramWorkBook_07-Jan-2011 3_Steps of Doneness" xfId="6750" xr:uid="{00000000-0005-0000-0000-0000041A0000}"/>
    <cellStyle name="_20061103Holux_ProgramWorkBook_Scope and Deliverables Summary_0320_FP_DW_Impl_ProgramWorkBook_07-Jan-2011 4" xfId="6751" xr:uid="{00000000-0005-0000-0000-0000051A0000}"/>
    <cellStyle name="_20061103Holux_ProgramWorkBook_Scope and Deliverables Summary_0320_FP_DW_Impl_ProgramWorkBook_07-Jan-2011_Steps of Doneness" xfId="6752" xr:uid="{00000000-0005-0000-0000-0000061A0000}"/>
    <cellStyle name="_20061103Holux_ProgramWorkBook_Scope and Deliverables Summary_0320_FP_DW_Impl_ProgramWorkBook_11-Feb-2011" xfId="6753" xr:uid="{00000000-0005-0000-0000-0000071A0000}"/>
    <cellStyle name="_20061103Holux_ProgramWorkBook_Scope and Deliverables Summary_0320_FP_DW_Impl_ProgramWorkBook_11-Feb-2011 2" xfId="6754" xr:uid="{00000000-0005-0000-0000-0000081A0000}"/>
    <cellStyle name="_20061103Holux_ProgramWorkBook_Scope and Deliverables Summary_0320_FP_DW_Impl_ProgramWorkBook_11-Feb-2011 2_Steps of Doneness" xfId="6755" xr:uid="{00000000-0005-0000-0000-0000091A0000}"/>
    <cellStyle name="_20061103Holux_ProgramWorkBook_Scope and Deliverables Summary_0320_FP_DW_Impl_ProgramWorkBook_11-Feb-2011 3" xfId="6756" xr:uid="{00000000-0005-0000-0000-00000A1A0000}"/>
    <cellStyle name="_20061103Holux_ProgramWorkBook_Scope and Deliverables Summary_0320_FP_DW_Impl_ProgramWorkBook_11-Feb-2011_Steps of Doneness" xfId="6757" xr:uid="{00000000-0005-0000-0000-00000B1A0000}"/>
    <cellStyle name="_20061103Holux_ProgramWorkBook_Scope and Deliverables Summary_0320_FP_DW_Impl_ProgramWorkBook_18-Feb-2011 - Working" xfId="6758" xr:uid="{00000000-0005-0000-0000-00000C1A0000}"/>
    <cellStyle name="_20061103Holux_ProgramWorkBook_Scope and Deliverables Summary_0320_FP_DW_Impl_ProgramWorkBook_18-Feb-2011 - Working 2" xfId="6759" xr:uid="{00000000-0005-0000-0000-00000D1A0000}"/>
    <cellStyle name="_20061103Holux_ProgramWorkBook_Scope and Deliverables Summary_0320_FP_DW_Impl_ProgramWorkBook_18-Feb-2011 - Working 2_Steps of Doneness" xfId="6760" xr:uid="{00000000-0005-0000-0000-00000E1A0000}"/>
    <cellStyle name="_20061103Holux_ProgramWorkBook_Scope and Deliverables Summary_0320_FP_DW_Impl_ProgramWorkBook_18-Feb-2011 - Working 3" xfId="6761" xr:uid="{00000000-0005-0000-0000-00000F1A0000}"/>
    <cellStyle name="_20061103Holux_ProgramWorkBook_Scope and Deliverables Summary_0320_FP_DW_Impl_ProgramWorkBook_18-Feb-2011 - Working_Steps of Doneness" xfId="6762" xr:uid="{00000000-0005-0000-0000-0000101A0000}"/>
    <cellStyle name="_20061103Holux_ProgramWorkBook_Scope and Deliverables Summary_0320_FP_EnterprisePortal_ProgramWorkbook" xfId="6763" xr:uid="{00000000-0005-0000-0000-0000111A0000}"/>
    <cellStyle name="_20061103Holux_ProgramWorkBook_Scope and Deliverables Summary_0320_FP_EnterprisePortal_ProgramWorkbook 2" xfId="6764" xr:uid="{00000000-0005-0000-0000-0000121A0000}"/>
    <cellStyle name="_20061103Holux_ProgramWorkBook_Scope and Deliverables Summary_0320_FP_EnterprisePortal_ProgramWorkbook 2_Steps of Doneness" xfId="6765" xr:uid="{00000000-0005-0000-0000-0000131A0000}"/>
    <cellStyle name="_20061103Holux_ProgramWorkBook_Scope and Deliverables Summary_0320_FP_EnterprisePortal_ProgramWorkbook 3" xfId="6766" xr:uid="{00000000-0005-0000-0000-0000141A0000}"/>
    <cellStyle name="_20061103Holux_ProgramWorkBook_Scope and Deliverables Summary_0320_FP_EnterprisePortal_ProgramWorkbook_Steps of Doneness" xfId="6767" xr:uid="{00000000-0005-0000-0000-0000151A0000}"/>
    <cellStyle name="_20061103Holux_ProgramWorkBook_Scope and Deliverables Summary_0320_FP_SAP_MLP v2" xfId="6768" xr:uid="{00000000-0005-0000-0000-0000161A0000}"/>
    <cellStyle name="_20061103Holux_ProgramWorkBook_Scope and Deliverables Summary_0320_FP_SAP_MLP v2 2" xfId="6769" xr:uid="{00000000-0005-0000-0000-0000171A0000}"/>
    <cellStyle name="_20061103Holux_ProgramWorkBook_Scope and Deliverables Summary_0320_FP_SAP_MLP v2 2_Steps of Doneness" xfId="6770" xr:uid="{00000000-0005-0000-0000-0000181A0000}"/>
    <cellStyle name="_20061103Holux_ProgramWorkBook_Scope and Deliverables Summary_0320_FP_SAP_MLP v2 3" xfId="6771" xr:uid="{00000000-0005-0000-0000-0000191A0000}"/>
    <cellStyle name="_20061103Holux_ProgramWorkBook_Scope and Deliverables Summary_0320_FP_SAP_MLP v2_Steps of Doneness" xfId="6772" xr:uid="{00000000-0005-0000-0000-00001A1A0000}"/>
    <cellStyle name="_20061103Holux_ProgramWorkBook_Scope and Deliverables Summary_0320_KeyDecisions" xfId="6773" xr:uid="{00000000-0005-0000-0000-00001B1A0000}"/>
    <cellStyle name="_20061103Holux_ProgramWorkBook_Scope and Deliverables Summary_0320_KeyDecisions 2" xfId="6774" xr:uid="{00000000-0005-0000-0000-00001C1A0000}"/>
    <cellStyle name="_20061103Holux_ProgramWorkBook_Scope and Deliverables Summary_0320_KeyDecisions 2_Steps of Doneness" xfId="6775" xr:uid="{00000000-0005-0000-0000-00001D1A0000}"/>
    <cellStyle name="_20061103Holux_ProgramWorkBook_Scope and Deliverables Summary_0320_KeyDecisions 3" xfId="6776" xr:uid="{00000000-0005-0000-0000-00001E1A0000}"/>
    <cellStyle name="_20061103Holux_ProgramWorkBook_Scope and Deliverables Summary_0320_KeyDecisions_Steps of Doneness" xfId="6777" xr:uid="{00000000-0005-0000-0000-00001F1A0000}"/>
    <cellStyle name="_20061103Holux_ProgramWorkBook_Scope and Deliverables Summary_0320_Sophia_Imp_ProjectWorkBook_02_18_2011" xfId="6778" xr:uid="{00000000-0005-0000-0000-0000201A0000}"/>
    <cellStyle name="_20061103Holux_ProgramWorkBook_Scope and Deliverables Summary_0320_Sophia_Imp_ProjectWorkBook_02_18_2011 2" xfId="6779" xr:uid="{00000000-0005-0000-0000-0000211A0000}"/>
    <cellStyle name="_20061103Holux_ProgramWorkBook_Scope and Deliverables Summary_0320_Sophia_Imp_ProjectWorkBook_02_18_2011 2_Steps of Doneness" xfId="6780" xr:uid="{00000000-0005-0000-0000-0000221A0000}"/>
    <cellStyle name="_20061103Holux_ProgramWorkBook_Scope and Deliverables Summary_0320_Sophia_Imp_ProjectWorkBook_02_18_2011 3" xfId="6781" xr:uid="{00000000-0005-0000-0000-0000231A0000}"/>
    <cellStyle name="_20061103Holux_ProgramWorkBook_Scope and Deliverables Summary_0320_Sophia_Imp_ProjectWorkBook_02_18_2011_Steps of Doneness" xfId="6782" xr:uid="{00000000-0005-0000-0000-0000241A0000}"/>
    <cellStyle name="_20061103Holux_ProgramWorkBook_Scope and Deliverables Summary_0320_Steps of Doneness" xfId="6783" xr:uid="{00000000-0005-0000-0000-0000251A0000}"/>
    <cellStyle name="_20061103Holux_ProgramWorkBook_Scope and Deliverables Summary_0320_t" xfId="6784" xr:uid="{00000000-0005-0000-0000-0000261A0000}"/>
    <cellStyle name="_20061103Holux_ProgramWorkBook_Scope and Deliverables Summary_0320_t 2" xfId="6785" xr:uid="{00000000-0005-0000-0000-0000271A0000}"/>
    <cellStyle name="_20061103Holux_ProgramWorkBook_Scope and Deliverables Summary_0320_t 2_Steps of Doneness" xfId="6786" xr:uid="{00000000-0005-0000-0000-0000281A0000}"/>
    <cellStyle name="_20061103Holux_ProgramWorkBook_Scope and Deliverables Summary_0320_t 3" xfId="6787" xr:uid="{00000000-0005-0000-0000-0000291A0000}"/>
    <cellStyle name="_20061103Holux_ProgramWorkBook_Scope and Deliverables Summary_0320_t_Steps of Doneness" xfId="6788" xr:uid="{00000000-0005-0000-0000-00002A1A0000}"/>
    <cellStyle name="_20061103Holux_ProgramWorkBook_Scope and Deliverables Summary_0323" xfId="6789" xr:uid="{00000000-0005-0000-0000-00002B1A0000}"/>
    <cellStyle name="_20061103Holux_ProgramWorkBook_Scope and Deliverables Summary_0323 2" xfId="6790" xr:uid="{00000000-0005-0000-0000-00002C1A0000}"/>
    <cellStyle name="_20061103Holux_ProgramWorkBook_Scope and Deliverables Summary_0323 2 2" xfId="6791" xr:uid="{00000000-0005-0000-0000-00002D1A0000}"/>
    <cellStyle name="_20061103Holux_ProgramWorkBook_Scope and Deliverables Summary_0323 2 2_Steps of Doneness" xfId="6792" xr:uid="{00000000-0005-0000-0000-00002E1A0000}"/>
    <cellStyle name="_20061103Holux_ProgramWorkBook_Scope and Deliverables Summary_0323 2 3" xfId="6793" xr:uid="{00000000-0005-0000-0000-00002F1A0000}"/>
    <cellStyle name="_20061103Holux_ProgramWorkBook_Scope and Deliverables Summary_0323 2_Steps of Doneness" xfId="6794" xr:uid="{00000000-0005-0000-0000-0000301A0000}"/>
    <cellStyle name="_20061103Holux_ProgramWorkBook_Scope and Deliverables Summary_0323 3" xfId="6795" xr:uid="{00000000-0005-0000-0000-0000311A0000}"/>
    <cellStyle name="_20061103Holux_ProgramWorkBook_Scope and Deliverables Summary_0323 3 2" xfId="6796" xr:uid="{00000000-0005-0000-0000-0000321A0000}"/>
    <cellStyle name="_20061103Holux_ProgramWorkBook_Scope and Deliverables Summary_0323 3 2_Steps of Doneness" xfId="6797" xr:uid="{00000000-0005-0000-0000-0000331A0000}"/>
    <cellStyle name="_20061103Holux_ProgramWorkBook_Scope and Deliverables Summary_0323 3 3" xfId="6798" xr:uid="{00000000-0005-0000-0000-0000341A0000}"/>
    <cellStyle name="_20061103Holux_ProgramWorkBook_Scope and Deliverables Summary_0323 3_Steps of Doneness" xfId="6799" xr:uid="{00000000-0005-0000-0000-0000351A0000}"/>
    <cellStyle name="_20061103Holux_ProgramWorkBook_Scope and Deliverables Summary_0323 4" xfId="6800" xr:uid="{00000000-0005-0000-0000-0000361A0000}"/>
    <cellStyle name="_20061103Holux_ProgramWorkBook_Scope and Deliverables Summary_0323 4_Steps of Doneness" xfId="6801" xr:uid="{00000000-0005-0000-0000-0000371A0000}"/>
    <cellStyle name="_20061103Holux_ProgramWorkBook_Scope and Deliverables Summary_0323 5" xfId="6802" xr:uid="{00000000-0005-0000-0000-0000381A0000}"/>
    <cellStyle name="_20061103Holux_ProgramWorkBook_Scope and Deliverables Summary_0323 6" xfId="6803" xr:uid="{00000000-0005-0000-0000-0000391A0000}"/>
    <cellStyle name="_20061103Holux_ProgramWorkBook_Scope and Deliverables Summary_0323_Commissioning System Implementation_Project Workbook_06_10_2011" xfId="6804" xr:uid="{00000000-0005-0000-0000-00003A1A0000}"/>
    <cellStyle name="_20061103Holux_ProgramWorkBook_Scope and Deliverables Summary_0323_Commissioning System Implementation_Project Workbook_06_10_2011 2" xfId="6805" xr:uid="{00000000-0005-0000-0000-00003B1A0000}"/>
    <cellStyle name="_20061103Holux_ProgramWorkBook_Scope and Deliverables Summary_0323_Commissioning System Implementation_Project Workbook_06_10_2011 2_Steps of Doneness" xfId="6806" xr:uid="{00000000-0005-0000-0000-00003C1A0000}"/>
    <cellStyle name="_20061103Holux_ProgramWorkBook_Scope and Deliverables Summary_0323_Commissioning System Implementation_Project Workbook_06_10_2011 3" xfId="6807" xr:uid="{00000000-0005-0000-0000-00003D1A0000}"/>
    <cellStyle name="_20061103Holux_ProgramWorkBook_Scope and Deliverables Summary_0323_Commissioning System Implementation_Project Workbook_06_10_2011_Steps of Doneness" xfId="6808" xr:uid="{00000000-0005-0000-0000-00003E1A0000}"/>
    <cellStyle name="_20061103Holux_ProgramWorkBook_Scope and Deliverables Summary_0323_FairPoint_CampReport" xfId="6809" xr:uid="{00000000-0005-0000-0000-00003F1A0000}"/>
    <cellStyle name="_20061103Holux_ProgramWorkBook_Scope and Deliverables Summary_0323_FairPoint_CampReport 2" xfId="6810" xr:uid="{00000000-0005-0000-0000-0000401A0000}"/>
    <cellStyle name="_20061103Holux_ProgramWorkBook_Scope and Deliverables Summary_0323_FairPoint_CampReport 2_Steps of Doneness" xfId="6811" xr:uid="{00000000-0005-0000-0000-0000411A0000}"/>
    <cellStyle name="_20061103Holux_ProgramWorkBook_Scope and Deliverables Summary_0323_FairPoint_CampReport 3" xfId="6812" xr:uid="{00000000-0005-0000-0000-0000421A0000}"/>
    <cellStyle name="_20061103Holux_ProgramWorkBook_Scope and Deliverables Summary_0323_FairPoint_CampReport_Steps of Doneness" xfId="6813" xr:uid="{00000000-0005-0000-0000-0000431A0000}"/>
    <cellStyle name="_20061103Holux_ProgramWorkBook_Scope and Deliverables Summary_0323_FairPoint_FP comTechOps_ProgramWorkbook" xfId="6814" xr:uid="{00000000-0005-0000-0000-0000441A0000}"/>
    <cellStyle name="_20061103Holux_ProgramWorkBook_Scope and Deliverables Summary_0323_FairPoint_FP comTechOps_ProgramWorkbook 2" xfId="6815" xr:uid="{00000000-0005-0000-0000-0000451A0000}"/>
    <cellStyle name="_20061103Holux_ProgramWorkBook_Scope and Deliverables Summary_0323_FairPoint_FP comTechOps_ProgramWorkbook 2_Steps of Doneness" xfId="6816" xr:uid="{00000000-0005-0000-0000-0000461A0000}"/>
    <cellStyle name="_20061103Holux_ProgramWorkBook_Scope and Deliverables Summary_0323_FairPoint_FP comTechOps_ProgramWorkbook 3" xfId="6817" xr:uid="{00000000-0005-0000-0000-0000471A0000}"/>
    <cellStyle name="_20061103Holux_ProgramWorkBook_Scope and Deliverables Summary_0323_FairPoint_FP comTechOps_ProgramWorkbook_sachin" xfId="6818" xr:uid="{00000000-0005-0000-0000-0000481A0000}"/>
    <cellStyle name="_20061103Holux_ProgramWorkBook_Scope and Deliverables Summary_0323_FairPoint_FP comTechOps_ProgramWorkbook_sachin 2" xfId="6819" xr:uid="{00000000-0005-0000-0000-0000491A0000}"/>
    <cellStyle name="_20061103Holux_ProgramWorkBook_Scope and Deliverables Summary_0323_FairPoint_FP comTechOps_ProgramWorkbook_sachin 2_Steps of Doneness" xfId="6820" xr:uid="{00000000-0005-0000-0000-00004A1A0000}"/>
    <cellStyle name="_20061103Holux_ProgramWorkBook_Scope and Deliverables Summary_0323_FairPoint_FP comTechOps_ProgramWorkbook_sachin 3" xfId="6821" xr:uid="{00000000-0005-0000-0000-00004B1A0000}"/>
    <cellStyle name="_20061103Holux_ProgramWorkBook_Scope and Deliverables Summary_0323_FairPoint_FP comTechOps_ProgramWorkbook_sachin_Steps of Doneness" xfId="6822" xr:uid="{00000000-0005-0000-0000-00004C1A0000}"/>
    <cellStyle name="_20061103Holux_ProgramWorkBook_Scope and Deliverables Summary_0323_FairPoint_FP comTechOps_ProgramWorkbook_sachin_v1" xfId="6823" xr:uid="{00000000-0005-0000-0000-00004D1A0000}"/>
    <cellStyle name="_20061103Holux_ProgramWorkBook_Scope and Deliverables Summary_0323_FairPoint_FP comTechOps_ProgramWorkbook_sachin_v1 2" xfId="6824" xr:uid="{00000000-0005-0000-0000-00004E1A0000}"/>
    <cellStyle name="_20061103Holux_ProgramWorkBook_Scope and Deliverables Summary_0323_FairPoint_FP comTechOps_ProgramWorkbook_sachin_v1 2_Steps of Doneness" xfId="6825" xr:uid="{00000000-0005-0000-0000-00004F1A0000}"/>
    <cellStyle name="_20061103Holux_ProgramWorkBook_Scope and Deliverables Summary_0323_FairPoint_FP comTechOps_ProgramWorkbook_sachin_v1 3" xfId="6826" xr:uid="{00000000-0005-0000-0000-0000501A0000}"/>
    <cellStyle name="_20061103Holux_ProgramWorkBook_Scope and Deliverables Summary_0323_FairPoint_FP comTechOps_ProgramWorkbook_sachin_v1_Steps of Doneness" xfId="6827" xr:uid="{00000000-0005-0000-0000-0000511A0000}"/>
    <cellStyle name="_20061103Holux_ProgramWorkBook_Scope and Deliverables Summary_0323_FairPoint_FP comTechOps_ProgramWorkbook_Steps of Doneness" xfId="6828" xr:uid="{00000000-0005-0000-0000-0000521A0000}"/>
    <cellStyle name="_20061103Holux_ProgramWorkBook_Scope and Deliverables Summary_0323_FP_CAMP&amp;ITReporting_Maintenance_Dashboard" xfId="6829" xr:uid="{00000000-0005-0000-0000-0000531A0000}"/>
    <cellStyle name="_20061103Holux_ProgramWorkBook_Scope and Deliverables Summary_0323_FP_CAMP&amp;ITReporting_Maintenance_Dashboard 2" xfId="6830" xr:uid="{00000000-0005-0000-0000-0000541A0000}"/>
    <cellStyle name="_20061103Holux_ProgramWorkBook_Scope and Deliverables Summary_0323_FP_CAMP&amp;ITReporting_Maintenance_Dashboard 2_Steps of Doneness" xfId="6831" xr:uid="{00000000-0005-0000-0000-0000551A0000}"/>
    <cellStyle name="_20061103Holux_ProgramWorkBook_Scope and Deliverables Summary_0323_FP_CAMP&amp;ITReporting_Maintenance_Dashboard 3" xfId="6832" xr:uid="{00000000-0005-0000-0000-0000561A0000}"/>
    <cellStyle name="_20061103Holux_ProgramWorkBook_Scope and Deliverables Summary_0323_FP_CAMP&amp;ITReporting_Maintenance_Dashboard_Steps of Doneness" xfId="6833" xr:uid="{00000000-0005-0000-0000-0000571A0000}"/>
    <cellStyle name="_20061103Holux_ProgramWorkBook_Scope and Deliverables Summary_0323_FP_CAMPITReporting_Maintenance_Dashboard" xfId="6834" xr:uid="{00000000-0005-0000-0000-0000581A0000}"/>
    <cellStyle name="_20061103Holux_ProgramWorkBook_Scope and Deliverables Summary_0323_FP_CAMPITReporting_Maintenance_Dashboard 2" xfId="6835" xr:uid="{00000000-0005-0000-0000-0000591A0000}"/>
    <cellStyle name="_20061103Holux_ProgramWorkBook_Scope and Deliverables Summary_0323_FP_CAMPITReporting_Maintenance_Dashboard 2_Steps of Doneness" xfId="6836" xr:uid="{00000000-0005-0000-0000-00005A1A0000}"/>
    <cellStyle name="_20061103Holux_ProgramWorkBook_Scope and Deliverables Summary_0323_FP_CAMPITReporting_Maintenance_Dashboard 3" xfId="6837" xr:uid="{00000000-0005-0000-0000-00005B1A0000}"/>
    <cellStyle name="_20061103Holux_ProgramWorkBook_Scope and Deliverables Summary_0323_FP_CAMPITReporting_Maintenance_Dashboard_Steps of Doneness" xfId="6838" xr:uid="{00000000-0005-0000-0000-00005C1A0000}"/>
    <cellStyle name="_20061103Holux_ProgramWorkBook_Scope and Deliverables Summary_0323_FP_Commissions_Req_Dn_ProgramWorkBook_10-Dec-2010" xfId="6839" xr:uid="{00000000-0005-0000-0000-00005D1A0000}"/>
    <cellStyle name="_20061103Holux_ProgramWorkBook_Scope and Deliverables Summary_0323_FP_Commissions_Req_Dn_ProgramWorkBook_10-Dec-2010 2" xfId="6840" xr:uid="{00000000-0005-0000-0000-00005E1A0000}"/>
    <cellStyle name="_20061103Holux_ProgramWorkBook_Scope and Deliverables Summary_0323_FP_Commissions_Req_Dn_ProgramWorkBook_10-Dec-2010 2_Steps of Doneness" xfId="6841" xr:uid="{00000000-0005-0000-0000-00005F1A0000}"/>
    <cellStyle name="_20061103Holux_ProgramWorkBook_Scope and Deliverables Summary_0323_FP_Commissions_Req_Dn_ProgramWorkBook_10-Dec-2010 3" xfId="6842" xr:uid="{00000000-0005-0000-0000-0000601A0000}"/>
    <cellStyle name="_20061103Holux_ProgramWorkBook_Scope and Deliverables Summary_0323_FP_Commissions_Req_Dn_ProgramWorkBook_10-Dec-2010_Steps of Doneness" xfId="6843" xr:uid="{00000000-0005-0000-0000-0000611A0000}"/>
    <cellStyle name="_20061103Holux_ProgramWorkBook_Scope and Deliverables Summary_0323_FP_DW_Impl_ProgramWorkBook_07-Jan-2011" xfId="6844" xr:uid="{00000000-0005-0000-0000-0000621A0000}"/>
    <cellStyle name="_20061103Holux_ProgramWorkBook_Scope and Deliverables Summary_0323_FP_DW_Impl_ProgramWorkBook_07-Jan-2011 2" xfId="6845" xr:uid="{00000000-0005-0000-0000-0000631A0000}"/>
    <cellStyle name="_20061103Holux_ProgramWorkBook_Scope and Deliverables Summary_0323_FP_DW_Impl_ProgramWorkBook_07-Jan-2011 2 2" xfId="6846" xr:uid="{00000000-0005-0000-0000-0000641A0000}"/>
    <cellStyle name="_20061103Holux_ProgramWorkBook_Scope and Deliverables Summary_0323_FP_DW_Impl_ProgramWorkBook_07-Jan-2011 2 2_Steps of Doneness" xfId="6847" xr:uid="{00000000-0005-0000-0000-0000651A0000}"/>
    <cellStyle name="_20061103Holux_ProgramWorkBook_Scope and Deliverables Summary_0323_FP_DW_Impl_ProgramWorkBook_07-Jan-2011 2 3" xfId="6848" xr:uid="{00000000-0005-0000-0000-0000661A0000}"/>
    <cellStyle name="_20061103Holux_ProgramWorkBook_Scope and Deliverables Summary_0323_FP_DW_Impl_ProgramWorkBook_07-Jan-2011 2_Steps of Doneness" xfId="6849" xr:uid="{00000000-0005-0000-0000-0000671A0000}"/>
    <cellStyle name="_20061103Holux_ProgramWorkBook_Scope and Deliverables Summary_0323_FP_DW_Impl_ProgramWorkBook_07-Jan-2011 3" xfId="6850" xr:uid="{00000000-0005-0000-0000-0000681A0000}"/>
    <cellStyle name="_20061103Holux_ProgramWorkBook_Scope and Deliverables Summary_0323_FP_DW_Impl_ProgramWorkBook_07-Jan-2011 3_Steps of Doneness" xfId="6851" xr:uid="{00000000-0005-0000-0000-0000691A0000}"/>
    <cellStyle name="_20061103Holux_ProgramWorkBook_Scope and Deliverables Summary_0323_FP_DW_Impl_ProgramWorkBook_07-Jan-2011 4" xfId="6852" xr:uid="{00000000-0005-0000-0000-00006A1A0000}"/>
    <cellStyle name="_20061103Holux_ProgramWorkBook_Scope and Deliverables Summary_0323_FP_DW_Impl_ProgramWorkBook_07-Jan-2011_Steps of Doneness" xfId="6853" xr:uid="{00000000-0005-0000-0000-00006B1A0000}"/>
    <cellStyle name="_20061103Holux_ProgramWorkBook_Scope and Deliverables Summary_0323_FP_DW_Impl_ProgramWorkBook_11-Feb-2011" xfId="6854" xr:uid="{00000000-0005-0000-0000-00006C1A0000}"/>
    <cellStyle name="_20061103Holux_ProgramWorkBook_Scope and Deliverables Summary_0323_FP_DW_Impl_ProgramWorkBook_11-Feb-2011 2" xfId="6855" xr:uid="{00000000-0005-0000-0000-00006D1A0000}"/>
    <cellStyle name="_20061103Holux_ProgramWorkBook_Scope and Deliverables Summary_0323_FP_DW_Impl_ProgramWorkBook_11-Feb-2011 2_Steps of Doneness" xfId="6856" xr:uid="{00000000-0005-0000-0000-00006E1A0000}"/>
    <cellStyle name="_20061103Holux_ProgramWorkBook_Scope and Deliverables Summary_0323_FP_DW_Impl_ProgramWorkBook_11-Feb-2011 3" xfId="6857" xr:uid="{00000000-0005-0000-0000-00006F1A0000}"/>
    <cellStyle name="_20061103Holux_ProgramWorkBook_Scope and Deliverables Summary_0323_FP_DW_Impl_ProgramWorkBook_11-Feb-2011_Steps of Doneness" xfId="6858" xr:uid="{00000000-0005-0000-0000-0000701A0000}"/>
    <cellStyle name="_20061103Holux_ProgramWorkBook_Scope and Deliverables Summary_0323_FP_DW_Impl_ProgramWorkBook_18-Feb-2011 - Working" xfId="6859" xr:uid="{00000000-0005-0000-0000-0000711A0000}"/>
    <cellStyle name="_20061103Holux_ProgramWorkBook_Scope and Deliverables Summary_0323_FP_DW_Impl_ProgramWorkBook_18-Feb-2011 - Working 2" xfId="6860" xr:uid="{00000000-0005-0000-0000-0000721A0000}"/>
    <cellStyle name="_20061103Holux_ProgramWorkBook_Scope and Deliverables Summary_0323_FP_DW_Impl_ProgramWorkBook_18-Feb-2011 - Working 2_Steps of Doneness" xfId="6861" xr:uid="{00000000-0005-0000-0000-0000731A0000}"/>
    <cellStyle name="_20061103Holux_ProgramWorkBook_Scope and Deliverables Summary_0323_FP_DW_Impl_ProgramWorkBook_18-Feb-2011 - Working 3" xfId="6862" xr:uid="{00000000-0005-0000-0000-0000741A0000}"/>
    <cellStyle name="_20061103Holux_ProgramWorkBook_Scope and Deliverables Summary_0323_FP_DW_Impl_ProgramWorkBook_18-Feb-2011 - Working_Steps of Doneness" xfId="6863" xr:uid="{00000000-0005-0000-0000-0000751A0000}"/>
    <cellStyle name="_20061103Holux_ProgramWorkBook_Scope and Deliverables Summary_0323_FP_EnterprisePortal_ProgramWorkbook" xfId="6864" xr:uid="{00000000-0005-0000-0000-0000761A0000}"/>
    <cellStyle name="_20061103Holux_ProgramWorkBook_Scope and Deliverables Summary_0323_FP_EnterprisePortal_ProgramWorkbook 2" xfId="6865" xr:uid="{00000000-0005-0000-0000-0000771A0000}"/>
    <cellStyle name="_20061103Holux_ProgramWorkBook_Scope and Deliverables Summary_0323_FP_EnterprisePortal_ProgramWorkbook 2_Steps of Doneness" xfId="6866" xr:uid="{00000000-0005-0000-0000-0000781A0000}"/>
    <cellStyle name="_20061103Holux_ProgramWorkBook_Scope and Deliverables Summary_0323_FP_EnterprisePortal_ProgramWorkbook 3" xfId="6867" xr:uid="{00000000-0005-0000-0000-0000791A0000}"/>
    <cellStyle name="_20061103Holux_ProgramWorkBook_Scope and Deliverables Summary_0323_FP_EnterprisePortal_ProgramWorkbook_Steps of Doneness" xfId="6868" xr:uid="{00000000-0005-0000-0000-00007A1A0000}"/>
    <cellStyle name="_20061103Holux_ProgramWorkBook_Scope and Deliverables Summary_0323_FP_SAP_MLP v2" xfId="6869" xr:uid="{00000000-0005-0000-0000-00007B1A0000}"/>
    <cellStyle name="_20061103Holux_ProgramWorkBook_Scope and Deliverables Summary_0323_FP_SAP_MLP v2 2" xfId="6870" xr:uid="{00000000-0005-0000-0000-00007C1A0000}"/>
    <cellStyle name="_20061103Holux_ProgramWorkBook_Scope and Deliverables Summary_0323_FP_SAP_MLP v2 2_Steps of Doneness" xfId="6871" xr:uid="{00000000-0005-0000-0000-00007D1A0000}"/>
    <cellStyle name="_20061103Holux_ProgramWorkBook_Scope and Deliverables Summary_0323_FP_SAP_MLP v2 3" xfId="6872" xr:uid="{00000000-0005-0000-0000-00007E1A0000}"/>
    <cellStyle name="_20061103Holux_ProgramWorkBook_Scope and Deliverables Summary_0323_FP_SAP_MLP v2_Steps of Doneness" xfId="6873" xr:uid="{00000000-0005-0000-0000-00007F1A0000}"/>
    <cellStyle name="_20061103Holux_ProgramWorkBook_Scope and Deliverables Summary_0323_KeyDecisions" xfId="6874" xr:uid="{00000000-0005-0000-0000-0000801A0000}"/>
    <cellStyle name="_20061103Holux_ProgramWorkBook_Scope and Deliverables Summary_0323_KeyDecisions 2" xfId="6875" xr:uid="{00000000-0005-0000-0000-0000811A0000}"/>
    <cellStyle name="_20061103Holux_ProgramWorkBook_Scope and Deliverables Summary_0323_KeyDecisions 2_Steps of Doneness" xfId="6876" xr:uid="{00000000-0005-0000-0000-0000821A0000}"/>
    <cellStyle name="_20061103Holux_ProgramWorkBook_Scope and Deliverables Summary_0323_KeyDecisions 3" xfId="6877" xr:uid="{00000000-0005-0000-0000-0000831A0000}"/>
    <cellStyle name="_20061103Holux_ProgramWorkBook_Scope and Deliverables Summary_0323_KeyDecisions_Steps of Doneness" xfId="6878" xr:uid="{00000000-0005-0000-0000-0000841A0000}"/>
    <cellStyle name="_20061103Holux_ProgramWorkBook_Scope and Deliverables Summary_0323_Sophia_Imp_ProjectWorkBook_02_18_2011" xfId="6879" xr:uid="{00000000-0005-0000-0000-0000851A0000}"/>
    <cellStyle name="_20061103Holux_ProgramWorkBook_Scope and Deliverables Summary_0323_Sophia_Imp_ProjectWorkBook_02_18_2011 2" xfId="6880" xr:uid="{00000000-0005-0000-0000-0000861A0000}"/>
    <cellStyle name="_20061103Holux_ProgramWorkBook_Scope and Deliverables Summary_0323_Sophia_Imp_ProjectWorkBook_02_18_2011 2_Steps of Doneness" xfId="6881" xr:uid="{00000000-0005-0000-0000-0000871A0000}"/>
    <cellStyle name="_20061103Holux_ProgramWorkBook_Scope and Deliverables Summary_0323_Sophia_Imp_ProjectWorkBook_02_18_2011 3" xfId="6882" xr:uid="{00000000-0005-0000-0000-0000881A0000}"/>
    <cellStyle name="_20061103Holux_ProgramWorkBook_Scope and Deliverables Summary_0323_Sophia_Imp_ProjectWorkBook_02_18_2011_Steps of Doneness" xfId="6883" xr:uid="{00000000-0005-0000-0000-0000891A0000}"/>
    <cellStyle name="_20061103Holux_ProgramWorkBook_Scope and Deliverables Summary_0323_Steps of Doneness" xfId="6884" xr:uid="{00000000-0005-0000-0000-00008A1A0000}"/>
    <cellStyle name="_20061103Holux_ProgramWorkBook_Scope and Deliverables Summary_0323_t" xfId="6885" xr:uid="{00000000-0005-0000-0000-00008B1A0000}"/>
    <cellStyle name="_20061103Holux_ProgramWorkBook_Scope and Deliverables Summary_0323_t 2" xfId="6886" xr:uid="{00000000-0005-0000-0000-00008C1A0000}"/>
    <cellStyle name="_20061103Holux_ProgramWorkBook_Scope and Deliverables Summary_0323_t 2_Steps of Doneness" xfId="6887" xr:uid="{00000000-0005-0000-0000-00008D1A0000}"/>
    <cellStyle name="_20061103Holux_ProgramWorkBook_Scope and Deliverables Summary_0323_t 3" xfId="6888" xr:uid="{00000000-0005-0000-0000-00008E1A0000}"/>
    <cellStyle name="_20061103Holux_ProgramWorkBook_Scope and Deliverables Summary_0323_t_Steps of Doneness" xfId="6889" xr:uid="{00000000-0005-0000-0000-00008F1A0000}"/>
    <cellStyle name="_20061103Holux_ProgramWorkBook_Scope and Deliverables Summary_CMS_0609" xfId="6890" xr:uid="{00000000-0005-0000-0000-0000901A0000}"/>
    <cellStyle name="_20061103Holux_ProgramWorkBook_Scope and Deliverables Summary_CMS_0609 2" xfId="6891" xr:uid="{00000000-0005-0000-0000-0000911A0000}"/>
    <cellStyle name="_20061103Holux_ProgramWorkBook_Scope and Deliverables Summary_CMS_0609 2 2" xfId="6892" xr:uid="{00000000-0005-0000-0000-0000921A0000}"/>
    <cellStyle name="_20061103Holux_ProgramWorkBook_Scope and Deliverables Summary_CMS_0609 2 2_Steps of Doneness" xfId="6893" xr:uid="{00000000-0005-0000-0000-0000931A0000}"/>
    <cellStyle name="_20061103Holux_ProgramWorkBook_Scope and Deliverables Summary_CMS_0609 2 3" xfId="6894" xr:uid="{00000000-0005-0000-0000-0000941A0000}"/>
    <cellStyle name="_20061103Holux_ProgramWorkBook_Scope and Deliverables Summary_CMS_0609 2_Steps of Doneness" xfId="6895" xr:uid="{00000000-0005-0000-0000-0000951A0000}"/>
    <cellStyle name="_20061103Holux_ProgramWorkBook_Scope and Deliverables Summary_CMS_0609 3" xfId="6896" xr:uid="{00000000-0005-0000-0000-0000961A0000}"/>
    <cellStyle name="_20061103Holux_ProgramWorkBook_Scope and Deliverables Summary_CMS_0609 3 2" xfId="6897" xr:uid="{00000000-0005-0000-0000-0000971A0000}"/>
    <cellStyle name="_20061103Holux_ProgramWorkBook_Scope and Deliverables Summary_CMS_0609 3 2_Steps of Doneness" xfId="6898" xr:uid="{00000000-0005-0000-0000-0000981A0000}"/>
    <cellStyle name="_20061103Holux_ProgramWorkBook_Scope and Deliverables Summary_CMS_0609 3 3" xfId="6899" xr:uid="{00000000-0005-0000-0000-0000991A0000}"/>
    <cellStyle name="_20061103Holux_ProgramWorkBook_Scope and Deliverables Summary_CMS_0609 3_Steps of Doneness" xfId="6900" xr:uid="{00000000-0005-0000-0000-00009A1A0000}"/>
    <cellStyle name="_20061103Holux_ProgramWorkBook_Scope and Deliverables Summary_CMS_0609 4" xfId="6901" xr:uid="{00000000-0005-0000-0000-00009B1A0000}"/>
    <cellStyle name="_20061103Holux_ProgramWorkBook_Scope and Deliverables Summary_CMS_0609 4_Steps of Doneness" xfId="6902" xr:uid="{00000000-0005-0000-0000-00009C1A0000}"/>
    <cellStyle name="_20061103Holux_ProgramWorkBook_Scope and Deliverables Summary_CMS_0609 5" xfId="6903" xr:uid="{00000000-0005-0000-0000-00009D1A0000}"/>
    <cellStyle name="_20061103Holux_ProgramWorkBook_Scope and Deliverables Summary_CMS_0609 6" xfId="6904" xr:uid="{00000000-0005-0000-0000-00009E1A0000}"/>
    <cellStyle name="_20061103Holux_ProgramWorkBook_Scope and Deliverables Summary_CMS_0609_Commissioning System Implementation_Project Workbook_06_10_2011" xfId="6905" xr:uid="{00000000-0005-0000-0000-00009F1A0000}"/>
    <cellStyle name="_20061103Holux_ProgramWorkBook_Scope and Deliverables Summary_CMS_0609_Commissioning System Implementation_Project Workbook_06_10_2011 2" xfId="6906" xr:uid="{00000000-0005-0000-0000-0000A01A0000}"/>
    <cellStyle name="_20061103Holux_ProgramWorkBook_Scope and Deliverables Summary_CMS_0609_Commissioning System Implementation_Project Workbook_06_10_2011 2_Steps of Doneness" xfId="6907" xr:uid="{00000000-0005-0000-0000-0000A11A0000}"/>
    <cellStyle name="_20061103Holux_ProgramWorkBook_Scope and Deliverables Summary_CMS_0609_Commissioning System Implementation_Project Workbook_06_10_2011 3" xfId="6908" xr:uid="{00000000-0005-0000-0000-0000A21A0000}"/>
    <cellStyle name="_20061103Holux_ProgramWorkBook_Scope and Deliverables Summary_CMS_0609_Commissioning System Implementation_Project Workbook_06_10_2011_Steps of Doneness" xfId="6909" xr:uid="{00000000-0005-0000-0000-0000A31A0000}"/>
    <cellStyle name="_20061103Holux_ProgramWorkBook_Scope and Deliverables Summary_CMS_0609_FairPoint_CampReport" xfId="6910" xr:uid="{00000000-0005-0000-0000-0000A41A0000}"/>
    <cellStyle name="_20061103Holux_ProgramWorkBook_Scope and Deliverables Summary_CMS_0609_FairPoint_CampReport 2" xfId="6911" xr:uid="{00000000-0005-0000-0000-0000A51A0000}"/>
    <cellStyle name="_20061103Holux_ProgramWorkBook_Scope and Deliverables Summary_CMS_0609_FairPoint_CampReport 2_Steps of Doneness" xfId="6912" xr:uid="{00000000-0005-0000-0000-0000A61A0000}"/>
    <cellStyle name="_20061103Holux_ProgramWorkBook_Scope and Deliverables Summary_CMS_0609_FairPoint_CampReport 3" xfId="6913" xr:uid="{00000000-0005-0000-0000-0000A71A0000}"/>
    <cellStyle name="_20061103Holux_ProgramWorkBook_Scope and Deliverables Summary_CMS_0609_FairPoint_CampReport_Steps of Doneness" xfId="6914" xr:uid="{00000000-0005-0000-0000-0000A81A0000}"/>
    <cellStyle name="_20061103Holux_ProgramWorkBook_Scope and Deliverables Summary_CMS_0609_FairPoint_FP comTechOps_ProgramWorkbook" xfId="6915" xr:uid="{00000000-0005-0000-0000-0000A91A0000}"/>
    <cellStyle name="_20061103Holux_ProgramWorkBook_Scope and Deliverables Summary_CMS_0609_FairPoint_FP comTechOps_ProgramWorkbook 2" xfId="6916" xr:uid="{00000000-0005-0000-0000-0000AA1A0000}"/>
    <cellStyle name="_20061103Holux_ProgramWorkBook_Scope and Deliverables Summary_CMS_0609_FairPoint_FP comTechOps_ProgramWorkbook 2_Steps of Doneness" xfId="6917" xr:uid="{00000000-0005-0000-0000-0000AB1A0000}"/>
    <cellStyle name="_20061103Holux_ProgramWorkBook_Scope and Deliverables Summary_CMS_0609_FairPoint_FP comTechOps_ProgramWorkbook 3" xfId="6918" xr:uid="{00000000-0005-0000-0000-0000AC1A0000}"/>
    <cellStyle name="_20061103Holux_ProgramWorkBook_Scope and Deliverables Summary_CMS_0609_FairPoint_FP comTechOps_ProgramWorkbook_sachin" xfId="6919" xr:uid="{00000000-0005-0000-0000-0000AD1A0000}"/>
    <cellStyle name="_20061103Holux_ProgramWorkBook_Scope and Deliverables Summary_CMS_0609_FairPoint_FP comTechOps_ProgramWorkbook_sachin 2" xfId="6920" xr:uid="{00000000-0005-0000-0000-0000AE1A0000}"/>
    <cellStyle name="_20061103Holux_ProgramWorkBook_Scope and Deliverables Summary_CMS_0609_FairPoint_FP comTechOps_ProgramWorkbook_sachin 2_Steps of Doneness" xfId="6921" xr:uid="{00000000-0005-0000-0000-0000AF1A0000}"/>
    <cellStyle name="_20061103Holux_ProgramWorkBook_Scope and Deliverables Summary_CMS_0609_FairPoint_FP comTechOps_ProgramWorkbook_sachin 3" xfId="6922" xr:uid="{00000000-0005-0000-0000-0000B01A0000}"/>
    <cellStyle name="_20061103Holux_ProgramWorkBook_Scope and Deliverables Summary_CMS_0609_FairPoint_FP comTechOps_ProgramWorkbook_sachin_Steps of Doneness" xfId="6923" xr:uid="{00000000-0005-0000-0000-0000B11A0000}"/>
    <cellStyle name="_20061103Holux_ProgramWorkBook_Scope and Deliverables Summary_CMS_0609_FairPoint_FP comTechOps_ProgramWorkbook_sachin_v1" xfId="6924" xr:uid="{00000000-0005-0000-0000-0000B21A0000}"/>
    <cellStyle name="_20061103Holux_ProgramWorkBook_Scope and Deliverables Summary_CMS_0609_FairPoint_FP comTechOps_ProgramWorkbook_sachin_v1 2" xfId="6925" xr:uid="{00000000-0005-0000-0000-0000B31A0000}"/>
    <cellStyle name="_20061103Holux_ProgramWorkBook_Scope and Deliverables Summary_CMS_0609_FairPoint_FP comTechOps_ProgramWorkbook_sachin_v1 2_Steps of Doneness" xfId="6926" xr:uid="{00000000-0005-0000-0000-0000B41A0000}"/>
    <cellStyle name="_20061103Holux_ProgramWorkBook_Scope and Deliverables Summary_CMS_0609_FairPoint_FP comTechOps_ProgramWorkbook_sachin_v1 3" xfId="6927" xr:uid="{00000000-0005-0000-0000-0000B51A0000}"/>
    <cellStyle name="_20061103Holux_ProgramWorkBook_Scope and Deliverables Summary_CMS_0609_FairPoint_FP comTechOps_ProgramWorkbook_sachin_v1_Steps of Doneness" xfId="6928" xr:uid="{00000000-0005-0000-0000-0000B61A0000}"/>
    <cellStyle name="_20061103Holux_ProgramWorkBook_Scope and Deliverables Summary_CMS_0609_FairPoint_FP comTechOps_ProgramWorkbook_Steps of Doneness" xfId="6929" xr:uid="{00000000-0005-0000-0000-0000B71A0000}"/>
    <cellStyle name="_20061103Holux_ProgramWorkBook_Scope and Deliverables Summary_CMS_0609_FP_CAMP&amp;ITReporting_Maintenance_Dashboard" xfId="6930" xr:uid="{00000000-0005-0000-0000-0000B81A0000}"/>
    <cellStyle name="_20061103Holux_ProgramWorkBook_Scope and Deliverables Summary_CMS_0609_FP_CAMP&amp;ITReporting_Maintenance_Dashboard 2" xfId="6931" xr:uid="{00000000-0005-0000-0000-0000B91A0000}"/>
    <cellStyle name="_20061103Holux_ProgramWorkBook_Scope and Deliverables Summary_CMS_0609_FP_CAMP&amp;ITReporting_Maintenance_Dashboard 2_Steps of Doneness" xfId="6932" xr:uid="{00000000-0005-0000-0000-0000BA1A0000}"/>
    <cellStyle name="_20061103Holux_ProgramWorkBook_Scope and Deliverables Summary_CMS_0609_FP_CAMP&amp;ITReporting_Maintenance_Dashboard 3" xfId="6933" xr:uid="{00000000-0005-0000-0000-0000BB1A0000}"/>
    <cellStyle name="_20061103Holux_ProgramWorkBook_Scope and Deliverables Summary_CMS_0609_FP_CAMP&amp;ITReporting_Maintenance_Dashboard_Steps of Doneness" xfId="6934" xr:uid="{00000000-0005-0000-0000-0000BC1A0000}"/>
    <cellStyle name="_20061103Holux_ProgramWorkBook_Scope and Deliverables Summary_CMS_0609_FP_CAMPITReporting_Maintenance_Dashboard" xfId="6935" xr:uid="{00000000-0005-0000-0000-0000BD1A0000}"/>
    <cellStyle name="_20061103Holux_ProgramWorkBook_Scope and Deliverables Summary_CMS_0609_FP_CAMPITReporting_Maintenance_Dashboard 2" xfId="6936" xr:uid="{00000000-0005-0000-0000-0000BE1A0000}"/>
    <cellStyle name="_20061103Holux_ProgramWorkBook_Scope and Deliverables Summary_CMS_0609_FP_CAMPITReporting_Maintenance_Dashboard 2_Steps of Doneness" xfId="6937" xr:uid="{00000000-0005-0000-0000-0000BF1A0000}"/>
    <cellStyle name="_20061103Holux_ProgramWorkBook_Scope and Deliverables Summary_CMS_0609_FP_CAMPITReporting_Maintenance_Dashboard 3" xfId="6938" xr:uid="{00000000-0005-0000-0000-0000C01A0000}"/>
    <cellStyle name="_20061103Holux_ProgramWorkBook_Scope and Deliverables Summary_CMS_0609_FP_CAMPITReporting_Maintenance_Dashboard_Steps of Doneness" xfId="6939" xr:uid="{00000000-0005-0000-0000-0000C11A0000}"/>
    <cellStyle name="_20061103Holux_ProgramWorkBook_Scope and Deliverables Summary_CMS_0609_FP_Commissions_Req_Dn_ProgramWorkBook_10-Dec-2010" xfId="6940" xr:uid="{00000000-0005-0000-0000-0000C21A0000}"/>
    <cellStyle name="_20061103Holux_ProgramWorkBook_Scope and Deliverables Summary_CMS_0609_FP_Commissions_Req_Dn_ProgramWorkBook_10-Dec-2010 2" xfId="6941" xr:uid="{00000000-0005-0000-0000-0000C31A0000}"/>
    <cellStyle name="_20061103Holux_ProgramWorkBook_Scope and Deliverables Summary_CMS_0609_FP_Commissions_Req_Dn_ProgramWorkBook_10-Dec-2010 2_Steps of Doneness" xfId="6942" xr:uid="{00000000-0005-0000-0000-0000C41A0000}"/>
    <cellStyle name="_20061103Holux_ProgramWorkBook_Scope and Deliverables Summary_CMS_0609_FP_Commissions_Req_Dn_ProgramWorkBook_10-Dec-2010 3" xfId="6943" xr:uid="{00000000-0005-0000-0000-0000C51A0000}"/>
    <cellStyle name="_20061103Holux_ProgramWorkBook_Scope and Deliverables Summary_CMS_0609_FP_Commissions_Req_Dn_ProgramWorkBook_10-Dec-2010_Steps of Doneness" xfId="6944" xr:uid="{00000000-0005-0000-0000-0000C61A0000}"/>
    <cellStyle name="_20061103Holux_ProgramWorkBook_Scope and Deliverables Summary_CMS_0609_FP_DW_Impl_ProgramWorkBook_07-Jan-2011" xfId="6945" xr:uid="{00000000-0005-0000-0000-0000C71A0000}"/>
    <cellStyle name="_20061103Holux_ProgramWorkBook_Scope and Deliverables Summary_CMS_0609_FP_DW_Impl_ProgramWorkBook_07-Jan-2011 2" xfId="6946" xr:uid="{00000000-0005-0000-0000-0000C81A0000}"/>
    <cellStyle name="_20061103Holux_ProgramWorkBook_Scope and Deliverables Summary_CMS_0609_FP_DW_Impl_ProgramWorkBook_07-Jan-2011 2 2" xfId="6947" xr:uid="{00000000-0005-0000-0000-0000C91A0000}"/>
    <cellStyle name="_20061103Holux_ProgramWorkBook_Scope and Deliverables Summary_CMS_0609_FP_DW_Impl_ProgramWorkBook_07-Jan-2011 2 2_Steps of Doneness" xfId="6948" xr:uid="{00000000-0005-0000-0000-0000CA1A0000}"/>
    <cellStyle name="_20061103Holux_ProgramWorkBook_Scope and Deliverables Summary_CMS_0609_FP_DW_Impl_ProgramWorkBook_07-Jan-2011 2 3" xfId="6949" xr:uid="{00000000-0005-0000-0000-0000CB1A0000}"/>
    <cellStyle name="_20061103Holux_ProgramWorkBook_Scope and Deliverables Summary_CMS_0609_FP_DW_Impl_ProgramWorkBook_07-Jan-2011 2_Steps of Doneness" xfId="6950" xr:uid="{00000000-0005-0000-0000-0000CC1A0000}"/>
    <cellStyle name="_20061103Holux_ProgramWorkBook_Scope and Deliverables Summary_CMS_0609_FP_DW_Impl_ProgramWorkBook_07-Jan-2011 3" xfId="6951" xr:uid="{00000000-0005-0000-0000-0000CD1A0000}"/>
    <cellStyle name="_20061103Holux_ProgramWorkBook_Scope and Deliverables Summary_CMS_0609_FP_DW_Impl_ProgramWorkBook_07-Jan-2011 3_Steps of Doneness" xfId="6952" xr:uid="{00000000-0005-0000-0000-0000CE1A0000}"/>
    <cellStyle name="_20061103Holux_ProgramWorkBook_Scope and Deliverables Summary_CMS_0609_FP_DW_Impl_ProgramWorkBook_07-Jan-2011 4" xfId="6953" xr:uid="{00000000-0005-0000-0000-0000CF1A0000}"/>
    <cellStyle name="_20061103Holux_ProgramWorkBook_Scope and Deliverables Summary_CMS_0609_FP_DW_Impl_ProgramWorkBook_07-Jan-2011_Steps of Doneness" xfId="6954" xr:uid="{00000000-0005-0000-0000-0000D01A0000}"/>
    <cellStyle name="_20061103Holux_ProgramWorkBook_Scope and Deliverables Summary_CMS_0609_FP_DW_Impl_ProgramWorkBook_11-Feb-2011" xfId="6955" xr:uid="{00000000-0005-0000-0000-0000D11A0000}"/>
    <cellStyle name="_20061103Holux_ProgramWorkBook_Scope and Deliverables Summary_CMS_0609_FP_DW_Impl_ProgramWorkBook_11-Feb-2011 2" xfId="6956" xr:uid="{00000000-0005-0000-0000-0000D21A0000}"/>
    <cellStyle name="_20061103Holux_ProgramWorkBook_Scope and Deliverables Summary_CMS_0609_FP_DW_Impl_ProgramWorkBook_11-Feb-2011 2_Steps of Doneness" xfId="6957" xr:uid="{00000000-0005-0000-0000-0000D31A0000}"/>
    <cellStyle name="_20061103Holux_ProgramWorkBook_Scope and Deliverables Summary_CMS_0609_FP_DW_Impl_ProgramWorkBook_11-Feb-2011 3" xfId="6958" xr:uid="{00000000-0005-0000-0000-0000D41A0000}"/>
    <cellStyle name="_20061103Holux_ProgramWorkBook_Scope and Deliverables Summary_CMS_0609_FP_DW_Impl_ProgramWorkBook_11-Feb-2011_Steps of Doneness" xfId="6959" xr:uid="{00000000-0005-0000-0000-0000D51A0000}"/>
    <cellStyle name="_20061103Holux_ProgramWorkBook_Scope and Deliverables Summary_CMS_0609_FP_DW_Impl_ProgramWorkBook_18-Feb-2011 - Working" xfId="6960" xr:uid="{00000000-0005-0000-0000-0000D61A0000}"/>
    <cellStyle name="_20061103Holux_ProgramWorkBook_Scope and Deliverables Summary_CMS_0609_FP_DW_Impl_ProgramWorkBook_18-Feb-2011 - Working 2" xfId="6961" xr:uid="{00000000-0005-0000-0000-0000D71A0000}"/>
    <cellStyle name="_20061103Holux_ProgramWorkBook_Scope and Deliverables Summary_CMS_0609_FP_DW_Impl_ProgramWorkBook_18-Feb-2011 - Working 2_Steps of Doneness" xfId="6962" xr:uid="{00000000-0005-0000-0000-0000D81A0000}"/>
    <cellStyle name="_20061103Holux_ProgramWorkBook_Scope and Deliverables Summary_CMS_0609_FP_DW_Impl_ProgramWorkBook_18-Feb-2011 - Working 3" xfId="6963" xr:uid="{00000000-0005-0000-0000-0000D91A0000}"/>
    <cellStyle name="_20061103Holux_ProgramWorkBook_Scope and Deliverables Summary_CMS_0609_FP_DW_Impl_ProgramWorkBook_18-Feb-2011 - Working_Steps of Doneness" xfId="6964" xr:uid="{00000000-0005-0000-0000-0000DA1A0000}"/>
    <cellStyle name="_20061103Holux_ProgramWorkBook_Scope and Deliverables Summary_CMS_0609_FP_EnterprisePortal_ProgramWorkbook" xfId="6965" xr:uid="{00000000-0005-0000-0000-0000DB1A0000}"/>
    <cellStyle name="_20061103Holux_ProgramWorkBook_Scope and Deliverables Summary_CMS_0609_FP_EnterprisePortal_ProgramWorkbook 2" xfId="6966" xr:uid="{00000000-0005-0000-0000-0000DC1A0000}"/>
    <cellStyle name="_20061103Holux_ProgramWorkBook_Scope and Deliverables Summary_CMS_0609_FP_EnterprisePortal_ProgramWorkbook 2_Steps of Doneness" xfId="6967" xr:uid="{00000000-0005-0000-0000-0000DD1A0000}"/>
    <cellStyle name="_20061103Holux_ProgramWorkBook_Scope and Deliverables Summary_CMS_0609_FP_EnterprisePortal_ProgramWorkbook 3" xfId="6968" xr:uid="{00000000-0005-0000-0000-0000DE1A0000}"/>
    <cellStyle name="_20061103Holux_ProgramWorkBook_Scope and Deliverables Summary_CMS_0609_FP_EnterprisePortal_ProgramWorkbook_Steps of Doneness" xfId="6969" xr:uid="{00000000-0005-0000-0000-0000DF1A0000}"/>
    <cellStyle name="_20061103Holux_ProgramWorkBook_Scope and Deliverables Summary_CMS_0609_FP_SAP_MLP v2" xfId="6970" xr:uid="{00000000-0005-0000-0000-0000E01A0000}"/>
    <cellStyle name="_20061103Holux_ProgramWorkBook_Scope and Deliverables Summary_CMS_0609_FP_SAP_MLP v2 2" xfId="6971" xr:uid="{00000000-0005-0000-0000-0000E11A0000}"/>
    <cellStyle name="_20061103Holux_ProgramWorkBook_Scope and Deliverables Summary_CMS_0609_FP_SAP_MLP v2 2_Steps of Doneness" xfId="6972" xr:uid="{00000000-0005-0000-0000-0000E21A0000}"/>
    <cellStyle name="_20061103Holux_ProgramWorkBook_Scope and Deliverables Summary_CMS_0609_FP_SAP_MLP v2 3" xfId="6973" xr:uid="{00000000-0005-0000-0000-0000E31A0000}"/>
    <cellStyle name="_20061103Holux_ProgramWorkBook_Scope and Deliverables Summary_CMS_0609_FP_SAP_MLP v2_Steps of Doneness" xfId="6974" xr:uid="{00000000-0005-0000-0000-0000E41A0000}"/>
    <cellStyle name="_20061103Holux_ProgramWorkBook_Scope and Deliverables Summary_CMS_0609_KeyDecisions" xfId="6975" xr:uid="{00000000-0005-0000-0000-0000E51A0000}"/>
    <cellStyle name="_20061103Holux_ProgramWorkBook_Scope and Deliverables Summary_CMS_0609_KeyDecisions 2" xfId="6976" xr:uid="{00000000-0005-0000-0000-0000E61A0000}"/>
    <cellStyle name="_20061103Holux_ProgramWorkBook_Scope and Deliverables Summary_CMS_0609_KeyDecisions 2_Steps of Doneness" xfId="6977" xr:uid="{00000000-0005-0000-0000-0000E71A0000}"/>
    <cellStyle name="_20061103Holux_ProgramWorkBook_Scope and Deliverables Summary_CMS_0609_KeyDecisions 3" xfId="6978" xr:uid="{00000000-0005-0000-0000-0000E81A0000}"/>
    <cellStyle name="_20061103Holux_ProgramWorkBook_Scope and Deliverables Summary_CMS_0609_KeyDecisions_Steps of Doneness" xfId="6979" xr:uid="{00000000-0005-0000-0000-0000E91A0000}"/>
    <cellStyle name="_20061103Holux_ProgramWorkBook_Scope and Deliverables Summary_CMS_0609_Sophia_Imp_ProjectWorkBook_02_18_2011" xfId="6980" xr:uid="{00000000-0005-0000-0000-0000EA1A0000}"/>
    <cellStyle name="_20061103Holux_ProgramWorkBook_Scope and Deliverables Summary_CMS_0609_Sophia_Imp_ProjectWorkBook_02_18_2011 2" xfId="6981" xr:uid="{00000000-0005-0000-0000-0000EB1A0000}"/>
    <cellStyle name="_20061103Holux_ProgramWorkBook_Scope and Deliverables Summary_CMS_0609_Sophia_Imp_ProjectWorkBook_02_18_2011 2_Steps of Doneness" xfId="6982" xr:uid="{00000000-0005-0000-0000-0000EC1A0000}"/>
    <cellStyle name="_20061103Holux_ProgramWorkBook_Scope and Deliverables Summary_CMS_0609_Sophia_Imp_ProjectWorkBook_02_18_2011 3" xfId="6983" xr:uid="{00000000-0005-0000-0000-0000ED1A0000}"/>
    <cellStyle name="_20061103Holux_ProgramWorkBook_Scope and Deliverables Summary_CMS_0609_Sophia_Imp_ProjectWorkBook_02_18_2011_Steps of Doneness" xfId="6984" xr:uid="{00000000-0005-0000-0000-0000EE1A0000}"/>
    <cellStyle name="_20061103Holux_ProgramWorkBook_Scope and Deliverables Summary_CMS_0609_Steps of Doneness" xfId="6985" xr:uid="{00000000-0005-0000-0000-0000EF1A0000}"/>
    <cellStyle name="_20061103Holux_ProgramWorkBook_Scope and Deliverables Summary_CMS_0609_t" xfId="6986" xr:uid="{00000000-0005-0000-0000-0000F01A0000}"/>
    <cellStyle name="_20061103Holux_ProgramWorkBook_Scope and Deliverables Summary_CMS_0609_t 2" xfId="6987" xr:uid="{00000000-0005-0000-0000-0000F11A0000}"/>
    <cellStyle name="_20061103Holux_ProgramWorkBook_Scope and Deliverables Summary_CMS_0609_t 2_Steps of Doneness" xfId="6988" xr:uid="{00000000-0005-0000-0000-0000F21A0000}"/>
    <cellStyle name="_20061103Holux_ProgramWorkBook_Scope and Deliverables Summary_CMS_0609_t 3" xfId="6989" xr:uid="{00000000-0005-0000-0000-0000F31A0000}"/>
    <cellStyle name="_20061103Holux_ProgramWorkBook_Scope and Deliverables Summary_CMS_0609_t_Steps of Doneness" xfId="6990" xr:uid="{00000000-0005-0000-0000-0000F41A0000}"/>
    <cellStyle name="_20061103Holux_ProgramWorkBook_SLM -CMS &amp; Storefront PM Workbook" xfId="6991" xr:uid="{00000000-0005-0000-0000-0000F51A0000}"/>
    <cellStyle name="_20061103Holux_ProgramWorkBook_SLM -CMS &amp; Storefront PM Workbook 2" xfId="6992" xr:uid="{00000000-0005-0000-0000-0000F61A0000}"/>
    <cellStyle name="_20061103Holux_ProgramWorkBook_SLM -CMS &amp; Storefront PM Workbook 2 2" xfId="6993" xr:uid="{00000000-0005-0000-0000-0000F71A0000}"/>
    <cellStyle name="_20061103Holux_ProgramWorkBook_SLM -CMS &amp; Storefront PM Workbook 2 2_Steps of Doneness" xfId="6994" xr:uid="{00000000-0005-0000-0000-0000F81A0000}"/>
    <cellStyle name="_20061103Holux_ProgramWorkBook_SLM -CMS &amp; Storefront PM Workbook 2 3" xfId="6995" xr:uid="{00000000-0005-0000-0000-0000F91A0000}"/>
    <cellStyle name="_20061103Holux_ProgramWorkBook_SLM -CMS &amp; Storefront PM Workbook 2_Steps of Doneness" xfId="6996" xr:uid="{00000000-0005-0000-0000-0000FA1A0000}"/>
    <cellStyle name="_20061103Holux_ProgramWorkBook_SLM -CMS &amp; Storefront PM Workbook 3" xfId="6997" xr:uid="{00000000-0005-0000-0000-0000FB1A0000}"/>
    <cellStyle name="_20061103Holux_ProgramWorkBook_SLM -CMS &amp; Storefront PM Workbook 3 2" xfId="6998" xr:uid="{00000000-0005-0000-0000-0000FC1A0000}"/>
    <cellStyle name="_20061103Holux_ProgramWorkBook_SLM -CMS &amp; Storefront PM Workbook 3 2_Steps of Doneness" xfId="6999" xr:uid="{00000000-0005-0000-0000-0000FD1A0000}"/>
    <cellStyle name="_20061103Holux_ProgramWorkBook_SLM -CMS &amp; Storefront PM Workbook 3 3" xfId="7000" xr:uid="{00000000-0005-0000-0000-0000FE1A0000}"/>
    <cellStyle name="_20061103Holux_ProgramWorkBook_SLM -CMS &amp; Storefront PM Workbook 3_Steps of Doneness" xfId="7001" xr:uid="{00000000-0005-0000-0000-0000FF1A0000}"/>
    <cellStyle name="_20061103Holux_ProgramWorkBook_SLM -CMS &amp; Storefront PM Workbook 4" xfId="7002" xr:uid="{00000000-0005-0000-0000-0000001B0000}"/>
    <cellStyle name="_20061103Holux_ProgramWorkBook_SLM -CMS &amp; Storefront PM Workbook 4_Steps of Doneness" xfId="7003" xr:uid="{00000000-0005-0000-0000-0000011B0000}"/>
    <cellStyle name="_20061103Holux_ProgramWorkBook_SLM -CMS &amp; Storefront PM Workbook 5" xfId="7004" xr:uid="{00000000-0005-0000-0000-0000021B0000}"/>
    <cellStyle name="_20061103Holux_ProgramWorkBook_SLM -CMS &amp; Storefront PM Workbook 6" xfId="7005" xr:uid="{00000000-0005-0000-0000-0000031B0000}"/>
    <cellStyle name="_20061103Holux_ProgramWorkBook_SLM -CMS &amp; Storefront PM Workbook_Commissioning System Implementation_Project Workbook_06_10_2011" xfId="7006" xr:uid="{00000000-0005-0000-0000-0000041B0000}"/>
    <cellStyle name="_20061103Holux_ProgramWorkBook_SLM -CMS &amp; Storefront PM Workbook_Commissioning System Implementation_Project Workbook_06_10_2011 2" xfId="7007" xr:uid="{00000000-0005-0000-0000-0000051B0000}"/>
    <cellStyle name="_20061103Holux_ProgramWorkBook_SLM -CMS &amp; Storefront PM Workbook_Commissioning System Implementation_Project Workbook_06_10_2011 2_Steps of Doneness" xfId="7008" xr:uid="{00000000-0005-0000-0000-0000061B0000}"/>
    <cellStyle name="_20061103Holux_ProgramWorkBook_SLM -CMS &amp; Storefront PM Workbook_Commissioning System Implementation_Project Workbook_06_10_2011 3" xfId="7009" xr:uid="{00000000-0005-0000-0000-0000071B0000}"/>
    <cellStyle name="_20061103Holux_ProgramWorkBook_SLM -CMS &amp; Storefront PM Workbook_Commissioning System Implementation_Project Workbook_06_10_2011_Steps of Doneness" xfId="7010" xr:uid="{00000000-0005-0000-0000-0000081B0000}"/>
    <cellStyle name="_20061103Holux_ProgramWorkBook_SLM -CMS &amp; Storefront PM Workbook_FairPoint_CampReport" xfId="7011" xr:uid="{00000000-0005-0000-0000-0000091B0000}"/>
    <cellStyle name="_20061103Holux_ProgramWorkBook_SLM -CMS &amp; Storefront PM Workbook_FairPoint_CampReport 2" xfId="7012" xr:uid="{00000000-0005-0000-0000-00000A1B0000}"/>
    <cellStyle name="_20061103Holux_ProgramWorkBook_SLM -CMS &amp; Storefront PM Workbook_FairPoint_CampReport 2_Steps of Doneness" xfId="7013" xr:uid="{00000000-0005-0000-0000-00000B1B0000}"/>
    <cellStyle name="_20061103Holux_ProgramWorkBook_SLM -CMS &amp; Storefront PM Workbook_FairPoint_CampReport 3" xfId="7014" xr:uid="{00000000-0005-0000-0000-00000C1B0000}"/>
    <cellStyle name="_20061103Holux_ProgramWorkBook_SLM -CMS &amp; Storefront PM Workbook_FairPoint_CampReport_Steps of Doneness" xfId="7015" xr:uid="{00000000-0005-0000-0000-00000D1B0000}"/>
    <cellStyle name="_20061103Holux_ProgramWorkBook_SLM -CMS &amp; Storefront PM Workbook_FairPoint_FP comTechOps_ProgramWorkbook" xfId="7016" xr:uid="{00000000-0005-0000-0000-00000E1B0000}"/>
    <cellStyle name="_20061103Holux_ProgramWorkBook_SLM -CMS &amp; Storefront PM Workbook_FairPoint_FP comTechOps_ProgramWorkbook 2" xfId="7017" xr:uid="{00000000-0005-0000-0000-00000F1B0000}"/>
    <cellStyle name="_20061103Holux_ProgramWorkBook_SLM -CMS &amp; Storefront PM Workbook_FairPoint_FP comTechOps_ProgramWorkbook 2_Steps of Doneness" xfId="7018" xr:uid="{00000000-0005-0000-0000-0000101B0000}"/>
    <cellStyle name="_20061103Holux_ProgramWorkBook_SLM -CMS &amp; Storefront PM Workbook_FairPoint_FP comTechOps_ProgramWorkbook 3" xfId="7019" xr:uid="{00000000-0005-0000-0000-0000111B0000}"/>
    <cellStyle name="_20061103Holux_ProgramWorkBook_SLM -CMS &amp; Storefront PM Workbook_FairPoint_FP comTechOps_ProgramWorkbook_sachin" xfId="7020" xr:uid="{00000000-0005-0000-0000-0000121B0000}"/>
    <cellStyle name="_20061103Holux_ProgramWorkBook_SLM -CMS &amp; Storefront PM Workbook_FairPoint_FP comTechOps_ProgramWorkbook_sachin 2" xfId="7021" xr:uid="{00000000-0005-0000-0000-0000131B0000}"/>
    <cellStyle name="_20061103Holux_ProgramWorkBook_SLM -CMS &amp; Storefront PM Workbook_FairPoint_FP comTechOps_ProgramWorkbook_sachin 2_Steps of Doneness" xfId="7022" xr:uid="{00000000-0005-0000-0000-0000141B0000}"/>
    <cellStyle name="_20061103Holux_ProgramWorkBook_SLM -CMS &amp; Storefront PM Workbook_FairPoint_FP comTechOps_ProgramWorkbook_sachin 3" xfId="7023" xr:uid="{00000000-0005-0000-0000-0000151B0000}"/>
    <cellStyle name="_20061103Holux_ProgramWorkBook_SLM -CMS &amp; Storefront PM Workbook_FairPoint_FP comTechOps_ProgramWorkbook_sachin_Steps of Doneness" xfId="7024" xr:uid="{00000000-0005-0000-0000-0000161B0000}"/>
    <cellStyle name="_20061103Holux_ProgramWorkBook_SLM -CMS &amp; Storefront PM Workbook_FairPoint_FP comTechOps_ProgramWorkbook_sachin_v1" xfId="7025" xr:uid="{00000000-0005-0000-0000-0000171B0000}"/>
    <cellStyle name="_20061103Holux_ProgramWorkBook_SLM -CMS &amp; Storefront PM Workbook_FairPoint_FP comTechOps_ProgramWorkbook_sachin_v1 2" xfId="7026" xr:uid="{00000000-0005-0000-0000-0000181B0000}"/>
    <cellStyle name="_20061103Holux_ProgramWorkBook_SLM -CMS &amp; Storefront PM Workbook_FairPoint_FP comTechOps_ProgramWorkbook_sachin_v1 2_Steps of Doneness" xfId="7027" xr:uid="{00000000-0005-0000-0000-0000191B0000}"/>
    <cellStyle name="_20061103Holux_ProgramWorkBook_SLM -CMS &amp; Storefront PM Workbook_FairPoint_FP comTechOps_ProgramWorkbook_sachin_v1 3" xfId="7028" xr:uid="{00000000-0005-0000-0000-00001A1B0000}"/>
    <cellStyle name="_20061103Holux_ProgramWorkBook_SLM -CMS &amp; Storefront PM Workbook_FairPoint_FP comTechOps_ProgramWorkbook_sachin_v1_Steps of Doneness" xfId="7029" xr:uid="{00000000-0005-0000-0000-00001B1B0000}"/>
    <cellStyle name="_20061103Holux_ProgramWorkBook_SLM -CMS &amp; Storefront PM Workbook_FairPoint_FP comTechOps_ProgramWorkbook_Steps of Doneness" xfId="7030" xr:uid="{00000000-0005-0000-0000-00001C1B0000}"/>
    <cellStyle name="_20061103Holux_ProgramWorkBook_SLM -CMS &amp; Storefront PM Workbook_FP_CAMP&amp;ITReporting_Maintenance_Dashboard" xfId="7031" xr:uid="{00000000-0005-0000-0000-00001D1B0000}"/>
    <cellStyle name="_20061103Holux_ProgramWorkBook_SLM -CMS &amp; Storefront PM Workbook_FP_CAMP&amp;ITReporting_Maintenance_Dashboard 2" xfId="7032" xr:uid="{00000000-0005-0000-0000-00001E1B0000}"/>
    <cellStyle name="_20061103Holux_ProgramWorkBook_SLM -CMS &amp; Storefront PM Workbook_FP_CAMP&amp;ITReporting_Maintenance_Dashboard 2_Steps of Doneness" xfId="7033" xr:uid="{00000000-0005-0000-0000-00001F1B0000}"/>
    <cellStyle name="_20061103Holux_ProgramWorkBook_SLM -CMS &amp; Storefront PM Workbook_FP_CAMP&amp;ITReporting_Maintenance_Dashboard 3" xfId="7034" xr:uid="{00000000-0005-0000-0000-0000201B0000}"/>
    <cellStyle name="_20061103Holux_ProgramWorkBook_SLM -CMS &amp; Storefront PM Workbook_FP_CAMP&amp;ITReporting_Maintenance_Dashboard_Steps of Doneness" xfId="7035" xr:uid="{00000000-0005-0000-0000-0000211B0000}"/>
    <cellStyle name="_20061103Holux_ProgramWorkBook_SLM -CMS &amp; Storefront PM Workbook_FP_CAMPITReporting_Maintenance_Dashboard" xfId="7036" xr:uid="{00000000-0005-0000-0000-0000221B0000}"/>
    <cellStyle name="_20061103Holux_ProgramWorkBook_SLM -CMS &amp; Storefront PM Workbook_FP_CAMPITReporting_Maintenance_Dashboard 2" xfId="7037" xr:uid="{00000000-0005-0000-0000-0000231B0000}"/>
    <cellStyle name="_20061103Holux_ProgramWorkBook_SLM -CMS &amp; Storefront PM Workbook_FP_CAMPITReporting_Maintenance_Dashboard 2_Steps of Doneness" xfId="7038" xr:uid="{00000000-0005-0000-0000-0000241B0000}"/>
    <cellStyle name="_20061103Holux_ProgramWorkBook_SLM -CMS &amp; Storefront PM Workbook_FP_CAMPITReporting_Maintenance_Dashboard 3" xfId="7039" xr:uid="{00000000-0005-0000-0000-0000251B0000}"/>
    <cellStyle name="_20061103Holux_ProgramWorkBook_SLM -CMS &amp; Storefront PM Workbook_FP_CAMPITReporting_Maintenance_Dashboard_Steps of Doneness" xfId="7040" xr:uid="{00000000-0005-0000-0000-0000261B0000}"/>
    <cellStyle name="_20061103Holux_ProgramWorkBook_SLM -CMS &amp; Storefront PM Workbook_FP_Commissions_Req_Dn_ProgramWorkBook_10-Dec-2010" xfId="7041" xr:uid="{00000000-0005-0000-0000-0000271B0000}"/>
    <cellStyle name="_20061103Holux_ProgramWorkBook_SLM -CMS &amp; Storefront PM Workbook_FP_Commissions_Req_Dn_ProgramWorkBook_10-Dec-2010 2" xfId="7042" xr:uid="{00000000-0005-0000-0000-0000281B0000}"/>
    <cellStyle name="_20061103Holux_ProgramWorkBook_SLM -CMS &amp; Storefront PM Workbook_FP_Commissions_Req_Dn_ProgramWorkBook_10-Dec-2010 2_Steps of Doneness" xfId="7043" xr:uid="{00000000-0005-0000-0000-0000291B0000}"/>
    <cellStyle name="_20061103Holux_ProgramWorkBook_SLM -CMS &amp; Storefront PM Workbook_FP_Commissions_Req_Dn_ProgramWorkBook_10-Dec-2010 3" xfId="7044" xr:uid="{00000000-0005-0000-0000-00002A1B0000}"/>
    <cellStyle name="_20061103Holux_ProgramWorkBook_SLM -CMS &amp; Storefront PM Workbook_FP_Commissions_Req_Dn_ProgramWorkBook_10-Dec-2010_Steps of Doneness" xfId="7045" xr:uid="{00000000-0005-0000-0000-00002B1B0000}"/>
    <cellStyle name="_20061103Holux_ProgramWorkBook_SLM -CMS &amp; Storefront PM Workbook_FP_DW_Impl_ProgramWorkBook_07-Jan-2011" xfId="7046" xr:uid="{00000000-0005-0000-0000-00002C1B0000}"/>
    <cellStyle name="_20061103Holux_ProgramWorkBook_SLM -CMS &amp; Storefront PM Workbook_FP_DW_Impl_ProgramWorkBook_07-Jan-2011 2" xfId="7047" xr:uid="{00000000-0005-0000-0000-00002D1B0000}"/>
    <cellStyle name="_20061103Holux_ProgramWorkBook_SLM -CMS &amp; Storefront PM Workbook_FP_DW_Impl_ProgramWorkBook_07-Jan-2011 2 2" xfId="7048" xr:uid="{00000000-0005-0000-0000-00002E1B0000}"/>
    <cellStyle name="_20061103Holux_ProgramWorkBook_SLM -CMS &amp; Storefront PM Workbook_FP_DW_Impl_ProgramWorkBook_07-Jan-2011 2 2_Steps of Doneness" xfId="7049" xr:uid="{00000000-0005-0000-0000-00002F1B0000}"/>
    <cellStyle name="_20061103Holux_ProgramWorkBook_SLM -CMS &amp; Storefront PM Workbook_FP_DW_Impl_ProgramWorkBook_07-Jan-2011 2 3" xfId="7050" xr:uid="{00000000-0005-0000-0000-0000301B0000}"/>
    <cellStyle name="_20061103Holux_ProgramWorkBook_SLM -CMS &amp; Storefront PM Workbook_FP_DW_Impl_ProgramWorkBook_07-Jan-2011 2_Steps of Doneness" xfId="7051" xr:uid="{00000000-0005-0000-0000-0000311B0000}"/>
    <cellStyle name="_20061103Holux_ProgramWorkBook_SLM -CMS &amp; Storefront PM Workbook_FP_DW_Impl_ProgramWorkBook_07-Jan-2011 3" xfId="7052" xr:uid="{00000000-0005-0000-0000-0000321B0000}"/>
    <cellStyle name="_20061103Holux_ProgramWorkBook_SLM -CMS &amp; Storefront PM Workbook_FP_DW_Impl_ProgramWorkBook_07-Jan-2011 3_Steps of Doneness" xfId="7053" xr:uid="{00000000-0005-0000-0000-0000331B0000}"/>
    <cellStyle name="_20061103Holux_ProgramWorkBook_SLM -CMS &amp; Storefront PM Workbook_FP_DW_Impl_ProgramWorkBook_07-Jan-2011 4" xfId="7054" xr:uid="{00000000-0005-0000-0000-0000341B0000}"/>
    <cellStyle name="_20061103Holux_ProgramWorkBook_SLM -CMS &amp; Storefront PM Workbook_FP_DW_Impl_ProgramWorkBook_07-Jan-2011_Steps of Doneness" xfId="7055" xr:uid="{00000000-0005-0000-0000-0000351B0000}"/>
    <cellStyle name="_20061103Holux_ProgramWorkBook_SLM -CMS &amp; Storefront PM Workbook_FP_DW_Impl_ProgramWorkBook_11-Feb-2011" xfId="7056" xr:uid="{00000000-0005-0000-0000-0000361B0000}"/>
    <cellStyle name="_20061103Holux_ProgramWorkBook_SLM -CMS &amp; Storefront PM Workbook_FP_DW_Impl_ProgramWorkBook_11-Feb-2011 2" xfId="7057" xr:uid="{00000000-0005-0000-0000-0000371B0000}"/>
    <cellStyle name="_20061103Holux_ProgramWorkBook_SLM -CMS &amp; Storefront PM Workbook_FP_DW_Impl_ProgramWorkBook_11-Feb-2011 2_Steps of Doneness" xfId="7058" xr:uid="{00000000-0005-0000-0000-0000381B0000}"/>
    <cellStyle name="_20061103Holux_ProgramWorkBook_SLM -CMS &amp; Storefront PM Workbook_FP_DW_Impl_ProgramWorkBook_11-Feb-2011 3" xfId="7059" xr:uid="{00000000-0005-0000-0000-0000391B0000}"/>
    <cellStyle name="_20061103Holux_ProgramWorkBook_SLM -CMS &amp; Storefront PM Workbook_FP_DW_Impl_ProgramWorkBook_11-Feb-2011_Steps of Doneness" xfId="7060" xr:uid="{00000000-0005-0000-0000-00003A1B0000}"/>
    <cellStyle name="_20061103Holux_ProgramWorkBook_SLM -CMS &amp; Storefront PM Workbook_FP_DW_Impl_ProgramWorkBook_18-Feb-2011 - Working" xfId="7061" xr:uid="{00000000-0005-0000-0000-00003B1B0000}"/>
    <cellStyle name="_20061103Holux_ProgramWorkBook_SLM -CMS &amp; Storefront PM Workbook_FP_DW_Impl_ProgramWorkBook_18-Feb-2011 - Working 2" xfId="7062" xr:uid="{00000000-0005-0000-0000-00003C1B0000}"/>
    <cellStyle name="_20061103Holux_ProgramWorkBook_SLM -CMS &amp; Storefront PM Workbook_FP_DW_Impl_ProgramWorkBook_18-Feb-2011 - Working 2_Steps of Doneness" xfId="7063" xr:uid="{00000000-0005-0000-0000-00003D1B0000}"/>
    <cellStyle name="_20061103Holux_ProgramWorkBook_SLM -CMS &amp; Storefront PM Workbook_FP_DW_Impl_ProgramWorkBook_18-Feb-2011 - Working 3" xfId="7064" xr:uid="{00000000-0005-0000-0000-00003E1B0000}"/>
    <cellStyle name="_20061103Holux_ProgramWorkBook_SLM -CMS &amp; Storefront PM Workbook_FP_DW_Impl_ProgramWorkBook_18-Feb-2011 - Working_Steps of Doneness" xfId="7065" xr:uid="{00000000-0005-0000-0000-00003F1B0000}"/>
    <cellStyle name="_20061103Holux_ProgramWorkBook_SLM -CMS &amp; Storefront PM Workbook_FP_EnterprisePortal_ProgramWorkbook" xfId="7066" xr:uid="{00000000-0005-0000-0000-0000401B0000}"/>
    <cellStyle name="_20061103Holux_ProgramWorkBook_SLM -CMS &amp; Storefront PM Workbook_FP_EnterprisePortal_ProgramWorkbook 2" xfId="7067" xr:uid="{00000000-0005-0000-0000-0000411B0000}"/>
    <cellStyle name="_20061103Holux_ProgramWorkBook_SLM -CMS &amp; Storefront PM Workbook_FP_EnterprisePortal_ProgramWorkbook 2_Steps of Doneness" xfId="7068" xr:uid="{00000000-0005-0000-0000-0000421B0000}"/>
    <cellStyle name="_20061103Holux_ProgramWorkBook_SLM -CMS &amp; Storefront PM Workbook_FP_EnterprisePortal_ProgramWorkbook 3" xfId="7069" xr:uid="{00000000-0005-0000-0000-0000431B0000}"/>
    <cellStyle name="_20061103Holux_ProgramWorkBook_SLM -CMS &amp; Storefront PM Workbook_FP_EnterprisePortal_ProgramWorkbook_Steps of Doneness" xfId="7070" xr:uid="{00000000-0005-0000-0000-0000441B0000}"/>
    <cellStyle name="_20061103Holux_ProgramWorkBook_SLM -CMS &amp; Storefront PM Workbook_FP_SAP_MLP v2" xfId="7071" xr:uid="{00000000-0005-0000-0000-0000451B0000}"/>
    <cellStyle name="_20061103Holux_ProgramWorkBook_SLM -CMS &amp; Storefront PM Workbook_FP_SAP_MLP v2 2" xfId="7072" xr:uid="{00000000-0005-0000-0000-0000461B0000}"/>
    <cellStyle name="_20061103Holux_ProgramWorkBook_SLM -CMS &amp; Storefront PM Workbook_FP_SAP_MLP v2 2_Steps of Doneness" xfId="7073" xr:uid="{00000000-0005-0000-0000-0000471B0000}"/>
    <cellStyle name="_20061103Holux_ProgramWorkBook_SLM -CMS &amp; Storefront PM Workbook_FP_SAP_MLP v2 3" xfId="7074" xr:uid="{00000000-0005-0000-0000-0000481B0000}"/>
    <cellStyle name="_20061103Holux_ProgramWorkBook_SLM -CMS &amp; Storefront PM Workbook_FP_SAP_MLP v2_Steps of Doneness" xfId="7075" xr:uid="{00000000-0005-0000-0000-0000491B0000}"/>
    <cellStyle name="_20061103Holux_ProgramWorkBook_SLM -CMS &amp; Storefront PM Workbook_KeyDecisions" xfId="7076" xr:uid="{00000000-0005-0000-0000-00004A1B0000}"/>
    <cellStyle name="_20061103Holux_ProgramWorkBook_SLM -CMS &amp; Storefront PM Workbook_KeyDecisions 2" xfId="7077" xr:uid="{00000000-0005-0000-0000-00004B1B0000}"/>
    <cellStyle name="_20061103Holux_ProgramWorkBook_SLM -CMS &amp; Storefront PM Workbook_KeyDecisions 2_Steps of Doneness" xfId="7078" xr:uid="{00000000-0005-0000-0000-00004C1B0000}"/>
    <cellStyle name="_20061103Holux_ProgramWorkBook_SLM -CMS &amp; Storefront PM Workbook_KeyDecisions 3" xfId="7079" xr:uid="{00000000-0005-0000-0000-00004D1B0000}"/>
    <cellStyle name="_20061103Holux_ProgramWorkBook_SLM -CMS &amp; Storefront PM Workbook_KeyDecisions_Steps of Doneness" xfId="7080" xr:uid="{00000000-0005-0000-0000-00004E1B0000}"/>
    <cellStyle name="_20061103Holux_ProgramWorkBook_SLM -CMS &amp; Storefront PM Workbook_Sophia_Imp_ProjectWorkBook_02_18_2011" xfId="7081" xr:uid="{00000000-0005-0000-0000-00004F1B0000}"/>
    <cellStyle name="_20061103Holux_ProgramWorkBook_SLM -CMS &amp; Storefront PM Workbook_Sophia_Imp_ProjectWorkBook_02_18_2011 2" xfId="7082" xr:uid="{00000000-0005-0000-0000-0000501B0000}"/>
    <cellStyle name="_20061103Holux_ProgramWorkBook_SLM -CMS &amp; Storefront PM Workbook_Sophia_Imp_ProjectWorkBook_02_18_2011 2_Steps of Doneness" xfId="7083" xr:uid="{00000000-0005-0000-0000-0000511B0000}"/>
    <cellStyle name="_20061103Holux_ProgramWorkBook_SLM -CMS &amp; Storefront PM Workbook_Sophia_Imp_ProjectWorkBook_02_18_2011 3" xfId="7084" xr:uid="{00000000-0005-0000-0000-0000521B0000}"/>
    <cellStyle name="_20061103Holux_ProgramWorkBook_SLM -CMS &amp; Storefront PM Workbook_Sophia_Imp_ProjectWorkBook_02_18_2011_Steps of Doneness" xfId="7085" xr:uid="{00000000-0005-0000-0000-0000531B0000}"/>
    <cellStyle name="_20061103Holux_ProgramWorkBook_SLM -CMS &amp; Storefront PM Workbook_Steps of Doneness" xfId="7086" xr:uid="{00000000-0005-0000-0000-0000541B0000}"/>
    <cellStyle name="_20061103Holux_ProgramWorkBook_SLM -CMS &amp; Storefront PM Workbook_t" xfId="7087" xr:uid="{00000000-0005-0000-0000-0000551B0000}"/>
    <cellStyle name="_20061103Holux_ProgramWorkBook_SLM -CMS &amp; Storefront PM Workbook_t 2" xfId="7088" xr:uid="{00000000-0005-0000-0000-0000561B0000}"/>
    <cellStyle name="_20061103Holux_ProgramWorkBook_SLM -CMS &amp; Storefront PM Workbook_t 2_Steps of Doneness" xfId="7089" xr:uid="{00000000-0005-0000-0000-0000571B0000}"/>
    <cellStyle name="_20061103Holux_ProgramWorkBook_SLM -CMS &amp; Storefront PM Workbook_t 3" xfId="7090" xr:uid="{00000000-0005-0000-0000-0000581B0000}"/>
    <cellStyle name="_20061103Holux_ProgramWorkBook_SLM -CMS &amp; Storefront PM Workbook_t_Steps of Doneness" xfId="7091" xr:uid="{00000000-0005-0000-0000-0000591B0000}"/>
    <cellStyle name="_20061103Holux_ProgramWorkBook_slm_llp_0520" xfId="7092" xr:uid="{00000000-0005-0000-0000-00005A1B0000}"/>
    <cellStyle name="_20061103Holux_ProgramWorkBook_slm_llp_0520 2" xfId="7093" xr:uid="{00000000-0005-0000-0000-00005B1B0000}"/>
    <cellStyle name="_20061103Holux_ProgramWorkBook_slm_llp_0520 2 2" xfId="7094" xr:uid="{00000000-0005-0000-0000-00005C1B0000}"/>
    <cellStyle name="_20061103Holux_ProgramWorkBook_slm_llp_0520 2 2_Steps of Doneness" xfId="7095" xr:uid="{00000000-0005-0000-0000-00005D1B0000}"/>
    <cellStyle name="_20061103Holux_ProgramWorkBook_slm_llp_0520 2 3" xfId="7096" xr:uid="{00000000-0005-0000-0000-00005E1B0000}"/>
    <cellStyle name="_20061103Holux_ProgramWorkBook_slm_llp_0520 2_Steps of Doneness" xfId="7097" xr:uid="{00000000-0005-0000-0000-00005F1B0000}"/>
    <cellStyle name="_20061103Holux_ProgramWorkBook_slm_llp_0520 3" xfId="7098" xr:uid="{00000000-0005-0000-0000-0000601B0000}"/>
    <cellStyle name="_20061103Holux_ProgramWorkBook_slm_llp_0520 3 2" xfId="7099" xr:uid="{00000000-0005-0000-0000-0000611B0000}"/>
    <cellStyle name="_20061103Holux_ProgramWorkBook_slm_llp_0520 3 2_Steps of Doneness" xfId="7100" xr:uid="{00000000-0005-0000-0000-0000621B0000}"/>
    <cellStyle name="_20061103Holux_ProgramWorkBook_slm_llp_0520 3 3" xfId="7101" xr:uid="{00000000-0005-0000-0000-0000631B0000}"/>
    <cellStyle name="_20061103Holux_ProgramWorkBook_slm_llp_0520 3_Steps of Doneness" xfId="7102" xr:uid="{00000000-0005-0000-0000-0000641B0000}"/>
    <cellStyle name="_20061103Holux_ProgramWorkBook_slm_llp_0520 4" xfId="7103" xr:uid="{00000000-0005-0000-0000-0000651B0000}"/>
    <cellStyle name="_20061103Holux_ProgramWorkBook_slm_llp_0520 4_Steps of Doneness" xfId="7104" xr:uid="{00000000-0005-0000-0000-0000661B0000}"/>
    <cellStyle name="_20061103Holux_ProgramWorkBook_slm_llp_0520 5" xfId="7105" xr:uid="{00000000-0005-0000-0000-0000671B0000}"/>
    <cellStyle name="_20061103Holux_ProgramWorkBook_slm_llp_0520 6" xfId="7106" xr:uid="{00000000-0005-0000-0000-0000681B0000}"/>
    <cellStyle name="_20061103Holux_ProgramWorkBook_slm_llp_0520_Commissioning System Implementation_Project Workbook_06_10_2011" xfId="7107" xr:uid="{00000000-0005-0000-0000-0000691B0000}"/>
    <cellStyle name="_20061103Holux_ProgramWorkBook_slm_llp_0520_Commissioning System Implementation_Project Workbook_06_10_2011 2" xfId="7108" xr:uid="{00000000-0005-0000-0000-00006A1B0000}"/>
    <cellStyle name="_20061103Holux_ProgramWorkBook_slm_llp_0520_Commissioning System Implementation_Project Workbook_06_10_2011 2_Steps of Doneness" xfId="7109" xr:uid="{00000000-0005-0000-0000-00006B1B0000}"/>
    <cellStyle name="_20061103Holux_ProgramWorkBook_slm_llp_0520_Commissioning System Implementation_Project Workbook_06_10_2011 3" xfId="7110" xr:uid="{00000000-0005-0000-0000-00006C1B0000}"/>
    <cellStyle name="_20061103Holux_ProgramWorkBook_slm_llp_0520_Commissioning System Implementation_Project Workbook_06_10_2011_Steps of Doneness" xfId="7111" xr:uid="{00000000-0005-0000-0000-00006D1B0000}"/>
    <cellStyle name="_20061103Holux_ProgramWorkBook_slm_llp_0520_FairPoint_CampReport" xfId="7112" xr:uid="{00000000-0005-0000-0000-00006E1B0000}"/>
    <cellStyle name="_20061103Holux_ProgramWorkBook_slm_llp_0520_FairPoint_CampReport 2" xfId="7113" xr:uid="{00000000-0005-0000-0000-00006F1B0000}"/>
    <cellStyle name="_20061103Holux_ProgramWorkBook_slm_llp_0520_FairPoint_CampReport 2_Steps of Doneness" xfId="7114" xr:uid="{00000000-0005-0000-0000-0000701B0000}"/>
    <cellStyle name="_20061103Holux_ProgramWorkBook_slm_llp_0520_FairPoint_CampReport 3" xfId="7115" xr:uid="{00000000-0005-0000-0000-0000711B0000}"/>
    <cellStyle name="_20061103Holux_ProgramWorkBook_slm_llp_0520_FairPoint_CampReport_Steps of Doneness" xfId="7116" xr:uid="{00000000-0005-0000-0000-0000721B0000}"/>
    <cellStyle name="_20061103Holux_ProgramWorkBook_slm_llp_0520_FairPoint_FP comTechOps_ProgramWorkbook" xfId="7117" xr:uid="{00000000-0005-0000-0000-0000731B0000}"/>
    <cellStyle name="_20061103Holux_ProgramWorkBook_slm_llp_0520_FairPoint_FP comTechOps_ProgramWorkbook 2" xfId="7118" xr:uid="{00000000-0005-0000-0000-0000741B0000}"/>
    <cellStyle name="_20061103Holux_ProgramWorkBook_slm_llp_0520_FairPoint_FP comTechOps_ProgramWorkbook 2_Steps of Doneness" xfId="7119" xr:uid="{00000000-0005-0000-0000-0000751B0000}"/>
    <cellStyle name="_20061103Holux_ProgramWorkBook_slm_llp_0520_FairPoint_FP comTechOps_ProgramWorkbook 3" xfId="7120" xr:uid="{00000000-0005-0000-0000-0000761B0000}"/>
    <cellStyle name="_20061103Holux_ProgramWorkBook_slm_llp_0520_FairPoint_FP comTechOps_ProgramWorkbook_sachin" xfId="7121" xr:uid="{00000000-0005-0000-0000-0000771B0000}"/>
    <cellStyle name="_20061103Holux_ProgramWorkBook_slm_llp_0520_FairPoint_FP comTechOps_ProgramWorkbook_sachin 2" xfId="7122" xr:uid="{00000000-0005-0000-0000-0000781B0000}"/>
    <cellStyle name="_20061103Holux_ProgramWorkBook_slm_llp_0520_FairPoint_FP comTechOps_ProgramWorkbook_sachin 2_Steps of Doneness" xfId="7123" xr:uid="{00000000-0005-0000-0000-0000791B0000}"/>
    <cellStyle name="_20061103Holux_ProgramWorkBook_slm_llp_0520_FairPoint_FP comTechOps_ProgramWorkbook_sachin 3" xfId="7124" xr:uid="{00000000-0005-0000-0000-00007A1B0000}"/>
    <cellStyle name="_20061103Holux_ProgramWorkBook_slm_llp_0520_FairPoint_FP comTechOps_ProgramWorkbook_sachin_Steps of Doneness" xfId="7125" xr:uid="{00000000-0005-0000-0000-00007B1B0000}"/>
    <cellStyle name="_20061103Holux_ProgramWorkBook_slm_llp_0520_FairPoint_FP comTechOps_ProgramWorkbook_sachin_v1" xfId="7126" xr:uid="{00000000-0005-0000-0000-00007C1B0000}"/>
    <cellStyle name="_20061103Holux_ProgramWorkBook_slm_llp_0520_FairPoint_FP comTechOps_ProgramWorkbook_sachin_v1 2" xfId="7127" xr:uid="{00000000-0005-0000-0000-00007D1B0000}"/>
    <cellStyle name="_20061103Holux_ProgramWorkBook_slm_llp_0520_FairPoint_FP comTechOps_ProgramWorkbook_sachin_v1 2_Steps of Doneness" xfId="7128" xr:uid="{00000000-0005-0000-0000-00007E1B0000}"/>
    <cellStyle name="_20061103Holux_ProgramWorkBook_slm_llp_0520_FairPoint_FP comTechOps_ProgramWorkbook_sachin_v1 3" xfId="7129" xr:uid="{00000000-0005-0000-0000-00007F1B0000}"/>
    <cellStyle name="_20061103Holux_ProgramWorkBook_slm_llp_0520_FairPoint_FP comTechOps_ProgramWorkbook_sachin_v1_Steps of Doneness" xfId="7130" xr:uid="{00000000-0005-0000-0000-0000801B0000}"/>
    <cellStyle name="_20061103Holux_ProgramWorkBook_slm_llp_0520_FairPoint_FP comTechOps_ProgramWorkbook_Steps of Doneness" xfId="7131" xr:uid="{00000000-0005-0000-0000-0000811B0000}"/>
    <cellStyle name="_20061103Holux_ProgramWorkBook_slm_llp_0520_FP_CAMP&amp;ITReporting_Maintenance_Dashboard" xfId="7132" xr:uid="{00000000-0005-0000-0000-0000821B0000}"/>
    <cellStyle name="_20061103Holux_ProgramWorkBook_slm_llp_0520_FP_CAMP&amp;ITReporting_Maintenance_Dashboard 2" xfId="7133" xr:uid="{00000000-0005-0000-0000-0000831B0000}"/>
    <cellStyle name="_20061103Holux_ProgramWorkBook_slm_llp_0520_FP_CAMP&amp;ITReporting_Maintenance_Dashboard 2_Steps of Doneness" xfId="7134" xr:uid="{00000000-0005-0000-0000-0000841B0000}"/>
    <cellStyle name="_20061103Holux_ProgramWorkBook_slm_llp_0520_FP_CAMP&amp;ITReporting_Maintenance_Dashboard 3" xfId="7135" xr:uid="{00000000-0005-0000-0000-0000851B0000}"/>
    <cellStyle name="_20061103Holux_ProgramWorkBook_slm_llp_0520_FP_CAMP&amp;ITReporting_Maintenance_Dashboard_Steps of Doneness" xfId="7136" xr:uid="{00000000-0005-0000-0000-0000861B0000}"/>
    <cellStyle name="_20061103Holux_ProgramWorkBook_slm_llp_0520_FP_CAMPITReporting_Maintenance_Dashboard" xfId="7137" xr:uid="{00000000-0005-0000-0000-0000871B0000}"/>
    <cellStyle name="_20061103Holux_ProgramWorkBook_slm_llp_0520_FP_CAMPITReporting_Maintenance_Dashboard 2" xfId="7138" xr:uid="{00000000-0005-0000-0000-0000881B0000}"/>
    <cellStyle name="_20061103Holux_ProgramWorkBook_slm_llp_0520_FP_CAMPITReporting_Maintenance_Dashboard 2_Steps of Doneness" xfId="7139" xr:uid="{00000000-0005-0000-0000-0000891B0000}"/>
    <cellStyle name="_20061103Holux_ProgramWorkBook_slm_llp_0520_FP_CAMPITReporting_Maintenance_Dashboard 3" xfId="7140" xr:uid="{00000000-0005-0000-0000-00008A1B0000}"/>
    <cellStyle name="_20061103Holux_ProgramWorkBook_slm_llp_0520_FP_CAMPITReporting_Maintenance_Dashboard_Steps of Doneness" xfId="7141" xr:uid="{00000000-0005-0000-0000-00008B1B0000}"/>
    <cellStyle name="_20061103Holux_ProgramWorkBook_slm_llp_0520_FP_Commissions_Req_Dn_ProgramWorkBook_10-Dec-2010" xfId="7142" xr:uid="{00000000-0005-0000-0000-00008C1B0000}"/>
    <cellStyle name="_20061103Holux_ProgramWorkBook_slm_llp_0520_FP_Commissions_Req_Dn_ProgramWorkBook_10-Dec-2010 2" xfId="7143" xr:uid="{00000000-0005-0000-0000-00008D1B0000}"/>
    <cellStyle name="_20061103Holux_ProgramWorkBook_slm_llp_0520_FP_Commissions_Req_Dn_ProgramWorkBook_10-Dec-2010 2_Steps of Doneness" xfId="7144" xr:uid="{00000000-0005-0000-0000-00008E1B0000}"/>
    <cellStyle name="_20061103Holux_ProgramWorkBook_slm_llp_0520_FP_Commissions_Req_Dn_ProgramWorkBook_10-Dec-2010 3" xfId="7145" xr:uid="{00000000-0005-0000-0000-00008F1B0000}"/>
    <cellStyle name="_20061103Holux_ProgramWorkBook_slm_llp_0520_FP_Commissions_Req_Dn_ProgramWorkBook_10-Dec-2010_Steps of Doneness" xfId="7146" xr:uid="{00000000-0005-0000-0000-0000901B0000}"/>
    <cellStyle name="_20061103Holux_ProgramWorkBook_slm_llp_0520_FP_DW_Impl_ProgramWorkBook_07-Jan-2011" xfId="7147" xr:uid="{00000000-0005-0000-0000-0000911B0000}"/>
    <cellStyle name="_20061103Holux_ProgramWorkBook_slm_llp_0520_FP_DW_Impl_ProgramWorkBook_07-Jan-2011 2" xfId="7148" xr:uid="{00000000-0005-0000-0000-0000921B0000}"/>
    <cellStyle name="_20061103Holux_ProgramWorkBook_slm_llp_0520_FP_DW_Impl_ProgramWorkBook_07-Jan-2011 2 2" xfId="7149" xr:uid="{00000000-0005-0000-0000-0000931B0000}"/>
    <cellStyle name="_20061103Holux_ProgramWorkBook_slm_llp_0520_FP_DW_Impl_ProgramWorkBook_07-Jan-2011 2 2_Steps of Doneness" xfId="7150" xr:uid="{00000000-0005-0000-0000-0000941B0000}"/>
    <cellStyle name="_20061103Holux_ProgramWorkBook_slm_llp_0520_FP_DW_Impl_ProgramWorkBook_07-Jan-2011 2 3" xfId="7151" xr:uid="{00000000-0005-0000-0000-0000951B0000}"/>
    <cellStyle name="_20061103Holux_ProgramWorkBook_slm_llp_0520_FP_DW_Impl_ProgramWorkBook_07-Jan-2011 2_Steps of Doneness" xfId="7152" xr:uid="{00000000-0005-0000-0000-0000961B0000}"/>
    <cellStyle name="_20061103Holux_ProgramWorkBook_slm_llp_0520_FP_DW_Impl_ProgramWorkBook_07-Jan-2011 3" xfId="7153" xr:uid="{00000000-0005-0000-0000-0000971B0000}"/>
    <cellStyle name="_20061103Holux_ProgramWorkBook_slm_llp_0520_FP_DW_Impl_ProgramWorkBook_07-Jan-2011 3_Steps of Doneness" xfId="7154" xr:uid="{00000000-0005-0000-0000-0000981B0000}"/>
    <cellStyle name="_20061103Holux_ProgramWorkBook_slm_llp_0520_FP_DW_Impl_ProgramWorkBook_07-Jan-2011 4" xfId="7155" xr:uid="{00000000-0005-0000-0000-0000991B0000}"/>
    <cellStyle name="_20061103Holux_ProgramWorkBook_slm_llp_0520_FP_DW_Impl_ProgramWorkBook_07-Jan-2011_Steps of Doneness" xfId="7156" xr:uid="{00000000-0005-0000-0000-00009A1B0000}"/>
    <cellStyle name="_20061103Holux_ProgramWorkBook_slm_llp_0520_FP_DW_Impl_ProgramWorkBook_11-Feb-2011" xfId="7157" xr:uid="{00000000-0005-0000-0000-00009B1B0000}"/>
    <cellStyle name="_20061103Holux_ProgramWorkBook_slm_llp_0520_FP_DW_Impl_ProgramWorkBook_11-Feb-2011 2" xfId="7158" xr:uid="{00000000-0005-0000-0000-00009C1B0000}"/>
    <cellStyle name="_20061103Holux_ProgramWorkBook_slm_llp_0520_FP_DW_Impl_ProgramWorkBook_11-Feb-2011 2_Steps of Doneness" xfId="7159" xr:uid="{00000000-0005-0000-0000-00009D1B0000}"/>
    <cellStyle name="_20061103Holux_ProgramWorkBook_slm_llp_0520_FP_DW_Impl_ProgramWorkBook_11-Feb-2011 3" xfId="7160" xr:uid="{00000000-0005-0000-0000-00009E1B0000}"/>
    <cellStyle name="_20061103Holux_ProgramWorkBook_slm_llp_0520_FP_DW_Impl_ProgramWorkBook_11-Feb-2011_Steps of Doneness" xfId="7161" xr:uid="{00000000-0005-0000-0000-00009F1B0000}"/>
    <cellStyle name="_20061103Holux_ProgramWorkBook_slm_llp_0520_FP_DW_Impl_ProgramWorkBook_18-Feb-2011 - Working" xfId="7162" xr:uid="{00000000-0005-0000-0000-0000A01B0000}"/>
    <cellStyle name="_20061103Holux_ProgramWorkBook_slm_llp_0520_FP_DW_Impl_ProgramWorkBook_18-Feb-2011 - Working 2" xfId="7163" xr:uid="{00000000-0005-0000-0000-0000A11B0000}"/>
    <cellStyle name="_20061103Holux_ProgramWorkBook_slm_llp_0520_FP_DW_Impl_ProgramWorkBook_18-Feb-2011 - Working 2_Steps of Doneness" xfId="7164" xr:uid="{00000000-0005-0000-0000-0000A21B0000}"/>
    <cellStyle name="_20061103Holux_ProgramWorkBook_slm_llp_0520_FP_DW_Impl_ProgramWorkBook_18-Feb-2011 - Working 3" xfId="7165" xr:uid="{00000000-0005-0000-0000-0000A31B0000}"/>
    <cellStyle name="_20061103Holux_ProgramWorkBook_slm_llp_0520_FP_DW_Impl_ProgramWorkBook_18-Feb-2011 - Working_Steps of Doneness" xfId="7166" xr:uid="{00000000-0005-0000-0000-0000A41B0000}"/>
    <cellStyle name="_20061103Holux_ProgramWorkBook_slm_llp_0520_FP_EnterprisePortal_ProgramWorkbook" xfId="7167" xr:uid="{00000000-0005-0000-0000-0000A51B0000}"/>
    <cellStyle name="_20061103Holux_ProgramWorkBook_slm_llp_0520_FP_EnterprisePortal_ProgramWorkbook 2" xfId="7168" xr:uid="{00000000-0005-0000-0000-0000A61B0000}"/>
    <cellStyle name="_20061103Holux_ProgramWorkBook_slm_llp_0520_FP_EnterprisePortal_ProgramWorkbook 2_Steps of Doneness" xfId="7169" xr:uid="{00000000-0005-0000-0000-0000A71B0000}"/>
    <cellStyle name="_20061103Holux_ProgramWorkBook_slm_llp_0520_FP_EnterprisePortal_ProgramWorkbook 3" xfId="7170" xr:uid="{00000000-0005-0000-0000-0000A81B0000}"/>
    <cellStyle name="_20061103Holux_ProgramWorkBook_slm_llp_0520_FP_EnterprisePortal_ProgramWorkbook_Steps of Doneness" xfId="7171" xr:uid="{00000000-0005-0000-0000-0000A91B0000}"/>
    <cellStyle name="_20061103Holux_ProgramWorkBook_slm_llp_0520_FP_SAP_MLP v2" xfId="7172" xr:uid="{00000000-0005-0000-0000-0000AA1B0000}"/>
    <cellStyle name="_20061103Holux_ProgramWorkBook_slm_llp_0520_FP_SAP_MLP v2 2" xfId="7173" xr:uid="{00000000-0005-0000-0000-0000AB1B0000}"/>
    <cellStyle name="_20061103Holux_ProgramWorkBook_slm_llp_0520_FP_SAP_MLP v2 2_Steps of Doneness" xfId="7174" xr:uid="{00000000-0005-0000-0000-0000AC1B0000}"/>
    <cellStyle name="_20061103Holux_ProgramWorkBook_slm_llp_0520_FP_SAP_MLP v2 3" xfId="7175" xr:uid="{00000000-0005-0000-0000-0000AD1B0000}"/>
    <cellStyle name="_20061103Holux_ProgramWorkBook_slm_llp_0520_FP_SAP_MLP v2_Steps of Doneness" xfId="7176" xr:uid="{00000000-0005-0000-0000-0000AE1B0000}"/>
    <cellStyle name="_20061103Holux_ProgramWorkBook_slm_llp_0520_KeyDecisions" xfId="7177" xr:uid="{00000000-0005-0000-0000-0000AF1B0000}"/>
    <cellStyle name="_20061103Holux_ProgramWorkBook_slm_llp_0520_KeyDecisions 2" xfId="7178" xr:uid="{00000000-0005-0000-0000-0000B01B0000}"/>
    <cellStyle name="_20061103Holux_ProgramWorkBook_slm_llp_0520_KeyDecisions 2_Steps of Doneness" xfId="7179" xr:uid="{00000000-0005-0000-0000-0000B11B0000}"/>
    <cellStyle name="_20061103Holux_ProgramWorkBook_slm_llp_0520_KeyDecisions 3" xfId="7180" xr:uid="{00000000-0005-0000-0000-0000B21B0000}"/>
    <cellStyle name="_20061103Holux_ProgramWorkBook_slm_llp_0520_KeyDecisions_Steps of Doneness" xfId="7181" xr:uid="{00000000-0005-0000-0000-0000B31B0000}"/>
    <cellStyle name="_20061103Holux_ProgramWorkBook_slm_llp_0520_Sophia_Imp_ProjectWorkBook_02_18_2011" xfId="7182" xr:uid="{00000000-0005-0000-0000-0000B41B0000}"/>
    <cellStyle name="_20061103Holux_ProgramWorkBook_slm_llp_0520_Sophia_Imp_ProjectWorkBook_02_18_2011 2" xfId="7183" xr:uid="{00000000-0005-0000-0000-0000B51B0000}"/>
    <cellStyle name="_20061103Holux_ProgramWorkBook_slm_llp_0520_Sophia_Imp_ProjectWorkBook_02_18_2011 2_Steps of Doneness" xfId="7184" xr:uid="{00000000-0005-0000-0000-0000B61B0000}"/>
    <cellStyle name="_20061103Holux_ProgramWorkBook_slm_llp_0520_Sophia_Imp_ProjectWorkBook_02_18_2011 3" xfId="7185" xr:uid="{00000000-0005-0000-0000-0000B71B0000}"/>
    <cellStyle name="_20061103Holux_ProgramWorkBook_slm_llp_0520_Sophia_Imp_ProjectWorkBook_02_18_2011_Steps of Doneness" xfId="7186" xr:uid="{00000000-0005-0000-0000-0000B81B0000}"/>
    <cellStyle name="_20061103Holux_ProgramWorkBook_slm_llp_0520_Steps of Doneness" xfId="7187" xr:uid="{00000000-0005-0000-0000-0000B91B0000}"/>
    <cellStyle name="_20061103Holux_ProgramWorkBook_slm_llp_0520_t" xfId="7188" xr:uid="{00000000-0005-0000-0000-0000BA1B0000}"/>
    <cellStyle name="_20061103Holux_ProgramWorkBook_slm_llp_0520_t 2" xfId="7189" xr:uid="{00000000-0005-0000-0000-0000BB1B0000}"/>
    <cellStyle name="_20061103Holux_ProgramWorkBook_slm_llp_0520_t 2_Steps of Doneness" xfId="7190" xr:uid="{00000000-0005-0000-0000-0000BC1B0000}"/>
    <cellStyle name="_20061103Holux_ProgramWorkBook_slm_llp_0520_t 3" xfId="7191" xr:uid="{00000000-0005-0000-0000-0000BD1B0000}"/>
    <cellStyle name="_20061103Holux_ProgramWorkBook_slm_llp_0520_t_Steps of Doneness" xfId="7192" xr:uid="{00000000-0005-0000-0000-0000BE1B0000}"/>
    <cellStyle name="_20061103Holux_ProgramWorkBook_SLM_PM_Workbook_053110" xfId="7193" xr:uid="{00000000-0005-0000-0000-0000BF1B0000}"/>
    <cellStyle name="_20061103Holux_ProgramWorkBook_SLM_PM_Workbook_053110 2" xfId="7194" xr:uid="{00000000-0005-0000-0000-0000C01B0000}"/>
    <cellStyle name="_20061103Holux_ProgramWorkBook_SLM_PM_Workbook_053110 2 2" xfId="7195" xr:uid="{00000000-0005-0000-0000-0000C11B0000}"/>
    <cellStyle name="_20061103Holux_ProgramWorkBook_SLM_PM_Workbook_053110 2 2_Steps of Doneness" xfId="7196" xr:uid="{00000000-0005-0000-0000-0000C21B0000}"/>
    <cellStyle name="_20061103Holux_ProgramWorkBook_SLM_PM_Workbook_053110 2 3" xfId="7197" xr:uid="{00000000-0005-0000-0000-0000C31B0000}"/>
    <cellStyle name="_20061103Holux_ProgramWorkBook_SLM_PM_Workbook_053110 2_Steps of Doneness" xfId="7198" xr:uid="{00000000-0005-0000-0000-0000C41B0000}"/>
    <cellStyle name="_20061103Holux_ProgramWorkBook_SLM_PM_Workbook_053110 3" xfId="7199" xr:uid="{00000000-0005-0000-0000-0000C51B0000}"/>
    <cellStyle name="_20061103Holux_ProgramWorkBook_SLM_PM_Workbook_053110 3 2" xfId="7200" xr:uid="{00000000-0005-0000-0000-0000C61B0000}"/>
    <cellStyle name="_20061103Holux_ProgramWorkBook_SLM_PM_Workbook_053110 3 2_Steps of Doneness" xfId="7201" xr:uid="{00000000-0005-0000-0000-0000C71B0000}"/>
    <cellStyle name="_20061103Holux_ProgramWorkBook_SLM_PM_Workbook_053110 3 3" xfId="7202" xr:uid="{00000000-0005-0000-0000-0000C81B0000}"/>
    <cellStyle name="_20061103Holux_ProgramWorkBook_SLM_PM_Workbook_053110 3_Steps of Doneness" xfId="7203" xr:uid="{00000000-0005-0000-0000-0000C91B0000}"/>
    <cellStyle name="_20061103Holux_ProgramWorkBook_SLM_PM_Workbook_053110 4" xfId="7204" xr:uid="{00000000-0005-0000-0000-0000CA1B0000}"/>
    <cellStyle name="_20061103Holux_ProgramWorkBook_SLM_PM_Workbook_053110 4_Steps of Doneness" xfId="7205" xr:uid="{00000000-0005-0000-0000-0000CB1B0000}"/>
    <cellStyle name="_20061103Holux_ProgramWorkBook_SLM_PM_Workbook_053110 5" xfId="7206" xr:uid="{00000000-0005-0000-0000-0000CC1B0000}"/>
    <cellStyle name="_20061103Holux_ProgramWorkBook_SLM_PM_Workbook_053110 6" xfId="7207" xr:uid="{00000000-0005-0000-0000-0000CD1B0000}"/>
    <cellStyle name="_20061103Holux_ProgramWorkBook_SLM_PM_Workbook_053110_Commissioning System Implementation_Project Workbook_06_10_2011" xfId="7208" xr:uid="{00000000-0005-0000-0000-0000CE1B0000}"/>
    <cellStyle name="_20061103Holux_ProgramWorkBook_SLM_PM_Workbook_053110_Commissioning System Implementation_Project Workbook_06_10_2011 2" xfId="7209" xr:uid="{00000000-0005-0000-0000-0000CF1B0000}"/>
    <cellStyle name="_20061103Holux_ProgramWorkBook_SLM_PM_Workbook_053110_Commissioning System Implementation_Project Workbook_06_10_2011 2_Steps of Doneness" xfId="7210" xr:uid="{00000000-0005-0000-0000-0000D01B0000}"/>
    <cellStyle name="_20061103Holux_ProgramWorkBook_SLM_PM_Workbook_053110_Commissioning System Implementation_Project Workbook_06_10_2011 3" xfId="7211" xr:uid="{00000000-0005-0000-0000-0000D11B0000}"/>
    <cellStyle name="_20061103Holux_ProgramWorkBook_SLM_PM_Workbook_053110_Commissioning System Implementation_Project Workbook_06_10_2011_Steps of Doneness" xfId="7212" xr:uid="{00000000-0005-0000-0000-0000D21B0000}"/>
    <cellStyle name="_20061103Holux_ProgramWorkBook_SLM_PM_Workbook_053110_FairPoint_CampReport" xfId="7213" xr:uid="{00000000-0005-0000-0000-0000D31B0000}"/>
    <cellStyle name="_20061103Holux_ProgramWorkBook_SLM_PM_Workbook_053110_FairPoint_CampReport 2" xfId="7214" xr:uid="{00000000-0005-0000-0000-0000D41B0000}"/>
    <cellStyle name="_20061103Holux_ProgramWorkBook_SLM_PM_Workbook_053110_FairPoint_CampReport 2_Steps of Doneness" xfId="7215" xr:uid="{00000000-0005-0000-0000-0000D51B0000}"/>
    <cellStyle name="_20061103Holux_ProgramWorkBook_SLM_PM_Workbook_053110_FairPoint_CampReport 3" xfId="7216" xr:uid="{00000000-0005-0000-0000-0000D61B0000}"/>
    <cellStyle name="_20061103Holux_ProgramWorkBook_SLM_PM_Workbook_053110_FairPoint_CampReport_Steps of Doneness" xfId="7217" xr:uid="{00000000-0005-0000-0000-0000D71B0000}"/>
    <cellStyle name="_20061103Holux_ProgramWorkBook_SLM_PM_Workbook_053110_FairPoint_FP comTechOps_ProgramWorkbook" xfId="7218" xr:uid="{00000000-0005-0000-0000-0000D81B0000}"/>
    <cellStyle name="_20061103Holux_ProgramWorkBook_SLM_PM_Workbook_053110_FairPoint_FP comTechOps_ProgramWorkbook 2" xfId="7219" xr:uid="{00000000-0005-0000-0000-0000D91B0000}"/>
    <cellStyle name="_20061103Holux_ProgramWorkBook_SLM_PM_Workbook_053110_FairPoint_FP comTechOps_ProgramWorkbook 2_Steps of Doneness" xfId="7220" xr:uid="{00000000-0005-0000-0000-0000DA1B0000}"/>
    <cellStyle name="_20061103Holux_ProgramWorkBook_SLM_PM_Workbook_053110_FairPoint_FP comTechOps_ProgramWorkbook 3" xfId="7221" xr:uid="{00000000-0005-0000-0000-0000DB1B0000}"/>
    <cellStyle name="_20061103Holux_ProgramWorkBook_SLM_PM_Workbook_053110_FairPoint_FP comTechOps_ProgramWorkbook_sachin" xfId="7222" xr:uid="{00000000-0005-0000-0000-0000DC1B0000}"/>
    <cellStyle name="_20061103Holux_ProgramWorkBook_SLM_PM_Workbook_053110_FairPoint_FP comTechOps_ProgramWorkbook_sachin 2" xfId="7223" xr:uid="{00000000-0005-0000-0000-0000DD1B0000}"/>
    <cellStyle name="_20061103Holux_ProgramWorkBook_SLM_PM_Workbook_053110_FairPoint_FP comTechOps_ProgramWorkbook_sachin 2_Steps of Doneness" xfId="7224" xr:uid="{00000000-0005-0000-0000-0000DE1B0000}"/>
    <cellStyle name="_20061103Holux_ProgramWorkBook_SLM_PM_Workbook_053110_FairPoint_FP comTechOps_ProgramWorkbook_sachin 3" xfId="7225" xr:uid="{00000000-0005-0000-0000-0000DF1B0000}"/>
    <cellStyle name="_20061103Holux_ProgramWorkBook_SLM_PM_Workbook_053110_FairPoint_FP comTechOps_ProgramWorkbook_sachin_Steps of Doneness" xfId="7226" xr:uid="{00000000-0005-0000-0000-0000E01B0000}"/>
    <cellStyle name="_20061103Holux_ProgramWorkBook_SLM_PM_Workbook_053110_FairPoint_FP comTechOps_ProgramWorkbook_sachin_v1" xfId="7227" xr:uid="{00000000-0005-0000-0000-0000E11B0000}"/>
    <cellStyle name="_20061103Holux_ProgramWorkBook_SLM_PM_Workbook_053110_FairPoint_FP comTechOps_ProgramWorkbook_sachin_v1 2" xfId="7228" xr:uid="{00000000-0005-0000-0000-0000E21B0000}"/>
    <cellStyle name="_20061103Holux_ProgramWorkBook_SLM_PM_Workbook_053110_FairPoint_FP comTechOps_ProgramWorkbook_sachin_v1 2_Steps of Doneness" xfId="7229" xr:uid="{00000000-0005-0000-0000-0000E31B0000}"/>
    <cellStyle name="_20061103Holux_ProgramWorkBook_SLM_PM_Workbook_053110_FairPoint_FP comTechOps_ProgramWorkbook_sachin_v1 3" xfId="7230" xr:uid="{00000000-0005-0000-0000-0000E41B0000}"/>
    <cellStyle name="_20061103Holux_ProgramWorkBook_SLM_PM_Workbook_053110_FairPoint_FP comTechOps_ProgramWorkbook_sachin_v1_Steps of Doneness" xfId="7231" xr:uid="{00000000-0005-0000-0000-0000E51B0000}"/>
    <cellStyle name="_20061103Holux_ProgramWorkBook_SLM_PM_Workbook_053110_FairPoint_FP comTechOps_ProgramWorkbook_Steps of Doneness" xfId="7232" xr:uid="{00000000-0005-0000-0000-0000E61B0000}"/>
    <cellStyle name="_20061103Holux_ProgramWorkBook_SLM_PM_Workbook_053110_FP_CAMP&amp;ITReporting_Maintenance_Dashboard" xfId="7233" xr:uid="{00000000-0005-0000-0000-0000E71B0000}"/>
    <cellStyle name="_20061103Holux_ProgramWorkBook_SLM_PM_Workbook_053110_FP_CAMP&amp;ITReporting_Maintenance_Dashboard 2" xfId="7234" xr:uid="{00000000-0005-0000-0000-0000E81B0000}"/>
    <cellStyle name="_20061103Holux_ProgramWorkBook_SLM_PM_Workbook_053110_FP_CAMP&amp;ITReporting_Maintenance_Dashboard 2_Steps of Doneness" xfId="7235" xr:uid="{00000000-0005-0000-0000-0000E91B0000}"/>
    <cellStyle name="_20061103Holux_ProgramWorkBook_SLM_PM_Workbook_053110_FP_CAMP&amp;ITReporting_Maintenance_Dashboard 3" xfId="7236" xr:uid="{00000000-0005-0000-0000-0000EA1B0000}"/>
    <cellStyle name="_20061103Holux_ProgramWorkBook_SLM_PM_Workbook_053110_FP_CAMP&amp;ITReporting_Maintenance_Dashboard_Steps of Doneness" xfId="7237" xr:uid="{00000000-0005-0000-0000-0000EB1B0000}"/>
    <cellStyle name="_20061103Holux_ProgramWorkBook_SLM_PM_Workbook_053110_FP_CAMPITReporting_Maintenance_Dashboard" xfId="7238" xr:uid="{00000000-0005-0000-0000-0000EC1B0000}"/>
    <cellStyle name="_20061103Holux_ProgramWorkBook_SLM_PM_Workbook_053110_FP_CAMPITReporting_Maintenance_Dashboard 2" xfId="7239" xr:uid="{00000000-0005-0000-0000-0000ED1B0000}"/>
    <cellStyle name="_20061103Holux_ProgramWorkBook_SLM_PM_Workbook_053110_FP_CAMPITReporting_Maintenance_Dashboard 2_Steps of Doneness" xfId="7240" xr:uid="{00000000-0005-0000-0000-0000EE1B0000}"/>
    <cellStyle name="_20061103Holux_ProgramWorkBook_SLM_PM_Workbook_053110_FP_CAMPITReporting_Maintenance_Dashboard 3" xfId="7241" xr:uid="{00000000-0005-0000-0000-0000EF1B0000}"/>
    <cellStyle name="_20061103Holux_ProgramWorkBook_SLM_PM_Workbook_053110_FP_CAMPITReporting_Maintenance_Dashboard_Steps of Doneness" xfId="7242" xr:uid="{00000000-0005-0000-0000-0000F01B0000}"/>
    <cellStyle name="_20061103Holux_ProgramWorkBook_SLM_PM_Workbook_053110_FP_Commissions_Req_Dn_ProgramWorkBook_10-Dec-2010" xfId="7243" xr:uid="{00000000-0005-0000-0000-0000F11B0000}"/>
    <cellStyle name="_20061103Holux_ProgramWorkBook_SLM_PM_Workbook_053110_FP_Commissions_Req_Dn_ProgramWorkBook_10-Dec-2010 2" xfId="7244" xr:uid="{00000000-0005-0000-0000-0000F21B0000}"/>
    <cellStyle name="_20061103Holux_ProgramWorkBook_SLM_PM_Workbook_053110_FP_Commissions_Req_Dn_ProgramWorkBook_10-Dec-2010 2_Steps of Doneness" xfId="7245" xr:uid="{00000000-0005-0000-0000-0000F31B0000}"/>
    <cellStyle name="_20061103Holux_ProgramWorkBook_SLM_PM_Workbook_053110_FP_Commissions_Req_Dn_ProgramWorkBook_10-Dec-2010 3" xfId="7246" xr:uid="{00000000-0005-0000-0000-0000F41B0000}"/>
    <cellStyle name="_20061103Holux_ProgramWorkBook_SLM_PM_Workbook_053110_FP_Commissions_Req_Dn_ProgramWorkBook_10-Dec-2010_Steps of Doneness" xfId="7247" xr:uid="{00000000-0005-0000-0000-0000F51B0000}"/>
    <cellStyle name="_20061103Holux_ProgramWorkBook_SLM_PM_Workbook_053110_FP_DW_Impl_ProgramWorkBook_07-Jan-2011" xfId="7248" xr:uid="{00000000-0005-0000-0000-0000F61B0000}"/>
    <cellStyle name="_20061103Holux_ProgramWorkBook_SLM_PM_Workbook_053110_FP_DW_Impl_ProgramWorkBook_07-Jan-2011 2" xfId="7249" xr:uid="{00000000-0005-0000-0000-0000F71B0000}"/>
    <cellStyle name="_20061103Holux_ProgramWorkBook_SLM_PM_Workbook_053110_FP_DW_Impl_ProgramWorkBook_07-Jan-2011 2 2" xfId="7250" xr:uid="{00000000-0005-0000-0000-0000F81B0000}"/>
    <cellStyle name="_20061103Holux_ProgramWorkBook_SLM_PM_Workbook_053110_FP_DW_Impl_ProgramWorkBook_07-Jan-2011 2 2_Steps of Doneness" xfId="7251" xr:uid="{00000000-0005-0000-0000-0000F91B0000}"/>
    <cellStyle name="_20061103Holux_ProgramWorkBook_SLM_PM_Workbook_053110_FP_DW_Impl_ProgramWorkBook_07-Jan-2011 2 3" xfId="7252" xr:uid="{00000000-0005-0000-0000-0000FA1B0000}"/>
    <cellStyle name="_20061103Holux_ProgramWorkBook_SLM_PM_Workbook_053110_FP_DW_Impl_ProgramWorkBook_07-Jan-2011 2_Steps of Doneness" xfId="7253" xr:uid="{00000000-0005-0000-0000-0000FB1B0000}"/>
    <cellStyle name="_20061103Holux_ProgramWorkBook_SLM_PM_Workbook_053110_FP_DW_Impl_ProgramWorkBook_07-Jan-2011 3" xfId="7254" xr:uid="{00000000-0005-0000-0000-0000FC1B0000}"/>
    <cellStyle name="_20061103Holux_ProgramWorkBook_SLM_PM_Workbook_053110_FP_DW_Impl_ProgramWorkBook_07-Jan-2011 3_Steps of Doneness" xfId="7255" xr:uid="{00000000-0005-0000-0000-0000FD1B0000}"/>
    <cellStyle name="_20061103Holux_ProgramWorkBook_SLM_PM_Workbook_053110_FP_DW_Impl_ProgramWorkBook_07-Jan-2011 4" xfId="7256" xr:uid="{00000000-0005-0000-0000-0000FE1B0000}"/>
    <cellStyle name="_20061103Holux_ProgramWorkBook_SLM_PM_Workbook_053110_FP_DW_Impl_ProgramWorkBook_07-Jan-2011_Steps of Doneness" xfId="7257" xr:uid="{00000000-0005-0000-0000-0000FF1B0000}"/>
    <cellStyle name="_20061103Holux_ProgramWorkBook_SLM_PM_Workbook_053110_FP_DW_Impl_ProgramWorkBook_11-Feb-2011" xfId="7258" xr:uid="{00000000-0005-0000-0000-0000001C0000}"/>
    <cellStyle name="_20061103Holux_ProgramWorkBook_SLM_PM_Workbook_053110_FP_DW_Impl_ProgramWorkBook_11-Feb-2011 2" xfId="7259" xr:uid="{00000000-0005-0000-0000-0000011C0000}"/>
    <cellStyle name="_20061103Holux_ProgramWorkBook_SLM_PM_Workbook_053110_FP_DW_Impl_ProgramWorkBook_11-Feb-2011 2_Steps of Doneness" xfId="7260" xr:uid="{00000000-0005-0000-0000-0000021C0000}"/>
    <cellStyle name="_20061103Holux_ProgramWorkBook_SLM_PM_Workbook_053110_FP_DW_Impl_ProgramWorkBook_11-Feb-2011 3" xfId="7261" xr:uid="{00000000-0005-0000-0000-0000031C0000}"/>
    <cellStyle name="_20061103Holux_ProgramWorkBook_SLM_PM_Workbook_053110_FP_DW_Impl_ProgramWorkBook_11-Feb-2011_Steps of Doneness" xfId="7262" xr:uid="{00000000-0005-0000-0000-0000041C0000}"/>
    <cellStyle name="_20061103Holux_ProgramWorkBook_SLM_PM_Workbook_053110_FP_DW_Impl_ProgramWorkBook_18-Feb-2011 - Working" xfId="7263" xr:uid="{00000000-0005-0000-0000-0000051C0000}"/>
    <cellStyle name="_20061103Holux_ProgramWorkBook_SLM_PM_Workbook_053110_FP_DW_Impl_ProgramWorkBook_18-Feb-2011 - Working 2" xfId="7264" xr:uid="{00000000-0005-0000-0000-0000061C0000}"/>
    <cellStyle name="_20061103Holux_ProgramWorkBook_SLM_PM_Workbook_053110_FP_DW_Impl_ProgramWorkBook_18-Feb-2011 - Working 2_Steps of Doneness" xfId="7265" xr:uid="{00000000-0005-0000-0000-0000071C0000}"/>
    <cellStyle name="_20061103Holux_ProgramWorkBook_SLM_PM_Workbook_053110_FP_DW_Impl_ProgramWorkBook_18-Feb-2011 - Working 3" xfId="7266" xr:uid="{00000000-0005-0000-0000-0000081C0000}"/>
    <cellStyle name="_20061103Holux_ProgramWorkBook_SLM_PM_Workbook_053110_FP_DW_Impl_ProgramWorkBook_18-Feb-2011 - Working_Steps of Doneness" xfId="7267" xr:uid="{00000000-0005-0000-0000-0000091C0000}"/>
    <cellStyle name="_20061103Holux_ProgramWorkBook_SLM_PM_Workbook_053110_FP_EnterprisePortal_ProgramWorkbook" xfId="7268" xr:uid="{00000000-0005-0000-0000-00000A1C0000}"/>
    <cellStyle name="_20061103Holux_ProgramWorkBook_SLM_PM_Workbook_053110_FP_EnterprisePortal_ProgramWorkbook 2" xfId="7269" xr:uid="{00000000-0005-0000-0000-00000B1C0000}"/>
    <cellStyle name="_20061103Holux_ProgramWorkBook_SLM_PM_Workbook_053110_FP_EnterprisePortal_ProgramWorkbook 2_Steps of Doneness" xfId="7270" xr:uid="{00000000-0005-0000-0000-00000C1C0000}"/>
    <cellStyle name="_20061103Holux_ProgramWorkBook_SLM_PM_Workbook_053110_FP_EnterprisePortal_ProgramWorkbook 3" xfId="7271" xr:uid="{00000000-0005-0000-0000-00000D1C0000}"/>
    <cellStyle name="_20061103Holux_ProgramWorkBook_SLM_PM_Workbook_053110_FP_EnterprisePortal_ProgramWorkbook_Steps of Doneness" xfId="7272" xr:uid="{00000000-0005-0000-0000-00000E1C0000}"/>
    <cellStyle name="_20061103Holux_ProgramWorkBook_SLM_PM_Workbook_053110_FP_SAP_MLP v2" xfId="7273" xr:uid="{00000000-0005-0000-0000-00000F1C0000}"/>
    <cellStyle name="_20061103Holux_ProgramWorkBook_SLM_PM_Workbook_053110_FP_SAP_MLP v2 2" xfId="7274" xr:uid="{00000000-0005-0000-0000-0000101C0000}"/>
    <cellStyle name="_20061103Holux_ProgramWorkBook_SLM_PM_Workbook_053110_FP_SAP_MLP v2 2_Steps of Doneness" xfId="7275" xr:uid="{00000000-0005-0000-0000-0000111C0000}"/>
    <cellStyle name="_20061103Holux_ProgramWorkBook_SLM_PM_Workbook_053110_FP_SAP_MLP v2 3" xfId="7276" xr:uid="{00000000-0005-0000-0000-0000121C0000}"/>
    <cellStyle name="_20061103Holux_ProgramWorkBook_SLM_PM_Workbook_053110_FP_SAP_MLP v2_Steps of Doneness" xfId="7277" xr:uid="{00000000-0005-0000-0000-0000131C0000}"/>
    <cellStyle name="_20061103Holux_ProgramWorkBook_SLM_PM_Workbook_053110_KeyDecisions" xfId="7278" xr:uid="{00000000-0005-0000-0000-0000141C0000}"/>
    <cellStyle name="_20061103Holux_ProgramWorkBook_SLM_PM_Workbook_053110_KeyDecisions 2" xfId="7279" xr:uid="{00000000-0005-0000-0000-0000151C0000}"/>
    <cellStyle name="_20061103Holux_ProgramWorkBook_SLM_PM_Workbook_053110_KeyDecisions 2_Steps of Doneness" xfId="7280" xr:uid="{00000000-0005-0000-0000-0000161C0000}"/>
    <cellStyle name="_20061103Holux_ProgramWorkBook_SLM_PM_Workbook_053110_KeyDecisions 3" xfId="7281" xr:uid="{00000000-0005-0000-0000-0000171C0000}"/>
    <cellStyle name="_20061103Holux_ProgramWorkBook_SLM_PM_Workbook_053110_KeyDecisions_Steps of Doneness" xfId="7282" xr:uid="{00000000-0005-0000-0000-0000181C0000}"/>
    <cellStyle name="_20061103Holux_ProgramWorkBook_SLM_PM_Workbook_053110_Sophia_Imp_ProjectWorkBook_02_18_2011" xfId="7283" xr:uid="{00000000-0005-0000-0000-0000191C0000}"/>
    <cellStyle name="_20061103Holux_ProgramWorkBook_SLM_PM_Workbook_053110_Sophia_Imp_ProjectWorkBook_02_18_2011 2" xfId="7284" xr:uid="{00000000-0005-0000-0000-00001A1C0000}"/>
    <cellStyle name="_20061103Holux_ProgramWorkBook_SLM_PM_Workbook_053110_Sophia_Imp_ProjectWorkBook_02_18_2011 2_Steps of Doneness" xfId="7285" xr:uid="{00000000-0005-0000-0000-00001B1C0000}"/>
    <cellStyle name="_20061103Holux_ProgramWorkBook_SLM_PM_Workbook_053110_Sophia_Imp_ProjectWorkBook_02_18_2011 3" xfId="7286" xr:uid="{00000000-0005-0000-0000-00001C1C0000}"/>
    <cellStyle name="_20061103Holux_ProgramWorkBook_SLM_PM_Workbook_053110_Sophia_Imp_ProjectWorkBook_02_18_2011_Steps of Doneness" xfId="7287" xr:uid="{00000000-0005-0000-0000-00001D1C0000}"/>
    <cellStyle name="_20061103Holux_ProgramWorkBook_SLM_PM_Workbook_053110_Steps of Doneness" xfId="7288" xr:uid="{00000000-0005-0000-0000-00001E1C0000}"/>
    <cellStyle name="_20061103Holux_ProgramWorkBook_SLM_PM_Workbook_053110_t" xfId="7289" xr:uid="{00000000-0005-0000-0000-00001F1C0000}"/>
    <cellStyle name="_20061103Holux_ProgramWorkBook_SLM_PM_Workbook_053110_t 2" xfId="7290" xr:uid="{00000000-0005-0000-0000-0000201C0000}"/>
    <cellStyle name="_20061103Holux_ProgramWorkBook_SLM_PM_Workbook_053110_t 2_Steps of Doneness" xfId="7291" xr:uid="{00000000-0005-0000-0000-0000211C0000}"/>
    <cellStyle name="_20061103Holux_ProgramWorkBook_SLM_PM_Workbook_053110_t 3" xfId="7292" xr:uid="{00000000-0005-0000-0000-0000221C0000}"/>
    <cellStyle name="_20061103Holux_ProgramWorkBook_SLM_PM_Workbook_053110_t_Steps of Doneness" xfId="7293" xr:uid="{00000000-0005-0000-0000-0000231C0000}"/>
    <cellStyle name="_20061103Holux_ProgramWorkBook_SLM_PMO_Workbook_060910" xfId="7294" xr:uid="{00000000-0005-0000-0000-0000241C0000}"/>
    <cellStyle name="_20061103Holux_ProgramWorkBook_SLM_PMO_Workbook_060910 2" xfId="7295" xr:uid="{00000000-0005-0000-0000-0000251C0000}"/>
    <cellStyle name="_20061103Holux_ProgramWorkBook_SLM_PMO_Workbook_060910 2 2" xfId="7296" xr:uid="{00000000-0005-0000-0000-0000261C0000}"/>
    <cellStyle name="_20061103Holux_ProgramWorkBook_SLM_PMO_Workbook_060910 2 2_Steps of Doneness" xfId="7297" xr:uid="{00000000-0005-0000-0000-0000271C0000}"/>
    <cellStyle name="_20061103Holux_ProgramWorkBook_SLM_PMO_Workbook_060910 2 3" xfId="7298" xr:uid="{00000000-0005-0000-0000-0000281C0000}"/>
    <cellStyle name="_20061103Holux_ProgramWorkBook_SLM_PMO_Workbook_060910 2_Steps of Doneness" xfId="7299" xr:uid="{00000000-0005-0000-0000-0000291C0000}"/>
    <cellStyle name="_20061103Holux_ProgramWorkBook_SLM_PMO_Workbook_060910 3" xfId="7300" xr:uid="{00000000-0005-0000-0000-00002A1C0000}"/>
    <cellStyle name="_20061103Holux_ProgramWorkBook_SLM_PMO_Workbook_060910 3 2" xfId="7301" xr:uid="{00000000-0005-0000-0000-00002B1C0000}"/>
    <cellStyle name="_20061103Holux_ProgramWorkBook_SLM_PMO_Workbook_060910 3 2_Steps of Doneness" xfId="7302" xr:uid="{00000000-0005-0000-0000-00002C1C0000}"/>
    <cellStyle name="_20061103Holux_ProgramWorkBook_SLM_PMO_Workbook_060910 3 3" xfId="7303" xr:uid="{00000000-0005-0000-0000-00002D1C0000}"/>
    <cellStyle name="_20061103Holux_ProgramWorkBook_SLM_PMO_Workbook_060910 3_Steps of Doneness" xfId="7304" xr:uid="{00000000-0005-0000-0000-00002E1C0000}"/>
    <cellStyle name="_20061103Holux_ProgramWorkBook_SLM_PMO_Workbook_060910 4" xfId="7305" xr:uid="{00000000-0005-0000-0000-00002F1C0000}"/>
    <cellStyle name="_20061103Holux_ProgramWorkBook_SLM_PMO_Workbook_060910 4_Steps of Doneness" xfId="7306" xr:uid="{00000000-0005-0000-0000-0000301C0000}"/>
    <cellStyle name="_20061103Holux_ProgramWorkBook_SLM_PMO_Workbook_060910 5" xfId="7307" xr:uid="{00000000-0005-0000-0000-0000311C0000}"/>
    <cellStyle name="_20061103Holux_ProgramWorkBook_SLM_PMO_Workbook_060910 6" xfId="7308" xr:uid="{00000000-0005-0000-0000-0000321C0000}"/>
    <cellStyle name="_20061103Holux_ProgramWorkBook_SLM_PMO_Workbook_060910_Commissioning System Implementation_Project Workbook_06_10_2011" xfId="7309" xr:uid="{00000000-0005-0000-0000-0000331C0000}"/>
    <cellStyle name="_20061103Holux_ProgramWorkBook_SLM_PMO_Workbook_060910_Commissioning System Implementation_Project Workbook_06_10_2011 2" xfId="7310" xr:uid="{00000000-0005-0000-0000-0000341C0000}"/>
    <cellStyle name="_20061103Holux_ProgramWorkBook_SLM_PMO_Workbook_060910_Commissioning System Implementation_Project Workbook_06_10_2011 2_Steps of Doneness" xfId="7311" xr:uid="{00000000-0005-0000-0000-0000351C0000}"/>
    <cellStyle name="_20061103Holux_ProgramWorkBook_SLM_PMO_Workbook_060910_Commissioning System Implementation_Project Workbook_06_10_2011 3" xfId="7312" xr:uid="{00000000-0005-0000-0000-0000361C0000}"/>
    <cellStyle name="_20061103Holux_ProgramWorkBook_SLM_PMO_Workbook_060910_Commissioning System Implementation_Project Workbook_06_10_2011_Steps of Doneness" xfId="7313" xr:uid="{00000000-0005-0000-0000-0000371C0000}"/>
    <cellStyle name="_20061103Holux_ProgramWorkBook_SLM_PMO_Workbook_060910_FairPoint_CampReport" xfId="7314" xr:uid="{00000000-0005-0000-0000-0000381C0000}"/>
    <cellStyle name="_20061103Holux_ProgramWorkBook_SLM_PMO_Workbook_060910_FairPoint_CampReport 2" xfId="7315" xr:uid="{00000000-0005-0000-0000-0000391C0000}"/>
    <cellStyle name="_20061103Holux_ProgramWorkBook_SLM_PMO_Workbook_060910_FairPoint_CampReport 2_Steps of Doneness" xfId="7316" xr:uid="{00000000-0005-0000-0000-00003A1C0000}"/>
    <cellStyle name="_20061103Holux_ProgramWorkBook_SLM_PMO_Workbook_060910_FairPoint_CampReport 3" xfId="7317" xr:uid="{00000000-0005-0000-0000-00003B1C0000}"/>
    <cellStyle name="_20061103Holux_ProgramWorkBook_SLM_PMO_Workbook_060910_FairPoint_CampReport_Steps of Doneness" xfId="7318" xr:uid="{00000000-0005-0000-0000-00003C1C0000}"/>
    <cellStyle name="_20061103Holux_ProgramWorkBook_SLM_PMO_Workbook_060910_FairPoint_FP comTechOps_ProgramWorkbook" xfId="7319" xr:uid="{00000000-0005-0000-0000-00003D1C0000}"/>
    <cellStyle name="_20061103Holux_ProgramWorkBook_SLM_PMO_Workbook_060910_FairPoint_FP comTechOps_ProgramWorkbook 2" xfId="7320" xr:uid="{00000000-0005-0000-0000-00003E1C0000}"/>
    <cellStyle name="_20061103Holux_ProgramWorkBook_SLM_PMO_Workbook_060910_FairPoint_FP comTechOps_ProgramWorkbook 2_Steps of Doneness" xfId="7321" xr:uid="{00000000-0005-0000-0000-00003F1C0000}"/>
    <cellStyle name="_20061103Holux_ProgramWorkBook_SLM_PMO_Workbook_060910_FairPoint_FP comTechOps_ProgramWorkbook 3" xfId="7322" xr:uid="{00000000-0005-0000-0000-0000401C0000}"/>
    <cellStyle name="_20061103Holux_ProgramWorkBook_SLM_PMO_Workbook_060910_FairPoint_FP comTechOps_ProgramWorkbook_sachin" xfId="7323" xr:uid="{00000000-0005-0000-0000-0000411C0000}"/>
    <cellStyle name="_20061103Holux_ProgramWorkBook_SLM_PMO_Workbook_060910_FairPoint_FP comTechOps_ProgramWorkbook_sachin 2" xfId="7324" xr:uid="{00000000-0005-0000-0000-0000421C0000}"/>
    <cellStyle name="_20061103Holux_ProgramWorkBook_SLM_PMO_Workbook_060910_FairPoint_FP comTechOps_ProgramWorkbook_sachin 2_Steps of Doneness" xfId="7325" xr:uid="{00000000-0005-0000-0000-0000431C0000}"/>
    <cellStyle name="_20061103Holux_ProgramWorkBook_SLM_PMO_Workbook_060910_FairPoint_FP comTechOps_ProgramWorkbook_sachin 3" xfId="7326" xr:uid="{00000000-0005-0000-0000-0000441C0000}"/>
    <cellStyle name="_20061103Holux_ProgramWorkBook_SLM_PMO_Workbook_060910_FairPoint_FP comTechOps_ProgramWorkbook_sachin_Steps of Doneness" xfId="7327" xr:uid="{00000000-0005-0000-0000-0000451C0000}"/>
    <cellStyle name="_20061103Holux_ProgramWorkBook_SLM_PMO_Workbook_060910_FairPoint_FP comTechOps_ProgramWorkbook_sachin_v1" xfId="7328" xr:uid="{00000000-0005-0000-0000-0000461C0000}"/>
    <cellStyle name="_20061103Holux_ProgramWorkBook_SLM_PMO_Workbook_060910_FairPoint_FP comTechOps_ProgramWorkbook_sachin_v1 2" xfId="7329" xr:uid="{00000000-0005-0000-0000-0000471C0000}"/>
    <cellStyle name="_20061103Holux_ProgramWorkBook_SLM_PMO_Workbook_060910_FairPoint_FP comTechOps_ProgramWorkbook_sachin_v1 2_Steps of Doneness" xfId="7330" xr:uid="{00000000-0005-0000-0000-0000481C0000}"/>
    <cellStyle name="_20061103Holux_ProgramWorkBook_SLM_PMO_Workbook_060910_FairPoint_FP comTechOps_ProgramWorkbook_sachin_v1 3" xfId="7331" xr:uid="{00000000-0005-0000-0000-0000491C0000}"/>
    <cellStyle name="_20061103Holux_ProgramWorkBook_SLM_PMO_Workbook_060910_FairPoint_FP comTechOps_ProgramWorkbook_sachin_v1_Steps of Doneness" xfId="7332" xr:uid="{00000000-0005-0000-0000-00004A1C0000}"/>
    <cellStyle name="_20061103Holux_ProgramWorkBook_SLM_PMO_Workbook_060910_FairPoint_FP comTechOps_ProgramWorkbook_Steps of Doneness" xfId="7333" xr:uid="{00000000-0005-0000-0000-00004B1C0000}"/>
    <cellStyle name="_20061103Holux_ProgramWorkBook_SLM_PMO_Workbook_060910_FP_CAMP&amp;ITReporting_Maintenance_Dashboard" xfId="7334" xr:uid="{00000000-0005-0000-0000-00004C1C0000}"/>
    <cellStyle name="_20061103Holux_ProgramWorkBook_SLM_PMO_Workbook_060910_FP_CAMP&amp;ITReporting_Maintenance_Dashboard 2" xfId="7335" xr:uid="{00000000-0005-0000-0000-00004D1C0000}"/>
    <cellStyle name="_20061103Holux_ProgramWorkBook_SLM_PMO_Workbook_060910_FP_CAMP&amp;ITReporting_Maintenance_Dashboard 2_Steps of Doneness" xfId="7336" xr:uid="{00000000-0005-0000-0000-00004E1C0000}"/>
    <cellStyle name="_20061103Holux_ProgramWorkBook_SLM_PMO_Workbook_060910_FP_CAMP&amp;ITReporting_Maintenance_Dashboard 3" xfId="7337" xr:uid="{00000000-0005-0000-0000-00004F1C0000}"/>
    <cellStyle name="_20061103Holux_ProgramWorkBook_SLM_PMO_Workbook_060910_FP_CAMP&amp;ITReporting_Maintenance_Dashboard_Steps of Doneness" xfId="7338" xr:uid="{00000000-0005-0000-0000-0000501C0000}"/>
    <cellStyle name="_20061103Holux_ProgramWorkBook_SLM_PMO_Workbook_060910_FP_CAMPITReporting_Maintenance_Dashboard" xfId="7339" xr:uid="{00000000-0005-0000-0000-0000511C0000}"/>
    <cellStyle name="_20061103Holux_ProgramWorkBook_SLM_PMO_Workbook_060910_FP_CAMPITReporting_Maintenance_Dashboard 2" xfId="7340" xr:uid="{00000000-0005-0000-0000-0000521C0000}"/>
    <cellStyle name="_20061103Holux_ProgramWorkBook_SLM_PMO_Workbook_060910_FP_CAMPITReporting_Maintenance_Dashboard 2_Steps of Doneness" xfId="7341" xr:uid="{00000000-0005-0000-0000-0000531C0000}"/>
    <cellStyle name="_20061103Holux_ProgramWorkBook_SLM_PMO_Workbook_060910_FP_CAMPITReporting_Maintenance_Dashboard 3" xfId="7342" xr:uid="{00000000-0005-0000-0000-0000541C0000}"/>
    <cellStyle name="_20061103Holux_ProgramWorkBook_SLM_PMO_Workbook_060910_FP_CAMPITReporting_Maintenance_Dashboard_Steps of Doneness" xfId="7343" xr:uid="{00000000-0005-0000-0000-0000551C0000}"/>
    <cellStyle name="_20061103Holux_ProgramWorkBook_SLM_PMO_Workbook_060910_FP_Commissions_Req_Dn_ProgramWorkBook_10-Dec-2010" xfId="7344" xr:uid="{00000000-0005-0000-0000-0000561C0000}"/>
    <cellStyle name="_20061103Holux_ProgramWorkBook_SLM_PMO_Workbook_060910_FP_Commissions_Req_Dn_ProgramWorkBook_10-Dec-2010 2" xfId="7345" xr:uid="{00000000-0005-0000-0000-0000571C0000}"/>
    <cellStyle name="_20061103Holux_ProgramWorkBook_SLM_PMO_Workbook_060910_FP_Commissions_Req_Dn_ProgramWorkBook_10-Dec-2010 2_Steps of Doneness" xfId="7346" xr:uid="{00000000-0005-0000-0000-0000581C0000}"/>
    <cellStyle name="_20061103Holux_ProgramWorkBook_SLM_PMO_Workbook_060910_FP_Commissions_Req_Dn_ProgramWorkBook_10-Dec-2010 3" xfId="7347" xr:uid="{00000000-0005-0000-0000-0000591C0000}"/>
    <cellStyle name="_20061103Holux_ProgramWorkBook_SLM_PMO_Workbook_060910_FP_Commissions_Req_Dn_ProgramWorkBook_10-Dec-2010_Steps of Doneness" xfId="7348" xr:uid="{00000000-0005-0000-0000-00005A1C0000}"/>
    <cellStyle name="_20061103Holux_ProgramWorkBook_SLM_PMO_Workbook_060910_FP_DW_Impl_ProgramWorkBook_07-Jan-2011" xfId="7349" xr:uid="{00000000-0005-0000-0000-00005B1C0000}"/>
    <cellStyle name="_20061103Holux_ProgramWorkBook_SLM_PMO_Workbook_060910_FP_DW_Impl_ProgramWorkBook_07-Jan-2011 2" xfId="7350" xr:uid="{00000000-0005-0000-0000-00005C1C0000}"/>
    <cellStyle name="_20061103Holux_ProgramWorkBook_SLM_PMO_Workbook_060910_FP_DW_Impl_ProgramWorkBook_07-Jan-2011 2 2" xfId="7351" xr:uid="{00000000-0005-0000-0000-00005D1C0000}"/>
    <cellStyle name="_20061103Holux_ProgramWorkBook_SLM_PMO_Workbook_060910_FP_DW_Impl_ProgramWorkBook_07-Jan-2011 2 2_Steps of Doneness" xfId="7352" xr:uid="{00000000-0005-0000-0000-00005E1C0000}"/>
    <cellStyle name="_20061103Holux_ProgramWorkBook_SLM_PMO_Workbook_060910_FP_DW_Impl_ProgramWorkBook_07-Jan-2011 2 3" xfId="7353" xr:uid="{00000000-0005-0000-0000-00005F1C0000}"/>
    <cellStyle name="_20061103Holux_ProgramWorkBook_SLM_PMO_Workbook_060910_FP_DW_Impl_ProgramWorkBook_07-Jan-2011 2_Steps of Doneness" xfId="7354" xr:uid="{00000000-0005-0000-0000-0000601C0000}"/>
    <cellStyle name="_20061103Holux_ProgramWorkBook_SLM_PMO_Workbook_060910_FP_DW_Impl_ProgramWorkBook_07-Jan-2011 3" xfId="7355" xr:uid="{00000000-0005-0000-0000-0000611C0000}"/>
    <cellStyle name="_20061103Holux_ProgramWorkBook_SLM_PMO_Workbook_060910_FP_DW_Impl_ProgramWorkBook_07-Jan-2011 3_Steps of Doneness" xfId="7356" xr:uid="{00000000-0005-0000-0000-0000621C0000}"/>
    <cellStyle name="_20061103Holux_ProgramWorkBook_SLM_PMO_Workbook_060910_FP_DW_Impl_ProgramWorkBook_07-Jan-2011 4" xfId="7357" xr:uid="{00000000-0005-0000-0000-0000631C0000}"/>
    <cellStyle name="_20061103Holux_ProgramWorkBook_SLM_PMO_Workbook_060910_FP_DW_Impl_ProgramWorkBook_07-Jan-2011_Steps of Doneness" xfId="7358" xr:uid="{00000000-0005-0000-0000-0000641C0000}"/>
    <cellStyle name="_20061103Holux_ProgramWorkBook_SLM_PMO_Workbook_060910_FP_DW_Impl_ProgramWorkBook_11-Feb-2011" xfId="7359" xr:uid="{00000000-0005-0000-0000-0000651C0000}"/>
    <cellStyle name="_20061103Holux_ProgramWorkBook_SLM_PMO_Workbook_060910_FP_DW_Impl_ProgramWorkBook_11-Feb-2011 2" xfId="7360" xr:uid="{00000000-0005-0000-0000-0000661C0000}"/>
    <cellStyle name="_20061103Holux_ProgramWorkBook_SLM_PMO_Workbook_060910_FP_DW_Impl_ProgramWorkBook_11-Feb-2011 2_Steps of Doneness" xfId="7361" xr:uid="{00000000-0005-0000-0000-0000671C0000}"/>
    <cellStyle name="_20061103Holux_ProgramWorkBook_SLM_PMO_Workbook_060910_FP_DW_Impl_ProgramWorkBook_11-Feb-2011 3" xfId="7362" xr:uid="{00000000-0005-0000-0000-0000681C0000}"/>
    <cellStyle name="_20061103Holux_ProgramWorkBook_SLM_PMO_Workbook_060910_FP_DW_Impl_ProgramWorkBook_11-Feb-2011_Steps of Doneness" xfId="7363" xr:uid="{00000000-0005-0000-0000-0000691C0000}"/>
    <cellStyle name="_20061103Holux_ProgramWorkBook_SLM_PMO_Workbook_060910_FP_DW_Impl_ProgramWorkBook_18-Feb-2011 - Working" xfId="7364" xr:uid="{00000000-0005-0000-0000-00006A1C0000}"/>
    <cellStyle name="_20061103Holux_ProgramWorkBook_SLM_PMO_Workbook_060910_FP_DW_Impl_ProgramWorkBook_18-Feb-2011 - Working 2" xfId="7365" xr:uid="{00000000-0005-0000-0000-00006B1C0000}"/>
    <cellStyle name="_20061103Holux_ProgramWorkBook_SLM_PMO_Workbook_060910_FP_DW_Impl_ProgramWorkBook_18-Feb-2011 - Working 2_Steps of Doneness" xfId="7366" xr:uid="{00000000-0005-0000-0000-00006C1C0000}"/>
    <cellStyle name="_20061103Holux_ProgramWorkBook_SLM_PMO_Workbook_060910_FP_DW_Impl_ProgramWorkBook_18-Feb-2011 - Working 3" xfId="7367" xr:uid="{00000000-0005-0000-0000-00006D1C0000}"/>
    <cellStyle name="_20061103Holux_ProgramWorkBook_SLM_PMO_Workbook_060910_FP_DW_Impl_ProgramWorkBook_18-Feb-2011 - Working_Steps of Doneness" xfId="7368" xr:uid="{00000000-0005-0000-0000-00006E1C0000}"/>
    <cellStyle name="_20061103Holux_ProgramWorkBook_SLM_PMO_Workbook_060910_FP_EnterprisePortal_ProgramWorkbook" xfId="7369" xr:uid="{00000000-0005-0000-0000-00006F1C0000}"/>
    <cellStyle name="_20061103Holux_ProgramWorkBook_SLM_PMO_Workbook_060910_FP_EnterprisePortal_ProgramWorkbook 2" xfId="7370" xr:uid="{00000000-0005-0000-0000-0000701C0000}"/>
    <cellStyle name="_20061103Holux_ProgramWorkBook_SLM_PMO_Workbook_060910_FP_EnterprisePortal_ProgramWorkbook 2_Steps of Doneness" xfId="7371" xr:uid="{00000000-0005-0000-0000-0000711C0000}"/>
    <cellStyle name="_20061103Holux_ProgramWorkBook_SLM_PMO_Workbook_060910_FP_EnterprisePortal_ProgramWorkbook 3" xfId="7372" xr:uid="{00000000-0005-0000-0000-0000721C0000}"/>
    <cellStyle name="_20061103Holux_ProgramWorkBook_SLM_PMO_Workbook_060910_FP_EnterprisePortal_ProgramWorkbook_Steps of Doneness" xfId="7373" xr:uid="{00000000-0005-0000-0000-0000731C0000}"/>
    <cellStyle name="_20061103Holux_ProgramWorkBook_SLM_PMO_Workbook_060910_FP_SAP_MLP v2" xfId="7374" xr:uid="{00000000-0005-0000-0000-0000741C0000}"/>
    <cellStyle name="_20061103Holux_ProgramWorkBook_SLM_PMO_Workbook_060910_FP_SAP_MLP v2 2" xfId="7375" xr:uid="{00000000-0005-0000-0000-0000751C0000}"/>
    <cellStyle name="_20061103Holux_ProgramWorkBook_SLM_PMO_Workbook_060910_FP_SAP_MLP v2 2_Steps of Doneness" xfId="7376" xr:uid="{00000000-0005-0000-0000-0000761C0000}"/>
    <cellStyle name="_20061103Holux_ProgramWorkBook_SLM_PMO_Workbook_060910_FP_SAP_MLP v2 3" xfId="7377" xr:uid="{00000000-0005-0000-0000-0000771C0000}"/>
    <cellStyle name="_20061103Holux_ProgramWorkBook_SLM_PMO_Workbook_060910_FP_SAP_MLP v2_Steps of Doneness" xfId="7378" xr:uid="{00000000-0005-0000-0000-0000781C0000}"/>
    <cellStyle name="_20061103Holux_ProgramWorkBook_SLM_PMO_Workbook_060910_KeyDecisions" xfId="7379" xr:uid="{00000000-0005-0000-0000-0000791C0000}"/>
    <cellStyle name="_20061103Holux_ProgramWorkBook_SLM_PMO_Workbook_060910_KeyDecisions 2" xfId="7380" xr:uid="{00000000-0005-0000-0000-00007A1C0000}"/>
    <cellStyle name="_20061103Holux_ProgramWorkBook_SLM_PMO_Workbook_060910_KeyDecisions 2_Steps of Doneness" xfId="7381" xr:uid="{00000000-0005-0000-0000-00007B1C0000}"/>
    <cellStyle name="_20061103Holux_ProgramWorkBook_SLM_PMO_Workbook_060910_KeyDecisions 3" xfId="7382" xr:uid="{00000000-0005-0000-0000-00007C1C0000}"/>
    <cellStyle name="_20061103Holux_ProgramWorkBook_SLM_PMO_Workbook_060910_KeyDecisions_Steps of Doneness" xfId="7383" xr:uid="{00000000-0005-0000-0000-00007D1C0000}"/>
    <cellStyle name="_20061103Holux_ProgramWorkBook_SLM_PMO_Workbook_060910_Sophia_Imp_ProjectWorkBook_02_18_2011" xfId="7384" xr:uid="{00000000-0005-0000-0000-00007E1C0000}"/>
    <cellStyle name="_20061103Holux_ProgramWorkBook_SLM_PMO_Workbook_060910_Sophia_Imp_ProjectWorkBook_02_18_2011 2" xfId="7385" xr:uid="{00000000-0005-0000-0000-00007F1C0000}"/>
    <cellStyle name="_20061103Holux_ProgramWorkBook_SLM_PMO_Workbook_060910_Sophia_Imp_ProjectWorkBook_02_18_2011 2_Steps of Doneness" xfId="7386" xr:uid="{00000000-0005-0000-0000-0000801C0000}"/>
    <cellStyle name="_20061103Holux_ProgramWorkBook_SLM_PMO_Workbook_060910_Sophia_Imp_ProjectWorkBook_02_18_2011 3" xfId="7387" xr:uid="{00000000-0005-0000-0000-0000811C0000}"/>
    <cellStyle name="_20061103Holux_ProgramWorkBook_SLM_PMO_Workbook_060910_Sophia_Imp_ProjectWorkBook_02_18_2011_Steps of Doneness" xfId="7388" xr:uid="{00000000-0005-0000-0000-0000821C0000}"/>
    <cellStyle name="_20061103Holux_ProgramWorkBook_SLM_PMO_Workbook_060910_Steps of Doneness" xfId="7389" xr:uid="{00000000-0005-0000-0000-0000831C0000}"/>
    <cellStyle name="_20061103Holux_ProgramWorkBook_SLM_PMO_Workbook_060910_t" xfId="7390" xr:uid="{00000000-0005-0000-0000-0000841C0000}"/>
    <cellStyle name="_20061103Holux_ProgramWorkBook_SLM_PMO_Workbook_060910_t 2" xfId="7391" xr:uid="{00000000-0005-0000-0000-0000851C0000}"/>
    <cellStyle name="_20061103Holux_ProgramWorkBook_SLM_PMO_Workbook_060910_t 2_Steps of Doneness" xfId="7392" xr:uid="{00000000-0005-0000-0000-0000861C0000}"/>
    <cellStyle name="_20061103Holux_ProgramWorkBook_SLM_PMO_Workbook_060910_t 3" xfId="7393" xr:uid="{00000000-0005-0000-0000-0000871C0000}"/>
    <cellStyle name="_20061103Holux_ProgramWorkBook_SLM_PMO_Workbook_060910_t_Steps of Doneness" xfId="7394" xr:uid="{00000000-0005-0000-0000-0000881C0000}"/>
    <cellStyle name="_20061103Holux_ProgramWorkBook_Sophia_Imp_ProjectWorkBook_02_18_2011" xfId="7395" xr:uid="{00000000-0005-0000-0000-0000891C0000}"/>
    <cellStyle name="_20061103Holux_ProgramWorkBook_Sophia_Imp_ProjectWorkBook_02_18_2011 2" xfId="7396" xr:uid="{00000000-0005-0000-0000-00008A1C0000}"/>
    <cellStyle name="_20061103Holux_ProgramWorkBook_Sophia_Imp_ProjectWorkBook_02_18_2011 2_Steps of Doneness" xfId="7397" xr:uid="{00000000-0005-0000-0000-00008B1C0000}"/>
    <cellStyle name="_20061103Holux_ProgramWorkBook_Sophia_Imp_ProjectWorkBook_02_18_2011 3" xfId="7398" xr:uid="{00000000-0005-0000-0000-00008C1C0000}"/>
    <cellStyle name="_20061103Holux_ProgramWorkBook_Sophia_Imp_ProjectWorkBook_02_18_2011_Steps of Doneness" xfId="7399" xr:uid="{00000000-0005-0000-0000-00008D1C0000}"/>
    <cellStyle name="_20061103Holux_ProgramWorkBook_t" xfId="7400" xr:uid="{00000000-0005-0000-0000-00008E1C0000}"/>
    <cellStyle name="_20061103Holux_ProgramWorkBook_t 2" xfId="7401" xr:uid="{00000000-0005-0000-0000-00008F1C0000}"/>
    <cellStyle name="_20061103Holux_ProgramWorkBook_t 2_Steps of Doneness" xfId="7402" xr:uid="{00000000-0005-0000-0000-0000901C0000}"/>
    <cellStyle name="_20061103Holux_ProgramWorkBook_t 3" xfId="7403" xr:uid="{00000000-0005-0000-0000-0000911C0000}"/>
    <cellStyle name="_20061103Holux_ProgramWorkBook_t_Steps of Doneness" xfId="7404" xr:uid="{00000000-0005-0000-0000-0000921C0000}"/>
    <cellStyle name="_20061103Holux_ProgramWorkBook_UX Plan_0401" xfId="7405" xr:uid="{00000000-0005-0000-0000-0000931C0000}"/>
    <cellStyle name="_20061103Holux_ProgramWorkBook_UX Plan_0401 2" xfId="7406" xr:uid="{00000000-0005-0000-0000-0000941C0000}"/>
    <cellStyle name="_20061103Holux_ProgramWorkBook_UX Plan_0401 2 2" xfId="7407" xr:uid="{00000000-0005-0000-0000-0000951C0000}"/>
    <cellStyle name="_20061103Holux_ProgramWorkBook_UX Plan_0401 2 2_Steps of Doneness" xfId="7408" xr:uid="{00000000-0005-0000-0000-0000961C0000}"/>
    <cellStyle name="_20061103Holux_ProgramWorkBook_UX Plan_0401 2 3" xfId="7409" xr:uid="{00000000-0005-0000-0000-0000971C0000}"/>
    <cellStyle name="_20061103Holux_ProgramWorkBook_UX Plan_0401 2_Steps of Doneness" xfId="7410" xr:uid="{00000000-0005-0000-0000-0000981C0000}"/>
    <cellStyle name="_20061103Holux_ProgramWorkBook_UX Plan_0401 3" xfId="7411" xr:uid="{00000000-0005-0000-0000-0000991C0000}"/>
    <cellStyle name="_20061103Holux_ProgramWorkBook_UX Plan_0401 3 2" xfId="7412" xr:uid="{00000000-0005-0000-0000-00009A1C0000}"/>
    <cellStyle name="_20061103Holux_ProgramWorkBook_UX Plan_0401 3 2_Steps of Doneness" xfId="7413" xr:uid="{00000000-0005-0000-0000-00009B1C0000}"/>
    <cellStyle name="_20061103Holux_ProgramWorkBook_UX Plan_0401 3 3" xfId="7414" xr:uid="{00000000-0005-0000-0000-00009C1C0000}"/>
    <cellStyle name="_20061103Holux_ProgramWorkBook_UX Plan_0401 3_Steps of Doneness" xfId="7415" xr:uid="{00000000-0005-0000-0000-00009D1C0000}"/>
    <cellStyle name="_20061103Holux_ProgramWorkBook_UX Plan_0401 4" xfId="7416" xr:uid="{00000000-0005-0000-0000-00009E1C0000}"/>
    <cellStyle name="_20061103Holux_ProgramWorkBook_UX Plan_0401 4_Steps of Doneness" xfId="7417" xr:uid="{00000000-0005-0000-0000-00009F1C0000}"/>
    <cellStyle name="_20061103Holux_ProgramWorkBook_UX Plan_0401 5" xfId="7418" xr:uid="{00000000-0005-0000-0000-0000A01C0000}"/>
    <cellStyle name="_20061103Holux_ProgramWorkBook_UX Plan_0401 6" xfId="7419" xr:uid="{00000000-0005-0000-0000-0000A11C0000}"/>
    <cellStyle name="_20061103Holux_ProgramWorkBook_UX Plan_0401_Commissioning System Implementation_Project Workbook_06_10_2011" xfId="7420" xr:uid="{00000000-0005-0000-0000-0000A21C0000}"/>
    <cellStyle name="_20061103Holux_ProgramWorkBook_UX Plan_0401_Commissioning System Implementation_Project Workbook_06_10_2011 2" xfId="7421" xr:uid="{00000000-0005-0000-0000-0000A31C0000}"/>
    <cellStyle name="_20061103Holux_ProgramWorkBook_UX Plan_0401_Commissioning System Implementation_Project Workbook_06_10_2011 2_Steps of Doneness" xfId="7422" xr:uid="{00000000-0005-0000-0000-0000A41C0000}"/>
    <cellStyle name="_20061103Holux_ProgramWorkBook_UX Plan_0401_Commissioning System Implementation_Project Workbook_06_10_2011 3" xfId="7423" xr:uid="{00000000-0005-0000-0000-0000A51C0000}"/>
    <cellStyle name="_20061103Holux_ProgramWorkBook_UX Plan_0401_Commissioning System Implementation_Project Workbook_06_10_2011_Steps of Doneness" xfId="7424" xr:uid="{00000000-0005-0000-0000-0000A61C0000}"/>
    <cellStyle name="_20061103Holux_ProgramWorkBook_UX Plan_0401_FairPoint_CampReport" xfId="7425" xr:uid="{00000000-0005-0000-0000-0000A71C0000}"/>
    <cellStyle name="_20061103Holux_ProgramWorkBook_UX Plan_0401_FairPoint_CampReport 2" xfId="7426" xr:uid="{00000000-0005-0000-0000-0000A81C0000}"/>
    <cellStyle name="_20061103Holux_ProgramWorkBook_UX Plan_0401_FairPoint_CampReport 2_Steps of Doneness" xfId="7427" xr:uid="{00000000-0005-0000-0000-0000A91C0000}"/>
    <cellStyle name="_20061103Holux_ProgramWorkBook_UX Plan_0401_FairPoint_CampReport 3" xfId="7428" xr:uid="{00000000-0005-0000-0000-0000AA1C0000}"/>
    <cellStyle name="_20061103Holux_ProgramWorkBook_UX Plan_0401_FairPoint_CampReport_Steps of Doneness" xfId="7429" xr:uid="{00000000-0005-0000-0000-0000AB1C0000}"/>
    <cellStyle name="_20061103Holux_ProgramWorkBook_UX Plan_0401_FairPoint_FP comTechOps_ProgramWorkbook" xfId="7430" xr:uid="{00000000-0005-0000-0000-0000AC1C0000}"/>
    <cellStyle name="_20061103Holux_ProgramWorkBook_UX Plan_0401_FairPoint_FP comTechOps_ProgramWorkbook 2" xfId="7431" xr:uid="{00000000-0005-0000-0000-0000AD1C0000}"/>
    <cellStyle name="_20061103Holux_ProgramWorkBook_UX Plan_0401_FairPoint_FP comTechOps_ProgramWorkbook 2_Steps of Doneness" xfId="7432" xr:uid="{00000000-0005-0000-0000-0000AE1C0000}"/>
    <cellStyle name="_20061103Holux_ProgramWorkBook_UX Plan_0401_FairPoint_FP comTechOps_ProgramWorkbook 3" xfId="7433" xr:uid="{00000000-0005-0000-0000-0000AF1C0000}"/>
    <cellStyle name="_20061103Holux_ProgramWorkBook_UX Plan_0401_FairPoint_FP comTechOps_ProgramWorkbook_sachin" xfId="7434" xr:uid="{00000000-0005-0000-0000-0000B01C0000}"/>
    <cellStyle name="_20061103Holux_ProgramWorkBook_UX Plan_0401_FairPoint_FP comTechOps_ProgramWorkbook_sachin 2" xfId="7435" xr:uid="{00000000-0005-0000-0000-0000B11C0000}"/>
    <cellStyle name="_20061103Holux_ProgramWorkBook_UX Plan_0401_FairPoint_FP comTechOps_ProgramWorkbook_sachin 2_Steps of Doneness" xfId="7436" xr:uid="{00000000-0005-0000-0000-0000B21C0000}"/>
    <cellStyle name="_20061103Holux_ProgramWorkBook_UX Plan_0401_FairPoint_FP comTechOps_ProgramWorkbook_sachin 3" xfId="7437" xr:uid="{00000000-0005-0000-0000-0000B31C0000}"/>
    <cellStyle name="_20061103Holux_ProgramWorkBook_UX Plan_0401_FairPoint_FP comTechOps_ProgramWorkbook_sachin_Steps of Doneness" xfId="7438" xr:uid="{00000000-0005-0000-0000-0000B41C0000}"/>
    <cellStyle name="_20061103Holux_ProgramWorkBook_UX Plan_0401_FairPoint_FP comTechOps_ProgramWorkbook_sachin_v1" xfId="7439" xr:uid="{00000000-0005-0000-0000-0000B51C0000}"/>
    <cellStyle name="_20061103Holux_ProgramWorkBook_UX Plan_0401_FairPoint_FP comTechOps_ProgramWorkbook_sachin_v1 2" xfId="7440" xr:uid="{00000000-0005-0000-0000-0000B61C0000}"/>
    <cellStyle name="_20061103Holux_ProgramWorkBook_UX Plan_0401_FairPoint_FP comTechOps_ProgramWorkbook_sachin_v1 2_Steps of Doneness" xfId="7441" xr:uid="{00000000-0005-0000-0000-0000B71C0000}"/>
    <cellStyle name="_20061103Holux_ProgramWorkBook_UX Plan_0401_FairPoint_FP comTechOps_ProgramWorkbook_sachin_v1 3" xfId="7442" xr:uid="{00000000-0005-0000-0000-0000B81C0000}"/>
    <cellStyle name="_20061103Holux_ProgramWorkBook_UX Plan_0401_FairPoint_FP comTechOps_ProgramWorkbook_sachin_v1_Steps of Doneness" xfId="7443" xr:uid="{00000000-0005-0000-0000-0000B91C0000}"/>
    <cellStyle name="_20061103Holux_ProgramWorkBook_UX Plan_0401_FairPoint_FP comTechOps_ProgramWorkbook_Steps of Doneness" xfId="7444" xr:uid="{00000000-0005-0000-0000-0000BA1C0000}"/>
    <cellStyle name="_20061103Holux_ProgramWorkBook_UX Plan_0401_FP_CAMP&amp;ITReporting_Maintenance_Dashboard" xfId="7445" xr:uid="{00000000-0005-0000-0000-0000BB1C0000}"/>
    <cellStyle name="_20061103Holux_ProgramWorkBook_UX Plan_0401_FP_CAMP&amp;ITReporting_Maintenance_Dashboard 2" xfId="7446" xr:uid="{00000000-0005-0000-0000-0000BC1C0000}"/>
    <cellStyle name="_20061103Holux_ProgramWorkBook_UX Plan_0401_FP_CAMP&amp;ITReporting_Maintenance_Dashboard 2_Steps of Doneness" xfId="7447" xr:uid="{00000000-0005-0000-0000-0000BD1C0000}"/>
    <cellStyle name="_20061103Holux_ProgramWorkBook_UX Plan_0401_FP_CAMP&amp;ITReporting_Maintenance_Dashboard 3" xfId="7448" xr:uid="{00000000-0005-0000-0000-0000BE1C0000}"/>
    <cellStyle name="_20061103Holux_ProgramWorkBook_UX Plan_0401_FP_CAMP&amp;ITReporting_Maintenance_Dashboard_Steps of Doneness" xfId="7449" xr:uid="{00000000-0005-0000-0000-0000BF1C0000}"/>
    <cellStyle name="_20061103Holux_ProgramWorkBook_UX Plan_0401_FP_CAMPITReporting_Maintenance_Dashboard" xfId="7450" xr:uid="{00000000-0005-0000-0000-0000C01C0000}"/>
    <cellStyle name="_20061103Holux_ProgramWorkBook_UX Plan_0401_FP_CAMPITReporting_Maintenance_Dashboard 2" xfId="7451" xr:uid="{00000000-0005-0000-0000-0000C11C0000}"/>
    <cellStyle name="_20061103Holux_ProgramWorkBook_UX Plan_0401_FP_CAMPITReporting_Maintenance_Dashboard 2_Steps of Doneness" xfId="7452" xr:uid="{00000000-0005-0000-0000-0000C21C0000}"/>
    <cellStyle name="_20061103Holux_ProgramWorkBook_UX Plan_0401_FP_CAMPITReporting_Maintenance_Dashboard 3" xfId="7453" xr:uid="{00000000-0005-0000-0000-0000C31C0000}"/>
    <cellStyle name="_20061103Holux_ProgramWorkBook_UX Plan_0401_FP_CAMPITReporting_Maintenance_Dashboard_Steps of Doneness" xfId="7454" xr:uid="{00000000-0005-0000-0000-0000C41C0000}"/>
    <cellStyle name="_20061103Holux_ProgramWorkBook_UX Plan_0401_FP_Commissions_Req_Dn_ProgramWorkBook_10-Dec-2010" xfId="7455" xr:uid="{00000000-0005-0000-0000-0000C51C0000}"/>
    <cellStyle name="_20061103Holux_ProgramWorkBook_UX Plan_0401_FP_Commissions_Req_Dn_ProgramWorkBook_10-Dec-2010 2" xfId="7456" xr:uid="{00000000-0005-0000-0000-0000C61C0000}"/>
    <cellStyle name="_20061103Holux_ProgramWorkBook_UX Plan_0401_FP_Commissions_Req_Dn_ProgramWorkBook_10-Dec-2010 2_Steps of Doneness" xfId="7457" xr:uid="{00000000-0005-0000-0000-0000C71C0000}"/>
    <cellStyle name="_20061103Holux_ProgramWorkBook_UX Plan_0401_FP_Commissions_Req_Dn_ProgramWorkBook_10-Dec-2010 3" xfId="7458" xr:uid="{00000000-0005-0000-0000-0000C81C0000}"/>
    <cellStyle name="_20061103Holux_ProgramWorkBook_UX Plan_0401_FP_Commissions_Req_Dn_ProgramWorkBook_10-Dec-2010_Steps of Doneness" xfId="7459" xr:uid="{00000000-0005-0000-0000-0000C91C0000}"/>
    <cellStyle name="_20061103Holux_ProgramWorkBook_UX Plan_0401_FP_DW_Impl_ProgramWorkBook_07-Jan-2011" xfId="7460" xr:uid="{00000000-0005-0000-0000-0000CA1C0000}"/>
    <cellStyle name="_20061103Holux_ProgramWorkBook_UX Plan_0401_FP_DW_Impl_ProgramWorkBook_07-Jan-2011 2" xfId="7461" xr:uid="{00000000-0005-0000-0000-0000CB1C0000}"/>
    <cellStyle name="_20061103Holux_ProgramWorkBook_UX Plan_0401_FP_DW_Impl_ProgramWorkBook_07-Jan-2011 2 2" xfId="7462" xr:uid="{00000000-0005-0000-0000-0000CC1C0000}"/>
    <cellStyle name="_20061103Holux_ProgramWorkBook_UX Plan_0401_FP_DW_Impl_ProgramWorkBook_07-Jan-2011 2 2_Steps of Doneness" xfId="7463" xr:uid="{00000000-0005-0000-0000-0000CD1C0000}"/>
    <cellStyle name="_20061103Holux_ProgramWorkBook_UX Plan_0401_FP_DW_Impl_ProgramWorkBook_07-Jan-2011 2 3" xfId="7464" xr:uid="{00000000-0005-0000-0000-0000CE1C0000}"/>
    <cellStyle name="_20061103Holux_ProgramWorkBook_UX Plan_0401_FP_DW_Impl_ProgramWorkBook_07-Jan-2011 2_Steps of Doneness" xfId="7465" xr:uid="{00000000-0005-0000-0000-0000CF1C0000}"/>
    <cellStyle name="_20061103Holux_ProgramWorkBook_UX Plan_0401_FP_DW_Impl_ProgramWorkBook_07-Jan-2011 3" xfId="7466" xr:uid="{00000000-0005-0000-0000-0000D01C0000}"/>
    <cellStyle name="_20061103Holux_ProgramWorkBook_UX Plan_0401_FP_DW_Impl_ProgramWorkBook_07-Jan-2011 3_Steps of Doneness" xfId="7467" xr:uid="{00000000-0005-0000-0000-0000D11C0000}"/>
    <cellStyle name="_20061103Holux_ProgramWorkBook_UX Plan_0401_FP_DW_Impl_ProgramWorkBook_07-Jan-2011 4" xfId="7468" xr:uid="{00000000-0005-0000-0000-0000D21C0000}"/>
    <cellStyle name="_20061103Holux_ProgramWorkBook_UX Plan_0401_FP_DW_Impl_ProgramWorkBook_07-Jan-2011_Steps of Doneness" xfId="7469" xr:uid="{00000000-0005-0000-0000-0000D31C0000}"/>
    <cellStyle name="_20061103Holux_ProgramWorkBook_UX Plan_0401_FP_DW_Impl_ProgramWorkBook_11-Feb-2011" xfId="7470" xr:uid="{00000000-0005-0000-0000-0000D41C0000}"/>
    <cellStyle name="_20061103Holux_ProgramWorkBook_UX Plan_0401_FP_DW_Impl_ProgramWorkBook_11-Feb-2011 2" xfId="7471" xr:uid="{00000000-0005-0000-0000-0000D51C0000}"/>
    <cellStyle name="_20061103Holux_ProgramWorkBook_UX Plan_0401_FP_DW_Impl_ProgramWorkBook_11-Feb-2011 2_Steps of Doneness" xfId="7472" xr:uid="{00000000-0005-0000-0000-0000D61C0000}"/>
    <cellStyle name="_20061103Holux_ProgramWorkBook_UX Plan_0401_FP_DW_Impl_ProgramWorkBook_11-Feb-2011 3" xfId="7473" xr:uid="{00000000-0005-0000-0000-0000D71C0000}"/>
    <cellStyle name="_20061103Holux_ProgramWorkBook_UX Plan_0401_FP_DW_Impl_ProgramWorkBook_11-Feb-2011_Steps of Doneness" xfId="7474" xr:uid="{00000000-0005-0000-0000-0000D81C0000}"/>
    <cellStyle name="_20061103Holux_ProgramWorkBook_UX Plan_0401_FP_DW_Impl_ProgramWorkBook_18-Feb-2011 - Working" xfId="7475" xr:uid="{00000000-0005-0000-0000-0000D91C0000}"/>
    <cellStyle name="_20061103Holux_ProgramWorkBook_UX Plan_0401_FP_DW_Impl_ProgramWorkBook_18-Feb-2011 - Working 2" xfId="7476" xr:uid="{00000000-0005-0000-0000-0000DA1C0000}"/>
    <cellStyle name="_20061103Holux_ProgramWorkBook_UX Plan_0401_FP_DW_Impl_ProgramWorkBook_18-Feb-2011 - Working 2_Steps of Doneness" xfId="7477" xr:uid="{00000000-0005-0000-0000-0000DB1C0000}"/>
    <cellStyle name="_20061103Holux_ProgramWorkBook_UX Plan_0401_FP_DW_Impl_ProgramWorkBook_18-Feb-2011 - Working 3" xfId="7478" xr:uid="{00000000-0005-0000-0000-0000DC1C0000}"/>
    <cellStyle name="_20061103Holux_ProgramWorkBook_UX Plan_0401_FP_DW_Impl_ProgramWorkBook_18-Feb-2011 - Working_Steps of Doneness" xfId="7479" xr:uid="{00000000-0005-0000-0000-0000DD1C0000}"/>
    <cellStyle name="_20061103Holux_ProgramWorkBook_UX Plan_0401_FP_EnterprisePortal_ProgramWorkbook" xfId="7480" xr:uid="{00000000-0005-0000-0000-0000DE1C0000}"/>
    <cellStyle name="_20061103Holux_ProgramWorkBook_UX Plan_0401_FP_EnterprisePortal_ProgramWorkbook 2" xfId="7481" xr:uid="{00000000-0005-0000-0000-0000DF1C0000}"/>
    <cellStyle name="_20061103Holux_ProgramWorkBook_UX Plan_0401_FP_EnterprisePortal_ProgramWorkbook 2_Steps of Doneness" xfId="7482" xr:uid="{00000000-0005-0000-0000-0000E01C0000}"/>
    <cellStyle name="_20061103Holux_ProgramWorkBook_UX Plan_0401_FP_EnterprisePortal_ProgramWorkbook 3" xfId="7483" xr:uid="{00000000-0005-0000-0000-0000E11C0000}"/>
    <cellStyle name="_20061103Holux_ProgramWorkBook_UX Plan_0401_FP_EnterprisePortal_ProgramWorkbook_Steps of Doneness" xfId="7484" xr:uid="{00000000-0005-0000-0000-0000E21C0000}"/>
    <cellStyle name="_20061103Holux_ProgramWorkBook_UX Plan_0401_FP_SAP_MLP v2" xfId="7485" xr:uid="{00000000-0005-0000-0000-0000E31C0000}"/>
    <cellStyle name="_20061103Holux_ProgramWorkBook_UX Plan_0401_FP_SAP_MLP v2 2" xfId="7486" xr:uid="{00000000-0005-0000-0000-0000E41C0000}"/>
    <cellStyle name="_20061103Holux_ProgramWorkBook_UX Plan_0401_FP_SAP_MLP v2 2_Steps of Doneness" xfId="7487" xr:uid="{00000000-0005-0000-0000-0000E51C0000}"/>
    <cellStyle name="_20061103Holux_ProgramWorkBook_UX Plan_0401_FP_SAP_MLP v2 3" xfId="7488" xr:uid="{00000000-0005-0000-0000-0000E61C0000}"/>
    <cellStyle name="_20061103Holux_ProgramWorkBook_UX Plan_0401_FP_SAP_MLP v2_Steps of Doneness" xfId="7489" xr:uid="{00000000-0005-0000-0000-0000E71C0000}"/>
    <cellStyle name="_20061103Holux_ProgramWorkBook_UX Plan_0401_KeyDecisions" xfId="7490" xr:uid="{00000000-0005-0000-0000-0000E81C0000}"/>
    <cellStyle name="_20061103Holux_ProgramWorkBook_UX Plan_0401_KeyDecisions 2" xfId="7491" xr:uid="{00000000-0005-0000-0000-0000E91C0000}"/>
    <cellStyle name="_20061103Holux_ProgramWorkBook_UX Plan_0401_KeyDecisions 2_Steps of Doneness" xfId="7492" xr:uid="{00000000-0005-0000-0000-0000EA1C0000}"/>
    <cellStyle name="_20061103Holux_ProgramWorkBook_UX Plan_0401_KeyDecisions 3" xfId="7493" xr:uid="{00000000-0005-0000-0000-0000EB1C0000}"/>
    <cellStyle name="_20061103Holux_ProgramWorkBook_UX Plan_0401_KeyDecisions_Steps of Doneness" xfId="7494" xr:uid="{00000000-0005-0000-0000-0000EC1C0000}"/>
    <cellStyle name="_20061103Holux_ProgramWorkBook_UX Plan_0401_Sophia_Imp_ProjectWorkBook_02_18_2011" xfId="7495" xr:uid="{00000000-0005-0000-0000-0000ED1C0000}"/>
    <cellStyle name="_20061103Holux_ProgramWorkBook_UX Plan_0401_Sophia_Imp_ProjectWorkBook_02_18_2011 2" xfId="7496" xr:uid="{00000000-0005-0000-0000-0000EE1C0000}"/>
    <cellStyle name="_20061103Holux_ProgramWorkBook_UX Plan_0401_Sophia_Imp_ProjectWorkBook_02_18_2011 2_Steps of Doneness" xfId="7497" xr:uid="{00000000-0005-0000-0000-0000EF1C0000}"/>
    <cellStyle name="_20061103Holux_ProgramWorkBook_UX Plan_0401_Sophia_Imp_ProjectWorkBook_02_18_2011 3" xfId="7498" xr:uid="{00000000-0005-0000-0000-0000F01C0000}"/>
    <cellStyle name="_20061103Holux_ProgramWorkBook_UX Plan_0401_Sophia_Imp_ProjectWorkBook_02_18_2011_Steps of Doneness" xfId="7499" xr:uid="{00000000-0005-0000-0000-0000F11C0000}"/>
    <cellStyle name="_20061103Holux_ProgramWorkBook_UX Plan_0401_Steps of Doneness" xfId="7500" xr:uid="{00000000-0005-0000-0000-0000F21C0000}"/>
    <cellStyle name="_20061103Holux_ProgramWorkBook_UX Plan_0401_t" xfId="7501" xr:uid="{00000000-0005-0000-0000-0000F31C0000}"/>
    <cellStyle name="_20061103Holux_ProgramWorkBook_UX Plan_0401_t 2" xfId="7502" xr:uid="{00000000-0005-0000-0000-0000F41C0000}"/>
    <cellStyle name="_20061103Holux_ProgramWorkBook_UX Plan_0401_t 2_Steps of Doneness" xfId="7503" xr:uid="{00000000-0005-0000-0000-0000F51C0000}"/>
    <cellStyle name="_20061103Holux_ProgramWorkBook_UX Plan_0401_t 3" xfId="7504" xr:uid="{00000000-0005-0000-0000-0000F61C0000}"/>
    <cellStyle name="_20061103Holux_ProgramWorkBook_UX Plan_0401_t_Steps of Doneness" xfId="7505" xr:uid="{00000000-0005-0000-0000-0000F71C0000}"/>
    <cellStyle name="_20061103Holux_Re-engineering SLM_PM_Workbook_01252010" xfId="7506" xr:uid="{00000000-0005-0000-0000-0000F81C0000}"/>
    <cellStyle name="_20061103Holux_Re-engineering SLM_PM_Workbook_01252010 2" xfId="7507" xr:uid="{00000000-0005-0000-0000-0000F91C0000}"/>
    <cellStyle name="_20061103Holux_Re-engineering SLM_PM_Workbook_01252010 2 2" xfId="7508" xr:uid="{00000000-0005-0000-0000-0000FA1C0000}"/>
    <cellStyle name="_20061103Holux_Re-engineering SLM_PM_Workbook_01252010 2 2_Steps of Doneness" xfId="7509" xr:uid="{00000000-0005-0000-0000-0000FB1C0000}"/>
    <cellStyle name="_20061103Holux_Re-engineering SLM_PM_Workbook_01252010 2 3" xfId="7510" xr:uid="{00000000-0005-0000-0000-0000FC1C0000}"/>
    <cellStyle name="_20061103Holux_Re-engineering SLM_PM_Workbook_01252010 2_Steps of Doneness" xfId="7511" xr:uid="{00000000-0005-0000-0000-0000FD1C0000}"/>
    <cellStyle name="_20061103Holux_Re-engineering SLM_PM_Workbook_01252010 3" xfId="7512" xr:uid="{00000000-0005-0000-0000-0000FE1C0000}"/>
    <cellStyle name="_20061103Holux_Re-engineering SLM_PM_Workbook_01252010 3 2" xfId="7513" xr:uid="{00000000-0005-0000-0000-0000FF1C0000}"/>
    <cellStyle name="_20061103Holux_Re-engineering SLM_PM_Workbook_01252010 3 2_Steps of Doneness" xfId="7514" xr:uid="{00000000-0005-0000-0000-0000001D0000}"/>
    <cellStyle name="_20061103Holux_Re-engineering SLM_PM_Workbook_01252010 3 3" xfId="7515" xr:uid="{00000000-0005-0000-0000-0000011D0000}"/>
    <cellStyle name="_20061103Holux_Re-engineering SLM_PM_Workbook_01252010 3_Steps of Doneness" xfId="7516" xr:uid="{00000000-0005-0000-0000-0000021D0000}"/>
    <cellStyle name="_20061103Holux_Re-engineering SLM_PM_Workbook_01252010 4" xfId="7517" xr:uid="{00000000-0005-0000-0000-0000031D0000}"/>
    <cellStyle name="_20061103Holux_Re-engineering SLM_PM_Workbook_01252010 4_Steps of Doneness" xfId="7518" xr:uid="{00000000-0005-0000-0000-0000041D0000}"/>
    <cellStyle name="_20061103Holux_Re-engineering SLM_PM_Workbook_01252010 5" xfId="7519" xr:uid="{00000000-0005-0000-0000-0000051D0000}"/>
    <cellStyle name="_20061103Holux_Re-engineering SLM_PM_Workbook_01252010 6" xfId="7520" xr:uid="{00000000-0005-0000-0000-0000061D0000}"/>
    <cellStyle name="_20061103Holux_Re-engineering SLM_PM_Workbook_01252010_Commissioning System Implementation_Project Workbook_06_10_2011" xfId="7521" xr:uid="{00000000-0005-0000-0000-0000071D0000}"/>
    <cellStyle name="_20061103Holux_Re-engineering SLM_PM_Workbook_01252010_Commissioning System Implementation_Project Workbook_06_10_2011 2" xfId="7522" xr:uid="{00000000-0005-0000-0000-0000081D0000}"/>
    <cellStyle name="_20061103Holux_Re-engineering SLM_PM_Workbook_01252010_Commissioning System Implementation_Project Workbook_06_10_2011 2_Steps of Doneness" xfId="7523" xr:uid="{00000000-0005-0000-0000-0000091D0000}"/>
    <cellStyle name="_20061103Holux_Re-engineering SLM_PM_Workbook_01252010_Commissioning System Implementation_Project Workbook_06_10_2011 3" xfId="7524" xr:uid="{00000000-0005-0000-0000-00000A1D0000}"/>
    <cellStyle name="_20061103Holux_Re-engineering SLM_PM_Workbook_01252010_Commissioning System Implementation_Project Workbook_06_10_2011_Steps of Doneness" xfId="7525" xr:uid="{00000000-0005-0000-0000-00000B1D0000}"/>
    <cellStyle name="_20061103Holux_Re-engineering SLM_PM_Workbook_01252010_FairPoint_CampReport" xfId="7526" xr:uid="{00000000-0005-0000-0000-00000C1D0000}"/>
    <cellStyle name="_20061103Holux_Re-engineering SLM_PM_Workbook_01252010_FairPoint_CampReport 2" xfId="7527" xr:uid="{00000000-0005-0000-0000-00000D1D0000}"/>
    <cellStyle name="_20061103Holux_Re-engineering SLM_PM_Workbook_01252010_FairPoint_CampReport 2_Steps of Doneness" xfId="7528" xr:uid="{00000000-0005-0000-0000-00000E1D0000}"/>
    <cellStyle name="_20061103Holux_Re-engineering SLM_PM_Workbook_01252010_FairPoint_CampReport 3" xfId="7529" xr:uid="{00000000-0005-0000-0000-00000F1D0000}"/>
    <cellStyle name="_20061103Holux_Re-engineering SLM_PM_Workbook_01252010_FairPoint_CampReport_Steps of Doneness" xfId="7530" xr:uid="{00000000-0005-0000-0000-0000101D0000}"/>
    <cellStyle name="_20061103Holux_Re-engineering SLM_PM_Workbook_01252010_FairPoint_FP comTechOps_ProgramWorkbook" xfId="7531" xr:uid="{00000000-0005-0000-0000-0000111D0000}"/>
    <cellStyle name="_20061103Holux_Re-engineering SLM_PM_Workbook_01252010_FairPoint_FP comTechOps_ProgramWorkbook 2" xfId="7532" xr:uid="{00000000-0005-0000-0000-0000121D0000}"/>
    <cellStyle name="_20061103Holux_Re-engineering SLM_PM_Workbook_01252010_FairPoint_FP comTechOps_ProgramWorkbook 2_Steps of Doneness" xfId="7533" xr:uid="{00000000-0005-0000-0000-0000131D0000}"/>
    <cellStyle name="_20061103Holux_Re-engineering SLM_PM_Workbook_01252010_FairPoint_FP comTechOps_ProgramWorkbook 3" xfId="7534" xr:uid="{00000000-0005-0000-0000-0000141D0000}"/>
    <cellStyle name="_20061103Holux_Re-engineering SLM_PM_Workbook_01252010_FairPoint_FP comTechOps_ProgramWorkbook_sachin" xfId="7535" xr:uid="{00000000-0005-0000-0000-0000151D0000}"/>
    <cellStyle name="_20061103Holux_Re-engineering SLM_PM_Workbook_01252010_FairPoint_FP comTechOps_ProgramWorkbook_sachin 2" xfId="7536" xr:uid="{00000000-0005-0000-0000-0000161D0000}"/>
    <cellStyle name="_20061103Holux_Re-engineering SLM_PM_Workbook_01252010_FairPoint_FP comTechOps_ProgramWorkbook_sachin 2_Steps of Doneness" xfId="7537" xr:uid="{00000000-0005-0000-0000-0000171D0000}"/>
    <cellStyle name="_20061103Holux_Re-engineering SLM_PM_Workbook_01252010_FairPoint_FP comTechOps_ProgramWorkbook_sachin 3" xfId="7538" xr:uid="{00000000-0005-0000-0000-0000181D0000}"/>
    <cellStyle name="_20061103Holux_Re-engineering SLM_PM_Workbook_01252010_FairPoint_FP comTechOps_ProgramWorkbook_sachin_Steps of Doneness" xfId="7539" xr:uid="{00000000-0005-0000-0000-0000191D0000}"/>
    <cellStyle name="_20061103Holux_Re-engineering SLM_PM_Workbook_01252010_FairPoint_FP comTechOps_ProgramWorkbook_sachin_v1" xfId="7540" xr:uid="{00000000-0005-0000-0000-00001A1D0000}"/>
    <cellStyle name="_20061103Holux_Re-engineering SLM_PM_Workbook_01252010_FairPoint_FP comTechOps_ProgramWorkbook_sachin_v1 2" xfId="7541" xr:uid="{00000000-0005-0000-0000-00001B1D0000}"/>
    <cellStyle name="_20061103Holux_Re-engineering SLM_PM_Workbook_01252010_FairPoint_FP comTechOps_ProgramWorkbook_sachin_v1 2_Steps of Doneness" xfId="7542" xr:uid="{00000000-0005-0000-0000-00001C1D0000}"/>
    <cellStyle name="_20061103Holux_Re-engineering SLM_PM_Workbook_01252010_FairPoint_FP comTechOps_ProgramWorkbook_sachin_v1 3" xfId="7543" xr:uid="{00000000-0005-0000-0000-00001D1D0000}"/>
    <cellStyle name="_20061103Holux_Re-engineering SLM_PM_Workbook_01252010_FairPoint_FP comTechOps_ProgramWorkbook_sachin_v1_Steps of Doneness" xfId="7544" xr:uid="{00000000-0005-0000-0000-00001E1D0000}"/>
    <cellStyle name="_20061103Holux_Re-engineering SLM_PM_Workbook_01252010_FairPoint_FP comTechOps_ProgramWorkbook_Steps of Doneness" xfId="7545" xr:uid="{00000000-0005-0000-0000-00001F1D0000}"/>
    <cellStyle name="_20061103Holux_Re-engineering SLM_PM_Workbook_01252010_FP_CAMP&amp;ITReporting_Maintenance_Dashboard" xfId="7546" xr:uid="{00000000-0005-0000-0000-0000201D0000}"/>
    <cellStyle name="_20061103Holux_Re-engineering SLM_PM_Workbook_01252010_FP_CAMP&amp;ITReporting_Maintenance_Dashboard 2" xfId="7547" xr:uid="{00000000-0005-0000-0000-0000211D0000}"/>
    <cellStyle name="_20061103Holux_Re-engineering SLM_PM_Workbook_01252010_FP_CAMP&amp;ITReporting_Maintenance_Dashboard 2_Steps of Doneness" xfId="7548" xr:uid="{00000000-0005-0000-0000-0000221D0000}"/>
    <cellStyle name="_20061103Holux_Re-engineering SLM_PM_Workbook_01252010_FP_CAMP&amp;ITReporting_Maintenance_Dashboard 3" xfId="7549" xr:uid="{00000000-0005-0000-0000-0000231D0000}"/>
    <cellStyle name="_20061103Holux_Re-engineering SLM_PM_Workbook_01252010_FP_CAMP&amp;ITReporting_Maintenance_Dashboard_Steps of Doneness" xfId="7550" xr:uid="{00000000-0005-0000-0000-0000241D0000}"/>
    <cellStyle name="_20061103Holux_Re-engineering SLM_PM_Workbook_01252010_FP_CAMPITReporting_Maintenance_Dashboard" xfId="7551" xr:uid="{00000000-0005-0000-0000-0000251D0000}"/>
    <cellStyle name="_20061103Holux_Re-engineering SLM_PM_Workbook_01252010_FP_CAMPITReporting_Maintenance_Dashboard 2" xfId="7552" xr:uid="{00000000-0005-0000-0000-0000261D0000}"/>
    <cellStyle name="_20061103Holux_Re-engineering SLM_PM_Workbook_01252010_FP_CAMPITReporting_Maintenance_Dashboard 2_Steps of Doneness" xfId="7553" xr:uid="{00000000-0005-0000-0000-0000271D0000}"/>
    <cellStyle name="_20061103Holux_Re-engineering SLM_PM_Workbook_01252010_FP_CAMPITReporting_Maintenance_Dashboard 3" xfId="7554" xr:uid="{00000000-0005-0000-0000-0000281D0000}"/>
    <cellStyle name="_20061103Holux_Re-engineering SLM_PM_Workbook_01252010_FP_CAMPITReporting_Maintenance_Dashboard_Steps of Doneness" xfId="7555" xr:uid="{00000000-0005-0000-0000-0000291D0000}"/>
    <cellStyle name="_20061103Holux_Re-engineering SLM_PM_Workbook_01252010_FP_Commissions_Req_Dn_ProgramWorkBook_10-Dec-2010" xfId="7556" xr:uid="{00000000-0005-0000-0000-00002A1D0000}"/>
    <cellStyle name="_20061103Holux_Re-engineering SLM_PM_Workbook_01252010_FP_Commissions_Req_Dn_ProgramWorkBook_10-Dec-2010 2" xfId="7557" xr:uid="{00000000-0005-0000-0000-00002B1D0000}"/>
    <cellStyle name="_20061103Holux_Re-engineering SLM_PM_Workbook_01252010_FP_Commissions_Req_Dn_ProgramWorkBook_10-Dec-2010 2_Steps of Doneness" xfId="7558" xr:uid="{00000000-0005-0000-0000-00002C1D0000}"/>
    <cellStyle name="_20061103Holux_Re-engineering SLM_PM_Workbook_01252010_FP_Commissions_Req_Dn_ProgramWorkBook_10-Dec-2010 3" xfId="7559" xr:uid="{00000000-0005-0000-0000-00002D1D0000}"/>
    <cellStyle name="_20061103Holux_Re-engineering SLM_PM_Workbook_01252010_FP_Commissions_Req_Dn_ProgramWorkBook_10-Dec-2010_Steps of Doneness" xfId="7560" xr:uid="{00000000-0005-0000-0000-00002E1D0000}"/>
    <cellStyle name="_20061103Holux_Re-engineering SLM_PM_Workbook_01252010_FP_DW_Impl_ProgramWorkBook_07-Jan-2011" xfId="7561" xr:uid="{00000000-0005-0000-0000-00002F1D0000}"/>
    <cellStyle name="_20061103Holux_Re-engineering SLM_PM_Workbook_01252010_FP_DW_Impl_ProgramWorkBook_07-Jan-2011 2" xfId="7562" xr:uid="{00000000-0005-0000-0000-0000301D0000}"/>
    <cellStyle name="_20061103Holux_Re-engineering SLM_PM_Workbook_01252010_FP_DW_Impl_ProgramWorkBook_07-Jan-2011 2 2" xfId="7563" xr:uid="{00000000-0005-0000-0000-0000311D0000}"/>
    <cellStyle name="_20061103Holux_Re-engineering SLM_PM_Workbook_01252010_FP_DW_Impl_ProgramWorkBook_07-Jan-2011 2 2_Steps of Doneness" xfId="7564" xr:uid="{00000000-0005-0000-0000-0000321D0000}"/>
    <cellStyle name="_20061103Holux_Re-engineering SLM_PM_Workbook_01252010_FP_DW_Impl_ProgramWorkBook_07-Jan-2011 2 3" xfId="7565" xr:uid="{00000000-0005-0000-0000-0000331D0000}"/>
    <cellStyle name="_20061103Holux_Re-engineering SLM_PM_Workbook_01252010_FP_DW_Impl_ProgramWorkBook_07-Jan-2011 2_Steps of Doneness" xfId="7566" xr:uid="{00000000-0005-0000-0000-0000341D0000}"/>
    <cellStyle name="_20061103Holux_Re-engineering SLM_PM_Workbook_01252010_FP_DW_Impl_ProgramWorkBook_07-Jan-2011 3" xfId="7567" xr:uid="{00000000-0005-0000-0000-0000351D0000}"/>
    <cellStyle name="_20061103Holux_Re-engineering SLM_PM_Workbook_01252010_FP_DW_Impl_ProgramWorkBook_07-Jan-2011 3_Steps of Doneness" xfId="7568" xr:uid="{00000000-0005-0000-0000-0000361D0000}"/>
    <cellStyle name="_20061103Holux_Re-engineering SLM_PM_Workbook_01252010_FP_DW_Impl_ProgramWorkBook_07-Jan-2011 4" xfId="7569" xr:uid="{00000000-0005-0000-0000-0000371D0000}"/>
    <cellStyle name="_20061103Holux_Re-engineering SLM_PM_Workbook_01252010_FP_DW_Impl_ProgramWorkBook_07-Jan-2011_Steps of Doneness" xfId="7570" xr:uid="{00000000-0005-0000-0000-0000381D0000}"/>
    <cellStyle name="_20061103Holux_Re-engineering SLM_PM_Workbook_01252010_FP_DW_Impl_ProgramWorkBook_11-Feb-2011" xfId="7571" xr:uid="{00000000-0005-0000-0000-0000391D0000}"/>
    <cellStyle name="_20061103Holux_Re-engineering SLM_PM_Workbook_01252010_FP_DW_Impl_ProgramWorkBook_11-Feb-2011 2" xfId="7572" xr:uid="{00000000-0005-0000-0000-00003A1D0000}"/>
    <cellStyle name="_20061103Holux_Re-engineering SLM_PM_Workbook_01252010_FP_DW_Impl_ProgramWorkBook_11-Feb-2011 2_Steps of Doneness" xfId="7573" xr:uid="{00000000-0005-0000-0000-00003B1D0000}"/>
    <cellStyle name="_20061103Holux_Re-engineering SLM_PM_Workbook_01252010_FP_DW_Impl_ProgramWorkBook_11-Feb-2011 3" xfId="7574" xr:uid="{00000000-0005-0000-0000-00003C1D0000}"/>
    <cellStyle name="_20061103Holux_Re-engineering SLM_PM_Workbook_01252010_FP_DW_Impl_ProgramWorkBook_11-Feb-2011_Steps of Doneness" xfId="7575" xr:uid="{00000000-0005-0000-0000-00003D1D0000}"/>
    <cellStyle name="_20061103Holux_Re-engineering SLM_PM_Workbook_01252010_FP_DW_Impl_ProgramWorkBook_18-Feb-2011 - Working" xfId="7576" xr:uid="{00000000-0005-0000-0000-00003E1D0000}"/>
    <cellStyle name="_20061103Holux_Re-engineering SLM_PM_Workbook_01252010_FP_DW_Impl_ProgramWorkBook_18-Feb-2011 - Working 2" xfId="7577" xr:uid="{00000000-0005-0000-0000-00003F1D0000}"/>
    <cellStyle name="_20061103Holux_Re-engineering SLM_PM_Workbook_01252010_FP_DW_Impl_ProgramWorkBook_18-Feb-2011 - Working 2_Steps of Doneness" xfId="7578" xr:uid="{00000000-0005-0000-0000-0000401D0000}"/>
    <cellStyle name="_20061103Holux_Re-engineering SLM_PM_Workbook_01252010_FP_DW_Impl_ProgramWorkBook_18-Feb-2011 - Working 3" xfId="7579" xr:uid="{00000000-0005-0000-0000-0000411D0000}"/>
    <cellStyle name="_20061103Holux_Re-engineering SLM_PM_Workbook_01252010_FP_DW_Impl_ProgramWorkBook_18-Feb-2011 - Working_Steps of Doneness" xfId="7580" xr:uid="{00000000-0005-0000-0000-0000421D0000}"/>
    <cellStyle name="_20061103Holux_Re-engineering SLM_PM_Workbook_01252010_FP_EnterprisePortal_ProgramWorkbook" xfId="7581" xr:uid="{00000000-0005-0000-0000-0000431D0000}"/>
    <cellStyle name="_20061103Holux_Re-engineering SLM_PM_Workbook_01252010_FP_EnterprisePortal_ProgramWorkbook 2" xfId="7582" xr:uid="{00000000-0005-0000-0000-0000441D0000}"/>
    <cellStyle name="_20061103Holux_Re-engineering SLM_PM_Workbook_01252010_FP_EnterprisePortal_ProgramWorkbook 2_Steps of Doneness" xfId="7583" xr:uid="{00000000-0005-0000-0000-0000451D0000}"/>
    <cellStyle name="_20061103Holux_Re-engineering SLM_PM_Workbook_01252010_FP_EnterprisePortal_ProgramWorkbook 3" xfId="7584" xr:uid="{00000000-0005-0000-0000-0000461D0000}"/>
    <cellStyle name="_20061103Holux_Re-engineering SLM_PM_Workbook_01252010_FP_EnterprisePortal_ProgramWorkbook_Steps of Doneness" xfId="7585" xr:uid="{00000000-0005-0000-0000-0000471D0000}"/>
    <cellStyle name="_20061103Holux_Re-engineering SLM_PM_Workbook_01252010_FP_SAP_MLP v2" xfId="7586" xr:uid="{00000000-0005-0000-0000-0000481D0000}"/>
    <cellStyle name="_20061103Holux_Re-engineering SLM_PM_Workbook_01252010_FP_SAP_MLP v2 2" xfId="7587" xr:uid="{00000000-0005-0000-0000-0000491D0000}"/>
    <cellStyle name="_20061103Holux_Re-engineering SLM_PM_Workbook_01252010_FP_SAP_MLP v2 2_Steps of Doneness" xfId="7588" xr:uid="{00000000-0005-0000-0000-00004A1D0000}"/>
    <cellStyle name="_20061103Holux_Re-engineering SLM_PM_Workbook_01252010_FP_SAP_MLP v2 3" xfId="7589" xr:uid="{00000000-0005-0000-0000-00004B1D0000}"/>
    <cellStyle name="_20061103Holux_Re-engineering SLM_PM_Workbook_01252010_FP_SAP_MLP v2_Steps of Doneness" xfId="7590" xr:uid="{00000000-0005-0000-0000-00004C1D0000}"/>
    <cellStyle name="_20061103Holux_Re-engineering SLM_PM_Workbook_01252010_KeyDecisions" xfId="7591" xr:uid="{00000000-0005-0000-0000-00004D1D0000}"/>
    <cellStyle name="_20061103Holux_Re-engineering SLM_PM_Workbook_01252010_KeyDecisions 2" xfId="7592" xr:uid="{00000000-0005-0000-0000-00004E1D0000}"/>
    <cellStyle name="_20061103Holux_Re-engineering SLM_PM_Workbook_01252010_KeyDecisions 2_Steps of Doneness" xfId="7593" xr:uid="{00000000-0005-0000-0000-00004F1D0000}"/>
    <cellStyle name="_20061103Holux_Re-engineering SLM_PM_Workbook_01252010_KeyDecisions 3" xfId="7594" xr:uid="{00000000-0005-0000-0000-0000501D0000}"/>
    <cellStyle name="_20061103Holux_Re-engineering SLM_PM_Workbook_01252010_KeyDecisions_Steps of Doneness" xfId="7595" xr:uid="{00000000-0005-0000-0000-0000511D0000}"/>
    <cellStyle name="_20061103Holux_Re-engineering SLM_PM_Workbook_01252010_Sophia_Imp_ProjectWorkBook_02_18_2011" xfId="7596" xr:uid="{00000000-0005-0000-0000-0000521D0000}"/>
    <cellStyle name="_20061103Holux_Re-engineering SLM_PM_Workbook_01252010_Sophia_Imp_ProjectWorkBook_02_18_2011 2" xfId="7597" xr:uid="{00000000-0005-0000-0000-0000531D0000}"/>
    <cellStyle name="_20061103Holux_Re-engineering SLM_PM_Workbook_01252010_Sophia_Imp_ProjectWorkBook_02_18_2011 2_Steps of Doneness" xfId="7598" xr:uid="{00000000-0005-0000-0000-0000541D0000}"/>
    <cellStyle name="_20061103Holux_Re-engineering SLM_PM_Workbook_01252010_Sophia_Imp_ProjectWorkBook_02_18_2011 3" xfId="7599" xr:uid="{00000000-0005-0000-0000-0000551D0000}"/>
    <cellStyle name="_20061103Holux_Re-engineering SLM_PM_Workbook_01252010_Sophia_Imp_ProjectWorkBook_02_18_2011_Steps of Doneness" xfId="7600" xr:uid="{00000000-0005-0000-0000-0000561D0000}"/>
    <cellStyle name="_20061103Holux_Re-engineering SLM_PM_Workbook_01252010_Steps of Doneness" xfId="7601" xr:uid="{00000000-0005-0000-0000-0000571D0000}"/>
    <cellStyle name="_20061103Holux_Re-engineering SLM_PM_Workbook_01252010_t" xfId="7602" xr:uid="{00000000-0005-0000-0000-0000581D0000}"/>
    <cellStyle name="_20061103Holux_Re-engineering SLM_PM_Workbook_01252010_t 2" xfId="7603" xr:uid="{00000000-0005-0000-0000-0000591D0000}"/>
    <cellStyle name="_20061103Holux_Re-engineering SLM_PM_Workbook_01252010_t 2_Steps of Doneness" xfId="7604" xr:uid="{00000000-0005-0000-0000-00005A1D0000}"/>
    <cellStyle name="_20061103Holux_Re-engineering SLM_PM_Workbook_01252010_t 3" xfId="7605" xr:uid="{00000000-0005-0000-0000-00005B1D0000}"/>
    <cellStyle name="_20061103Holux_Re-engineering SLM_PM_Workbook_01252010_t_Steps of Doneness" xfId="7606" xr:uid="{00000000-0005-0000-0000-00005C1D0000}"/>
    <cellStyle name="_20061103Holux_Re-engineering SLM_PM_Workbook_021510" xfId="7607" xr:uid="{00000000-0005-0000-0000-00005D1D0000}"/>
    <cellStyle name="_20061103Holux_Re-engineering SLM_PM_Workbook_021510 2" xfId="7608" xr:uid="{00000000-0005-0000-0000-00005E1D0000}"/>
    <cellStyle name="_20061103Holux_Re-engineering SLM_PM_Workbook_021510 2 2" xfId="7609" xr:uid="{00000000-0005-0000-0000-00005F1D0000}"/>
    <cellStyle name="_20061103Holux_Re-engineering SLM_PM_Workbook_021510 2 2_Steps of Doneness" xfId="7610" xr:uid="{00000000-0005-0000-0000-0000601D0000}"/>
    <cellStyle name="_20061103Holux_Re-engineering SLM_PM_Workbook_021510 2 3" xfId="7611" xr:uid="{00000000-0005-0000-0000-0000611D0000}"/>
    <cellStyle name="_20061103Holux_Re-engineering SLM_PM_Workbook_021510 2_Steps of Doneness" xfId="7612" xr:uid="{00000000-0005-0000-0000-0000621D0000}"/>
    <cellStyle name="_20061103Holux_Re-engineering SLM_PM_Workbook_021510 3" xfId="7613" xr:uid="{00000000-0005-0000-0000-0000631D0000}"/>
    <cellStyle name="_20061103Holux_Re-engineering SLM_PM_Workbook_021510 3 2" xfId="7614" xr:uid="{00000000-0005-0000-0000-0000641D0000}"/>
    <cellStyle name="_20061103Holux_Re-engineering SLM_PM_Workbook_021510 3 2_Steps of Doneness" xfId="7615" xr:uid="{00000000-0005-0000-0000-0000651D0000}"/>
    <cellStyle name="_20061103Holux_Re-engineering SLM_PM_Workbook_021510 3 3" xfId="7616" xr:uid="{00000000-0005-0000-0000-0000661D0000}"/>
    <cellStyle name="_20061103Holux_Re-engineering SLM_PM_Workbook_021510 3_Steps of Doneness" xfId="7617" xr:uid="{00000000-0005-0000-0000-0000671D0000}"/>
    <cellStyle name="_20061103Holux_Re-engineering SLM_PM_Workbook_021510 4" xfId="7618" xr:uid="{00000000-0005-0000-0000-0000681D0000}"/>
    <cellStyle name="_20061103Holux_Re-engineering SLM_PM_Workbook_021510 4_Steps of Doneness" xfId="7619" xr:uid="{00000000-0005-0000-0000-0000691D0000}"/>
    <cellStyle name="_20061103Holux_Re-engineering SLM_PM_Workbook_021510 5" xfId="7620" xr:uid="{00000000-0005-0000-0000-00006A1D0000}"/>
    <cellStyle name="_20061103Holux_Re-engineering SLM_PM_Workbook_021510 6" xfId="7621" xr:uid="{00000000-0005-0000-0000-00006B1D0000}"/>
    <cellStyle name="_20061103Holux_Re-engineering SLM_PM_Workbook_021510_Commissioning System Implementation_Project Workbook_06_10_2011" xfId="7622" xr:uid="{00000000-0005-0000-0000-00006C1D0000}"/>
    <cellStyle name="_20061103Holux_Re-engineering SLM_PM_Workbook_021510_Commissioning System Implementation_Project Workbook_06_10_2011 2" xfId="7623" xr:uid="{00000000-0005-0000-0000-00006D1D0000}"/>
    <cellStyle name="_20061103Holux_Re-engineering SLM_PM_Workbook_021510_Commissioning System Implementation_Project Workbook_06_10_2011 2_Steps of Doneness" xfId="7624" xr:uid="{00000000-0005-0000-0000-00006E1D0000}"/>
    <cellStyle name="_20061103Holux_Re-engineering SLM_PM_Workbook_021510_Commissioning System Implementation_Project Workbook_06_10_2011 3" xfId="7625" xr:uid="{00000000-0005-0000-0000-00006F1D0000}"/>
    <cellStyle name="_20061103Holux_Re-engineering SLM_PM_Workbook_021510_Commissioning System Implementation_Project Workbook_06_10_2011_Steps of Doneness" xfId="7626" xr:uid="{00000000-0005-0000-0000-0000701D0000}"/>
    <cellStyle name="_20061103Holux_Re-engineering SLM_PM_Workbook_021510_FairPoint_CampReport" xfId="7627" xr:uid="{00000000-0005-0000-0000-0000711D0000}"/>
    <cellStyle name="_20061103Holux_Re-engineering SLM_PM_Workbook_021510_FairPoint_CampReport 2" xfId="7628" xr:uid="{00000000-0005-0000-0000-0000721D0000}"/>
    <cellStyle name="_20061103Holux_Re-engineering SLM_PM_Workbook_021510_FairPoint_CampReport 2_Steps of Doneness" xfId="7629" xr:uid="{00000000-0005-0000-0000-0000731D0000}"/>
    <cellStyle name="_20061103Holux_Re-engineering SLM_PM_Workbook_021510_FairPoint_CampReport 3" xfId="7630" xr:uid="{00000000-0005-0000-0000-0000741D0000}"/>
    <cellStyle name="_20061103Holux_Re-engineering SLM_PM_Workbook_021510_FairPoint_CampReport_Steps of Doneness" xfId="7631" xr:uid="{00000000-0005-0000-0000-0000751D0000}"/>
    <cellStyle name="_20061103Holux_Re-engineering SLM_PM_Workbook_021510_FairPoint_FP comTechOps_ProgramWorkbook" xfId="7632" xr:uid="{00000000-0005-0000-0000-0000761D0000}"/>
    <cellStyle name="_20061103Holux_Re-engineering SLM_PM_Workbook_021510_FairPoint_FP comTechOps_ProgramWorkbook 2" xfId="7633" xr:uid="{00000000-0005-0000-0000-0000771D0000}"/>
    <cellStyle name="_20061103Holux_Re-engineering SLM_PM_Workbook_021510_FairPoint_FP comTechOps_ProgramWorkbook 2_Steps of Doneness" xfId="7634" xr:uid="{00000000-0005-0000-0000-0000781D0000}"/>
    <cellStyle name="_20061103Holux_Re-engineering SLM_PM_Workbook_021510_FairPoint_FP comTechOps_ProgramWorkbook 3" xfId="7635" xr:uid="{00000000-0005-0000-0000-0000791D0000}"/>
    <cellStyle name="_20061103Holux_Re-engineering SLM_PM_Workbook_021510_FairPoint_FP comTechOps_ProgramWorkbook_sachin" xfId="7636" xr:uid="{00000000-0005-0000-0000-00007A1D0000}"/>
    <cellStyle name="_20061103Holux_Re-engineering SLM_PM_Workbook_021510_FairPoint_FP comTechOps_ProgramWorkbook_sachin 2" xfId="7637" xr:uid="{00000000-0005-0000-0000-00007B1D0000}"/>
    <cellStyle name="_20061103Holux_Re-engineering SLM_PM_Workbook_021510_FairPoint_FP comTechOps_ProgramWorkbook_sachin 2_Steps of Doneness" xfId="7638" xr:uid="{00000000-0005-0000-0000-00007C1D0000}"/>
    <cellStyle name="_20061103Holux_Re-engineering SLM_PM_Workbook_021510_FairPoint_FP comTechOps_ProgramWorkbook_sachin 3" xfId="7639" xr:uid="{00000000-0005-0000-0000-00007D1D0000}"/>
    <cellStyle name="_20061103Holux_Re-engineering SLM_PM_Workbook_021510_FairPoint_FP comTechOps_ProgramWorkbook_sachin_Steps of Doneness" xfId="7640" xr:uid="{00000000-0005-0000-0000-00007E1D0000}"/>
    <cellStyle name="_20061103Holux_Re-engineering SLM_PM_Workbook_021510_FairPoint_FP comTechOps_ProgramWorkbook_sachin_v1" xfId="7641" xr:uid="{00000000-0005-0000-0000-00007F1D0000}"/>
    <cellStyle name="_20061103Holux_Re-engineering SLM_PM_Workbook_021510_FairPoint_FP comTechOps_ProgramWorkbook_sachin_v1 2" xfId="7642" xr:uid="{00000000-0005-0000-0000-0000801D0000}"/>
    <cellStyle name="_20061103Holux_Re-engineering SLM_PM_Workbook_021510_FairPoint_FP comTechOps_ProgramWorkbook_sachin_v1 2_Steps of Doneness" xfId="7643" xr:uid="{00000000-0005-0000-0000-0000811D0000}"/>
    <cellStyle name="_20061103Holux_Re-engineering SLM_PM_Workbook_021510_FairPoint_FP comTechOps_ProgramWorkbook_sachin_v1 3" xfId="7644" xr:uid="{00000000-0005-0000-0000-0000821D0000}"/>
    <cellStyle name="_20061103Holux_Re-engineering SLM_PM_Workbook_021510_FairPoint_FP comTechOps_ProgramWorkbook_sachin_v1_Steps of Doneness" xfId="7645" xr:uid="{00000000-0005-0000-0000-0000831D0000}"/>
    <cellStyle name="_20061103Holux_Re-engineering SLM_PM_Workbook_021510_FairPoint_FP comTechOps_ProgramWorkbook_Steps of Doneness" xfId="7646" xr:uid="{00000000-0005-0000-0000-0000841D0000}"/>
    <cellStyle name="_20061103Holux_Re-engineering SLM_PM_Workbook_021510_FP_CAMP&amp;ITReporting_Maintenance_Dashboard" xfId="7647" xr:uid="{00000000-0005-0000-0000-0000851D0000}"/>
    <cellStyle name="_20061103Holux_Re-engineering SLM_PM_Workbook_021510_FP_CAMP&amp;ITReporting_Maintenance_Dashboard 2" xfId="7648" xr:uid="{00000000-0005-0000-0000-0000861D0000}"/>
    <cellStyle name="_20061103Holux_Re-engineering SLM_PM_Workbook_021510_FP_CAMP&amp;ITReporting_Maintenance_Dashboard 2_Steps of Doneness" xfId="7649" xr:uid="{00000000-0005-0000-0000-0000871D0000}"/>
    <cellStyle name="_20061103Holux_Re-engineering SLM_PM_Workbook_021510_FP_CAMP&amp;ITReporting_Maintenance_Dashboard 3" xfId="7650" xr:uid="{00000000-0005-0000-0000-0000881D0000}"/>
    <cellStyle name="_20061103Holux_Re-engineering SLM_PM_Workbook_021510_FP_CAMP&amp;ITReporting_Maintenance_Dashboard_Steps of Doneness" xfId="7651" xr:uid="{00000000-0005-0000-0000-0000891D0000}"/>
    <cellStyle name="_20061103Holux_Re-engineering SLM_PM_Workbook_021510_FP_CAMPITReporting_Maintenance_Dashboard" xfId="7652" xr:uid="{00000000-0005-0000-0000-00008A1D0000}"/>
    <cellStyle name="_20061103Holux_Re-engineering SLM_PM_Workbook_021510_FP_CAMPITReporting_Maintenance_Dashboard 2" xfId="7653" xr:uid="{00000000-0005-0000-0000-00008B1D0000}"/>
    <cellStyle name="_20061103Holux_Re-engineering SLM_PM_Workbook_021510_FP_CAMPITReporting_Maintenance_Dashboard 2_Steps of Doneness" xfId="7654" xr:uid="{00000000-0005-0000-0000-00008C1D0000}"/>
    <cellStyle name="_20061103Holux_Re-engineering SLM_PM_Workbook_021510_FP_CAMPITReporting_Maintenance_Dashboard 3" xfId="7655" xr:uid="{00000000-0005-0000-0000-00008D1D0000}"/>
    <cellStyle name="_20061103Holux_Re-engineering SLM_PM_Workbook_021510_FP_CAMPITReporting_Maintenance_Dashboard_Steps of Doneness" xfId="7656" xr:uid="{00000000-0005-0000-0000-00008E1D0000}"/>
    <cellStyle name="_20061103Holux_Re-engineering SLM_PM_Workbook_021510_FP_Commissions_Req_Dn_ProgramWorkBook_10-Dec-2010" xfId="7657" xr:uid="{00000000-0005-0000-0000-00008F1D0000}"/>
    <cellStyle name="_20061103Holux_Re-engineering SLM_PM_Workbook_021510_FP_Commissions_Req_Dn_ProgramWorkBook_10-Dec-2010 2" xfId="7658" xr:uid="{00000000-0005-0000-0000-0000901D0000}"/>
    <cellStyle name="_20061103Holux_Re-engineering SLM_PM_Workbook_021510_FP_Commissions_Req_Dn_ProgramWorkBook_10-Dec-2010 2_Steps of Doneness" xfId="7659" xr:uid="{00000000-0005-0000-0000-0000911D0000}"/>
    <cellStyle name="_20061103Holux_Re-engineering SLM_PM_Workbook_021510_FP_Commissions_Req_Dn_ProgramWorkBook_10-Dec-2010 3" xfId="7660" xr:uid="{00000000-0005-0000-0000-0000921D0000}"/>
    <cellStyle name="_20061103Holux_Re-engineering SLM_PM_Workbook_021510_FP_Commissions_Req_Dn_ProgramWorkBook_10-Dec-2010_Steps of Doneness" xfId="7661" xr:uid="{00000000-0005-0000-0000-0000931D0000}"/>
    <cellStyle name="_20061103Holux_Re-engineering SLM_PM_Workbook_021510_FP_DW_Impl_ProgramWorkBook_07-Jan-2011" xfId="7662" xr:uid="{00000000-0005-0000-0000-0000941D0000}"/>
    <cellStyle name="_20061103Holux_Re-engineering SLM_PM_Workbook_021510_FP_DW_Impl_ProgramWorkBook_07-Jan-2011 2" xfId="7663" xr:uid="{00000000-0005-0000-0000-0000951D0000}"/>
    <cellStyle name="_20061103Holux_Re-engineering SLM_PM_Workbook_021510_FP_DW_Impl_ProgramWorkBook_07-Jan-2011 2 2" xfId="7664" xr:uid="{00000000-0005-0000-0000-0000961D0000}"/>
    <cellStyle name="_20061103Holux_Re-engineering SLM_PM_Workbook_021510_FP_DW_Impl_ProgramWorkBook_07-Jan-2011 2 2_Steps of Doneness" xfId="7665" xr:uid="{00000000-0005-0000-0000-0000971D0000}"/>
    <cellStyle name="_20061103Holux_Re-engineering SLM_PM_Workbook_021510_FP_DW_Impl_ProgramWorkBook_07-Jan-2011 2 3" xfId="7666" xr:uid="{00000000-0005-0000-0000-0000981D0000}"/>
    <cellStyle name="_20061103Holux_Re-engineering SLM_PM_Workbook_021510_FP_DW_Impl_ProgramWorkBook_07-Jan-2011 2_Steps of Doneness" xfId="7667" xr:uid="{00000000-0005-0000-0000-0000991D0000}"/>
    <cellStyle name="_20061103Holux_Re-engineering SLM_PM_Workbook_021510_FP_DW_Impl_ProgramWorkBook_07-Jan-2011 3" xfId="7668" xr:uid="{00000000-0005-0000-0000-00009A1D0000}"/>
    <cellStyle name="_20061103Holux_Re-engineering SLM_PM_Workbook_021510_FP_DW_Impl_ProgramWorkBook_07-Jan-2011 3_Steps of Doneness" xfId="7669" xr:uid="{00000000-0005-0000-0000-00009B1D0000}"/>
    <cellStyle name="_20061103Holux_Re-engineering SLM_PM_Workbook_021510_FP_DW_Impl_ProgramWorkBook_07-Jan-2011 4" xfId="7670" xr:uid="{00000000-0005-0000-0000-00009C1D0000}"/>
    <cellStyle name="_20061103Holux_Re-engineering SLM_PM_Workbook_021510_FP_DW_Impl_ProgramWorkBook_07-Jan-2011_Steps of Doneness" xfId="7671" xr:uid="{00000000-0005-0000-0000-00009D1D0000}"/>
    <cellStyle name="_20061103Holux_Re-engineering SLM_PM_Workbook_021510_FP_DW_Impl_ProgramWorkBook_11-Feb-2011" xfId="7672" xr:uid="{00000000-0005-0000-0000-00009E1D0000}"/>
    <cellStyle name="_20061103Holux_Re-engineering SLM_PM_Workbook_021510_FP_DW_Impl_ProgramWorkBook_11-Feb-2011 2" xfId="7673" xr:uid="{00000000-0005-0000-0000-00009F1D0000}"/>
    <cellStyle name="_20061103Holux_Re-engineering SLM_PM_Workbook_021510_FP_DW_Impl_ProgramWorkBook_11-Feb-2011 2_Steps of Doneness" xfId="7674" xr:uid="{00000000-0005-0000-0000-0000A01D0000}"/>
    <cellStyle name="_20061103Holux_Re-engineering SLM_PM_Workbook_021510_FP_DW_Impl_ProgramWorkBook_11-Feb-2011 3" xfId="7675" xr:uid="{00000000-0005-0000-0000-0000A11D0000}"/>
    <cellStyle name="_20061103Holux_Re-engineering SLM_PM_Workbook_021510_FP_DW_Impl_ProgramWorkBook_11-Feb-2011_Steps of Doneness" xfId="7676" xr:uid="{00000000-0005-0000-0000-0000A21D0000}"/>
    <cellStyle name="_20061103Holux_Re-engineering SLM_PM_Workbook_021510_FP_DW_Impl_ProgramWorkBook_18-Feb-2011 - Working" xfId="7677" xr:uid="{00000000-0005-0000-0000-0000A31D0000}"/>
    <cellStyle name="_20061103Holux_Re-engineering SLM_PM_Workbook_021510_FP_DW_Impl_ProgramWorkBook_18-Feb-2011 - Working 2" xfId="7678" xr:uid="{00000000-0005-0000-0000-0000A41D0000}"/>
    <cellStyle name="_20061103Holux_Re-engineering SLM_PM_Workbook_021510_FP_DW_Impl_ProgramWorkBook_18-Feb-2011 - Working 2_Steps of Doneness" xfId="7679" xr:uid="{00000000-0005-0000-0000-0000A51D0000}"/>
    <cellStyle name="_20061103Holux_Re-engineering SLM_PM_Workbook_021510_FP_DW_Impl_ProgramWorkBook_18-Feb-2011 - Working 3" xfId="7680" xr:uid="{00000000-0005-0000-0000-0000A61D0000}"/>
    <cellStyle name="_20061103Holux_Re-engineering SLM_PM_Workbook_021510_FP_DW_Impl_ProgramWorkBook_18-Feb-2011 - Working_Steps of Doneness" xfId="7681" xr:uid="{00000000-0005-0000-0000-0000A71D0000}"/>
    <cellStyle name="_20061103Holux_Re-engineering SLM_PM_Workbook_021510_FP_EnterprisePortal_ProgramWorkbook" xfId="7682" xr:uid="{00000000-0005-0000-0000-0000A81D0000}"/>
    <cellStyle name="_20061103Holux_Re-engineering SLM_PM_Workbook_021510_FP_EnterprisePortal_ProgramWorkbook 2" xfId="7683" xr:uid="{00000000-0005-0000-0000-0000A91D0000}"/>
    <cellStyle name="_20061103Holux_Re-engineering SLM_PM_Workbook_021510_FP_EnterprisePortal_ProgramWorkbook 2_Steps of Doneness" xfId="7684" xr:uid="{00000000-0005-0000-0000-0000AA1D0000}"/>
    <cellStyle name="_20061103Holux_Re-engineering SLM_PM_Workbook_021510_FP_EnterprisePortal_ProgramWorkbook 3" xfId="7685" xr:uid="{00000000-0005-0000-0000-0000AB1D0000}"/>
    <cellStyle name="_20061103Holux_Re-engineering SLM_PM_Workbook_021510_FP_EnterprisePortal_ProgramWorkbook_Steps of Doneness" xfId="7686" xr:uid="{00000000-0005-0000-0000-0000AC1D0000}"/>
    <cellStyle name="_20061103Holux_Re-engineering SLM_PM_Workbook_021510_FP_SAP_MLP v2" xfId="7687" xr:uid="{00000000-0005-0000-0000-0000AD1D0000}"/>
    <cellStyle name="_20061103Holux_Re-engineering SLM_PM_Workbook_021510_FP_SAP_MLP v2 2" xfId="7688" xr:uid="{00000000-0005-0000-0000-0000AE1D0000}"/>
    <cellStyle name="_20061103Holux_Re-engineering SLM_PM_Workbook_021510_FP_SAP_MLP v2 2_Steps of Doneness" xfId="7689" xr:uid="{00000000-0005-0000-0000-0000AF1D0000}"/>
    <cellStyle name="_20061103Holux_Re-engineering SLM_PM_Workbook_021510_FP_SAP_MLP v2 3" xfId="7690" xr:uid="{00000000-0005-0000-0000-0000B01D0000}"/>
    <cellStyle name="_20061103Holux_Re-engineering SLM_PM_Workbook_021510_FP_SAP_MLP v2_Steps of Doneness" xfId="7691" xr:uid="{00000000-0005-0000-0000-0000B11D0000}"/>
    <cellStyle name="_20061103Holux_Re-engineering SLM_PM_Workbook_021510_KeyDecisions" xfId="7692" xr:uid="{00000000-0005-0000-0000-0000B21D0000}"/>
    <cellStyle name="_20061103Holux_Re-engineering SLM_PM_Workbook_021510_KeyDecisions 2" xfId="7693" xr:uid="{00000000-0005-0000-0000-0000B31D0000}"/>
    <cellStyle name="_20061103Holux_Re-engineering SLM_PM_Workbook_021510_KeyDecisions 2_Steps of Doneness" xfId="7694" xr:uid="{00000000-0005-0000-0000-0000B41D0000}"/>
    <cellStyle name="_20061103Holux_Re-engineering SLM_PM_Workbook_021510_KeyDecisions 3" xfId="7695" xr:uid="{00000000-0005-0000-0000-0000B51D0000}"/>
    <cellStyle name="_20061103Holux_Re-engineering SLM_PM_Workbook_021510_KeyDecisions_Steps of Doneness" xfId="7696" xr:uid="{00000000-0005-0000-0000-0000B61D0000}"/>
    <cellStyle name="_20061103Holux_Re-engineering SLM_PM_Workbook_021510_Sophia_Imp_ProjectWorkBook_02_18_2011" xfId="7697" xr:uid="{00000000-0005-0000-0000-0000B71D0000}"/>
    <cellStyle name="_20061103Holux_Re-engineering SLM_PM_Workbook_021510_Sophia_Imp_ProjectWorkBook_02_18_2011 2" xfId="7698" xr:uid="{00000000-0005-0000-0000-0000B81D0000}"/>
    <cellStyle name="_20061103Holux_Re-engineering SLM_PM_Workbook_021510_Sophia_Imp_ProjectWorkBook_02_18_2011 2_Steps of Doneness" xfId="7699" xr:uid="{00000000-0005-0000-0000-0000B91D0000}"/>
    <cellStyle name="_20061103Holux_Re-engineering SLM_PM_Workbook_021510_Sophia_Imp_ProjectWorkBook_02_18_2011 3" xfId="7700" xr:uid="{00000000-0005-0000-0000-0000BA1D0000}"/>
    <cellStyle name="_20061103Holux_Re-engineering SLM_PM_Workbook_021510_Sophia_Imp_ProjectWorkBook_02_18_2011_Steps of Doneness" xfId="7701" xr:uid="{00000000-0005-0000-0000-0000BB1D0000}"/>
    <cellStyle name="_20061103Holux_Re-engineering SLM_PM_Workbook_021510_Steps of Doneness" xfId="7702" xr:uid="{00000000-0005-0000-0000-0000BC1D0000}"/>
    <cellStyle name="_20061103Holux_Re-engineering SLM_PM_Workbook_021510_t" xfId="7703" xr:uid="{00000000-0005-0000-0000-0000BD1D0000}"/>
    <cellStyle name="_20061103Holux_Re-engineering SLM_PM_Workbook_021510_t 2" xfId="7704" xr:uid="{00000000-0005-0000-0000-0000BE1D0000}"/>
    <cellStyle name="_20061103Holux_Re-engineering SLM_PM_Workbook_021510_t 2_Steps of Doneness" xfId="7705" xr:uid="{00000000-0005-0000-0000-0000BF1D0000}"/>
    <cellStyle name="_20061103Holux_Re-engineering SLM_PM_Workbook_021510_t 3" xfId="7706" xr:uid="{00000000-0005-0000-0000-0000C01D0000}"/>
    <cellStyle name="_20061103Holux_Re-engineering SLM_PM_Workbook_021510_t_Steps of Doneness" xfId="7707" xr:uid="{00000000-0005-0000-0000-0000C11D0000}"/>
    <cellStyle name="_20061103Holux_Re-engineering SLM_PM_Workbook_030810" xfId="7708" xr:uid="{00000000-0005-0000-0000-0000C21D0000}"/>
    <cellStyle name="_20061103Holux_Re-engineering SLM_PM_Workbook_030810 2" xfId="7709" xr:uid="{00000000-0005-0000-0000-0000C31D0000}"/>
    <cellStyle name="_20061103Holux_Re-engineering SLM_PM_Workbook_030810 2 2" xfId="7710" xr:uid="{00000000-0005-0000-0000-0000C41D0000}"/>
    <cellStyle name="_20061103Holux_Re-engineering SLM_PM_Workbook_030810 2 2_Steps of Doneness" xfId="7711" xr:uid="{00000000-0005-0000-0000-0000C51D0000}"/>
    <cellStyle name="_20061103Holux_Re-engineering SLM_PM_Workbook_030810 2 3" xfId="7712" xr:uid="{00000000-0005-0000-0000-0000C61D0000}"/>
    <cellStyle name="_20061103Holux_Re-engineering SLM_PM_Workbook_030810 2_Steps of Doneness" xfId="7713" xr:uid="{00000000-0005-0000-0000-0000C71D0000}"/>
    <cellStyle name="_20061103Holux_Re-engineering SLM_PM_Workbook_030810 3" xfId="7714" xr:uid="{00000000-0005-0000-0000-0000C81D0000}"/>
    <cellStyle name="_20061103Holux_Re-engineering SLM_PM_Workbook_030810 3 2" xfId="7715" xr:uid="{00000000-0005-0000-0000-0000C91D0000}"/>
    <cellStyle name="_20061103Holux_Re-engineering SLM_PM_Workbook_030810 3 2_Steps of Doneness" xfId="7716" xr:uid="{00000000-0005-0000-0000-0000CA1D0000}"/>
    <cellStyle name="_20061103Holux_Re-engineering SLM_PM_Workbook_030810 3 3" xfId="7717" xr:uid="{00000000-0005-0000-0000-0000CB1D0000}"/>
    <cellStyle name="_20061103Holux_Re-engineering SLM_PM_Workbook_030810 3_Steps of Doneness" xfId="7718" xr:uid="{00000000-0005-0000-0000-0000CC1D0000}"/>
    <cellStyle name="_20061103Holux_Re-engineering SLM_PM_Workbook_030810 4" xfId="7719" xr:uid="{00000000-0005-0000-0000-0000CD1D0000}"/>
    <cellStyle name="_20061103Holux_Re-engineering SLM_PM_Workbook_030810 4_Steps of Doneness" xfId="7720" xr:uid="{00000000-0005-0000-0000-0000CE1D0000}"/>
    <cellStyle name="_20061103Holux_Re-engineering SLM_PM_Workbook_030810 5" xfId="7721" xr:uid="{00000000-0005-0000-0000-0000CF1D0000}"/>
    <cellStyle name="_20061103Holux_Re-engineering SLM_PM_Workbook_030810 6" xfId="7722" xr:uid="{00000000-0005-0000-0000-0000D01D0000}"/>
    <cellStyle name="_20061103Holux_Re-engineering SLM_PM_Workbook_030810_Commissioning System Implementation_Project Workbook_06_10_2011" xfId="7723" xr:uid="{00000000-0005-0000-0000-0000D11D0000}"/>
    <cellStyle name="_20061103Holux_Re-engineering SLM_PM_Workbook_030810_Commissioning System Implementation_Project Workbook_06_10_2011 2" xfId="7724" xr:uid="{00000000-0005-0000-0000-0000D21D0000}"/>
    <cellStyle name="_20061103Holux_Re-engineering SLM_PM_Workbook_030810_Commissioning System Implementation_Project Workbook_06_10_2011 2_Steps of Doneness" xfId="7725" xr:uid="{00000000-0005-0000-0000-0000D31D0000}"/>
    <cellStyle name="_20061103Holux_Re-engineering SLM_PM_Workbook_030810_Commissioning System Implementation_Project Workbook_06_10_2011 3" xfId="7726" xr:uid="{00000000-0005-0000-0000-0000D41D0000}"/>
    <cellStyle name="_20061103Holux_Re-engineering SLM_PM_Workbook_030810_Commissioning System Implementation_Project Workbook_06_10_2011_Steps of Doneness" xfId="7727" xr:uid="{00000000-0005-0000-0000-0000D51D0000}"/>
    <cellStyle name="_20061103Holux_Re-engineering SLM_PM_Workbook_030810_FairPoint_CampReport" xfId="7728" xr:uid="{00000000-0005-0000-0000-0000D61D0000}"/>
    <cellStyle name="_20061103Holux_Re-engineering SLM_PM_Workbook_030810_FairPoint_CampReport 2" xfId="7729" xr:uid="{00000000-0005-0000-0000-0000D71D0000}"/>
    <cellStyle name="_20061103Holux_Re-engineering SLM_PM_Workbook_030810_FairPoint_CampReport 2_Steps of Doneness" xfId="7730" xr:uid="{00000000-0005-0000-0000-0000D81D0000}"/>
    <cellStyle name="_20061103Holux_Re-engineering SLM_PM_Workbook_030810_FairPoint_CampReport 3" xfId="7731" xr:uid="{00000000-0005-0000-0000-0000D91D0000}"/>
    <cellStyle name="_20061103Holux_Re-engineering SLM_PM_Workbook_030810_FairPoint_CampReport_Steps of Doneness" xfId="7732" xr:uid="{00000000-0005-0000-0000-0000DA1D0000}"/>
    <cellStyle name="_20061103Holux_Re-engineering SLM_PM_Workbook_030810_FairPoint_FP comTechOps_ProgramWorkbook" xfId="7733" xr:uid="{00000000-0005-0000-0000-0000DB1D0000}"/>
    <cellStyle name="_20061103Holux_Re-engineering SLM_PM_Workbook_030810_FairPoint_FP comTechOps_ProgramWorkbook 2" xfId="7734" xr:uid="{00000000-0005-0000-0000-0000DC1D0000}"/>
    <cellStyle name="_20061103Holux_Re-engineering SLM_PM_Workbook_030810_FairPoint_FP comTechOps_ProgramWorkbook 2_Steps of Doneness" xfId="7735" xr:uid="{00000000-0005-0000-0000-0000DD1D0000}"/>
    <cellStyle name="_20061103Holux_Re-engineering SLM_PM_Workbook_030810_FairPoint_FP comTechOps_ProgramWorkbook 3" xfId="7736" xr:uid="{00000000-0005-0000-0000-0000DE1D0000}"/>
    <cellStyle name="_20061103Holux_Re-engineering SLM_PM_Workbook_030810_FairPoint_FP comTechOps_ProgramWorkbook_sachin" xfId="7737" xr:uid="{00000000-0005-0000-0000-0000DF1D0000}"/>
    <cellStyle name="_20061103Holux_Re-engineering SLM_PM_Workbook_030810_FairPoint_FP comTechOps_ProgramWorkbook_sachin 2" xfId="7738" xr:uid="{00000000-0005-0000-0000-0000E01D0000}"/>
    <cellStyle name="_20061103Holux_Re-engineering SLM_PM_Workbook_030810_FairPoint_FP comTechOps_ProgramWorkbook_sachin 2_Steps of Doneness" xfId="7739" xr:uid="{00000000-0005-0000-0000-0000E11D0000}"/>
    <cellStyle name="_20061103Holux_Re-engineering SLM_PM_Workbook_030810_FairPoint_FP comTechOps_ProgramWorkbook_sachin 3" xfId="7740" xr:uid="{00000000-0005-0000-0000-0000E21D0000}"/>
    <cellStyle name="_20061103Holux_Re-engineering SLM_PM_Workbook_030810_FairPoint_FP comTechOps_ProgramWorkbook_sachin_Steps of Doneness" xfId="7741" xr:uid="{00000000-0005-0000-0000-0000E31D0000}"/>
    <cellStyle name="_20061103Holux_Re-engineering SLM_PM_Workbook_030810_FairPoint_FP comTechOps_ProgramWorkbook_sachin_v1" xfId="7742" xr:uid="{00000000-0005-0000-0000-0000E41D0000}"/>
    <cellStyle name="_20061103Holux_Re-engineering SLM_PM_Workbook_030810_FairPoint_FP comTechOps_ProgramWorkbook_sachin_v1 2" xfId="7743" xr:uid="{00000000-0005-0000-0000-0000E51D0000}"/>
    <cellStyle name="_20061103Holux_Re-engineering SLM_PM_Workbook_030810_FairPoint_FP comTechOps_ProgramWorkbook_sachin_v1 2_Steps of Doneness" xfId="7744" xr:uid="{00000000-0005-0000-0000-0000E61D0000}"/>
    <cellStyle name="_20061103Holux_Re-engineering SLM_PM_Workbook_030810_FairPoint_FP comTechOps_ProgramWorkbook_sachin_v1 3" xfId="7745" xr:uid="{00000000-0005-0000-0000-0000E71D0000}"/>
    <cellStyle name="_20061103Holux_Re-engineering SLM_PM_Workbook_030810_FairPoint_FP comTechOps_ProgramWorkbook_sachin_v1_Steps of Doneness" xfId="7746" xr:uid="{00000000-0005-0000-0000-0000E81D0000}"/>
    <cellStyle name="_20061103Holux_Re-engineering SLM_PM_Workbook_030810_FairPoint_FP comTechOps_ProgramWorkbook_Steps of Doneness" xfId="7747" xr:uid="{00000000-0005-0000-0000-0000E91D0000}"/>
    <cellStyle name="_20061103Holux_Re-engineering SLM_PM_Workbook_030810_FP_CAMP&amp;ITReporting_Maintenance_Dashboard" xfId="7748" xr:uid="{00000000-0005-0000-0000-0000EA1D0000}"/>
    <cellStyle name="_20061103Holux_Re-engineering SLM_PM_Workbook_030810_FP_CAMP&amp;ITReporting_Maintenance_Dashboard 2" xfId="7749" xr:uid="{00000000-0005-0000-0000-0000EB1D0000}"/>
    <cellStyle name="_20061103Holux_Re-engineering SLM_PM_Workbook_030810_FP_CAMP&amp;ITReporting_Maintenance_Dashboard 2_Steps of Doneness" xfId="7750" xr:uid="{00000000-0005-0000-0000-0000EC1D0000}"/>
    <cellStyle name="_20061103Holux_Re-engineering SLM_PM_Workbook_030810_FP_CAMP&amp;ITReporting_Maintenance_Dashboard 3" xfId="7751" xr:uid="{00000000-0005-0000-0000-0000ED1D0000}"/>
    <cellStyle name="_20061103Holux_Re-engineering SLM_PM_Workbook_030810_FP_CAMP&amp;ITReporting_Maintenance_Dashboard_Steps of Doneness" xfId="7752" xr:uid="{00000000-0005-0000-0000-0000EE1D0000}"/>
    <cellStyle name="_20061103Holux_Re-engineering SLM_PM_Workbook_030810_FP_CAMPITReporting_Maintenance_Dashboard" xfId="7753" xr:uid="{00000000-0005-0000-0000-0000EF1D0000}"/>
    <cellStyle name="_20061103Holux_Re-engineering SLM_PM_Workbook_030810_FP_CAMPITReporting_Maintenance_Dashboard 2" xfId="7754" xr:uid="{00000000-0005-0000-0000-0000F01D0000}"/>
    <cellStyle name="_20061103Holux_Re-engineering SLM_PM_Workbook_030810_FP_CAMPITReporting_Maintenance_Dashboard 2_Steps of Doneness" xfId="7755" xr:uid="{00000000-0005-0000-0000-0000F11D0000}"/>
    <cellStyle name="_20061103Holux_Re-engineering SLM_PM_Workbook_030810_FP_CAMPITReporting_Maintenance_Dashboard 3" xfId="7756" xr:uid="{00000000-0005-0000-0000-0000F21D0000}"/>
    <cellStyle name="_20061103Holux_Re-engineering SLM_PM_Workbook_030810_FP_CAMPITReporting_Maintenance_Dashboard_Steps of Doneness" xfId="7757" xr:uid="{00000000-0005-0000-0000-0000F31D0000}"/>
    <cellStyle name="_20061103Holux_Re-engineering SLM_PM_Workbook_030810_FP_Commissions_Req_Dn_ProgramWorkBook_10-Dec-2010" xfId="7758" xr:uid="{00000000-0005-0000-0000-0000F41D0000}"/>
    <cellStyle name="_20061103Holux_Re-engineering SLM_PM_Workbook_030810_FP_Commissions_Req_Dn_ProgramWorkBook_10-Dec-2010 2" xfId="7759" xr:uid="{00000000-0005-0000-0000-0000F51D0000}"/>
    <cellStyle name="_20061103Holux_Re-engineering SLM_PM_Workbook_030810_FP_Commissions_Req_Dn_ProgramWorkBook_10-Dec-2010 2_Steps of Doneness" xfId="7760" xr:uid="{00000000-0005-0000-0000-0000F61D0000}"/>
    <cellStyle name="_20061103Holux_Re-engineering SLM_PM_Workbook_030810_FP_Commissions_Req_Dn_ProgramWorkBook_10-Dec-2010 3" xfId="7761" xr:uid="{00000000-0005-0000-0000-0000F71D0000}"/>
    <cellStyle name="_20061103Holux_Re-engineering SLM_PM_Workbook_030810_FP_Commissions_Req_Dn_ProgramWorkBook_10-Dec-2010_Steps of Doneness" xfId="7762" xr:uid="{00000000-0005-0000-0000-0000F81D0000}"/>
    <cellStyle name="_20061103Holux_Re-engineering SLM_PM_Workbook_030810_FP_DW_Impl_ProgramWorkBook_07-Jan-2011" xfId="7763" xr:uid="{00000000-0005-0000-0000-0000F91D0000}"/>
    <cellStyle name="_20061103Holux_Re-engineering SLM_PM_Workbook_030810_FP_DW_Impl_ProgramWorkBook_07-Jan-2011 2" xfId="7764" xr:uid="{00000000-0005-0000-0000-0000FA1D0000}"/>
    <cellStyle name="_20061103Holux_Re-engineering SLM_PM_Workbook_030810_FP_DW_Impl_ProgramWorkBook_07-Jan-2011 2 2" xfId="7765" xr:uid="{00000000-0005-0000-0000-0000FB1D0000}"/>
    <cellStyle name="_20061103Holux_Re-engineering SLM_PM_Workbook_030810_FP_DW_Impl_ProgramWorkBook_07-Jan-2011 2 2_Steps of Doneness" xfId="7766" xr:uid="{00000000-0005-0000-0000-0000FC1D0000}"/>
    <cellStyle name="_20061103Holux_Re-engineering SLM_PM_Workbook_030810_FP_DW_Impl_ProgramWorkBook_07-Jan-2011 2 3" xfId="7767" xr:uid="{00000000-0005-0000-0000-0000FD1D0000}"/>
    <cellStyle name="_20061103Holux_Re-engineering SLM_PM_Workbook_030810_FP_DW_Impl_ProgramWorkBook_07-Jan-2011 2_Steps of Doneness" xfId="7768" xr:uid="{00000000-0005-0000-0000-0000FE1D0000}"/>
    <cellStyle name="_20061103Holux_Re-engineering SLM_PM_Workbook_030810_FP_DW_Impl_ProgramWorkBook_07-Jan-2011 3" xfId="7769" xr:uid="{00000000-0005-0000-0000-0000FF1D0000}"/>
    <cellStyle name="_20061103Holux_Re-engineering SLM_PM_Workbook_030810_FP_DW_Impl_ProgramWorkBook_07-Jan-2011 3_Steps of Doneness" xfId="7770" xr:uid="{00000000-0005-0000-0000-0000001E0000}"/>
    <cellStyle name="_20061103Holux_Re-engineering SLM_PM_Workbook_030810_FP_DW_Impl_ProgramWorkBook_07-Jan-2011 4" xfId="7771" xr:uid="{00000000-0005-0000-0000-0000011E0000}"/>
    <cellStyle name="_20061103Holux_Re-engineering SLM_PM_Workbook_030810_FP_DW_Impl_ProgramWorkBook_07-Jan-2011_Steps of Doneness" xfId="7772" xr:uid="{00000000-0005-0000-0000-0000021E0000}"/>
    <cellStyle name="_20061103Holux_Re-engineering SLM_PM_Workbook_030810_FP_DW_Impl_ProgramWorkBook_11-Feb-2011" xfId="7773" xr:uid="{00000000-0005-0000-0000-0000031E0000}"/>
    <cellStyle name="_20061103Holux_Re-engineering SLM_PM_Workbook_030810_FP_DW_Impl_ProgramWorkBook_11-Feb-2011 2" xfId="7774" xr:uid="{00000000-0005-0000-0000-0000041E0000}"/>
    <cellStyle name="_20061103Holux_Re-engineering SLM_PM_Workbook_030810_FP_DW_Impl_ProgramWorkBook_11-Feb-2011 2_Steps of Doneness" xfId="7775" xr:uid="{00000000-0005-0000-0000-0000051E0000}"/>
    <cellStyle name="_20061103Holux_Re-engineering SLM_PM_Workbook_030810_FP_DW_Impl_ProgramWorkBook_11-Feb-2011 3" xfId="7776" xr:uid="{00000000-0005-0000-0000-0000061E0000}"/>
    <cellStyle name="_20061103Holux_Re-engineering SLM_PM_Workbook_030810_FP_DW_Impl_ProgramWorkBook_11-Feb-2011_Steps of Doneness" xfId="7777" xr:uid="{00000000-0005-0000-0000-0000071E0000}"/>
    <cellStyle name="_20061103Holux_Re-engineering SLM_PM_Workbook_030810_FP_DW_Impl_ProgramWorkBook_18-Feb-2011 - Working" xfId="7778" xr:uid="{00000000-0005-0000-0000-0000081E0000}"/>
    <cellStyle name="_20061103Holux_Re-engineering SLM_PM_Workbook_030810_FP_DW_Impl_ProgramWorkBook_18-Feb-2011 - Working 2" xfId="7779" xr:uid="{00000000-0005-0000-0000-0000091E0000}"/>
    <cellStyle name="_20061103Holux_Re-engineering SLM_PM_Workbook_030810_FP_DW_Impl_ProgramWorkBook_18-Feb-2011 - Working 2_Steps of Doneness" xfId="7780" xr:uid="{00000000-0005-0000-0000-00000A1E0000}"/>
    <cellStyle name="_20061103Holux_Re-engineering SLM_PM_Workbook_030810_FP_DW_Impl_ProgramWorkBook_18-Feb-2011 - Working 3" xfId="7781" xr:uid="{00000000-0005-0000-0000-00000B1E0000}"/>
    <cellStyle name="_20061103Holux_Re-engineering SLM_PM_Workbook_030810_FP_DW_Impl_ProgramWorkBook_18-Feb-2011 - Working_Steps of Doneness" xfId="7782" xr:uid="{00000000-0005-0000-0000-00000C1E0000}"/>
    <cellStyle name="_20061103Holux_Re-engineering SLM_PM_Workbook_030810_FP_EnterprisePortal_ProgramWorkbook" xfId="7783" xr:uid="{00000000-0005-0000-0000-00000D1E0000}"/>
    <cellStyle name="_20061103Holux_Re-engineering SLM_PM_Workbook_030810_FP_EnterprisePortal_ProgramWorkbook 2" xfId="7784" xr:uid="{00000000-0005-0000-0000-00000E1E0000}"/>
    <cellStyle name="_20061103Holux_Re-engineering SLM_PM_Workbook_030810_FP_EnterprisePortal_ProgramWorkbook 2_Steps of Doneness" xfId="7785" xr:uid="{00000000-0005-0000-0000-00000F1E0000}"/>
    <cellStyle name="_20061103Holux_Re-engineering SLM_PM_Workbook_030810_FP_EnterprisePortal_ProgramWorkbook 3" xfId="7786" xr:uid="{00000000-0005-0000-0000-0000101E0000}"/>
    <cellStyle name="_20061103Holux_Re-engineering SLM_PM_Workbook_030810_FP_EnterprisePortal_ProgramWorkbook_Steps of Doneness" xfId="7787" xr:uid="{00000000-0005-0000-0000-0000111E0000}"/>
    <cellStyle name="_20061103Holux_Re-engineering SLM_PM_Workbook_030810_FP_SAP_MLP v2" xfId="7788" xr:uid="{00000000-0005-0000-0000-0000121E0000}"/>
    <cellStyle name="_20061103Holux_Re-engineering SLM_PM_Workbook_030810_FP_SAP_MLP v2 2" xfId="7789" xr:uid="{00000000-0005-0000-0000-0000131E0000}"/>
    <cellStyle name="_20061103Holux_Re-engineering SLM_PM_Workbook_030810_FP_SAP_MLP v2 2_Steps of Doneness" xfId="7790" xr:uid="{00000000-0005-0000-0000-0000141E0000}"/>
    <cellStyle name="_20061103Holux_Re-engineering SLM_PM_Workbook_030810_FP_SAP_MLP v2 3" xfId="7791" xr:uid="{00000000-0005-0000-0000-0000151E0000}"/>
    <cellStyle name="_20061103Holux_Re-engineering SLM_PM_Workbook_030810_FP_SAP_MLP v2_Steps of Doneness" xfId="7792" xr:uid="{00000000-0005-0000-0000-0000161E0000}"/>
    <cellStyle name="_20061103Holux_Re-engineering SLM_PM_Workbook_030810_KeyDecisions" xfId="7793" xr:uid="{00000000-0005-0000-0000-0000171E0000}"/>
    <cellStyle name="_20061103Holux_Re-engineering SLM_PM_Workbook_030810_KeyDecisions 2" xfId="7794" xr:uid="{00000000-0005-0000-0000-0000181E0000}"/>
    <cellStyle name="_20061103Holux_Re-engineering SLM_PM_Workbook_030810_KeyDecisions 2_Steps of Doneness" xfId="7795" xr:uid="{00000000-0005-0000-0000-0000191E0000}"/>
    <cellStyle name="_20061103Holux_Re-engineering SLM_PM_Workbook_030810_KeyDecisions 3" xfId="7796" xr:uid="{00000000-0005-0000-0000-00001A1E0000}"/>
    <cellStyle name="_20061103Holux_Re-engineering SLM_PM_Workbook_030810_KeyDecisions_Steps of Doneness" xfId="7797" xr:uid="{00000000-0005-0000-0000-00001B1E0000}"/>
    <cellStyle name="_20061103Holux_Re-engineering SLM_PM_Workbook_030810_Sophia_Imp_ProjectWorkBook_02_18_2011" xfId="7798" xr:uid="{00000000-0005-0000-0000-00001C1E0000}"/>
    <cellStyle name="_20061103Holux_Re-engineering SLM_PM_Workbook_030810_Sophia_Imp_ProjectWorkBook_02_18_2011 2" xfId="7799" xr:uid="{00000000-0005-0000-0000-00001D1E0000}"/>
    <cellStyle name="_20061103Holux_Re-engineering SLM_PM_Workbook_030810_Sophia_Imp_ProjectWorkBook_02_18_2011 2_Steps of Doneness" xfId="7800" xr:uid="{00000000-0005-0000-0000-00001E1E0000}"/>
    <cellStyle name="_20061103Holux_Re-engineering SLM_PM_Workbook_030810_Sophia_Imp_ProjectWorkBook_02_18_2011 3" xfId="7801" xr:uid="{00000000-0005-0000-0000-00001F1E0000}"/>
    <cellStyle name="_20061103Holux_Re-engineering SLM_PM_Workbook_030810_Sophia_Imp_ProjectWorkBook_02_18_2011_Steps of Doneness" xfId="7802" xr:uid="{00000000-0005-0000-0000-0000201E0000}"/>
    <cellStyle name="_20061103Holux_Re-engineering SLM_PM_Workbook_030810_Steps of Doneness" xfId="7803" xr:uid="{00000000-0005-0000-0000-0000211E0000}"/>
    <cellStyle name="_20061103Holux_Re-engineering SLM_PM_Workbook_030810_t" xfId="7804" xr:uid="{00000000-0005-0000-0000-0000221E0000}"/>
    <cellStyle name="_20061103Holux_Re-engineering SLM_PM_Workbook_030810_t 2" xfId="7805" xr:uid="{00000000-0005-0000-0000-0000231E0000}"/>
    <cellStyle name="_20061103Holux_Re-engineering SLM_PM_Workbook_030810_t 2_Steps of Doneness" xfId="7806" xr:uid="{00000000-0005-0000-0000-0000241E0000}"/>
    <cellStyle name="_20061103Holux_Re-engineering SLM_PM_Workbook_030810_t 3" xfId="7807" xr:uid="{00000000-0005-0000-0000-0000251E0000}"/>
    <cellStyle name="_20061103Holux_Re-engineering SLM_PM_Workbook_030810_t_Steps of Doneness" xfId="7808" xr:uid="{00000000-0005-0000-0000-0000261E0000}"/>
    <cellStyle name="_20061103Holux_Scope and Deliverable Summary" xfId="7809" xr:uid="{00000000-0005-0000-0000-0000271E0000}"/>
    <cellStyle name="_20061103Holux_Scope and Deliverable Summary 2" xfId="7810" xr:uid="{00000000-0005-0000-0000-0000281E0000}"/>
    <cellStyle name="_20061103Holux_Scope and Deliverable Summary 2 2" xfId="7811" xr:uid="{00000000-0005-0000-0000-0000291E0000}"/>
    <cellStyle name="_20061103Holux_Scope and Deliverable Summary 2 2_Steps of Doneness" xfId="7812" xr:uid="{00000000-0005-0000-0000-00002A1E0000}"/>
    <cellStyle name="_20061103Holux_Scope and Deliverable Summary 2 3" xfId="7813" xr:uid="{00000000-0005-0000-0000-00002B1E0000}"/>
    <cellStyle name="_20061103Holux_Scope and Deliverable Summary 2_Steps of Doneness" xfId="7814" xr:uid="{00000000-0005-0000-0000-00002C1E0000}"/>
    <cellStyle name="_20061103Holux_Scope and Deliverable Summary 3" xfId="7815" xr:uid="{00000000-0005-0000-0000-00002D1E0000}"/>
    <cellStyle name="_20061103Holux_Scope and Deliverable Summary 3 2" xfId="7816" xr:uid="{00000000-0005-0000-0000-00002E1E0000}"/>
    <cellStyle name="_20061103Holux_Scope and Deliverable Summary 3 2_Steps of Doneness" xfId="7817" xr:uid="{00000000-0005-0000-0000-00002F1E0000}"/>
    <cellStyle name="_20061103Holux_Scope and Deliverable Summary 3 3" xfId="7818" xr:uid="{00000000-0005-0000-0000-0000301E0000}"/>
    <cellStyle name="_20061103Holux_Scope and Deliverable Summary 3_Steps of Doneness" xfId="7819" xr:uid="{00000000-0005-0000-0000-0000311E0000}"/>
    <cellStyle name="_20061103Holux_Scope and Deliverable Summary 4" xfId="7820" xr:uid="{00000000-0005-0000-0000-0000321E0000}"/>
    <cellStyle name="_20061103Holux_Scope and Deliverable Summary 4_Steps of Doneness" xfId="7821" xr:uid="{00000000-0005-0000-0000-0000331E0000}"/>
    <cellStyle name="_20061103Holux_Scope and Deliverable Summary 5" xfId="7822" xr:uid="{00000000-0005-0000-0000-0000341E0000}"/>
    <cellStyle name="_20061103Holux_Scope and Deliverable Summary 6" xfId="7823" xr:uid="{00000000-0005-0000-0000-0000351E0000}"/>
    <cellStyle name="_20061103Holux_Scope and Deliverable Summary_Commissioning System Implementation_Project Workbook_06_10_2011" xfId="7824" xr:uid="{00000000-0005-0000-0000-0000361E0000}"/>
    <cellStyle name="_20061103Holux_Scope and Deliverable Summary_Commissioning System Implementation_Project Workbook_06_10_2011 2" xfId="7825" xr:uid="{00000000-0005-0000-0000-0000371E0000}"/>
    <cellStyle name="_20061103Holux_Scope and Deliverable Summary_Commissioning System Implementation_Project Workbook_06_10_2011 2_Steps of Doneness" xfId="7826" xr:uid="{00000000-0005-0000-0000-0000381E0000}"/>
    <cellStyle name="_20061103Holux_Scope and Deliverable Summary_Commissioning System Implementation_Project Workbook_06_10_2011 3" xfId="7827" xr:uid="{00000000-0005-0000-0000-0000391E0000}"/>
    <cellStyle name="_20061103Holux_Scope and Deliverable Summary_Commissioning System Implementation_Project Workbook_06_10_2011_Steps of Doneness" xfId="7828" xr:uid="{00000000-0005-0000-0000-00003A1E0000}"/>
    <cellStyle name="_20061103Holux_Scope and Deliverable Summary_FairPoint_CampReport" xfId="7829" xr:uid="{00000000-0005-0000-0000-00003B1E0000}"/>
    <cellStyle name="_20061103Holux_Scope and Deliverable Summary_FairPoint_CampReport 2" xfId="7830" xr:uid="{00000000-0005-0000-0000-00003C1E0000}"/>
    <cellStyle name="_20061103Holux_Scope and Deliverable Summary_FairPoint_CampReport 2_Steps of Doneness" xfId="7831" xr:uid="{00000000-0005-0000-0000-00003D1E0000}"/>
    <cellStyle name="_20061103Holux_Scope and Deliverable Summary_FairPoint_CampReport 3" xfId="7832" xr:uid="{00000000-0005-0000-0000-00003E1E0000}"/>
    <cellStyle name="_20061103Holux_Scope and Deliverable Summary_FairPoint_CampReport_Steps of Doneness" xfId="7833" xr:uid="{00000000-0005-0000-0000-00003F1E0000}"/>
    <cellStyle name="_20061103Holux_Scope and Deliverable Summary_FairPoint_FP comTechOps_ProgramWorkbook" xfId="7834" xr:uid="{00000000-0005-0000-0000-0000401E0000}"/>
    <cellStyle name="_20061103Holux_Scope and Deliverable Summary_FairPoint_FP comTechOps_ProgramWorkbook 2" xfId="7835" xr:uid="{00000000-0005-0000-0000-0000411E0000}"/>
    <cellStyle name="_20061103Holux_Scope and Deliverable Summary_FairPoint_FP comTechOps_ProgramWorkbook 2_Steps of Doneness" xfId="7836" xr:uid="{00000000-0005-0000-0000-0000421E0000}"/>
    <cellStyle name="_20061103Holux_Scope and Deliverable Summary_FairPoint_FP comTechOps_ProgramWorkbook 3" xfId="7837" xr:uid="{00000000-0005-0000-0000-0000431E0000}"/>
    <cellStyle name="_20061103Holux_Scope and Deliverable Summary_FairPoint_FP comTechOps_ProgramWorkbook_sachin" xfId="7838" xr:uid="{00000000-0005-0000-0000-0000441E0000}"/>
    <cellStyle name="_20061103Holux_Scope and Deliverable Summary_FairPoint_FP comTechOps_ProgramWorkbook_sachin 2" xfId="7839" xr:uid="{00000000-0005-0000-0000-0000451E0000}"/>
    <cellStyle name="_20061103Holux_Scope and Deliverable Summary_FairPoint_FP comTechOps_ProgramWorkbook_sachin 2_Steps of Doneness" xfId="7840" xr:uid="{00000000-0005-0000-0000-0000461E0000}"/>
    <cellStyle name="_20061103Holux_Scope and Deliverable Summary_FairPoint_FP comTechOps_ProgramWorkbook_sachin 3" xfId="7841" xr:uid="{00000000-0005-0000-0000-0000471E0000}"/>
    <cellStyle name="_20061103Holux_Scope and Deliverable Summary_FairPoint_FP comTechOps_ProgramWorkbook_sachin_Steps of Doneness" xfId="7842" xr:uid="{00000000-0005-0000-0000-0000481E0000}"/>
    <cellStyle name="_20061103Holux_Scope and Deliverable Summary_FairPoint_FP comTechOps_ProgramWorkbook_sachin_v1" xfId="7843" xr:uid="{00000000-0005-0000-0000-0000491E0000}"/>
    <cellStyle name="_20061103Holux_Scope and Deliverable Summary_FairPoint_FP comTechOps_ProgramWorkbook_sachin_v1 2" xfId="7844" xr:uid="{00000000-0005-0000-0000-00004A1E0000}"/>
    <cellStyle name="_20061103Holux_Scope and Deliverable Summary_FairPoint_FP comTechOps_ProgramWorkbook_sachin_v1 2_Steps of Doneness" xfId="7845" xr:uid="{00000000-0005-0000-0000-00004B1E0000}"/>
    <cellStyle name="_20061103Holux_Scope and Deliverable Summary_FairPoint_FP comTechOps_ProgramWorkbook_sachin_v1 3" xfId="7846" xr:uid="{00000000-0005-0000-0000-00004C1E0000}"/>
    <cellStyle name="_20061103Holux_Scope and Deliverable Summary_FairPoint_FP comTechOps_ProgramWorkbook_sachin_v1_Steps of Doneness" xfId="7847" xr:uid="{00000000-0005-0000-0000-00004D1E0000}"/>
    <cellStyle name="_20061103Holux_Scope and Deliverable Summary_FairPoint_FP comTechOps_ProgramWorkbook_Steps of Doneness" xfId="7848" xr:uid="{00000000-0005-0000-0000-00004E1E0000}"/>
    <cellStyle name="_20061103Holux_Scope and Deliverable Summary_FP_CAMP&amp;ITReporting_Maintenance_Dashboard" xfId="7849" xr:uid="{00000000-0005-0000-0000-00004F1E0000}"/>
    <cellStyle name="_20061103Holux_Scope and Deliverable Summary_FP_CAMP&amp;ITReporting_Maintenance_Dashboard 2" xfId="7850" xr:uid="{00000000-0005-0000-0000-0000501E0000}"/>
    <cellStyle name="_20061103Holux_Scope and Deliverable Summary_FP_CAMP&amp;ITReporting_Maintenance_Dashboard 2_Steps of Doneness" xfId="7851" xr:uid="{00000000-0005-0000-0000-0000511E0000}"/>
    <cellStyle name="_20061103Holux_Scope and Deliverable Summary_FP_CAMP&amp;ITReporting_Maintenance_Dashboard 3" xfId="7852" xr:uid="{00000000-0005-0000-0000-0000521E0000}"/>
    <cellStyle name="_20061103Holux_Scope and Deliverable Summary_FP_CAMP&amp;ITReporting_Maintenance_Dashboard_Steps of Doneness" xfId="7853" xr:uid="{00000000-0005-0000-0000-0000531E0000}"/>
    <cellStyle name="_20061103Holux_Scope and Deliverable Summary_FP_CAMPITReporting_Maintenance_Dashboard" xfId="7854" xr:uid="{00000000-0005-0000-0000-0000541E0000}"/>
    <cellStyle name="_20061103Holux_Scope and Deliverable Summary_FP_CAMPITReporting_Maintenance_Dashboard 2" xfId="7855" xr:uid="{00000000-0005-0000-0000-0000551E0000}"/>
    <cellStyle name="_20061103Holux_Scope and Deliverable Summary_FP_CAMPITReporting_Maintenance_Dashboard 2_Steps of Doneness" xfId="7856" xr:uid="{00000000-0005-0000-0000-0000561E0000}"/>
    <cellStyle name="_20061103Holux_Scope and Deliverable Summary_FP_CAMPITReporting_Maintenance_Dashboard 3" xfId="7857" xr:uid="{00000000-0005-0000-0000-0000571E0000}"/>
    <cellStyle name="_20061103Holux_Scope and Deliverable Summary_FP_CAMPITReporting_Maintenance_Dashboard_Steps of Doneness" xfId="7858" xr:uid="{00000000-0005-0000-0000-0000581E0000}"/>
    <cellStyle name="_20061103Holux_Scope and Deliverable Summary_FP_Commissions_Req_Dn_ProgramWorkBook_10-Dec-2010" xfId="7859" xr:uid="{00000000-0005-0000-0000-0000591E0000}"/>
    <cellStyle name="_20061103Holux_Scope and Deliverable Summary_FP_Commissions_Req_Dn_ProgramWorkBook_10-Dec-2010 2" xfId="7860" xr:uid="{00000000-0005-0000-0000-00005A1E0000}"/>
    <cellStyle name="_20061103Holux_Scope and Deliverable Summary_FP_Commissions_Req_Dn_ProgramWorkBook_10-Dec-2010 2_Steps of Doneness" xfId="7861" xr:uid="{00000000-0005-0000-0000-00005B1E0000}"/>
    <cellStyle name="_20061103Holux_Scope and Deliverable Summary_FP_Commissions_Req_Dn_ProgramWorkBook_10-Dec-2010 3" xfId="7862" xr:uid="{00000000-0005-0000-0000-00005C1E0000}"/>
    <cellStyle name="_20061103Holux_Scope and Deliverable Summary_FP_Commissions_Req_Dn_ProgramWorkBook_10-Dec-2010_Steps of Doneness" xfId="7863" xr:uid="{00000000-0005-0000-0000-00005D1E0000}"/>
    <cellStyle name="_20061103Holux_Scope and Deliverable Summary_FP_DW_Impl_ProgramWorkBook_07-Jan-2011" xfId="7864" xr:uid="{00000000-0005-0000-0000-00005E1E0000}"/>
    <cellStyle name="_20061103Holux_Scope and Deliverable Summary_FP_DW_Impl_ProgramWorkBook_07-Jan-2011 2" xfId="7865" xr:uid="{00000000-0005-0000-0000-00005F1E0000}"/>
    <cellStyle name="_20061103Holux_Scope and Deliverable Summary_FP_DW_Impl_ProgramWorkBook_07-Jan-2011 2 2" xfId="7866" xr:uid="{00000000-0005-0000-0000-0000601E0000}"/>
    <cellStyle name="_20061103Holux_Scope and Deliverable Summary_FP_DW_Impl_ProgramWorkBook_07-Jan-2011 2 2_Steps of Doneness" xfId="7867" xr:uid="{00000000-0005-0000-0000-0000611E0000}"/>
    <cellStyle name="_20061103Holux_Scope and Deliverable Summary_FP_DW_Impl_ProgramWorkBook_07-Jan-2011 2 3" xfId="7868" xr:uid="{00000000-0005-0000-0000-0000621E0000}"/>
    <cellStyle name="_20061103Holux_Scope and Deliverable Summary_FP_DW_Impl_ProgramWorkBook_07-Jan-2011 2_Steps of Doneness" xfId="7869" xr:uid="{00000000-0005-0000-0000-0000631E0000}"/>
    <cellStyle name="_20061103Holux_Scope and Deliverable Summary_FP_DW_Impl_ProgramWorkBook_07-Jan-2011 3" xfId="7870" xr:uid="{00000000-0005-0000-0000-0000641E0000}"/>
    <cellStyle name="_20061103Holux_Scope and Deliverable Summary_FP_DW_Impl_ProgramWorkBook_07-Jan-2011 3_Steps of Doneness" xfId="7871" xr:uid="{00000000-0005-0000-0000-0000651E0000}"/>
    <cellStyle name="_20061103Holux_Scope and Deliverable Summary_FP_DW_Impl_ProgramWorkBook_07-Jan-2011 4" xfId="7872" xr:uid="{00000000-0005-0000-0000-0000661E0000}"/>
    <cellStyle name="_20061103Holux_Scope and Deliverable Summary_FP_DW_Impl_ProgramWorkBook_07-Jan-2011_Steps of Doneness" xfId="7873" xr:uid="{00000000-0005-0000-0000-0000671E0000}"/>
    <cellStyle name="_20061103Holux_Scope and Deliverable Summary_FP_DW_Impl_ProgramWorkBook_11-Feb-2011" xfId="7874" xr:uid="{00000000-0005-0000-0000-0000681E0000}"/>
    <cellStyle name="_20061103Holux_Scope and Deliverable Summary_FP_DW_Impl_ProgramWorkBook_11-Feb-2011 2" xfId="7875" xr:uid="{00000000-0005-0000-0000-0000691E0000}"/>
    <cellStyle name="_20061103Holux_Scope and Deliverable Summary_FP_DW_Impl_ProgramWorkBook_11-Feb-2011 2_Steps of Doneness" xfId="7876" xr:uid="{00000000-0005-0000-0000-00006A1E0000}"/>
    <cellStyle name="_20061103Holux_Scope and Deliverable Summary_FP_DW_Impl_ProgramWorkBook_11-Feb-2011 3" xfId="7877" xr:uid="{00000000-0005-0000-0000-00006B1E0000}"/>
    <cellStyle name="_20061103Holux_Scope and Deliverable Summary_FP_DW_Impl_ProgramWorkBook_11-Feb-2011_Steps of Doneness" xfId="7878" xr:uid="{00000000-0005-0000-0000-00006C1E0000}"/>
    <cellStyle name="_20061103Holux_Scope and Deliverable Summary_FP_DW_Impl_ProgramWorkBook_18-Feb-2011 - Working" xfId="7879" xr:uid="{00000000-0005-0000-0000-00006D1E0000}"/>
    <cellStyle name="_20061103Holux_Scope and Deliverable Summary_FP_DW_Impl_ProgramWorkBook_18-Feb-2011 - Working 2" xfId="7880" xr:uid="{00000000-0005-0000-0000-00006E1E0000}"/>
    <cellStyle name="_20061103Holux_Scope and Deliverable Summary_FP_DW_Impl_ProgramWorkBook_18-Feb-2011 - Working 2_Steps of Doneness" xfId="7881" xr:uid="{00000000-0005-0000-0000-00006F1E0000}"/>
    <cellStyle name="_20061103Holux_Scope and Deliverable Summary_FP_DW_Impl_ProgramWorkBook_18-Feb-2011 - Working 3" xfId="7882" xr:uid="{00000000-0005-0000-0000-0000701E0000}"/>
    <cellStyle name="_20061103Holux_Scope and Deliverable Summary_FP_DW_Impl_ProgramWorkBook_18-Feb-2011 - Working_Steps of Doneness" xfId="7883" xr:uid="{00000000-0005-0000-0000-0000711E0000}"/>
    <cellStyle name="_20061103Holux_Scope and Deliverable Summary_FP_EnterprisePortal_ProgramWorkbook" xfId="7884" xr:uid="{00000000-0005-0000-0000-0000721E0000}"/>
    <cellStyle name="_20061103Holux_Scope and Deliverable Summary_FP_EnterprisePortal_ProgramWorkbook 2" xfId="7885" xr:uid="{00000000-0005-0000-0000-0000731E0000}"/>
    <cellStyle name="_20061103Holux_Scope and Deliverable Summary_FP_EnterprisePortal_ProgramWorkbook 2_Steps of Doneness" xfId="7886" xr:uid="{00000000-0005-0000-0000-0000741E0000}"/>
    <cellStyle name="_20061103Holux_Scope and Deliverable Summary_FP_EnterprisePortal_ProgramWorkbook 3" xfId="7887" xr:uid="{00000000-0005-0000-0000-0000751E0000}"/>
    <cellStyle name="_20061103Holux_Scope and Deliverable Summary_FP_EnterprisePortal_ProgramWorkbook_Steps of Doneness" xfId="7888" xr:uid="{00000000-0005-0000-0000-0000761E0000}"/>
    <cellStyle name="_20061103Holux_Scope and Deliverable Summary_FP_SAP_MLP v2" xfId="7889" xr:uid="{00000000-0005-0000-0000-0000771E0000}"/>
    <cellStyle name="_20061103Holux_Scope and Deliverable Summary_FP_SAP_MLP v2 2" xfId="7890" xr:uid="{00000000-0005-0000-0000-0000781E0000}"/>
    <cellStyle name="_20061103Holux_Scope and Deliverable Summary_FP_SAP_MLP v2 2_Steps of Doneness" xfId="7891" xr:uid="{00000000-0005-0000-0000-0000791E0000}"/>
    <cellStyle name="_20061103Holux_Scope and Deliverable Summary_FP_SAP_MLP v2 3" xfId="7892" xr:uid="{00000000-0005-0000-0000-00007A1E0000}"/>
    <cellStyle name="_20061103Holux_Scope and Deliverable Summary_FP_SAP_MLP v2_Steps of Doneness" xfId="7893" xr:uid="{00000000-0005-0000-0000-00007B1E0000}"/>
    <cellStyle name="_20061103Holux_Scope and Deliverable Summary_KeyDecisions" xfId="7894" xr:uid="{00000000-0005-0000-0000-00007C1E0000}"/>
    <cellStyle name="_20061103Holux_Scope and Deliverable Summary_KeyDecisions 2" xfId="7895" xr:uid="{00000000-0005-0000-0000-00007D1E0000}"/>
    <cellStyle name="_20061103Holux_Scope and Deliverable Summary_KeyDecisions 2_Steps of Doneness" xfId="7896" xr:uid="{00000000-0005-0000-0000-00007E1E0000}"/>
    <cellStyle name="_20061103Holux_Scope and Deliverable Summary_KeyDecisions 3" xfId="7897" xr:uid="{00000000-0005-0000-0000-00007F1E0000}"/>
    <cellStyle name="_20061103Holux_Scope and Deliverable Summary_KeyDecisions_Steps of Doneness" xfId="7898" xr:uid="{00000000-0005-0000-0000-0000801E0000}"/>
    <cellStyle name="_20061103Holux_Scope and Deliverable Summary_Sophia_Imp_ProjectWorkBook_02_18_2011" xfId="7899" xr:uid="{00000000-0005-0000-0000-0000811E0000}"/>
    <cellStyle name="_20061103Holux_Scope and Deliverable Summary_Sophia_Imp_ProjectWorkBook_02_18_2011 2" xfId="7900" xr:uid="{00000000-0005-0000-0000-0000821E0000}"/>
    <cellStyle name="_20061103Holux_Scope and Deliverable Summary_Sophia_Imp_ProjectWorkBook_02_18_2011 2_Steps of Doneness" xfId="7901" xr:uid="{00000000-0005-0000-0000-0000831E0000}"/>
    <cellStyle name="_20061103Holux_Scope and Deliverable Summary_Sophia_Imp_ProjectWorkBook_02_18_2011 3" xfId="7902" xr:uid="{00000000-0005-0000-0000-0000841E0000}"/>
    <cellStyle name="_20061103Holux_Scope and Deliverable Summary_Sophia_Imp_ProjectWorkBook_02_18_2011_Steps of Doneness" xfId="7903" xr:uid="{00000000-0005-0000-0000-0000851E0000}"/>
    <cellStyle name="_20061103Holux_Scope and Deliverable Summary_Steps of Doneness" xfId="7904" xr:uid="{00000000-0005-0000-0000-0000861E0000}"/>
    <cellStyle name="_20061103Holux_Scope and Deliverable Summary_t" xfId="7905" xr:uid="{00000000-0005-0000-0000-0000871E0000}"/>
    <cellStyle name="_20061103Holux_Scope and Deliverable Summary_t 2" xfId="7906" xr:uid="{00000000-0005-0000-0000-0000881E0000}"/>
    <cellStyle name="_20061103Holux_Scope and Deliverable Summary_t 2_Steps of Doneness" xfId="7907" xr:uid="{00000000-0005-0000-0000-0000891E0000}"/>
    <cellStyle name="_20061103Holux_Scope and Deliverable Summary_t 3" xfId="7908" xr:uid="{00000000-0005-0000-0000-00008A1E0000}"/>
    <cellStyle name="_20061103Holux_Scope and Deliverable Summary_t_Steps of Doneness" xfId="7909" xr:uid="{00000000-0005-0000-0000-00008B1E0000}"/>
    <cellStyle name="_20061103Holux_Scope and Deliverables Summary_0320" xfId="7910" xr:uid="{00000000-0005-0000-0000-00008C1E0000}"/>
    <cellStyle name="_20061103Holux_Scope and Deliverables Summary_0320 2" xfId="7911" xr:uid="{00000000-0005-0000-0000-00008D1E0000}"/>
    <cellStyle name="_20061103Holux_Scope and Deliverables Summary_0320 2 2" xfId="7912" xr:uid="{00000000-0005-0000-0000-00008E1E0000}"/>
    <cellStyle name="_20061103Holux_Scope and Deliverables Summary_0320 2 2_Steps of Doneness" xfId="7913" xr:uid="{00000000-0005-0000-0000-00008F1E0000}"/>
    <cellStyle name="_20061103Holux_Scope and Deliverables Summary_0320 2 3" xfId="7914" xr:uid="{00000000-0005-0000-0000-0000901E0000}"/>
    <cellStyle name="_20061103Holux_Scope and Deliverables Summary_0320 2_Steps of Doneness" xfId="7915" xr:uid="{00000000-0005-0000-0000-0000911E0000}"/>
    <cellStyle name="_20061103Holux_Scope and Deliverables Summary_0320 3" xfId="7916" xr:uid="{00000000-0005-0000-0000-0000921E0000}"/>
    <cellStyle name="_20061103Holux_Scope and Deliverables Summary_0320 3 2" xfId="7917" xr:uid="{00000000-0005-0000-0000-0000931E0000}"/>
    <cellStyle name="_20061103Holux_Scope and Deliverables Summary_0320 3 2_Steps of Doneness" xfId="7918" xr:uid="{00000000-0005-0000-0000-0000941E0000}"/>
    <cellStyle name="_20061103Holux_Scope and Deliverables Summary_0320 3 3" xfId="7919" xr:uid="{00000000-0005-0000-0000-0000951E0000}"/>
    <cellStyle name="_20061103Holux_Scope and Deliverables Summary_0320 3_Steps of Doneness" xfId="7920" xr:uid="{00000000-0005-0000-0000-0000961E0000}"/>
    <cellStyle name="_20061103Holux_Scope and Deliverables Summary_0320 4" xfId="7921" xr:uid="{00000000-0005-0000-0000-0000971E0000}"/>
    <cellStyle name="_20061103Holux_Scope and Deliverables Summary_0320 4_Steps of Doneness" xfId="7922" xr:uid="{00000000-0005-0000-0000-0000981E0000}"/>
    <cellStyle name="_20061103Holux_Scope and Deliverables Summary_0320 5" xfId="7923" xr:uid="{00000000-0005-0000-0000-0000991E0000}"/>
    <cellStyle name="_20061103Holux_Scope and Deliverables Summary_0320 6" xfId="7924" xr:uid="{00000000-0005-0000-0000-00009A1E0000}"/>
    <cellStyle name="_20061103Holux_Scope and Deliverables Summary_0320_Commissioning System Implementation_Project Workbook_06_10_2011" xfId="7925" xr:uid="{00000000-0005-0000-0000-00009B1E0000}"/>
    <cellStyle name="_20061103Holux_Scope and Deliverables Summary_0320_Commissioning System Implementation_Project Workbook_06_10_2011 2" xfId="7926" xr:uid="{00000000-0005-0000-0000-00009C1E0000}"/>
    <cellStyle name="_20061103Holux_Scope and Deliverables Summary_0320_Commissioning System Implementation_Project Workbook_06_10_2011 2_Steps of Doneness" xfId="7927" xr:uid="{00000000-0005-0000-0000-00009D1E0000}"/>
    <cellStyle name="_20061103Holux_Scope and Deliverables Summary_0320_Commissioning System Implementation_Project Workbook_06_10_2011 3" xfId="7928" xr:uid="{00000000-0005-0000-0000-00009E1E0000}"/>
    <cellStyle name="_20061103Holux_Scope and Deliverables Summary_0320_Commissioning System Implementation_Project Workbook_06_10_2011_Steps of Doneness" xfId="7929" xr:uid="{00000000-0005-0000-0000-00009F1E0000}"/>
    <cellStyle name="_20061103Holux_Scope and Deliverables Summary_0320_FairPoint_CampReport" xfId="7930" xr:uid="{00000000-0005-0000-0000-0000A01E0000}"/>
    <cellStyle name="_20061103Holux_Scope and Deliverables Summary_0320_FairPoint_CampReport 2" xfId="7931" xr:uid="{00000000-0005-0000-0000-0000A11E0000}"/>
    <cellStyle name="_20061103Holux_Scope and Deliverables Summary_0320_FairPoint_CampReport 2_Steps of Doneness" xfId="7932" xr:uid="{00000000-0005-0000-0000-0000A21E0000}"/>
    <cellStyle name="_20061103Holux_Scope and Deliverables Summary_0320_FairPoint_CampReport 3" xfId="7933" xr:uid="{00000000-0005-0000-0000-0000A31E0000}"/>
    <cellStyle name="_20061103Holux_Scope and Deliverables Summary_0320_FairPoint_CampReport_Steps of Doneness" xfId="7934" xr:uid="{00000000-0005-0000-0000-0000A41E0000}"/>
    <cellStyle name="_20061103Holux_Scope and Deliverables Summary_0320_FairPoint_FP comTechOps_ProgramWorkbook" xfId="7935" xr:uid="{00000000-0005-0000-0000-0000A51E0000}"/>
    <cellStyle name="_20061103Holux_Scope and Deliverables Summary_0320_FairPoint_FP comTechOps_ProgramWorkbook 2" xfId="7936" xr:uid="{00000000-0005-0000-0000-0000A61E0000}"/>
    <cellStyle name="_20061103Holux_Scope and Deliverables Summary_0320_FairPoint_FP comTechOps_ProgramWorkbook 2_Steps of Doneness" xfId="7937" xr:uid="{00000000-0005-0000-0000-0000A71E0000}"/>
    <cellStyle name="_20061103Holux_Scope and Deliverables Summary_0320_FairPoint_FP comTechOps_ProgramWorkbook 3" xfId="7938" xr:uid="{00000000-0005-0000-0000-0000A81E0000}"/>
    <cellStyle name="_20061103Holux_Scope and Deliverables Summary_0320_FairPoint_FP comTechOps_ProgramWorkbook_sachin" xfId="7939" xr:uid="{00000000-0005-0000-0000-0000A91E0000}"/>
    <cellStyle name="_20061103Holux_Scope and Deliverables Summary_0320_FairPoint_FP comTechOps_ProgramWorkbook_sachin 2" xfId="7940" xr:uid="{00000000-0005-0000-0000-0000AA1E0000}"/>
    <cellStyle name="_20061103Holux_Scope and Deliverables Summary_0320_FairPoint_FP comTechOps_ProgramWorkbook_sachin 2_Steps of Doneness" xfId="7941" xr:uid="{00000000-0005-0000-0000-0000AB1E0000}"/>
    <cellStyle name="_20061103Holux_Scope and Deliverables Summary_0320_FairPoint_FP comTechOps_ProgramWorkbook_sachin 3" xfId="7942" xr:uid="{00000000-0005-0000-0000-0000AC1E0000}"/>
    <cellStyle name="_20061103Holux_Scope and Deliverables Summary_0320_FairPoint_FP comTechOps_ProgramWorkbook_sachin_Steps of Doneness" xfId="7943" xr:uid="{00000000-0005-0000-0000-0000AD1E0000}"/>
    <cellStyle name="_20061103Holux_Scope and Deliverables Summary_0320_FairPoint_FP comTechOps_ProgramWorkbook_sachin_v1" xfId="7944" xr:uid="{00000000-0005-0000-0000-0000AE1E0000}"/>
    <cellStyle name="_20061103Holux_Scope and Deliverables Summary_0320_FairPoint_FP comTechOps_ProgramWorkbook_sachin_v1 2" xfId="7945" xr:uid="{00000000-0005-0000-0000-0000AF1E0000}"/>
    <cellStyle name="_20061103Holux_Scope and Deliverables Summary_0320_FairPoint_FP comTechOps_ProgramWorkbook_sachin_v1 2_Steps of Doneness" xfId="7946" xr:uid="{00000000-0005-0000-0000-0000B01E0000}"/>
    <cellStyle name="_20061103Holux_Scope and Deliverables Summary_0320_FairPoint_FP comTechOps_ProgramWorkbook_sachin_v1 3" xfId="7947" xr:uid="{00000000-0005-0000-0000-0000B11E0000}"/>
    <cellStyle name="_20061103Holux_Scope and Deliverables Summary_0320_FairPoint_FP comTechOps_ProgramWorkbook_sachin_v1_Steps of Doneness" xfId="7948" xr:uid="{00000000-0005-0000-0000-0000B21E0000}"/>
    <cellStyle name="_20061103Holux_Scope and Deliverables Summary_0320_FairPoint_FP comTechOps_ProgramWorkbook_Steps of Doneness" xfId="7949" xr:uid="{00000000-0005-0000-0000-0000B31E0000}"/>
    <cellStyle name="_20061103Holux_Scope and Deliverables Summary_0320_FP_CAMP&amp;ITReporting_Maintenance_Dashboard" xfId="7950" xr:uid="{00000000-0005-0000-0000-0000B41E0000}"/>
    <cellStyle name="_20061103Holux_Scope and Deliverables Summary_0320_FP_CAMP&amp;ITReporting_Maintenance_Dashboard 2" xfId="7951" xr:uid="{00000000-0005-0000-0000-0000B51E0000}"/>
    <cellStyle name="_20061103Holux_Scope and Deliverables Summary_0320_FP_CAMP&amp;ITReporting_Maintenance_Dashboard 2_Steps of Doneness" xfId="7952" xr:uid="{00000000-0005-0000-0000-0000B61E0000}"/>
    <cellStyle name="_20061103Holux_Scope and Deliverables Summary_0320_FP_CAMP&amp;ITReporting_Maintenance_Dashboard 3" xfId="7953" xr:uid="{00000000-0005-0000-0000-0000B71E0000}"/>
    <cellStyle name="_20061103Holux_Scope and Deliverables Summary_0320_FP_CAMP&amp;ITReporting_Maintenance_Dashboard_Steps of Doneness" xfId="7954" xr:uid="{00000000-0005-0000-0000-0000B81E0000}"/>
    <cellStyle name="_20061103Holux_Scope and Deliverables Summary_0320_FP_CAMPITReporting_Maintenance_Dashboard" xfId="7955" xr:uid="{00000000-0005-0000-0000-0000B91E0000}"/>
    <cellStyle name="_20061103Holux_Scope and Deliverables Summary_0320_FP_CAMPITReporting_Maintenance_Dashboard 2" xfId="7956" xr:uid="{00000000-0005-0000-0000-0000BA1E0000}"/>
    <cellStyle name="_20061103Holux_Scope and Deliverables Summary_0320_FP_CAMPITReporting_Maintenance_Dashboard 2_Steps of Doneness" xfId="7957" xr:uid="{00000000-0005-0000-0000-0000BB1E0000}"/>
    <cellStyle name="_20061103Holux_Scope and Deliverables Summary_0320_FP_CAMPITReporting_Maintenance_Dashboard 3" xfId="7958" xr:uid="{00000000-0005-0000-0000-0000BC1E0000}"/>
    <cellStyle name="_20061103Holux_Scope and Deliverables Summary_0320_FP_CAMPITReporting_Maintenance_Dashboard_Steps of Doneness" xfId="7959" xr:uid="{00000000-0005-0000-0000-0000BD1E0000}"/>
    <cellStyle name="_20061103Holux_Scope and Deliverables Summary_0320_FP_Commissions_Req_Dn_ProgramWorkBook_10-Dec-2010" xfId="7960" xr:uid="{00000000-0005-0000-0000-0000BE1E0000}"/>
    <cellStyle name="_20061103Holux_Scope and Deliverables Summary_0320_FP_Commissions_Req_Dn_ProgramWorkBook_10-Dec-2010 2" xfId="7961" xr:uid="{00000000-0005-0000-0000-0000BF1E0000}"/>
    <cellStyle name="_20061103Holux_Scope and Deliverables Summary_0320_FP_Commissions_Req_Dn_ProgramWorkBook_10-Dec-2010 2_Steps of Doneness" xfId="7962" xr:uid="{00000000-0005-0000-0000-0000C01E0000}"/>
    <cellStyle name="_20061103Holux_Scope and Deliverables Summary_0320_FP_Commissions_Req_Dn_ProgramWorkBook_10-Dec-2010 3" xfId="7963" xr:uid="{00000000-0005-0000-0000-0000C11E0000}"/>
    <cellStyle name="_20061103Holux_Scope and Deliverables Summary_0320_FP_Commissions_Req_Dn_ProgramWorkBook_10-Dec-2010_Steps of Doneness" xfId="7964" xr:uid="{00000000-0005-0000-0000-0000C21E0000}"/>
    <cellStyle name="_20061103Holux_Scope and Deliverables Summary_0320_FP_DW_Impl_ProgramWorkBook_07-Jan-2011" xfId="7965" xr:uid="{00000000-0005-0000-0000-0000C31E0000}"/>
    <cellStyle name="_20061103Holux_Scope and Deliverables Summary_0320_FP_DW_Impl_ProgramWorkBook_07-Jan-2011 2" xfId="7966" xr:uid="{00000000-0005-0000-0000-0000C41E0000}"/>
    <cellStyle name="_20061103Holux_Scope and Deliverables Summary_0320_FP_DW_Impl_ProgramWorkBook_07-Jan-2011 2 2" xfId="7967" xr:uid="{00000000-0005-0000-0000-0000C51E0000}"/>
    <cellStyle name="_20061103Holux_Scope and Deliverables Summary_0320_FP_DW_Impl_ProgramWorkBook_07-Jan-2011 2 2_Steps of Doneness" xfId="7968" xr:uid="{00000000-0005-0000-0000-0000C61E0000}"/>
    <cellStyle name="_20061103Holux_Scope and Deliverables Summary_0320_FP_DW_Impl_ProgramWorkBook_07-Jan-2011 2 3" xfId="7969" xr:uid="{00000000-0005-0000-0000-0000C71E0000}"/>
    <cellStyle name="_20061103Holux_Scope and Deliverables Summary_0320_FP_DW_Impl_ProgramWorkBook_07-Jan-2011 2_Steps of Doneness" xfId="7970" xr:uid="{00000000-0005-0000-0000-0000C81E0000}"/>
    <cellStyle name="_20061103Holux_Scope and Deliverables Summary_0320_FP_DW_Impl_ProgramWorkBook_07-Jan-2011 3" xfId="7971" xr:uid="{00000000-0005-0000-0000-0000C91E0000}"/>
    <cellStyle name="_20061103Holux_Scope and Deliverables Summary_0320_FP_DW_Impl_ProgramWorkBook_07-Jan-2011 3_Steps of Doneness" xfId="7972" xr:uid="{00000000-0005-0000-0000-0000CA1E0000}"/>
    <cellStyle name="_20061103Holux_Scope and Deliverables Summary_0320_FP_DW_Impl_ProgramWorkBook_07-Jan-2011 4" xfId="7973" xr:uid="{00000000-0005-0000-0000-0000CB1E0000}"/>
    <cellStyle name="_20061103Holux_Scope and Deliverables Summary_0320_FP_DW_Impl_ProgramWorkBook_07-Jan-2011_Steps of Doneness" xfId="7974" xr:uid="{00000000-0005-0000-0000-0000CC1E0000}"/>
    <cellStyle name="_20061103Holux_Scope and Deliverables Summary_0320_FP_DW_Impl_ProgramWorkBook_11-Feb-2011" xfId="7975" xr:uid="{00000000-0005-0000-0000-0000CD1E0000}"/>
    <cellStyle name="_20061103Holux_Scope and Deliverables Summary_0320_FP_DW_Impl_ProgramWorkBook_11-Feb-2011 2" xfId="7976" xr:uid="{00000000-0005-0000-0000-0000CE1E0000}"/>
    <cellStyle name="_20061103Holux_Scope and Deliverables Summary_0320_FP_DW_Impl_ProgramWorkBook_11-Feb-2011 2_Steps of Doneness" xfId="7977" xr:uid="{00000000-0005-0000-0000-0000CF1E0000}"/>
    <cellStyle name="_20061103Holux_Scope and Deliverables Summary_0320_FP_DW_Impl_ProgramWorkBook_11-Feb-2011 3" xfId="7978" xr:uid="{00000000-0005-0000-0000-0000D01E0000}"/>
    <cellStyle name="_20061103Holux_Scope and Deliverables Summary_0320_FP_DW_Impl_ProgramWorkBook_11-Feb-2011_Steps of Doneness" xfId="7979" xr:uid="{00000000-0005-0000-0000-0000D11E0000}"/>
    <cellStyle name="_20061103Holux_Scope and Deliverables Summary_0320_FP_DW_Impl_ProgramWorkBook_18-Feb-2011 - Working" xfId="7980" xr:uid="{00000000-0005-0000-0000-0000D21E0000}"/>
    <cellStyle name="_20061103Holux_Scope and Deliverables Summary_0320_FP_DW_Impl_ProgramWorkBook_18-Feb-2011 - Working 2" xfId="7981" xr:uid="{00000000-0005-0000-0000-0000D31E0000}"/>
    <cellStyle name="_20061103Holux_Scope and Deliverables Summary_0320_FP_DW_Impl_ProgramWorkBook_18-Feb-2011 - Working 2_Steps of Doneness" xfId="7982" xr:uid="{00000000-0005-0000-0000-0000D41E0000}"/>
    <cellStyle name="_20061103Holux_Scope and Deliverables Summary_0320_FP_DW_Impl_ProgramWorkBook_18-Feb-2011 - Working 3" xfId="7983" xr:uid="{00000000-0005-0000-0000-0000D51E0000}"/>
    <cellStyle name="_20061103Holux_Scope and Deliverables Summary_0320_FP_DW_Impl_ProgramWorkBook_18-Feb-2011 - Working_Steps of Doneness" xfId="7984" xr:uid="{00000000-0005-0000-0000-0000D61E0000}"/>
    <cellStyle name="_20061103Holux_Scope and Deliverables Summary_0320_FP_EnterprisePortal_ProgramWorkbook" xfId="7985" xr:uid="{00000000-0005-0000-0000-0000D71E0000}"/>
    <cellStyle name="_20061103Holux_Scope and Deliverables Summary_0320_FP_EnterprisePortal_ProgramWorkbook 2" xfId="7986" xr:uid="{00000000-0005-0000-0000-0000D81E0000}"/>
    <cellStyle name="_20061103Holux_Scope and Deliverables Summary_0320_FP_EnterprisePortal_ProgramWorkbook 2_Steps of Doneness" xfId="7987" xr:uid="{00000000-0005-0000-0000-0000D91E0000}"/>
    <cellStyle name="_20061103Holux_Scope and Deliverables Summary_0320_FP_EnterprisePortal_ProgramWorkbook 3" xfId="7988" xr:uid="{00000000-0005-0000-0000-0000DA1E0000}"/>
    <cellStyle name="_20061103Holux_Scope and Deliverables Summary_0320_FP_EnterprisePortal_ProgramWorkbook_Steps of Doneness" xfId="7989" xr:uid="{00000000-0005-0000-0000-0000DB1E0000}"/>
    <cellStyle name="_20061103Holux_Scope and Deliverables Summary_0320_FP_SAP_MLP v2" xfId="7990" xr:uid="{00000000-0005-0000-0000-0000DC1E0000}"/>
    <cellStyle name="_20061103Holux_Scope and Deliverables Summary_0320_FP_SAP_MLP v2 2" xfId="7991" xr:uid="{00000000-0005-0000-0000-0000DD1E0000}"/>
    <cellStyle name="_20061103Holux_Scope and Deliverables Summary_0320_FP_SAP_MLP v2 2_Steps of Doneness" xfId="7992" xr:uid="{00000000-0005-0000-0000-0000DE1E0000}"/>
    <cellStyle name="_20061103Holux_Scope and Deliverables Summary_0320_FP_SAP_MLP v2 3" xfId="7993" xr:uid="{00000000-0005-0000-0000-0000DF1E0000}"/>
    <cellStyle name="_20061103Holux_Scope and Deliverables Summary_0320_FP_SAP_MLP v2_Steps of Doneness" xfId="7994" xr:uid="{00000000-0005-0000-0000-0000E01E0000}"/>
    <cellStyle name="_20061103Holux_Scope and Deliverables Summary_0320_KeyDecisions" xfId="7995" xr:uid="{00000000-0005-0000-0000-0000E11E0000}"/>
    <cellStyle name="_20061103Holux_Scope and Deliverables Summary_0320_KeyDecisions 2" xfId="7996" xr:uid="{00000000-0005-0000-0000-0000E21E0000}"/>
    <cellStyle name="_20061103Holux_Scope and Deliverables Summary_0320_KeyDecisions 2_Steps of Doneness" xfId="7997" xr:uid="{00000000-0005-0000-0000-0000E31E0000}"/>
    <cellStyle name="_20061103Holux_Scope and Deliverables Summary_0320_KeyDecisions 3" xfId="7998" xr:uid="{00000000-0005-0000-0000-0000E41E0000}"/>
    <cellStyle name="_20061103Holux_Scope and Deliverables Summary_0320_KeyDecisions_Steps of Doneness" xfId="7999" xr:uid="{00000000-0005-0000-0000-0000E51E0000}"/>
    <cellStyle name="_20061103Holux_Scope and Deliverables Summary_0320_Sophia_Imp_ProjectWorkBook_02_18_2011" xfId="8000" xr:uid="{00000000-0005-0000-0000-0000E61E0000}"/>
    <cellStyle name="_20061103Holux_Scope and Deliverables Summary_0320_Sophia_Imp_ProjectWorkBook_02_18_2011 2" xfId="8001" xr:uid="{00000000-0005-0000-0000-0000E71E0000}"/>
    <cellStyle name="_20061103Holux_Scope and Deliverables Summary_0320_Sophia_Imp_ProjectWorkBook_02_18_2011 2_Steps of Doneness" xfId="8002" xr:uid="{00000000-0005-0000-0000-0000E81E0000}"/>
    <cellStyle name="_20061103Holux_Scope and Deliverables Summary_0320_Sophia_Imp_ProjectWorkBook_02_18_2011 3" xfId="8003" xr:uid="{00000000-0005-0000-0000-0000E91E0000}"/>
    <cellStyle name="_20061103Holux_Scope and Deliverables Summary_0320_Sophia_Imp_ProjectWorkBook_02_18_2011_Steps of Doneness" xfId="8004" xr:uid="{00000000-0005-0000-0000-0000EA1E0000}"/>
    <cellStyle name="_20061103Holux_Scope and Deliverables Summary_0320_Steps of Doneness" xfId="8005" xr:uid="{00000000-0005-0000-0000-0000EB1E0000}"/>
    <cellStyle name="_20061103Holux_Scope and Deliverables Summary_0320_t" xfId="8006" xr:uid="{00000000-0005-0000-0000-0000EC1E0000}"/>
    <cellStyle name="_20061103Holux_Scope and Deliverables Summary_0320_t 2" xfId="8007" xr:uid="{00000000-0005-0000-0000-0000ED1E0000}"/>
    <cellStyle name="_20061103Holux_Scope and Deliverables Summary_0320_t 2_Steps of Doneness" xfId="8008" xr:uid="{00000000-0005-0000-0000-0000EE1E0000}"/>
    <cellStyle name="_20061103Holux_Scope and Deliverables Summary_0320_t 3" xfId="8009" xr:uid="{00000000-0005-0000-0000-0000EF1E0000}"/>
    <cellStyle name="_20061103Holux_Scope and Deliverables Summary_0320_t_Steps of Doneness" xfId="8010" xr:uid="{00000000-0005-0000-0000-0000F01E0000}"/>
    <cellStyle name="_20061103Holux_Scope and Deliverables Summary_0323" xfId="8011" xr:uid="{00000000-0005-0000-0000-0000F11E0000}"/>
    <cellStyle name="_20061103Holux_Scope and Deliverables Summary_0323 2" xfId="8012" xr:uid="{00000000-0005-0000-0000-0000F21E0000}"/>
    <cellStyle name="_20061103Holux_Scope and Deliverables Summary_0323 2 2" xfId="8013" xr:uid="{00000000-0005-0000-0000-0000F31E0000}"/>
    <cellStyle name="_20061103Holux_Scope and Deliverables Summary_0323 2 2_Steps of Doneness" xfId="8014" xr:uid="{00000000-0005-0000-0000-0000F41E0000}"/>
    <cellStyle name="_20061103Holux_Scope and Deliverables Summary_0323 2 3" xfId="8015" xr:uid="{00000000-0005-0000-0000-0000F51E0000}"/>
    <cellStyle name="_20061103Holux_Scope and Deliverables Summary_0323 2_Steps of Doneness" xfId="8016" xr:uid="{00000000-0005-0000-0000-0000F61E0000}"/>
    <cellStyle name="_20061103Holux_Scope and Deliverables Summary_0323 3" xfId="8017" xr:uid="{00000000-0005-0000-0000-0000F71E0000}"/>
    <cellStyle name="_20061103Holux_Scope and Deliverables Summary_0323 3 2" xfId="8018" xr:uid="{00000000-0005-0000-0000-0000F81E0000}"/>
    <cellStyle name="_20061103Holux_Scope and Deliverables Summary_0323 3 2_Steps of Doneness" xfId="8019" xr:uid="{00000000-0005-0000-0000-0000F91E0000}"/>
    <cellStyle name="_20061103Holux_Scope and Deliverables Summary_0323 3 3" xfId="8020" xr:uid="{00000000-0005-0000-0000-0000FA1E0000}"/>
    <cellStyle name="_20061103Holux_Scope and Deliverables Summary_0323 3_Steps of Doneness" xfId="8021" xr:uid="{00000000-0005-0000-0000-0000FB1E0000}"/>
    <cellStyle name="_20061103Holux_Scope and Deliverables Summary_0323 4" xfId="8022" xr:uid="{00000000-0005-0000-0000-0000FC1E0000}"/>
    <cellStyle name="_20061103Holux_Scope and Deliverables Summary_0323 4_Steps of Doneness" xfId="8023" xr:uid="{00000000-0005-0000-0000-0000FD1E0000}"/>
    <cellStyle name="_20061103Holux_Scope and Deliverables Summary_0323 5" xfId="8024" xr:uid="{00000000-0005-0000-0000-0000FE1E0000}"/>
    <cellStyle name="_20061103Holux_Scope and Deliverables Summary_0323 6" xfId="8025" xr:uid="{00000000-0005-0000-0000-0000FF1E0000}"/>
    <cellStyle name="_20061103Holux_Scope and Deliverables Summary_0323_Commissioning System Implementation_Project Workbook_06_10_2011" xfId="8026" xr:uid="{00000000-0005-0000-0000-0000001F0000}"/>
    <cellStyle name="_20061103Holux_Scope and Deliverables Summary_0323_Commissioning System Implementation_Project Workbook_06_10_2011 2" xfId="8027" xr:uid="{00000000-0005-0000-0000-0000011F0000}"/>
    <cellStyle name="_20061103Holux_Scope and Deliverables Summary_0323_Commissioning System Implementation_Project Workbook_06_10_2011 2_Steps of Doneness" xfId="8028" xr:uid="{00000000-0005-0000-0000-0000021F0000}"/>
    <cellStyle name="_20061103Holux_Scope and Deliverables Summary_0323_Commissioning System Implementation_Project Workbook_06_10_2011 3" xfId="8029" xr:uid="{00000000-0005-0000-0000-0000031F0000}"/>
    <cellStyle name="_20061103Holux_Scope and Deliverables Summary_0323_Commissioning System Implementation_Project Workbook_06_10_2011_Steps of Doneness" xfId="8030" xr:uid="{00000000-0005-0000-0000-0000041F0000}"/>
    <cellStyle name="_20061103Holux_Scope and Deliverables Summary_0323_FairPoint_CampReport" xfId="8031" xr:uid="{00000000-0005-0000-0000-0000051F0000}"/>
    <cellStyle name="_20061103Holux_Scope and Deliverables Summary_0323_FairPoint_CampReport 2" xfId="8032" xr:uid="{00000000-0005-0000-0000-0000061F0000}"/>
    <cellStyle name="_20061103Holux_Scope and Deliverables Summary_0323_FairPoint_CampReport 2_Steps of Doneness" xfId="8033" xr:uid="{00000000-0005-0000-0000-0000071F0000}"/>
    <cellStyle name="_20061103Holux_Scope and Deliverables Summary_0323_FairPoint_CampReport 3" xfId="8034" xr:uid="{00000000-0005-0000-0000-0000081F0000}"/>
    <cellStyle name="_20061103Holux_Scope and Deliverables Summary_0323_FairPoint_CampReport_Steps of Doneness" xfId="8035" xr:uid="{00000000-0005-0000-0000-0000091F0000}"/>
    <cellStyle name="_20061103Holux_Scope and Deliverables Summary_0323_FairPoint_FP comTechOps_ProgramWorkbook" xfId="8036" xr:uid="{00000000-0005-0000-0000-00000A1F0000}"/>
    <cellStyle name="_20061103Holux_Scope and Deliverables Summary_0323_FairPoint_FP comTechOps_ProgramWorkbook 2" xfId="8037" xr:uid="{00000000-0005-0000-0000-00000B1F0000}"/>
    <cellStyle name="_20061103Holux_Scope and Deliverables Summary_0323_FairPoint_FP comTechOps_ProgramWorkbook 2_Steps of Doneness" xfId="8038" xr:uid="{00000000-0005-0000-0000-00000C1F0000}"/>
    <cellStyle name="_20061103Holux_Scope and Deliverables Summary_0323_FairPoint_FP comTechOps_ProgramWorkbook 3" xfId="8039" xr:uid="{00000000-0005-0000-0000-00000D1F0000}"/>
    <cellStyle name="_20061103Holux_Scope and Deliverables Summary_0323_FairPoint_FP comTechOps_ProgramWorkbook_sachin" xfId="8040" xr:uid="{00000000-0005-0000-0000-00000E1F0000}"/>
    <cellStyle name="_20061103Holux_Scope and Deliverables Summary_0323_FairPoint_FP comTechOps_ProgramWorkbook_sachin 2" xfId="8041" xr:uid="{00000000-0005-0000-0000-00000F1F0000}"/>
    <cellStyle name="_20061103Holux_Scope and Deliverables Summary_0323_FairPoint_FP comTechOps_ProgramWorkbook_sachin 2_Steps of Doneness" xfId="8042" xr:uid="{00000000-0005-0000-0000-0000101F0000}"/>
    <cellStyle name="_20061103Holux_Scope and Deliverables Summary_0323_FairPoint_FP comTechOps_ProgramWorkbook_sachin 3" xfId="8043" xr:uid="{00000000-0005-0000-0000-0000111F0000}"/>
    <cellStyle name="_20061103Holux_Scope and Deliverables Summary_0323_FairPoint_FP comTechOps_ProgramWorkbook_sachin_Steps of Doneness" xfId="8044" xr:uid="{00000000-0005-0000-0000-0000121F0000}"/>
    <cellStyle name="_20061103Holux_Scope and Deliverables Summary_0323_FairPoint_FP comTechOps_ProgramWorkbook_sachin_v1" xfId="8045" xr:uid="{00000000-0005-0000-0000-0000131F0000}"/>
    <cellStyle name="_20061103Holux_Scope and Deliverables Summary_0323_FairPoint_FP comTechOps_ProgramWorkbook_sachin_v1 2" xfId="8046" xr:uid="{00000000-0005-0000-0000-0000141F0000}"/>
    <cellStyle name="_20061103Holux_Scope and Deliverables Summary_0323_FairPoint_FP comTechOps_ProgramWorkbook_sachin_v1 2_Steps of Doneness" xfId="8047" xr:uid="{00000000-0005-0000-0000-0000151F0000}"/>
    <cellStyle name="_20061103Holux_Scope and Deliverables Summary_0323_FairPoint_FP comTechOps_ProgramWorkbook_sachin_v1 3" xfId="8048" xr:uid="{00000000-0005-0000-0000-0000161F0000}"/>
    <cellStyle name="_20061103Holux_Scope and Deliverables Summary_0323_FairPoint_FP comTechOps_ProgramWorkbook_sachin_v1_Steps of Doneness" xfId="8049" xr:uid="{00000000-0005-0000-0000-0000171F0000}"/>
    <cellStyle name="_20061103Holux_Scope and Deliverables Summary_0323_FairPoint_FP comTechOps_ProgramWorkbook_Steps of Doneness" xfId="8050" xr:uid="{00000000-0005-0000-0000-0000181F0000}"/>
    <cellStyle name="_20061103Holux_Scope and Deliverables Summary_0323_FP_CAMP&amp;ITReporting_Maintenance_Dashboard" xfId="8051" xr:uid="{00000000-0005-0000-0000-0000191F0000}"/>
    <cellStyle name="_20061103Holux_Scope and Deliverables Summary_0323_FP_CAMP&amp;ITReporting_Maintenance_Dashboard 2" xfId="8052" xr:uid="{00000000-0005-0000-0000-00001A1F0000}"/>
    <cellStyle name="_20061103Holux_Scope and Deliverables Summary_0323_FP_CAMP&amp;ITReporting_Maintenance_Dashboard 2_Steps of Doneness" xfId="8053" xr:uid="{00000000-0005-0000-0000-00001B1F0000}"/>
    <cellStyle name="_20061103Holux_Scope and Deliverables Summary_0323_FP_CAMP&amp;ITReporting_Maintenance_Dashboard 3" xfId="8054" xr:uid="{00000000-0005-0000-0000-00001C1F0000}"/>
    <cellStyle name="_20061103Holux_Scope and Deliverables Summary_0323_FP_CAMP&amp;ITReporting_Maintenance_Dashboard_Steps of Doneness" xfId="8055" xr:uid="{00000000-0005-0000-0000-00001D1F0000}"/>
    <cellStyle name="_20061103Holux_Scope and Deliverables Summary_0323_FP_CAMPITReporting_Maintenance_Dashboard" xfId="8056" xr:uid="{00000000-0005-0000-0000-00001E1F0000}"/>
    <cellStyle name="_20061103Holux_Scope and Deliverables Summary_0323_FP_CAMPITReporting_Maintenance_Dashboard 2" xfId="8057" xr:uid="{00000000-0005-0000-0000-00001F1F0000}"/>
    <cellStyle name="_20061103Holux_Scope and Deliverables Summary_0323_FP_CAMPITReporting_Maintenance_Dashboard 2_Steps of Doneness" xfId="8058" xr:uid="{00000000-0005-0000-0000-0000201F0000}"/>
    <cellStyle name="_20061103Holux_Scope and Deliverables Summary_0323_FP_CAMPITReporting_Maintenance_Dashboard 3" xfId="8059" xr:uid="{00000000-0005-0000-0000-0000211F0000}"/>
    <cellStyle name="_20061103Holux_Scope and Deliverables Summary_0323_FP_CAMPITReporting_Maintenance_Dashboard_Steps of Doneness" xfId="8060" xr:uid="{00000000-0005-0000-0000-0000221F0000}"/>
    <cellStyle name="_20061103Holux_Scope and Deliverables Summary_0323_FP_Commissions_Req_Dn_ProgramWorkBook_10-Dec-2010" xfId="8061" xr:uid="{00000000-0005-0000-0000-0000231F0000}"/>
    <cellStyle name="_20061103Holux_Scope and Deliverables Summary_0323_FP_Commissions_Req_Dn_ProgramWorkBook_10-Dec-2010 2" xfId="8062" xr:uid="{00000000-0005-0000-0000-0000241F0000}"/>
    <cellStyle name="_20061103Holux_Scope and Deliverables Summary_0323_FP_Commissions_Req_Dn_ProgramWorkBook_10-Dec-2010 2_Steps of Doneness" xfId="8063" xr:uid="{00000000-0005-0000-0000-0000251F0000}"/>
    <cellStyle name="_20061103Holux_Scope and Deliverables Summary_0323_FP_Commissions_Req_Dn_ProgramWorkBook_10-Dec-2010 3" xfId="8064" xr:uid="{00000000-0005-0000-0000-0000261F0000}"/>
    <cellStyle name="_20061103Holux_Scope and Deliverables Summary_0323_FP_Commissions_Req_Dn_ProgramWorkBook_10-Dec-2010_Steps of Doneness" xfId="8065" xr:uid="{00000000-0005-0000-0000-0000271F0000}"/>
    <cellStyle name="_20061103Holux_Scope and Deliverables Summary_0323_FP_DW_Impl_ProgramWorkBook_07-Jan-2011" xfId="8066" xr:uid="{00000000-0005-0000-0000-0000281F0000}"/>
    <cellStyle name="_20061103Holux_Scope and Deliverables Summary_0323_FP_DW_Impl_ProgramWorkBook_07-Jan-2011 2" xfId="8067" xr:uid="{00000000-0005-0000-0000-0000291F0000}"/>
    <cellStyle name="_20061103Holux_Scope and Deliverables Summary_0323_FP_DW_Impl_ProgramWorkBook_07-Jan-2011 2 2" xfId="8068" xr:uid="{00000000-0005-0000-0000-00002A1F0000}"/>
    <cellStyle name="_20061103Holux_Scope and Deliverables Summary_0323_FP_DW_Impl_ProgramWorkBook_07-Jan-2011 2 2_Steps of Doneness" xfId="8069" xr:uid="{00000000-0005-0000-0000-00002B1F0000}"/>
    <cellStyle name="_20061103Holux_Scope and Deliverables Summary_0323_FP_DW_Impl_ProgramWorkBook_07-Jan-2011 2 3" xfId="8070" xr:uid="{00000000-0005-0000-0000-00002C1F0000}"/>
    <cellStyle name="_20061103Holux_Scope and Deliverables Summary_0323_FP_DW_Impl_ProgramWorkBook_07-Jan-2011 2_Steps of Doneness" xfId="8071" xr:uid="{00000000-0005-0000-0000-00002D1F0000}"/>
    <cellStyle name="_20061103Holux_Scope and Deliverables Summary_0323_FP_DW_Impl_ProgramWorkBook_07-Jan-2011 3" xfId="8072" xr:uid="{00000000-0005-0000-0000-00002E1F0000}"/>
    <cellStyle name="_20061103Holux_Scope and Deliverables Summary_0323_FP_DW_Impl_ProgramWorkBook_07-Jan-2011 3_Steps of Doneness" xfId="8073" xr:uid="{00000000-0005-0000-0000-00002F1F0000}"/>
    <cellStyle name="_20061103Holux_Scope and Deliverables Summary_0323_FP_DW_Impl_ProgramWorkBook_07-Jan-2011 4" xfId="8074" xr:uid="{00000000-0005-0000-0000-0000301F0000}"/>
    <cellStyle name="_20061103Holux_Scope and Deliverables Summary_0323_FP_DW_Impl_ProgramWorkBook_07-Jan-2011_Steps of Doneness" xfId="8075" xr:uid="{00000000-0005-0000-0000-0000311F0000}"/>
    <cellStyle name="_20061103Holux_Scope and Deliverables Summary_0323_FP_DW_Impl_ProgramWorkBook_11-Feb-2011" xfId="8076" xr:uid="{00000000-0005-0000-0000-0000321F0000}"/>
    <cellStyle name="_20061103Holux_Scope and Deliverables Summary_0323_FP_DW_Impl_ProgramWorkBook_11-Feb-2011 2" xfId="8077" xr:uid="{00000000-0005-0000-0000-0000331F0000}"/>
    <cellStyle name="_20061103Holux_Scope and Deliverables Summary_0323_FP_DW_Impl_ProgramWorkBook_11-Feb-2011 2_Steps of Doneness" xfId="8078" xr:uid="{00000000-0005-0000-0000-0000341F0000}"/>
    <cellStyle name="_20061103Holux_Scope and Deliverables Summary_0323_FP_DW_Impl_ProgramWorkBook_11-Feb-2011 3" xfId="8079" xr:uid="{00000000-0005-0000-0000-0000351F0000}"/>
    <cellStyle name="_20061103Holux_Scope and Deliverables Summary_0323_FP_DW_Impl_ProgramWorkBook_11-Feb-2011_Steps of Doneness" xfId="8080" xr:uid="{00000000-0005-0000-0000-0000361F0000}"/>
    <cellStyle name="_20061103Holux_Scope and Deliverables Summary_0323_FP_DW_Impl_ProgramWorkBook_18-Feb-2011 - Working" xfId="8081" xr:uid="{00000000-0005-0000-0000-0000371F0000}"/>
    <cellStyle name="_20061103Holux_Scope and Deliverables Summary_0323_FP_DW_Impl_ProgramWorkBook_18-Feb-2011 - Working 2" xfId="8082" xr:uid="{00000000-0005-0000-0000-0000381F0000}"/>
    <cellStyle name="_20061103Holux_Scope and Deliverables Summary_0323_FP_DW_Impl_ProgramWorkBook_18-Feb-2011 - Working 2_Steps of Doneness" xfId="8083" xr:uid="{00000000-0005-0000-0000-0000391F0000}"/>
    <cellStyle name="_20061103Holux_Scope and Deliverables Summary_0323_FP_DW_Impl_ProgramWorkBook_18-Feb-2011 - Working 3" xfId="8084" xr:uid="{00000000-0005-0000-0000-00003A1F0000}"/>
    <cellStyle name="_20061103Holux_Scope and Deliverables Summary_0323_FP_DW_Impl_ProgramWorkBook_18-Feb-2011 - Working_Steps of Doneness" xfId="8085" xr:uid="{00000000-0005-0000-0000-00003B1F0000}"/>
    <cellStyle name="_20061103Holux_Scope and Deliverables Summary_0323_FP_EnterprisePortal_ProgramWorkbook" xfId="8086" xr:uid="{00000000-0005-0000-0000-00003C1F0000}"/>
    <cellStyle name="_20061103Holux_Scope and Deliverables Summary_0323_FP_EnterprisePortal_ProgramWorkbook 2" xfId="8087" xr:uid="{00000000-0005-0000-0000-00003D1F0000}"/>
    <cellStyle name="_20061103Holux_Scope and Deliverables Summary_0323_FP_EnterprisePortal_ProgramWorkbook 2_Steps of Doneness" xfId="8088" xr:uid="{00000000-0005-0000-0000-00003E1F0000}"/>
    <cellStyle name="_20061103Holux_Scope and Deliverables Summary_0323_FP_EnterprisePortal_ProgramWorkbook 3" xfId="8089" xr:uid="{00000000-0005-0000-0000-00003F1F0000}"/>
    <cellStyle name="_20061103Holux_Scope and Deliverables Summary_0323_FP_EnterprisePortal_ProgramWorkbook_Steps of Doneness" xfId="8090" xr:uid="{00000000-0005-0000-0000-0000401F0000}"/>
    <cellStyle name="_20061103Holux_Scope and Deliverables Summary_0323_FP_SAP_MLP v2" xfId="8091" xr:uid="{00000000-0005-0000-0000-0000411F0000}"/>
    <cellStyle name="_20061103Holux_Scope and Deliverables Summary_0323_FP_SAP_MLP v2 2" xfId="8092" xr:uid="{00000000-0005-0000-0000-0000421F0000}"/>
    <cellStyle name="_20061103Holux_Scope and Deliverables Summary_0323_FP_SAP_MLP v2 2_Steps of Doneness" xfId="8093" xr:uid="{00000000-0005-0000-0000-0000431F0000}"/>
    <cellStyle name="_20061103Holux_Scope and Deliverables Summary_0323_FP_SAP_MLP v2 3" xfId="8094" xr:uid="{00000000-0005-0000-0000-0000441F0000}"/>
    <cellStyle name="_20061103Holux_Scope and Deliverables Summary_0323_FP_SAP_MLP v2_Steps of Doneness" xfId="8095" xr:uid="{00000000-0005-0000-0000-0000451F0000}"/>
    <cellStyle name="_20061103Holux_Scope and Deliverables Summary_0323_KeyDecisions" xfId="8096" xr:uid="{00000000-0005-0000-0000-0000461F0000}"/>
    <cellStyle name="_20061103Holux_Scope and Deliverables Summary_0323_KeyDecisions 2" xfId="8097" xr:uid="{00000000-0005-0000-0000-0000471F0000}"/>
    <cellStyle name="_20061103Holux_Scope and Deliverables Summary_0323_KeyDecisions 2_Steps of Doneness" xfId="8098" xr:uid="{00000000-0005-0000-0000-0000481F0000}"/>
    <cellStyle name="_20061103Holux_Scope and Deliverables Summary_0323_KeyDecisions 3" xfId="8099" xr:uid="{00000000-0005-0000-0000-0000491F0000}"/>
    <cellStyle name="_20061103Holux_Scope and Deliverables Summary_0323_KeyDecisions_Steps of Doneness" xfId="8100" xr:uid="{00000000-0005-0000-0000-00004A1F0000}"/>
    <cellStyle name="_20061103Holux_Scope and Deliverables Summary_0323_Sophia_Imp_ProjectWorkBook_02_18_2011" xfId="8101" xr:uid="{00000000-0005-0000-0000-00004B1F0000}"/>
    <cellStyle name="_20061103Holux_Scope and Deliverables Summary_0323_Sophia_Imp_ProjectWorkBook_02_18_2011 2" xfId="8102" xr:uid="{00000000-0005-0000-0000-00004C1F0000}"/>
    <cellStyle name="_20061103Holux_Scope and Deliverables Summary_0323_Sophia_Imp_ProjectWorkBook_02_18_2011 2_Steps of Doneness" xfId="8103" xr:uid="{00000000-0005-0000-0000-00004D1F0000}"/>
    <cellStyle name="_20061103Holux_Scope and Deliverables Summary_0323_Sophia_Imp_ProjectWorkBook_02_18_2011 3" xfId="8104" xr:uid="{00000000-0005-0000-0000-00004E1F0000}"/>
    <cellStyle name="_20061103Holux_Scope and Deliverables Summary_0323_Sophia_Imp_ProjectWorkBook_02_18_2011_Steps of Doneness" xfId="8105" xr:uid="{00000000-0005-0000-0000-00004F1F0000}"/>
    <cellStyle name="_20061103Holux_Scope and Deliverables Summary_0323_Steps of Doneness" xfId="8106" xr:uid="{00000000-0005-0000-0000-0000501F0000}"/>
    <cellStyle name="_20061103Holux_Scope and Deliverables Summary_0323_t" xfId="8107" xr:uid="{00000000-0005-0000-0000-0000511F0000}"/>
    <cellStyle name="_20061103Holux_Scope and Deliverables Summary_0323_t 2" xfId="8108" xr:uid="{00000000-0005-0000-0000-0000521F0000}"/>
    <cellStyle name="_20061103Holux_Scope and Deliverables Summary_0323_t 2_Steps of Doneness" xfId="8109" xr:uid="{00000000-0005-0000-0000-0000531F0000}"/>
    <cellStyle name="_20061103Holux_Scope and Deliverables Summary_0323_t 3" xfId="8110" xr:uid="{00000000-0005-0000-0000-0000541F0000}"/>
    <cellStyle name="_20061103Holux_Scope and Deliverables Summary_0323_t_Steps of Doneness" xfId="8111" xr:uid="{00000000-0005-0000-0000-0000551F0000}"/>
    <cellStyle name="_20061103Holux_Scope and Deliverables Summary_CMS_0609" xfId="8112" xr:uid="{00000000-0005-0000-0000-0000561F0000}"/>
    <cellStyle name="_20061103Holux_Scope and Deliverables Summary_CMS_0609 2" xfId="8113" xr:uid="{00000000-0005-0000-0000-0000571F0000}"/>
    <cellStyle name="_20061103Holux_Scope and Deliverables Summary_CMS_0609 2 2" xfId="8114" xr:uid="{00000000-0005-0000-0000-0000581F0000}"/>
    <cellStyle name="_20061103Holux_Scope and Deliverables Summary_CMS_0609 2 2_Steps of Doneness" xfId="8115" xr:uid="{00000000-0005-0000-0000-0000591F0000}"/>
    <cellStyle name="_20061103Holux_Scope and Deliverables Summary_CMS_0609 2 3" xfId="8116" xr:uid="{00000000-0005-0000-0000-00005A1F0000}"/>
    <cellStyle name="_20061103Holux_Scope and Deliverables Summary_CMS_0609 2_Steps of Doneness" xfId="8117" xr:uid="{00000000-0005-0000-0000-00005B1F0000}"/>
    <cellStyle name="_20061103Holux_Scope and Deliverables Summary_CMS_0609 3" xfId="8118" xr:uid="{00000000-0005-0000-0000-00005C1F0000}"/>
    <cellStyle name="_20061103Holux_Scope and Deliverables Summary_CMS_0609 3 2" xfId="8119" xr:uid="{00000000-0005-0000-0000-00005D1F0000}"/>
    <cellStyle name="_20061103Holux_Scope and Deliverables Summary_CMS_0609 3 2_Steps of Doneness" xfId="8120" xr:uid="{00000000-0005-0000-0000-00005E1F0000}"/>
    <cellStyle name="_20061103Holux_Scope and Deliverables Summary_CMS_0609 3 3" xfId="8121" xr:uid="{00000000-0005-0000-0000-00005F1F0000}"/>
    <cellStyle name="_20061103Holux_Scope and Deliverables Summary_CMS_0609 3_Steps of Doneness" xfId="8122" xr:uid="{00000000-0005-0000-0000-0000601F0000}"/>
    <cellStyle name="_20061103Holux_Scope and Deliverables Summary_CMS_0609 4" xfId="8123" xr:uid="{00000000-0005-0000-0000-0000611F0000}"/>
    <cellStyle name="_20061103Holux_Scope and Deliverables Summary_CMS_0609 4_Steps of Doneness" xfId="8124" xr:uid="{00000000-0005-0000-0000-0000621F0000}"/>
    <cellStyle name="_20061103Holux_Scope and Deliverables Summary_CMS_0609 5" xfId="8125" xr:uid="{00000000-0005-0000-0000-0000631F0000}"/>
    <cellStyle name="_20061103Holux_Scope and Deliverables Summary_CMS_0609 6" xfId="8126" xr:uid="{00000000-0005-0000-0000-0000641F0000}"/>
    <cellStyle name="_20061103Holux_Scope and Deliverables Summary_CMS_0609_Commissioning System Implementation_Project Workbook_06_10_2011" xfId="8127" xr:uid="{00000000-0005-0000-0000-0000651F0000}"/>
    <cellStyle name="_20061103Holux_Scope and Deliverables Summary_CMS_0609_Commissioning System Implementation_Project Workbook_06_10_2011 2" xfId="8128" xr:uid="{00000000-0005-0000-0000-0000661F0000}"/>
    <cellStyle name="_20061103Holux_Scope and Deliverables Summary_CMS_0609_Commissioning System Implementation_Project Workbook_06_10_2011 2_Steps of Doneness" xfId="8129" xr:uid="{00000000-0005-0000-0000-0000671F0000}"/>
    <cellStyle name="_20061103Holux_Scope and Deliverables Summary_CMS_0609_Commissioning System Implementation_Project Workbook_06_10_2011 3" xfId="8130" xr:uid="{00000000-0005-0000-0000-0000681F0000}"/>
    <cellStyle name="_20061103Holux_Scope and Deliverables Summary_CMS_0609_Commissioning System Implementation_Project Workbook_06_10_2011_Steps of Doneness" xfId="8131" xr:uid="{00000000-0005-0000-0000-0000691F0000}"/>
    <cellStyle name="_20061103Holux_Scope and Deliverables Summary_CMS_0609_FairPoint_CampReport" xfId="8132" xr:uid="{00000000-0005-0000-0000-00006A1F0000}"/>
    <cellStyle name="_20061103Holux_Scope and Deliverables Summary_CMS_0609_FairPoint_CampReport 2" xfId="8133" xr:uid="{00000000-0005-0000-0000-00006B1F0000}"/>
    <cellStyle name="_20061103Holux_Scope and Deliverables Summary_CMS_0609_FairPoint_CampReport 2_Steps of Doneness" xfId="8134" xr:uid="{00000000-0005-0000-0000-00006C1F0000}"/>
    <cellStyle name="_20061103Holux_Scope and Deliverables Summary_CMS_0609_FairPoint_CampReport 3" xfId="8135" xr:uid="{00000000-0005-0000-0000-00006D1F0000}"/>
    <cellStyle name="_20061103Holux_Scope and Deliverables Summary_CMS_0609_FairPoint_CampReport_Steps of Doneness" xfId="8136" xr:uid="{00000000-0005-0000-0000-00006E1F0000}"/>
    <cellStyle name="_20061103Holux_Scope and Deliverables Summary_CMS_0609_FairPoint_FP comTechOps_ProgramWorkbook" xfId="8137" xr:uid="{00000000-0005-0000-0000-00006F1F0000}"/>
    <cellStyle name="_20061103Holux_Scope and Deliverables Summary_CMS_0609_FairPoint_FP comTechOps_ProgramWorkbook 2" xfId="8138" xr:uid="{00000000-0005-0000-0000-0000701F0000}"/>
    <cellStyle name="_20061103Holux_Scope and Deliverables Summary_CMS_0609_FairPoint_FP comTechOps_ProgramWorkbook 2_Steps of Doneness" xfId="8139" xr:uid="{00000000-0005-0000-0000-0000711F0000}"/>
    <cellStyle name="_20061103Holux_Scope and Deliverables Summary_CMS_0609_FairPoint_FP comTechOps_ProgramWorkbook 3" xfId="8140" xr:uid="{00000000-0005-0000-0000-0000721F0000}"/>
    <cellStyle name="_20061103Holux_Scope and Deliverables Summary_CMS_0609_FairPoint_FP comTechOps_ProgramWorkbook_sachin" xfId="8141" xr:uid="{00000000-0005-0000-0000-0000731F0000}"/>
    <cellStyle name="_20061103Holux_Scope and Deliverables Summary_CMS_0609_FairPoint_FP comTechOps_ProgramWorkbook_sachin 2" xfId="8142" xr:uid="{00000000-0005-0000-0000-0000741F0000}"/>
    <cellStyle name="_20061103Holux_Scope and Deliverables Summary_CMS_0609_FairPoint_FP comTechOps_ProgramWorkbook_sachin 2_Steps of Doneness" xfId="8143" xr:uid="{00000000-0005-0000-0000-0000751F0000}"/>
    <cellStyle name="_20061103Holux_Scope and Deliverables Summary_CMS_0609_FairPoint_FP comTechOps_ProgramWorkbook_sachin 3" xfId="8144" xr:uid="{00000000-0005-0000-0000-0000761F0000}"/>
    <cellStyle name="_20061103Holux_Scope and Deliverables Summary_CMS_0609_FairPoint_FP comTechOps_ProgramWorkbook_sachin_Steps of Doneness" xfId="8145" xr:uid="{00000000-0005-0000-0000-0000771F0000}"/>
    <cellStyle name="_20061103Holux_Scope and Deliverables Summary_CMS_0609_FairPoint_FP comTechOps_ProgramWorkbook_sachin_v1" xfId="8146" xr:uid="{00000000-0005-0000-0000-0000781F0000}"/>
    <cellStyle name="_20061103Holux_Scope and Deliverables Summary_CMS_0609_FairPoint_FP comTechOps_ProgramWorkbook_sachin_v1 2" xfId="8147" xr:uid="{00000000-0005-0000-0000-0000791F0000}"/>
    <cellStyle name="_20061103Holux_Scope and Deliverables Summary_CMS_0609_FairPoint_FP comTechOps_ProgramWorkbook_sachin_v1 2_Steps of Doneness" xfId="8148" xr:uid="{00000000-0005-0000-0000-00007A1F0000}"/>
    <cellStyle name="_20061103Holux_Scope and Deliverables Summary_CMS_0609_FairPoint_FP comTechOps_ProgramWorkbook_sachin_v1 3" xfId="8149" xr:uid="{00000000-0005-0000-0000-00007B1F0000}"/>
    <cellStyle name="_20061103Holux_Scope and Deliverables Summary_CMS_0609_FairPoint_FP comTechOps_ProgramWorkbook_sachin_v1_Steps of Doneness" xfId="8150" xr:uid="{00000000-0005-0000-0000-00007C1F0000}"/>
    <cellStyle name="_20061103Holux_Scope and Deliverables Summary_CMS_0609_FairPoint_FP comTechOps_ProgramWorkbook_Steps of Doneness" xfId="8151" xr:uid="{00000000-0005-0000-0000-00007D1F0000}"/>
    <cellStyle name="_20061103Holux_Scope and Deliverables Summary_CMS_0609_FP_CAMP&amp;ITReporting_Maintenance_Dashboard" xfId="8152" xr:uid="{00000000-0005-0000-0000-00007E1F0000}"/>
    <cellStyle name="_20061103Holux_Scope and Deliverables Summary_CMS_0609_FP_CAMP&amp;ITReporting_Maintenance_Dashboard 2" xfId="8153" xr:uid="{00000000-0005-0000-0000-00007F1F0000}"/>
    <cellStyle name="_20061103Holux_Scope and Deliverables Summary_CMS_0609_FP_CAMP&amp;ITReporting_Maintenance_Dashboard 2_Steps of Doneness" xfId="8154" xr:uid="{00000000-0005-0000-0000-0000801F0000}"/>
    <cellStyle name="_20061103Holux_Scope and Deliverables Summary_CMS_0609_FP_CAMP&amp;ITReporting_Maintenance_Dashboard 3" xfId="8155" xr:uid="{00000000-0005-0000-0000-0000811F0000}"/>
    <cellStyle name="_20061103Holux_Scope and Deliverables Summary_CMS_0609_FP_CAMP&amp;ITReporting_Maintenance_Dashboard_Steps of Doneness" xfId="8156" xr:uid="{00000000-0005-0000-0000-0000821F0000}"/>
    <cellStyle name="_20061103Holux_Scope and Deliverables Summary_CMS_0609_FP_CAMPITReporting_Maintenance_Dashboard" xfId="8157" xr:uid="{00000000-0005-0000-0000-0000831F0000}"/>
    <cellStyle name="_20061103Holux_Scope and Deliverables Summary_CMS_0609_FP_CAMPITReporting_Maintenance_Dashboard 2" xfId="8158" xr:uid="{00000000-0005-0000-0000-0000841F0000}"/>
    <cellStyle name="_20061103Holux_Scope and Deliverables Summary_CMS_0609_FP_CAMPITReporting_Maintenance_Dashboard 2_Steps of Doneness" xfId="8159" xr:uid="{00000000-0005-0000-0000-0000851F0000}"/>
    <cellStyle name="_20061103Holux_Scope and Deliverables Summary_CMS_0609_FP_CAMPITReporting_Maintenance_Dashboard 3" xfId="8160" xr:uid="{00000000-0005-0000-0000-0000861F0000}"/>
    <cellStyle name="_20061103Holux_Scope and Deliverables Summary_CMS_0609_FP_CAMPITReporting_Maintenance_Dashboard_Steps of Doneness" xfId="8161" xr:uid="{00000000-0005-0000-0000-0000871F0000}"/>
    <cellStyle name="_20061103Holux_Scope and Deliverables Summary_CMS_0609_FP_Commissions_Req_Dn_ProgramWorkBook_10-Dec-2010" xfId="8162" xr:uid="{00000000-0005-0000-0000-0000881F0000}"/>
    <cellStyle name="_20061103Holux_Scope and Deliverables Summary_CMS_0609_FP_Commissions_Req_Dn_ProgramWorkBook_10-Dec-2010 2" xfId="8163" xr:uid="{00000000-0005-0000-0000-0000891F0000}"/>
    <cellStyle name="_20061103Holux_Scope and Deliverables Summary_CMS_0609_FP_Commissions_Req_Dn_ProgramWorkBook_10-Dec-2010 2_Steps of Doneness" xfId="8164" xr:uid="{00000000-0005-0000-0000-00008A1F0000}"/>
    <cellStyle name="_20061103Holux_Scope and Deliverables Summary_CMS_0609_FP_Commissions_Req_Dn_ProgramWorkBook_10-Dec-2010 3" xfId="8165" xr:uid="{00000000-0005-0000-0000-00008B1F0000}"/>
    <cellStyle name="_20061103Holux_Scope and Deliverables Summary_CMS_0609_FP_Commissions_Req_Dn_ProgramWorkBook_10-Dec-2010_Steps of Doneness" xfId="8166" xr:uid="{00000000-0005-0000-0000-00008C1F0000}"/>
    <cellStyle name="_20061103Holux_Scope and Deliverables Summary_CMS_0609_FP_DW_Impl_ProgramWorkBook_07-Jan-2011" xfId="8167" xr:uid="{00000000-0005-0000-0000-00008D1F0000}"/>
    <cellStyle name="_20061103Holux_Scope and Deliverables Summary_CMS_0609_FP_DW_Impl_ProgramWorkBook_07-Jan-2011 2" xfId="8168" xr:uid="{00000000-0005-0000-0000-00008E1F0000}"/>
    <cellStyle name="_20061103Holux_Scope and Deliverables Summary_CMS_0609_FP_DW_Impl_ProgramWorkBook_07-Jan-2011 2 2" xfId="8169" xr:uid="{00000000-0005-0000-0000-00008F1F0000}"/>
    <cellStyle name="_20061103Holux_Scope and Deliverables Summary_CMS_0609_FP_DW_Impl_ProgramWorkBook_07-Jan-2011 2 2_Steps of Doneness" xfId="8170" xr:uid="{00000000-0005-0000-0000-0000901F0000}"/>
    <cellStyle name="_20061103Holux_Scope and Deliverables Summary_CMS_0609_FP_DW_Impl_ProgramWorkBook_07-Jan-2011 2 3" xfId="8171" xr:uid="{00000000-0005-0000-0000-0000911F0000}"/>
    <cellStyle name="_20061103Holux_Scope and Deliverables Summary_CMS_0609_FP_DW_Impl_ProgramWorkBook_07-Jan-2011 2_Steps of Doneness" xfId="8172" xr:uid="{00000000-0005-0000-0000-0000921F0000}"/>
    <cellStyle name="_20061103Holux_Scope and Deliverables Summary_CMS_0609_FP_DW_Impl_ProgramWorkBook_07-Jan-2011 3" xfId="8173" xr:uid="{00000000-0005-0000-0000-0000931F0000}"/>
    <cellStyle name="_20061103Holux_Scope and Deliverables Summary_CMS_0609_FP_DW_Impl_ProgramWorkBook_07-Jan-2011 3_Steps of Doneness" xfId="8174" xr:uid="{00000000-0005-0000-0000-0000941F0000}"/>
    <cellStyle name="_20061103Holux_Scope and Deliverables Summary_CMS_0609_FP_DW_Impl_ProgramWorkBook_07-Jan-2011 4" xfId="8175" xr:uid="{00000000-0005-0000-0000-0000951F0000}"/>
    <cellStyle name="_20061103Holux_Scope and Deliverables Summary_CMS_0609_FP_DW_Impl_ProgramWorkBook_07-Jan-2011_Steps of Doneness" xfId="8176" xr:uid="{00000000-0005-0000-0000-0000961F0000}"/>
    <cellStyle name="_20061103Holux_Scope and Deliverables Summary_CMS_0609_FP_DW_Impl_ProgramWorkBook_11-Feb-2011" xfId="8177" xr:uid="{00000000-0005-0000-0000-0000971F0000}"/>
    <cellStyle name="_20061103Holux_Scope and Deliverables Summary_CMS_0609_FP_DW_Impl_ProgramWorkBook_11-Feb-2011 2" xfId="8178" xr:uid="{00000000-0005-0000-0000-0000981F0000}"/>
    <cellStyle name="_20061103Holux_Scope and Deliverables Summary_CMS_0609_FP_DW_Impl_ProgramWorkBook_11-Feb-2011 2_Steps of Doneness" xfId="8179" xr:uid="{00000000-0005-0000-0000-0000991F0000}"/>
    <cellStyle name="_20061103Holux_Scope and Deliverables Summary_CMS_0609_FP_DW_Impl_ProgramWorkBook_11-Feb-2011 3" xfId="8180" xr:uid="{00000000-0005-0000-0000-00009A1F0000}"/>
    <cellStyle name="_20061103Holux_Scope and Deliverables Summary_CMS_0609_FP_DW_Impl_ProgramWorkBook_11-Feb-2011_Steps of Doneness" xfId="8181" xr:uid="{00000000-0005-0000-0000-00009B1F0000}"/>
    <cellStyle name="_20061103Holux_Scope and Deliverables Summary_CMS_0609_FP_DW_Impl_ProgramWorkBook_18-Feb-2011 - Working" xfId="8182" xr:uid="{00000000-0005-0000-0000-00009C1F0000}"/>
    <cellStyle name="_20061103Holux_Scope and Deliverables Summary_CMS_0609_FP_DW_Impl_ProgramWorkBook_18-Feb-2011 - Working 2" xfId="8183" xr:uid="{00000000-0005-0000-0000-00009D1F0000}"/>
    <cellStyle name="_20061103Holux_Scope and Deliverables Summary_CMS_0609_FP_DW_Impl_ProgramWorkBook_18-Feb-2011 - Working 2_Steps of Doneness" xfId="8184" xr:uid="{00000000-0005-0000-0000-00009E1F0000}"/>
    <cellStyle name="_20061103Holux_Scope and Deliverables Summary_CMS_0609_FP_DW_Impl_ProgramWorkBook_18-Feb-2011 - Working 3" xfId="8185" xr:uid="{00000000-0005-0000-0000-00009F1F0000}"/>
    <cellStyle name="_20061103Holux_Scope and Deliverables Summary_CMS_0609_FP_DW_Impl_ProgramWorkBook_18-Feb-2011 - Working_Steps of Doneness" xfId="8186" xr:uid="{00000000-0005-0000-0000-0000A01F0000}"/>
    <cellStyle name="_20061103Holux_Scope and Deliverables Summary_CMS_0609_FP_EnterprisePortal_ProgramWorkbook" xfId="8187" xr:uid="{00000000-0005-0000-0000-0000A11F0000}"/>
    <cellStyle name="_20061103Holux_Scope and Deliverables Summary_CMS_0609_FP_EnterprisePortal_ProgramWorkbook 2" xfId="8188" xr:uid="{00000000-0005-0000-0000-0000A21F0000}"/>
    <cellStyle name="_20061103Holux_Scope and Deliverables Summary_CMS_0609_FP_EnterprisePortal_ProgramWorkbook 2_Steps of Doneness" xfId="8189" xr:uid="{00000000-0005-0000-0000-0000A31F0000}"/>
    <cellStyle name="_20061103Holux_Scope and Deliverables Summary_CMS_0609_FP_EnterprisePortal_ProgramWorkbook 3" xfId="8190" xr:uid="{00000000-0005-0000-0000-0000A41F0000}"/>
    <cellStyle name="_20061103Holux_Scope and Deliverables Summary_CMS_0609_FP_EnterprisePortal_ProgramWorkbook_Steps of Doneness" xfId="8191" xr:uid="{00000000-0005-0000-0000-0000A51F0000}"/>
    <cellStyle name="_20061103Holux_Scope and Deliverables Summary_CMS_0609_FP_SAP_MLP v2" xfId="8192" xr:uid="{00000000-0005-0000-0000-0000A61F0000}"/>
    <cellStyle name="_20061103Holux_Scope and Deliverables Summary_CMS_0609_FP_SAP_MLP v2 2" xfId="8193" xr:uid="{00000000-0005-0000-0000-0000A71F0000}"/>
    <cellStyle name="_20061103Holux_Scope and Deliverables Summary_CMS_0609_FP_SAP_MLP v2 2_Steps of Doneness" xfId="8194" xr:uid="{00000000-0005-0000-0000-0000A81F0000}"/>
    <cellStyle name="_20061103Holux_Scope and Deliverables Summary_CMS_0609_FP_SAP_MLP v2 3" xfId="8195" xr:uid="{00000000-0005-0000-0000-0000A91F0000}"/>
    <cellStyle name="_20061103Holux_Scope and Deliverables Summary_CMS_0609_FP_SAP_MLP v2_Steps of Doneness" xfId="8196" xr:uid="{00000000-0005-0000-0000-0000AA1F0000}"/>
    <cellStyle name="_20061103Holux_Scope and Deliverables Summary_CMS_0609_KeyDecisions" xfId="8197" xr:uid="{00000000-0005-0000-0000-0000AB1F0000}"/>
    <cellStyle name="_20061103Holux_Scope and Deliverables Summary_CMS_0609_KeyDecisions 2" xfId="8198" xr:uid="{00000000-0005-0000-0000-0000AC1F0000}"/>
    <cellStyle name="_20061103Holux_Scope and Deliverables Summary_CMS_0609_KeyDecisions 2_Steps of Doneness" xfId="8199" xr:uid="{00000000-0005-0000-0000-0000AD1F0000}"/>
    <cellStyle name="_20061103Holux_Scope and Deliverables Summary_CMS_0609_KeyDecisions 3" xfId="8200" xr:uid="{00000000-0005-0000-0000-0000AE1F0000}"/>
    <cellStyle name="_20061103Holux_Scope and Deliverables Summary_CMS_0609_KeyDecisions_Steps of Doneness" xfId="8201" xr:uid="{00000000-0005-0000-0000-0000AF1F0000}"/>
    <cellStyle name="_20061103Holux_Scope and Deliverables Summary_CMS_0609_Sophia_Imp_ProjectWorkBook_02_18_2011" xfId="8202" xr:uid="{00000000-0005-0000-0000-0000B01F0000}"/>
    <cellStyle name="_20061103Holux_Scope and Deliverables Summary_CMS_0609_Sophia_Imp_ProjectWorkBook_02_18_2011 2" xfId="8203" xr:uid="{00000000-0005-0000-0000-0000B11F0000}"/>
    <cellStyle name="_20061103Holux_Scope and Deliverables Summary_CMS_0609_Sophia_Imp_ProjectWorkBook_02_18_2011 2_Steps of Doneness" xfId="8204" xr:uid="{00000000-0005-0000-0000-0000B21F0000}"/>
    <cellStyle name="_20061103Holux_Scope and Deliverables Summary_CMS_0609_Sophia_Imp_ProjectWorkBook_02_18_2011 3" xfId="8205" xr:uid="{00000000-0005-0000-0000-0000B31F0000}"/>
    <cellStyle name="_20061103Holux_Scope and Deliverables Summary_CMS_0609_Sophia_Imp_ProjectWorkBook_02_18_2011_Steps of Doneness" xfId="8206" xr:uid="{00000000-0005-0000-0000-0000B41F0000}"/>
    <cellStyle name="_20061103Holux_Scope and Deliverables Summary_CMS_0609_Steps of Doneness" xfId="8207" xr:uid="{00000000-0005-0000-0000-0000B51F0000}"/>
    <cellStyle name="_20061103Holux_Scope and Deliverables Summary_CMS_0609_t" xfId="8208" xr:uid="{00000000-0005-0000-0000-0000B61F0000}"/>
    <cellStyle name="_20061103Holux_Scope and Deliverables Summary_CMS_0609_t 2" xfId="8209" xr:uid="{00000000-0005-0000-0000-0000B71F0000}"/>
    <cellStyle name="_20061103Holux_Scope and Deliverables Summary_CMS_0609_t 2_Steps of Doneness" xfId="8210" xr:uid="{00000000-0005-0000-0000-0000B81F0000}"/>
    <cellStyle name="_20061103Holux_Scope and Deliverables Summary_CMS_0609_t 3" xfId="8211" xr:uid="{00000000-0005-0000-0000-0000B91F0000}"/>
    <cellStyle name="_20061103Holux_Scope and Deliverables Summary_CMS_0609_t_Steps of Doneness" xfId="8212" xr:uid="{00000000-0005-0000-0000-0000BA1F0000}"/>
    <cellStyle name="_20061103Holux_SLM -CMS &amp; Storefront PM Workbook" xfId="8213" xr:uid="{00000000-0005-0000-0000-0000BB1F0000}"/>
    <cellStyle name="_20061103Holux_SLM -CMS &amp; Storefront PM Workbook 2" xfId="8214" xr:uid="{00000000-0005-0000-0000-0000BC1F0000}"/>
    <cellStyle name="_20061103Holux_SLM -CMS &amp; Storefront PM Workbook 2 2" xfId="8215" xr:uid="{00000000-0005-0000-0000-0000BD1F0000}"/>
    <cellStyle name="_20061103Holux_SLM -CMS &amp; Storefront PM Workbook 2 2_Steps of Doneness" xfId="8216" xr:uid="{00000000-0005-0000-0000-0000BE1F0000}"/>
    <cellStyle name="_20061103Holux_SLM -CMS &amp; Storefront PM Workbook 2 3" xfId="8217" xr:uid="{00000000-0005-0000-0000-0000BF1F0000}"/>
    <cellStyle name="_20061103Holux_SLM -CMS &amp; Storefront PM Workbook 2_Steps of Doneness" xfId="8218" xr:uid="{00000000-0005-0000-0000-0000C01F0000}"/>
    <cellStyle name="_20061103Holux_SLM -CMS &amp; Storefront PM Workbook 3" xfId="8219" xr:uid="{00000000-0005-0000-0000-0000C11F0000}"/>
    <cellStyle name="_20061103Holux_SLM -CMS &amp; Storefront PM Workbook 3 2" xfId="8220" xr:uid="{00000000-0005-0000-0000-0000C21F0000}"/>
    <cellStyle name="_20061103Holux_SLM -CMS &amp; Storefront PM Workbook 3 2_Steps of Doneness" xfId="8221" xr:uid="{00000000-0005-0000-0000-0000C31F0000}"/>
    <cellStyle name="_20061103Holux_SLM -CMS &amp; Storefront PM Workbook 3 3" xfId="8222" xr:uid="{00000000-0005-0000-0000-0000C41F0000}"/>
    <cellStyle name="_20061103Holux_SLM -CMS &amp; Storefront PM Workbook 3_Steps of Doneness" xfId="8223" xr:uid="{00000000-0005-0000-0000-0000C51F0000}"/>
    <cellStyle name="_20061103Holux_SLM -CMS &amp; Storefront PM Workbook 4" xfId="8224" xr:uid="{00000000-0005-0000-0000-0000C61F0000}"/>
    <cellStyle name="_20061103Holux_SLM -CMS &amp; Storefront PM Workbook 4_Steps of Doneness" xfId="8225" xr:uid="{00000000-0005-0000-0000-0000C71F0000}"/>
    <cellStyle name="_20061103Holux_SLM -CMS &amp; Storefront PM Workbook 5" xfId="8226" xr:uid="{00000000-0005-0000-0000-0000C81F0000}"/>
    <cellStyle name="_20061103Holux_SLM -CMS &amp; Storefront PM Workbook 6" xfId="8227" xr:uid="{00000000-0005-0000-0000-0000C91F0000}"/>
    <cellStyle name="_20061103Holux_SLM -CMS &amp; Storefront PM Workbook_Commissioning System Implementation_Project Workbook_06_10_2011" xfId="8228" xr:uid="{00000000-0005-0000-0000-0000CA1F0000}"/>
    <cellStyle name="_20061103Holux_SLM -CMS &amp; Storefront PM Workbook_Commissioning System Implementation_Project Workbook_06_10_2011 2" xfId="8229" xr:uid="{00000000-0005-0000-0000-0000CB1F0000}"/>
    <cellStyle name="_20061103Holux_SLM -CMS &amp; Storefront PM Workbook_Commissioning System Implementation_Project Workbook_06_10_2011 2_Steps of Doneness" xfId="8230" xr:uid="{00000000-0005-0000-0000-0000CC1F0000}"/>
    <cellStyle name="_20061103Holux_SLM -CMS &amp; Storefront PM Workbook_Commissioning System Implementation_Project Workbook_06_10_2011 3" xfId="8231" xr:uid="{00000000-0005-0000-0000-0000CD1F0000}"/>
    <cellStyle name="_20061103Holux_SLM -CMS &amp; Storefront PM Workbook_Commissioning System Implementation_Project Workbook_06_10_2011_Steps of Doneness" xfId="8232" xr:uid="{00000000-0005-0000-0000-0000CE1F0000}"/>
    <cellStyle name="_20061103Holux_SLM -CMS &amp; Storefront PM Workbook_FairPoint_CampReport" xfId="8233" xr:uid="{00000000-0005-0000-0000-0000CF1F0000}"/>
    <cellStyle name="_20061103Holux_SLM -CMS &amp; Storefront PM Workbook_FairPoint_CampReport 2" xfId="8234" xr:uid="{00000000-0005-0000-0000-0000D01F0000}"/>
    <cellStyle name="_20061103Holux_SLM -CMS &amp; Storefront PM Workbook_FairPoint_CampReport 2_Steps of Doneness" xfId="8235" xr:uid="{00000000-0005-0000-0000-0000D11F0000}"/>
    <cellStyle name="_20061103Holux_SLM -CMS &amp; Storefront PM Workbook_FairPoint_CampReport 3" xfId="8236" xr:uid="{00000000-0005-0000-0000-0000D21F0000}"/>
    <cellStyle name="_20061103Holux_SLM -CMS &amp; Storefront PM Workbook_FairPoint_CampReport_Steps of Doneness" xfId="8237" xr:uid="{00000000-0005-0000-0000-0000D31F0000}"/>
    <cellStyle name="_20061103Holux_SLM -CMS &amp; Storefront PM Workbook_FairPoint_FP comTechOps_ProgramWorkbook" xfId="8238" xr:uid="{00000000-0005-0000-0000-0000D41F0000}"/>
    <cellStyle name="_20061103Holux_SLM -CMS &amp; Storefront PM Workbook_FairPoint_FP comTechOps_ProgramWorkbook 2" xfId="8239" xr:uid="{00000000-0005-0000-0000-0000D51F0000}"/>
    <cellStyle name="_20061103Holux_SLM -CMS &amp; Storefront PM Workbook_FairPoint_FP comTechOps_ProgramWorkbook 2_Steps of Doneness" xfId="8240" xr:uid="{00000000-0005-0000-0000-0000D61F0000}"/>
    <cellStyle name="_20061103Holux_SLM -CMS &amp; Storefront PM Workbook_FairPoint_FP comTechOps_ProgramWorkbook 3" xfId="8241" xr:uid="{00000000-0005-0000-0000-0000D71F0000}"/>
    <cellStyle name="_20061103Holux_SLM -CMS &amp; Storefront PM Workbook_FairPoint_FP comTechOps_ProgramWorkbook_sachin" xfId="8242" xr:uid="{00000000-0005-0000-0000-0000D81F0000}"/>
    <cellStyle name="_20061103Holux_SLM -CMS &amp; Storefront PM Workbook_FairPoint_FP comTechOps_ProgramWorkbook_sachin 2" xfId="8243" xr:uid="{00000000-0005-0000-0000-0000D91F0000}"/>
    <cellStyle name="_20061103Holux_SLM -CMS &amp; Storefront PM Workbook_FairPoint_FP comTechOps_ProgramWorkbook_sachin 2_Steps of Doneness" xfId="8244" xr:uid="{00000000-0005-0000-0000-0000DA1F0000}"/>
    <cellStyle name="_20061103Holux_SLM -CMS &amp; Storefront PM Workbook_FairPoint_FP comTechOps_ProgramWorkbook_sachin 3" xfId="8245" xr:uid="{00000000-0005-0000-0000-0000DB1F0000}"/>
    <cellStyle name="_20061103Holux_SLM -CMS &amp; Storefront PM Workbook_FairPoint_FP comTechOps_ProgramWorkbook_sachin_Steps of Doneness" xfId="8246" xr:uid="{00000000-0005-0000-0000-0000DC1F0000}"/>
    <cellStyle name="_20061103Holux_SLM -CMS &amp; Storefront PM Workbook_FairPoint_FP comTechOps_ProgramWorkbook_sachin_v1" xfId="8247" xr:uid="{00000000-0005-0000-0000-0000DD1F0000}"/>
    <cellStyle name="_20061103Holux_SLM -CMS &amp; Storefront PM Workbook_FairPoint_FP comTechOps_ProgramWorkbook_sachin_v1 2" xfId="8248" xr:uid="{00000000-0005-0000-0000-0000DE1F0000}"/>
    <cellStyle name="_20061103Holux_SLM -CMS &amp; Storefront PM Workbook_FairPoint_FP comTechOps_ProgramWorkbook_sachin_v1 2_Steps of Doneness" xfId="8249" xr:uid="{00000000-0005-0000-0000-0000DF1F0000}"/>
    <cellStyle name="_20061103Holux_SLM -CMS &amp; Storefront PM Workbook_FairPoint_FP comTechOps_ProgramWorkbook_sachin_v1 3" xfId="8250" xr:uid="{00000000-0005-0000-0000-0000E01F0000}"/>
    <cellStyle name="_20061103Holux_SLM -CMS &amp; Storefront PM Workbook_FairPoint_FP comTechOps_ProgramWorkbook_sachin_v1_Steps of Doneness" xfId="8251" xr:uid="{00000000-0005-0000-0000-0000E11F0000}"/>
    <cellStyle name="_20061103Holux_SLM -CMS &amp; Storefront PM Workbook_FairPoint_FP comTechOps_ProgramWorkbook_Steps of Doneness" xfId="8252" xr:uid="{00000000-0005-0000-0000-0000E21F0000}"/>
    <cellStyle name="_20061103Holux_SLM -CMS &amp; Storefront PM Workbook_FP_CAMP&amp;ITReporting_Maintenance_Dashboard" xfId="8253" xr:uid="{00000000-0005-0000-0000-0000E31F0000}"/>
    <cellStyle name="_20061103Holux_SLM -CMS &amp; Storefront PM Workbook_FP_CAMP&amp;ITReporting_Maintenance_Dashboard 2" xfId="8254" xr:uid="{00000000-0005-0000-0000-0000E41F0000}"/>
    <cellStyle name="_20061103Holux_SLM -CMS &amp; Storefront PM Workbook_FP_CAMP&amp;ITReporting_Maintenance_Dashboard 2_Steps of Doneness" xfId="8255" xr:uid="{00000000-0005-0000-0000-0000E51F0000}"/>
    <cellStyle name="_20061103Holux_SLM -CMS &amp; Storefront PM Workbook_FP_CAMP&amp;ITReporting_Maintenance_Dashboard 3" xfId="8256" xr:uid="{00000000-0005-0000-0000-0000E61F0000}"/>
    <cellStyle name="_20061103Holux_SLM -CMS &amp; Storefront PM Workbook_FP_CAMP&amp;ITReporting_Maintenance_Dashboard_Steps of Doneness" xfId="8257" xr:uid="{00000000-0005-0000-0000-0000E71F0000}"/>
    <cellStyle name="_20061103Holux_SLM -CMS &amp; Storefront PM Workbook_FP_CAMPITReporting_Maintenance_Dashboard" xfId="8258" xr:uid="{00000000-0005-0000-0000-0000E81F0000}"/>
    <cellStyle name="_20061103Holux_SLM -CMS &amp; Storefront PM Workbook_FP_CAMPITReporting_Maintenance_Dashboard 2" xfId="8259" xr:uid="{00000000-0005-0000-0000-0000E91F0000}"/>
    <cellStyle name="_20061103Holux_SLM -CMS &amp; Storefront PM Workbook_FP_CAMPITReporting_Maintenance_Dashboard 2_Steps of Doneness" xfId="8260" xr:uid="{00000000-0005-0000-0000-0000EA1F0000}"/>
    <cellStyle name="_20061103Holux_SLM -CMS &amp; Storefront PM Workbook_FP_CAMPITReporting_Maintenance_Dashboard 3" xfId="8261" xr:uid="{00000000-0005-0000-0000-0000EB1F0000}"/>
    <cellStyle name="_20061103Holux_SLM -CMS &amp; Storefront PM Workbook_FP_CAMPITReporting_Maintenance_Dashboard_Steps of Doneness" xfId="8262" xr:uid="{00000000-0005-0000-0000-0000EC1F0000}"/>
    <cellStyle name="_20061103Holux_SLM -CMS &amp; Storefront PM Workbook_FP_Commissions_Req_Dn_ProgramWorkBook_10-Dec-2010" xfId="8263" xr:uid="{00000000-0005-0000-0000-0000ED1F0000}"/>
    <cellStyle name="_20061103Holux_SLM -CMS &amp; Storefront PM Workbook_FP_Commissions_Req_Dn_ProgramWorkBook_10-Dec-2010 2" xfId="8264" xr:uid="{00000000-0005-0000-0000-0000EE1F0000}"/>
    <cellStyle name="_20061103Holux_SLM -CMS &amp; Storefront PM Workbook_FP_Commissions_Req_Dn_ProgramWorkBook_10-Dec-2010 2_Steps of Doneness" xfId="8265" xr:uid="{00000000-0005-0000-0000-0000EF1F0000}"/>
    <cellStyle name="_20061103Holux_SLM -CMS &amp; Storefront PM Workbook_FP_Commissions_Req_Dn_ProgramWorkBook_10-Dec-2010 3" xfId="8266" xr:uid="{00000000-0005-0000-0000-0000F01F0000}"/>
    <cellStyle name="_20061103Holux_SLM -CMS &amp; Storefront PM Workbook_FP_Commissions_Req_Dn_ProgramWorkBook_10-Dec-2010_Steps of Doneness" xfId="8267" xr:uid="{00000000-0005-0000-0000-0000F11F0000}"/>
    <cellStyle name="_20061103Holux_SLM -CMS &amp; Storefront PM Workbook_FP_DW_Impl_ProgramWorkBook_07-Jan-2011" xfId="8268" xr:uid="{00000000-0005-0000-0000-0000F21F0000}"/>
    <cellStyle name="_20061103Holux_SLM -CMS &amp; Storefront PM Workbook_FP_DW_Impl_ProgramWorkBook_07-Jan-2011 2" xfId="8269" xr:uid="{00000000-0005-0000-0000-0000F31F0000}"/>
    <cellStyle name="_20061103Holux_SLM -CMS &amp; Storefront PM Workbook_FP_DW_Impl_ProgramWorkBook_07-Jan-2011 2 2" xfId="8270" xr:uid="{00000000-0005-0000-0000-0000F41F0000}"/>
    <cellStyle name="_20061103Holux_SLM -CMS &amp; Storefront PM Workbook_FP_DW_Impl_ProgramWorkBook_07-Jan-2011 2 2_Steps of Doneness" xfId="8271" xr:uid="{00000000-0005-0000-0000-0000F51F0000}"/>
    <cellStyle name="_20061103Holux_SLM -CMS &amp; Storefront PM Workbook_FP_DW_Impl_ProgramWorkBook_07-Jan-2011 2 3" xfId="8272" xr:uid="{00000000-0005-0000-0000-0000F61F0000}"/>
    <cellStyle name="_20061103Holux_SLM -CMS &amp; Storefront PM Workbook_FP_DW_Impl_ProgramWorkBook_07-Jan-2011 2_Steps of Doneness" xfId="8273" xr:uid="{00000000-0005-0000-0000-0000F71F0000}"/>
    <cellStyle name="_20061103Holux_SLM -CMS &amp; Storefront PM Workbook_FP_DW_Impl_ProgramWorkBook_07-Jan-2011 3" xfId="8274" xr:uid="{00000000-0005-0000-0000-0000F81F0000}"/>
    <cellStyle name="_20061103Holux_SLM -CMS &amp; Storefront PM Workbook_FP_DW_Impl_ProgramWorkBook_07-Jan-2011 3_Steps of Doneness" xfId="8275" xr:uid="{00000000-0005-0000-0000-0000F91F0000}"/>
    <cellStyle name="_20061103Holux_SLM -CMS &amp; Storefront PM Workbook_FP_DW_Impl_ProgramWorkBook_07-Jan-2011 4" xfId="8276" xr:uid="{00000000-0005-0000-0000-0000FA1F0000}"/>
    <cellStyle name="_20061103Holux_SLM -CMS &amp; Storefront PM Workbook_FP_DW_Impl_ProgramWorkBook_07-Jan-2011_Steps of Doneness" xfId="8277" xr:uid="{00000000-0005-0000-0000-0000FB1F0000}"/>
    <cellStyle name="_20061103Holux_SLM -CMS &amp; Storefront PM Workbook_FP_DW_Impl_ProgramWorkBook_11-Feb-2011" xfId="8278" xr:uid="{00000000-0005-0000-0000-0000FC1F0000}"/>
    <cellStyle name="_20061103Holux_SLM -CMS &amp; Storefront PM Workbook_FP_DW_Impl_ProgramWorkBook_11-Feb-2011 2" xfId="8279" xr:uid="{00000000-0005-0000-0000-0000FD1F0000}"/>
    <cellStyle name="_20061103Holux_SLM -CMS &amp; Storefront PM Workbook_FP_DW_Impl_ProgramWorkBook_11-Feb-2011 2_Steps of Doneness" xfId="8280" xr:uid="{00000000-0005-0000-0000-0000FE1F0000}"/>
    <cellStyle name="_20061103Holux_SLM -CMS &amp; Storefront PM Workbook_FP_DW_Impl_ProgramWorkBook_11-Feb-2011 3" xfId="8281" xr:uid="{00000000-0005-0000-0000-0000FF1F0000}"/>
    <cellStyle name="_20061103Holux_SLM -CMS &amp; Storefront PM Workbook_FP_DW_Impl_ProgramWorkBook_11-Feb-2011_Steps of Doneness" xfId="8282" xr:uid="{00000000-0005-0000-0000-000000200000}"/>
    <cellStyle name="_20061103Holux_SLM -CMS &amp; Storefront PM Workbook_FP_DW_Impl_ProgramWorkBook_18-Feb-2011 - Working" xfId="8283" xr:uid="{00000000-0005-0000-0000-000001200000}"/>
    <cellStyle name="_20061103Holux_SLM -CMS &amp; Storefront PM Workbook_FP_DW_Impl_ProgramWorkBook_18-Feb-2011 - Working 2" xfId="8284" xr:uid="{00000000-0005-0000-0000-000002200000}"/>
    <cellStyle name="_20061103Holux_SLM -CMS &amp; Storefront PM Workbook_FP_DW_Impl_ProgramWorkBook_18-Feb-2011 - Working 2_Steps of Doneness" xfId="8285" xr:uid="{00000000-0005-0000-0000-000003200000}"/>
    <cellStyle name="_20061103Holux_SLM -CMS &amp; Storefront PM Workbook_FP_DW_Impl_ProgramWorkBook_18-Feb-2011 - Working 3" xfId="8286" xr:uid="{00000000-0005-0000-0000-000004200000}"/>
    <cellStyle name="_20061103Holux_SLM -CMS &amp; Storefront PM Workbook_FP_DW_Impl_ProgramWorkBook_18-Feb-2011 - Working_Steps of Doneness" xfId="8287" xr:uid="{00000000-0005-0000-0000-000005200000}"/>
    <cellStyle name="_20061103Holux_SLM -CMS &amp; Storefront PM Workbook_FP_EnterprisePortal_ProgramWorkbook" xfId="8288" xr:uid="{00000000-0005-0000-0000-000006200000}"/>
    <cellStyle name="_20061103Holux_SLM -CMS &amp; Storefront PM Workbook_FP_EnterprisePortal_ProgramWorkbook 2" xfId="8289" xr:uid="{00000000-0005-0000-0000-000007200000}"/>
    <cellStyle name="_20061103Holux_SLM -CMS &amp; Storefront PM Workbook_FP_EnterprisePortal_ProgramWorkbook 2_Steps of Doneness" xfId="8290" xr:uid="{00000000-0005-0000-0000-000008200000}"/>
    <cellStyle name="_20061103Holux_SLM -CMS &amp; Storefront PM Workbook_FP_EnterprisePortal_ProgramWorkbook 3" xfId="8291" xr:uid="{00000000-0005-0000-0000-000009200000}"/>
    <cellStyle name="_20061103Holux_SLM -CMS &amp; Storefront PM Workbook_FP_EnterprisePortal_ProgramWorkbook_Steps of Doneness" xfId="8292" xr:uid="{00000000-0005-0000-0000-00000A200000}"/>
    <cellStyle name="_20061103Holux_SLM -CMS &amp; Storefront PM Workbook_FP_SAP_MLP v2" xfId="8293" xr:uid="{00000000-0005-0000-0000-00000B200000}"/>
    <cellStyle name="_20061103Holux_SLM -CMS &amp; Storefront PM Workbook_FP_SAP_MLP v2 2" xfId="8294" xr:uid="{00000000-0005-0000-0000-00000C200000}"/>
    <cellStyle name="_20061103Holux_SLM -CMS &amp; Storefront PM Workbook_FP_SAP_MLP v2 2_Steps of Doneness" xfId="8295" xr:uid="{00000000-0005-0000-0000-00000D200000}"/>
    <cellStyle name="_20061103Holux_SLM -CMS &amp; Storefront PM Workbook_FP_SAP_MLP v2 3" xfId="8296" xr:uid="{00000000-0005-0000-0000-00000E200000}"/>
    <cellStyle name="_20061103Holux_SLM -CMS &amp; Storefront PM Workbook_FP_SAP_MLP v2_Steps of Doneness" xfId="8297" xr:uid="{00000000-0005-0000-0000-00000F200000}"/>
    <cellStyle name="_20061103Holux_SLM -CMS &amp; Storefront PM Workbook_KeyDecisions" xfId="8298" xr:uid="{00000000-0005-0000-0000-000010200000}"/>
    <cellStyle name="_20061103Holux_SLM -CMS &amp; Storefront PM Workbook_KeyDecisions 2" xfId="8299" xr:uid="{00000000-0005-0000-0000-000011200000}"/>
    <cellStyle name="_20061103Holux_SLM -CMS &amp; Storefront PM Workbook_KeyDecisions 2_Steps of Doneness" xfId="8300" xr:uid="{00000000-0005-0000-0000-000012200000}"/>
    <cellStyle name="_20061103Holux_SLM -CMS &amp; Storefront PM Workbook_KeyDecisions 3" xfId="8301" xr:uid="{00000000-0005-0000-0000-000013200000}"/>
    <cellStyle name="_20061103Holux_SLM -CMS &amp; Storefront PM Workbook_KeyDecisions_Steps of Doneness" xfId="8302" xr:uid="{00000000-0005-0000-0000-000014200000}"/>
    <cellStyle name="_20061103Holux_SLM -CMS &amp; Storefront PM Workbook_Sophia_Imp_ProjectWorkBook_02_18_2011" xfId="8303" xr:uid="{00000000-0005-0000-0000-000015200000}"/>
    <cellStyle name="_20061103Holux_SLM -CMS &amp; Storefront PM Workbook_Sophia_Imp_ProjectWorkBook_02_18_2011 2" xfId="8304" xr:uid="{00000000-0005-0000-0000-000016200000}"/>
    <cellStyle name="_20061103Holux_SLM -CMS &amp; Storefront PM Workbook_Sophia_Imp_ProjectWorkBook_02_18_2011 2_Steps of Doneness" xfId="8305" xr:uid="{00000000-0005-0000-0000-000017200000}"/>
    <cellStyle name="_20061103Holux_SLM -CMS &amp; Storefront PM Workbook_Sophia_Imp_ProjectWorkBook_02_18_2011 3" xfId="8306" xr:uid="{00000000-0005-0000-0000-000018200000}"/>
    <cellStyle name="_20061103Holux_SLM -CMS &amp; Storefront PM Workbook_Sophia_Imp_ProjectWorkBook_02_18_2011_Steps of Doneness" xfId="8307" xr:uid="{00000000-0005-0000-0000-000019200000}"/>
    <cellStyle name="_20061103Holux_SLM -CMS &amp; Storefront PM Workbook_Steps of Doneness" xfId="8308" xr:uid="{00000000-0005-0000-0000-00001A200000}"/>
    <cellStyle name="_20061103Holux_SLM -CMS &amp; Storefront PM Workbook_t" xfId="8309" xr:uid="{00000000-0005-0000-0000-00001B200000}"/>
    <cellStyle name="_20061103Holux_SLM -CMS &amp; Storefront PM Workbook_t 2" xfId="8310" xr:uid="{00000000-0005-0000-0000-00001C200000}"/>
    <cellStyle name="_20061103Holux_SLM -CMS &amp; Storefront PM Workbook_t 2_Steps of Doneness" xfId="8311" xr:uid="{00000000-0005-0000-0000-00001D200000}"/>
    <cellStyle name="_20061103Holux_SLM -CMS &amp; Storefront PM Workbook_t 3" xfId="8312" xr:uid="{00000000-0005-0000-0000-00001E200000}"/>
    <cellStyle name="_20061103Holux_SLM -CMS &amp; Storefront PM Workbook_t_Steps of Doneness" xfId="8313" xr:uid="{00000000-0005-0000-0000-00001F200000}"/>
    <cellStyle name="_20061103Holux_SLM Web Design Plan_0510" xfId="8314" xr:uid="{00000000-0005-0000-0000-000020200000}"/>
    <cellStyle name="_20061103Holux_SLM Web Design Plan_0510 2" xfId="8315" xr:uid="{00000000-0005-0000-0000-000021200000}"/>
    <cellStyle name="_20061103Holux_SLM Web Design Plan_0510 2_Steps of Doneness" xfId="8316" xr:uid="{00000000-0005-0000-0000-000022200000}"/>
    <cellStyle name="_20061103Holux_SLM Web Design Plan_0510 3" xfId="8317" xr:uid="{00000000-0005-0000-0000-000023200000}"/>
    <cellStyle name="_20061103Holux_SLM Web Design Plan_0510_Steps of Doneness" xfId="8318" xr:uid="{00000000-0005-0000-0000-000024200000}"/>
    <cellStyle name="_20061103Holux_SLM_CMS_DesignPlan_0524" xfId="8319" xr:uid="{00000000-0005-0000-0000-000025200000}"/>
    <cellStyle name="_20061103Holux_SLM_CMS_DesignPlan_0524 2" xfId="8320" xr:uid="{00000000-0005-0000-0000-000026200000}"/>
    <cellStyle name="_20061103Holux_SLM_CMS_DesignPlan_0524 2_Steps of Doneness" xfId="8321" xr:uid="{00000000-0005-0000-0000-000027200000}"/>
    <cellStyle name="_20061103Holux_SLM_CMS_DesignPlan_0524 3" xfId="8322" xr:uid="{00000000-0005-0000-0000-000028200000}"/>
    <cellStyle name="_20061103Holux_SLM_CMS_DesignPlan_0524_Steps of Doneness" xfId="8323" xr:uid="{00000000-0005-0000-0000-000029200000}"/>
    <cellStyle name="_20061103Holux_SLM_CMS_DesignPlan_Tasks_0614" xfId="8324" xr:uid="{00000000-0005-0000-0000-00002A200000}"/>
    <cellStyle name="_20061103Holux_SLM_CMS_DesignPlan_Tasks_0614 2" xfId="8325" xr:uid="{00000000-0005-0000-0000-00002B200000}"/>
    <cellStyle name="_20061103Holux_SLM_CMS_DesignPlan_Tasks_0614 2_Steps of Doneness" xfId="8326" xr:uid="{00000000-0005-0000-0000-00002C200000}"/>
    <cellStyle name="_20061103Holux_SLM_CMS_DesignPlan_Tasks_0614 3" xfId="8327" xr:uid="{00000000-0005-0000-0000-00002D200000}"/>
    <cellStyle name="_20061103Holux_SLM_CMS_DesignPlan_Tasks_0614_Steps of Doneness" xfId="8328" xr:uid="{00000000-0005-0000-0000-00002E200000}"/>
    <cellStyle name="_20061103Holux_slm_llp_0520" xfId="8329" xr:uid="{00000000-0005-0000-0000-00002F200000}"/>
    <cellStyle name="_20061103Holux_slm_llp_0520 2" xfId="8330" xr:uid="{00000000-0005-0000-0000-000030200000}"/>
    <cellStyle name="_20061103Holux_slm_llp_0520 2 2" xfId="8331" xr:uid="{00000000-0005-0000-0000-000031200000}"/>
    <cellStyle name="_20061103Holux_slm_llp_0520 2 2_Steps of Doneness" xfId="8332" xr:uid="{00000000-0005-0000-0000-000032200000}"/>
    <cellStyle name="_20061103Holux_slm_llp_0520 2 3" xfId="8333" xr:uid="{00000000-0005-0000-0000-000033200000}"/>
    <cellStyle name="_20061103Holux_slm_llp_0520 2_Steps of Doneness" xfId="8334" xr:uid="{00000000-0005-0000-0000-000034200000}"/>
    <cellStyle name="_20061103Holux_slm_llp_0520 3" xfId="8335" xr:uid="{00000000-0005-0000-0000-000035200000}"/>
    <cellStyle name="_20061103Holux_slm_llp_0520 3 2" xfId="8336" xr:uid="{00000000-0005-0000-0000-000036200000}"/>
    <cellStyle name="_20061103Holux_slm_llp_0520 3 2_Steps of Doneness" xfId="8337" xr:uid="{00000000-0005-0000-0000-000037200000}"/>
    <cellStyle name="_20061103Holux_slm_llp_0520 3 3" xfId="8338" xr:uid="{00000000-0005-0000-0000-000038200000}"/>
    <cellStyle name="_20061103Holux_slm_llp_0520 3_Steps of Doneness" xfId="8339" xr:uid="{00000000-0005-0000-0000-000039200000}"/>
    <cellStyle name="_20061103Holux_slm_llp_0520 4" xfId="8340" xr:uid="{00000000-0005-0000-0000-00003A200000}"/>
    <cellStyle name="_20061103Holux_slm_llp_0520 4_Steps of Doneness" xfId="8341" xr:uid="{00000000-0005-0000-0000-00003B200000}"/>
    <cellStyle name="_20061103Holux_slm_llp_0520 5" xfId="8342" xr:uid="{00000000-0005-0000-0000-00003C200000}"/>
    <cellStyle name="_20061103Holux_slm_llp_0520 6" xfId="8343" xr:uid="{00000000-0005-0000-0000-00003D200000}"/>
    <cellStyle name="_20061103Holux_slm_llp_0520_Commissioning System Implementation_Project Workbook_06_10_2011" xfId="8344" xr:uid="{00000000-0005-0000-0000-00003E200000}"/>
    <cellStyle name="_20061103Holux_slm_llp_0520_Commissioning System Implementation_Project Workbook_06_10_2011 2" xfId="8345" xr:uid="{00000000-0005-0000-0000-00003F200000}"/>
    <cellStyle name="_20061103Holux_slm_llp_0520_Commissioning System Implementation_Project Workbook_06_10_2011 2_Steps of Doneness" xfId="8346" xr:uid="{00000000-0005-0000-0000-000040200000}"/>
    <cellStyle name="_20061103Holux_slm_llp_0520_Commissioning System Implementation_Project Workbook_06_10_2011 3" xfId="8347" xr:uid="{00000000-0005-0000-0000-000041200000}"/>
    <cellStyle name="_20061103Holux_slm_llp_0520_Commissioning System Implementation_Project Workbook_06_10_2011_Steps of Doneness" xfId="8348" xr:uid="{00000000-0005-0000-0000-000042200000}"/>
    <cellStyle name="_20061103Holux_slm_llp_0520_FairPoint_CampReport" xfId="8349" xr:uid="{00000000-0005-0000-0000-000043200000}"/>
    <cellStyle name="_20061103Holux_slm_llp_0520_FairPoint_CampReport 2" xfId="8350" xr:uid="{00000000-0005-0000-0000-000044200000}"/>
    <cellStyle name="_20061103Holux_slm_llp_0520_FairPoint_CampReport 2_Steps of Doneness" xfId="8351" xr:uid="{00000000-0005-0000-0000-000045200000}"/>
    <cellStyle name="_20061103Holux_slm_llp_0520_FairPoint_CampReport 3" xfId="8352" xr:uid="{00000000-0005-0000-0000-000046200000}"/>
    <cellStyle name="_20061103Holux_slm_llp_0520_FairPoint_CampReport_Steps of Doneness" xfId="8353" xr:uid="{00000000-0005-0000-0000-000047200000}"/>
    <cellStyle name="_20061103Holux_slm_llp_0520_FairPoint_FP comTechOps_ProgramWorkbook" xfId="8354" xr:uid="{00000000-0005-0000-0000-000048200000}"/>
    <cellStyle name="_20061103Holux_slm_llp_0520_FairPoint_FP comTechOps_ProgramWorkbook 2" xfId="8355" xr:uid="{00000000-0005-0000-0000-000049200000}"/>
    <cellStyle name="_20061103Holux_slm_llp_0520_FairPoint_FP comTechOps_ProgramWorkbook 2_Steps of Doneness" xfId="8356" xr:uid="{00000000-0005-0000-0000-00004A200000}"/>
    <cellStyle name="_20061103Holux_slm_llp_0520_FairPoint_FP comTechOps_ProgramWorkbook 3" xfId="8357" xr:uid="{00000000-0005-0000-0000-00004B200000}"/>
    <cellStyle name="_20061103Holux_slm_llp_0520_FairPoint_FP comTechOps_ProgramWorkbook_sachin" xfId="8358" xr:uid="{00000000-0005-0000-0000-00004C200000}"/>
    <cellStyle name="_20061103Holux_slm_llp_0520_FairPoint_FP comTechOps_ProgramWorkbook_sachin 2" xfId="8359" xr:uid="{00000000-0005-0000-0000-00004D200000}"/>
    <cellStyle name="_20061103Holux_slm_llp_0520_FairPoint_FP comTechOps_ProgramWorkbook_sachin 2_Steps of Doneness" xfId="8360" xr:uid="{00000000-0005-0000-0000-00004E200000}"/>
    <cellStyle name="_20061103Holux_slm_llp_0520_FairPoint_FP comTechOps_ProgramWorkbook_sachin 3" xfId="8361" xr:uid="{00000000-0005-0000-0000-00004F200000}"/>
    <cellStyle name="_20061103Holux_slm_llp_0520_FairPoint_FP comTechOps_ProgramWorkbook_sachin_Steps of Doneness" xfId="8362" xr:uid="{00000000-0005-0000-0000-000050200000}"/>
    <cellStyle name="_20061103Holux_slm_llp_0520_FairPoint_FP comTechOps_ProgramWorkbook_sachin_v1" xfId="8363" xr:uid="{00000000-0005-0000-0000-000051200000}"/>
    <cellStyle name="_20061103Holux_slm_llp_0520_FairPoint_FP comTechOps_ProgramWorkbook_sachin_v1 2" xfId="8364" xr:uid="{00000000-0005-0000-0000-000052200000}"/>
    <cellStyle name="_20061103Holux_slm_llp_0520_FairPoint_FP comTechOps_ProgramWorkbook_sachin_v1 2_Steps of Doneness" xfId="8365" xr:uid="{00000000-0005-0000-0000-000053200000}"/>
    <cellStyle name="_20061103Holux_slm_llp_0520_FairPoint_FP comTechOps_ProgramWorkbook_sachin_v1 3" xfId="8366" xr:uid="{00000000-0005-0000-0000-000054200000}"/>
    <cellStyle name="_20061103Holux_slm_llp_0520_FairPoint_FP comTechOps_ProgramWorkbook_sachin_v1_Steps of Doneness" xfId="8367" xr:uid="{00000000-0005-0000-0000-000055200000}"/>
    <cellStyle name="_20061103Holux_slm_llp_0520_FairPoint_FP comTechOps_ProgramWorkbook_Steps of Doneness" xfId="8368" xr:uid="{00000000-0005-0000-0000-000056200000}"/>
    <cellStyle name="_20061103Holux_slm_llp_0520_FP_CAMP&amp;ITReporting_Maintenance_Dashboard" xfId="8369" xr:uid="{00000000-0005-0000-0000-000057200000}"/>
    <cellStyle name="_20061103Holux_slm_llp_0520_FP_CAMP&amp;ITReporting_Maintenance_Dashboard 2" xfId="8370" xr:uid="{00000000-0005-0000-0000-000058200000}"/>
    <cellStyle name="_20061103Holux_slm_llp_0520_FP_CAMP&amp;ITReporting_Maintenance_Dashboard 2_Steps of Doneness" xfId="8371" xr:uid="{00000000-0005-0000-0000-000059200000}"/>
    <cellStyle name="_20061103Holux_slm_llp_0520_FP_CAMP&amp;ITReporting_Maintenance_Dashboard 3" xfId="8372" xr:uid="{00000000-0005-0000-0000-00005A200000}"/>
    <cellStyle name="_20061103Holux_slm_llp_0520_FP_CAMP&amp;ITReporting_Maintenance_Dashboard_Steps of Doneness" xfId="8373" xr:uid="{00000000-0005-0000-0000-00005B200000}"/>
    <cellStyle name="_20061103Holux_slm_llp_0520_FP_CAMPITReporting_Maintenance_Dashboard" xfId="8374" xr:uid="{00000000-0005-0000-0000-00005C200000}"/>
    <cellStyle name="_20061103Holux_slm_llp_0520_FP_CAMPITReporting_Maintenance_Dashboard 2" xfId="8375" xr:uid="{00000000-0005-0000-0000-00005D200000}"/>
    <cellStyle name="_20061103Holux_slm_llp_0520_FP_CAMPITReporting_Maintenance_Dashboard 2_Steps of Doneness" xfId="8376" xr:uid="{00000000-0005-0000-0000-00005E200000}"/>
    <cellStyle name="_20061103Holux_slm_llp_0520_FP_CAMPITReporting_Maintenance_Dashboard 3" xfId="8377" xr:uid="{00000000-0005-0000-0000-00005F200000}"/>
    <cellStyle name="_20061103Holux_slm_llp_0520_FP_CAMPITReporting_Maintenance_Dashboard_Steps of Doneness" xfId="8378" xr:uid="{00000000-0005-0000-0000-000060200000}"/>
    <cellStyle name="_20061103Holux_slm_llp_0520_FP_Commissions_Req_Dn_ProgramWorkBook_10-Dec-2010" xfId="8379" xr:uid="{00000000-0005-0000-0000-000061200000}"/>
    <cellStyle name="_20061103Holux_slm_llp_0520_FP_Commissions_Req_Dn_ProgramWorkBook_10-Dec-2010 2" xfId="8380" xr:uid="{00000000-0005-0000-0000-000062200000}"/>
    <cellStyle name="_20061103Holux_slm_llp_0520_FP_Commissions_Req_Dn_ProgramWorkBook_10-Dec-2010 2_Steps of Doneness" xfId="8381" xr:uid="{00000000-0005-0000-0000-000063200000}"/>
    <cellStyle name="_20061103Holux_slm_llp_0520_FP_Commissions_Req_Dn_ProgramWorkBook_10-Dec-2010 3" xfId="8382" xr:uid="{00000000-0005-0000-0000-000064200000}"/>
    <cellStyle name="_20061103Holux_slm_llp_0520_FP_Commissions_Req_Dn_ProgramWorkBook_10-Dec-2010_Steps of Doneness" xfId="8383" xr:uid="{00000000-0005-0000-0000-000065200000}"/>
    <cellStyle name="_20061103Holux_slm_llp_0520_FP_DW_Impl_ProgramWorkBook_07-Jan-2011" xfId="8384" xr:uid="{00000000-0005-0000-0000-000066200000}"/>
    <cellStyle name="_20061103Holux_slm_llp_0520_FP_DW_Impl_ProgramWorkBook_07-Jan-2011 2" xfId="8385" xr:uid="{00000000-0005-0000-0000-000067200000}"/>
    <cellStyle name="_20061103Holux_slm_llp_0520_FP_DW_Impl_ProgramWorkBook_07-Jan-2011 2 2" xfId="8386" xr:uid="{00000000-0005-0000-0000-000068200000}"/>
    <cellStyle name="_20061103Holux_slm_llp_0520_FP_DW_Impl_ProgramWorkBook_07-Jan-2011 2 2_Steps of Doneness" xfId="8387" xr:uid="{00000000-0005-0000-0000-000069200000}"/>
    <cellStyle name="_20061103Holux_slm_llp_0520_FP_DW_Impl_ProgramWorkBook_07-Jan-2011 2 3" xfId="8388" xr:uid="{00000000-0005-0000-0000-00006A200000}"/>
    <cellStyle name="_20061103Holux_slm_llp_0520_FP_DW_Impl_ProgramWorkBook_07-Jan-2011 2_Steps of Doneness" xfId="8389" xr:uid="{00000000-0005-0000-0000-00006B200000}"/>
    <cellStyle name="_20061103Holux_slm_llp_0520_FP_DW_Impl_ProgramWorkBook_07-Jan-2011 3" xfId="8390" xr:uid="{00000000-0005-0000-0000-00006C200000}"/>
    <cellStyle name="_20061103Holux_slm_llp_0520_FP_DW_Impl_ProgramWorkBook_07-Jan-2011 3_Steps of Doneness" xfId="8391" xr:uid="{00000000-0005-0000-0000-00006D200000}"/>
    <cellStyle name="_20061103Holux_slm_llp_0520_FP_DW_Impl_ProgramWorkBook_07-Jan-2011 4" xfId="8392" xr:uid="{00000000-0005-0000-0000-00006E200000}"/>
    <cellStyle name="_20061103Holux_slm_llp_0520_FP_DW_Impl_ProgramWorkBook_07-Jan-2011_Steps of Doneness" xfId="8393" xr:uid="{00000000-0005-0000-0000-00006F200000}"/>
    <cellStyle name="_20061103Holux_slm_llp_0520_FP_DW_Impl_ProgramWorkBook_11-Feb-2011" xfId="8394" xr:uid="{00000000-0005-0000-0000-000070200000}"/>
    <cellStyle name="_20061103Holux_slm_llp_0520_FP_DW_Impl_ProgramWorkBook_11-Feb-2011 2" xfId="8395" xr:uid="{00000000-0005-0000-0000-000071200000}"/>
    <cellStyle name="_20061103Holux_slm_llp_0520_FP_DW_Impl_ProgramWorkBook_11-Feb-2011 2_Steps of Doneness" xfId="8396" xr:uid="{00000000-0005-0000-0000-000072200000}"/>
    <cellStyle name="_20061103Holux_slm_llp_0520_FP_DW_Impl_ProgramWorkBook_11-Feb-2011 3" xfId="8397" xr:uid="{00000000-0005-0000-0000-000073200000}"/>
    <cellStyle name="_20061103Holux_slm_llp_0520_FP_DW_Impl_ProgramWorkBook_11-Feb-2011_Steps of Doneness" xfId="8398" xr:uid="{00000000-0005-0000-0000-000074200000}"/>
    <cellStyle name="_20061103Holux_slm_llp_0520_FP_DW_Impl_ProgramWorkBook_18-Feb-2011 - Working" xfId="8399" xr:uid="{00000000-0005-0000-0000-000075200000}"/>
    <cellStyle name="_20061103Holux_slm_llp_0520_FP_DW_Impl_ProgramWorkBook_18-Feb-2011 - Working 2" xfId="8400" xr:uid="{00000000-0005-0000-0000-000076200000}"/>
    <cellStyle name="_20061103Holux_slm_llp_0520_FP_DW_Impl_ProgramWorkBook_18-Feb-2011 - Working 2_Steps of Doneness" xfId="8401" xr:uid="{00000000-0005-0000-0000-000077200000}"/>
    <cellStyle name="_20061103Holux_slm_llp_0520_FP_DW_Impl_ProgramWorkBook_18-Feb-2011 - Working 3" xfId="8402" xr:uid="{00000000-0005-0000-0000-000078200000}"/>
    <cellStyle name="_20061103Holux_slm_llp_0520_FP_DW_Impl_ProgramWorkBook_18-Feb-2011 - Working_Steps of Doneness" xfId="8403" xr:uid="{00000000-0005-0000-0000-000079200000}"/>
    <cellStyle name="_20061103Holux_slm_llp_0520_FP_EnterprisePortal_ProgramWorkbook" xfId="8404" xr:uid="{00000000-0005-0000-0000-00007A200000}"/>
    <cellStyle name="_20061103Holux_slm_llp_0520_FP_EnterprisePortal_ProgramWorkbook 2" xfId="8405" xr:uid="{00000000-0005-0000-0000-00007B200000}"/>
    <cellStyle name="_20061103Holux_slm_llp_0520_FP_EnterprisePortal_ProgramWorkbook 2_Steps of Doneness" xfId="8406" xr:uid="{00000000-0005-0000-0000-00007C200000}"/>
    <cellStyle name="_20061103Holux_slm_llp_0520_FP_EnterprisePortal_ProgramWorkbook 3" xfId="8407" xr:uid="{00000000-0005-0000-0000-00007D200000}"/>
    <cellStyle name="_20061103Holux_slm_llp_0520_FP_EnterprisePortal_ProgramWorkbook_Steps of Doneness" xfId="8408" xr:uid="{00000000-0005-0000-0000-00007E200000}"/>
    <cellStyle name="_20061103Holux_slm_llp_0520_FP_SAP_MLP v2" xfId="8409" xr:uid="{00000000-0005-0000-0000-00007F200000}"/>
    <cellStyle name="_20061103Holux_slm_llp_0520_FP_SAP_MLP v2 2" xfId="8410" xr:uid="{00000000-0005-0000-0000-000080200000}"/>
    <cellStyle name="_20061103Holux_slm_llp_0520_FP_SAP_MLP v2 2_Steps of Doneness" xfId="8411" xr:uid="{00000000-0005-0000-0000-000081200000}"/>
    <cellStyle name="_20061103Holux_slm_llp_0520_FP_SAP_MLP v2 3" xfId="8412" xr:uid="{00000000-0005-0000-0000-000082200000}"/>
    <cellStyle name="_20061103Holux_slm_llp_0520_FP_SAP_MLP v2_Steps of Doneness" xfId="8413" xr:uid="{00000000-0005-0000-0000-000083200000}"/>
    <cellStyle name="_20061103Holux_slm_llp_0520_KeyDecisions" xfId="8414" xr:uid="{00000000-0005-0000-0000-000084200000}"/>
    <cellStyle name="_20061103Holux_slm_llp_0520_KeyDecisions 2" xfId="8415" xr:uid="{00000000-0005-0000-0000-000085200000}"/>
    <cellStyle name="_20061103Holux_slm_llp_0520_KeyDecisions 2_Steps of Doneness" xfId="8416" xr:uid="{00000000-0005-0000-0000-000086200000}"/>
    <cellStyle name="_20061103Holux_slm_llp_0520_KeyDecisions 3" xfId="8417" xr:uid="{00000000-0005-0000-0000-000087200000}"/>
    <cellStyle name="_20061103Holux_slm_llp_0520_KeyDecisions_Steps of Doneness" xfId="8418" xr:uid="{00000000-0005-0000-0000-000088200000}"/>
    <cellStyle name="_20061103Holux_slm_llp_0520_Sophia_Imp_ProjectWorkBook_02_18_2011" xfId="8419" xr:uid="{00000000-0005-0000-0000-000089200000}"/>
    <cellStyle name="_20061103Holux_slm_llp_0520_Sophia_Imp_ProjectWorkBook_02_18_2011 2" xfId="8420" xr:uid="{00000000-0005-0000-0000-00008A200000}"/>
    <cellStyle name="_20061103Holux_slm_llp_0520_Sophia_Imp_ProjectWorkBook_02_18_2011 2_Steps of Doneness" xfId="8421" xr:uid="{00000000-0005-0000-0000-00008B200000}"/>
    <cellStyle name="_20061103Holux_slm_llp_0520_Sophia_Imp_ProjectWorkBook_02_18_2011 3" xfId="8422" xr:uid="{00000000-0005-0000-0000-00008C200000}"/>
    <cellStyle name="_20061103Holux_slm_llp_0520_Sophia_Imp_ProjectWorkBook_02_18_2011_Steps of Doneness" xfId="8423" xr:uid="{00000000-0005-0000-0000-00008D200000}"/>
    <cellStyle name="_20061103Holux_slm_llp_0520_Steps of Doneness" xfId="8424" xr:uid="{00000000-0005-0000-0000-00008E200000}"/>
    <cellStyle name="_20061103Holux_slm_llp_0520_t" xfId="8425" xr:uid="{00000000-0005-0000-0000-00008F200000}"/>
    <cellStyle name="_20061103Holux_slm_llp_0520_t 2" xfId="8426" xr:uid="{00000000-0005-0000-0000-000090200000}"/>
    <cellStyle name="_20061103Holux_slm_llp_0520_t 2_Steps of Doneness" xfId="8427" xr:uid="{00000000-0005-0000-0000-000091200000}"/>
    <cellStyle name="_20061103Holux_slm_llp_0520_t 3" xfId="8428" xr:uid="{00000000-0005-0000-0000-000092200000}"/>
    <cellStyle name="_20061103Holux_slm_llp_0520_t_Steps of Doneness" xfId="8429" xr:uid="{00000000-0005-0000-0000-000093200000}"/>
    <cellStyle name="_20061103Holux_SLM_PM_Workbook_053110" xfId="8430" xr:uid="{00000000-0005-0000-0000-000094200000}"/>
    <cellStyle name="_20061103Holux_SLM_PM_Workbook_053110 2" xfId="8431" xr:uid="{00000000-0005-0000-0000-000095200000}"/>
    <cellStyle name="_20061103Holux_SLM_PM_Workbook_053110 2 2" xfId="8432" xr:uid="{00000000-0005-0000-0000-000096200000}"/>
    <cellStyle name="_20061103Holux_SLM_PM_Workbook_053110 2 2_Steps of Doneness" xfId="8433" xr:uid="{00000000-0005-0000-0000-000097200000}"/>
    <cellStyle name="_20061103Holux_SLM_PM_Workbook_053110 2 3" xfId="8434" xr:uid="{00000000-0005-0000-0000-000098200000}"/>
    <cellStyle name="_20061103Holux_SLM_PM_Workbook_053110 2_Steps of Doneness" xfId="8435" xr:uid="{00000000-0005-0000-0000-000099200000}"/>
    <cellStyle name="_20061103Holux_SLM_PM_Workbook_053110 3" xfId="8436" xr:uid="{00000000-0005-0000-0000-00009A200000}"/>
    <cellStyle name="_20061103Holux_SLM_PM_Workbook_053110 3 2" xfId="8437" xr:uid="{00000000-0005-0000-0000-00009B200000}"/>
    <cellStyle name="_20061103Holux_SLM_PM_Workbook_053110 3 2_Steps of Doneness" xfId="8438" xr:uid="{00000000-0005-0000-0000-00009C200000}"/>
    <cellStyle name="_20061103Holux_SLM_PM_Workbook_053110 3 3" xfId="8439" xr:uid="{00000000-0005-0000-0000-00009D200000}"/>
    <cellStyle name="_20061103Holux_SLM_PM_Workbook_053110 3_Steps of Doneness" xfId="8440" xr:uid="{00000000-0005-0000-0000-00009E200000}"/>
    <cellStyle name="_20061103Holux_SLM_PM_Workbook_053110 4" xfId="8441" xr:uid="{00000000-0005-0000-0000-00009F200000}"/>
    <cellStyle name="_20061103Holux_SLM_PM_Workbook_053110 4_Steps of Doneness" xfId="8442" xr:uid="{00000000-0005-0000-0000-0000A0200000}"/>
    <cellStyle name="_20061103Holux_SLM_PM_Workbook_053110 5" xfId="8443" xr:uid="{00000000-0005-0000-0000-0000A1200000}"/>
    <cellStyle name="_20061103Holux_SLM_PM_Workbook_053110 6" xfId="8444" xr:uid="{00000000-0005-0000-0000-0000A2200000}"/>
    <cellStyle name="_20061103Holux_SLM_PM_Workbook_053110_Commissioning System Implementation_Project Workbook_06_10_2011" xfId="8445" xr:uid="{00000000-0005-0000-0000-0000A3200000}"/>
    <cellStyle name="_20061103Holux_SLM_PM_Workbook_053110_Commissioning System Implementation_Project Workbook_06_10_2011 2" xfId="8446" xr:uid="{00000000-0005-0000-0000-0000A4200000}"/>
    <cellStyle name="_20061103Holux_SLM_PM_Workbook_053110_Commissioning System Implementation_Project Workbook_06_10_2011 2_Steps of Doneness" xfId="8447" xr:uid="{00000000-0005-0000-0000-0000A5200000}"/>
    <cellStyle name="_20061103Holux_SLM_PM_Workbook_053110_Commissioning System Implementation_Project Workbook_06_10_2011 3" xfId="8448" xr:uid="{00000000-0005-0000-0000-0000A6200000}"/>
    <cellStyle name="_20061103Holux_SLM_PM_Workbook_053110_Commissioning System Implementation_Project Workbook_06_10_2011_Steps of Doneness" xfId="8449" xr:uid="{00000000-0005-0000-0000-0000A7200000}"/>
    <cellStyle name="_20061103Holux_SLM_PM_Workbook_053110_FairPoint_CampReport" xfId="8450" xr:uid="{00000000-0005-0000-0000-0000A8200000}"/>
    <cellStyle name="_20061103Holux_SLM_PM_Workbook_053110_FairPoint_CampReport 2" xfId="8451" xr:uid="{00000000-0005-0000-0000-0000A9200000}"/>
    <cellStyle name="_20061103Holux_SLM_PM_Workbook_053110_FairPoint_CampReport 2_Steps of Doneness" xfId="8452" xr:uid="{00000000-0005-0000-0000-0000AA200000}"/>
    <cellStyle name="_20061103Holux_SLM_PM_Workbook_053110_FairPoint_CampReport 3" xfId="8453" xr:uid="{00000000-0005-0000-0000-0000AB200000}"/>
    <cellStyle name="_20061103Holux_SLM_PM_Workbook_053110_FairPoint_CampReport_Steps of Doneness" xfId="8454" xr:uid="{00000000-0005-0000-0000-0000AC200000}"/>
    <cellStyle name="_20061103Holux_SLM_PM_Workbook_053110_FairPoint_FP comTechOps_ProgramWorkbook" xfId="8455" xr:uid="{00000000-0005-0000-0000-0000AD200000}"/>
    <cellStyle name="_20061103Holux_SLM_PM_Workbook_053110_FairPoint_FP comTechOps_ProgramWorkbook 2" xfId="8456" xr:uid="{00000000-0005-0000-0000-0000AE200000}"/>
    <cellStyle name="_20061103Holux_SLM_PM_Workbook_053110_FairPoint_FP comTechOps_ProgramWorkbook 2_Steps of Doneness" xfId="8457" xr:uid="{00000000-0005-0000-0000-0000AF200000}"/>
    <cellStyle name="_20061103Holux_SLM_PM_Workbook_053110_FairPoint_FP comTechOps_ProgramWorkbook 3" xfId="8458" xr:uid="{00000000-0005-0000-0000-0000B0200000}"/>
    <cellStyle name="_20061103Holux_SLM_PM_Workbook_053110_FairPoint_FP comTechOps_ProgramWorkbook_sachin" xfId="8459" xr:uid="{00000000-0005-0000-0000-0000B1200000}"/>
    <cellStyle name="_20061103Holux_SLM_PM_Workbook_053110_FairPoint_FP comTechOps_ProgramWorkbook_sachin 2" xfId="8460" xr:uid="{00000000-0005-0000-0000-0000B2200000}"/>
    <cellStyle name="_20061103Holux_SLM_PM_Workbook_053110_FairPoint_FP comTechOps_ProgramWorkbook_sachin 2_Steps of Doneness" xfId="8461" xr:uid="{00000000-0005-0000-0000-0000B3200000}"/>
    <cellStyle name="_20061103Holux_SLM_PM_Workbook_053110_FairPoint_FP comTechOps_ProgramWorkbook_sachin 3" xfId="8462" xr:uid="{00000000-0005-0000-0000-0000B4200000}"/>
    <cellStyle name="_20061103Holux_SLM_PM_Workbook_053110_FairPoint_FP comTechOps_ProgramWorkbook_sachin_Steps of Doneness" xfId="8463" xr:uid="{00000000-0005-0000-0000-0000B5200000}"/>
    <cellStyle name="_20061103Holux_SLM_PM_Workbook_053110_FairPoint_FP comTechOps_ProgramWorkbook_sachin_v1" xfId="8464" xr:uid="{00000000-0005-0000-0000-0000B6200000}"/>
    <cellStyle name="_20061103Holux_SLM_PM_Workbook_053110_FairPoint_FP comTechOps_ProgramWorkbook_sachin_v1 2" xfId="8465" xr:uid="{00000000-0005-0000-0000-0000B7200000}"/>
    <cellStyle name="_20061103Holux_SLM_PM_Workbook_053110_FairPoint_FP comTechOps_ProgramWorkbook_sachin_v1 2_Steps of Doneness" xfId="8466" xr:uid="{00000000-0005-0000-0000-0000B8200000}"/>
    <cellStyle name="_20061103Holux_SLM_PM_Workbook_053110_FairPoint_FP comTechOps_ProgramWorkbook_sachin_v1 3" xfId="8467" xr:uid="{00000000-0005-0000-0000-0000B9200000}"/>
    <cellStyle name="_20061103Holux_SLM_PM_Workbook_053110_FairPoint_FP comTechOps_ProgramWorkbook_sachin_v1_Steps of Doneness" xfId="8468" xr:uid="{00000000-0005-0000-0000-0000BA200000}"/>
    <cellStyle name="_20061103Holux_SLM_PM_Workbook_053110_FairPoint_FP comTechOps_ProgramWorkbook_Steps of Doneness" xfId="8469" xr:uid="{00000000-0005-0000-0000-0000BB200000}"/>
    <cellStyle name="_20061103Holux_SLM_PM_Workbook_053110_FP_CAMP&amp;ITReporting_Maintenance_Dashboard" xfId="8470" xr:uid="{00000000-0005-0000-0000-0000BC200000}"/>
    <cellStyle name="_20061103Holux_SLM_PM_Workbook_053110_FP_CAMP&amp;ITReporting_Maintenance_Dashboard 2" xfId="8471" xr:uid="{00000000-0005-0000-0000-0000BD200000}"/>
    <cellStyle name="_20061103Holux_SLM_PM_Workbook_053110_FP_CAMP&amp;ITReporting_Maintenance_Dashboard 2_Steps of Doneness" xfId="8472" xr:uid="{00000000-0005-0000-0000-0000BE200000}"/>
    <cellStyle name="_20061103Holux_SLM_PM_Workbook_053110_FP_CAMP&amp;ITReporting_Maintenance_Dashboard 3" xfId="8473" xr:uid="{00000000-0005-0000-0000-0000BF200000}"/>
    <cellStyle name="_20061103Holux_SLM_PM_Workbook_053110_FP_CAMP&amp;ITReporting_Maintenance_Dashboard_Steps of Doneness" xfId="8474" xr:uid="{00000000-0005-0000-0000-0000C0200000}"/>
    <cellStyle name="_20061103Holux_SLM_PM_Workbook_053110_FP_CAMPITReporting_Maintenance_Dashboard" xfId="8475" xr:uid="{00000000-0005-0000-0000-0000C1200000}"/>
    <cellStyle name="_20061103Holux_SLM_PM_Workbook_053110_FP_CAMPITReporting_Maintenance_Dashboard 2" xfId="8476" xr:uid="{00000000-0005-0000-0000-0000C2200000}"/>
    <cellStyle name="_20061103Holux_SLM_PM_Workbook_053110_FP_CAMPITReporting_Maintenance_Dashboard 2_Steps of Doneness" xfId="8477" xr:uid="{00000000-0005-0000-0000-0000C3200000}"/>
    <cellStyle name="_20061103Holux_SLM_PM_Workbook_053110_FP_CAMPITReporting_Maintenance_Dashboard 3" xfId="8478" xr:uid="{00000000-0005-0000-0000-0000C4200000}"/>
    <cellStyle name="_20061103Holux_SLM_PM_Workbook_053110_FP_CAMPITReporting_Maintenance_Dashboard_Steps of Doneness" xfId="8479" xr:uid="{00000000-0005-0000-0000-0000C5200000}"/>
    <cellStyle name="_20061103Holux_SLM_PM_Workbook_053110_FP_Commissions_Req_Dn_ProgramWorkBook_10-Dec-2010" xfId="8480" xr:uid="{00000000-0005-0000-0000-0000C6200000}"/>
    <cellStyle name="_20061103Holux_SLM_PM_Workbook_053110_FP_Commissions_Req_Dn_ProgramWorkBook_10-Dec-2010 2" xfId="8481" xr:uid="{00000000-0005-0000-0000-0000C7200000}"/>
    <cellStyle name="_20061103Holux_SLM_PM_Workbook_053110_FP_Commissions_Req_Dn_ProgramWorkBook_10-Dec-2010 2_Steps of Doneness" xfId="8482" xr:uid="{00000000-0005-0000-0000-0000C8200000}"/>
    <cellStyle name="_20061103Holux_SLM_PM_Workbook_053110_FP_Commissions_Req_Dn_ProgramWorkBook_10-Dec-2010 3" xfId="8483" xr:uid="{00000000-0005-0000-0000-0000C9200000}"/>
    <cellStyle name="_20061103Holux_SLM_PM_Workbook_053110_FP_Commissions_Req_Dn_ProgramWorkBook_10-Dec-2010_Steps of Doneness" xfId="8484" xr:uid="{00000000-0005-0000-0000-0000CA200000}"/>
    <cellStyle name="_20061103Holux_SLM_PM_Workbook_053110_FP_DW_Impl_ProgramWorkBook_07-Jan-2011" xfId="8485" xr:uid="{00000000-0005-0000-0000-0000CB200000}"/>
    <cellStyle name="_20061103Holux_SLM_PM_Workbook_053110_FP_DW_Impl_ProgramWorkBook_07-Jan-2011 2" xfId="8486" xr:uid="{00000000-0005-0000-0000-0000CC200000}"/>
    <cellStyle name="_20061103Holux_SLM_PM_Workbook_053110_FP_DW_Impl_ProgramWorkBook_07-Jan-2011 2 2" xfId="8487" xr:uid="{00000000-0005-0000-0000-0000CD200000}"/>
    <cellStyle name="_20061103Holux_SLM_PM_Workbook_053110_FP_DW_Impl_ProgramWorkBook_07-Jan-2011 2 2_Steps of Doneness" xfId="8488" xr:uid="{00000000-0005-0000-0000-0000CE200000}"/>
    <cellStyle name="_20061103Holux_SLM_PM_Workbook_053110_FP_DW_Impl_ProgramWorkBook_07-Jan-2011 2 3" xfId="8489" xr:uid="{00000000-0005-0000-0000-0000CF200000}"/>
    <cellStyle name="_20061103Holux_SLM_PM_Workbook_053110_FP_DW_Impl_ProgramWorkBook_07-Jan-2011 2_Steps of Doneness" xfId="8490" xr:uid="{00000000-0005-0000-0000-0000D0200000}"/>
    <cellStyle name="_20061103Holux_SLM_PM_Workbook_053110_FP_DW_Impl_ProgramWorkBook_07-Jan-2011 3" xfId="8491" xr:uid="{00000000-0005-0000-0000-0000D1200000}"/>
    <cellStyle name="_20061103Holux_SLM_PM_Workbook_053110_FP_DW_Impl_ProgramWorkBook_07-Jan-2011 3_Steps of Doneness" xfId="8492" xr:uid="{00000000-0005-0000-0000-0000D2200000}"/>
    <cellStyle name="_20061103Holux_SLM_PM_Workbook_053110_FP_DW_Impl_ProgramWorkBook_07-Jan-2011 4" xfId="8493" xr:uid="{00000000-0005-0000-0000-0000D3200000}"/>
    <cellStyle name="_20061103Holux_SLM_PM_Workbook_053110_FP_DW_Impl_ProgramWorkBook_07-Jan-2011_Steps of Doneness" xfId="8494" xr:uid="{00000000-0005-0000-0000-0000D4200000}"/>
    <cellStyle name="_20061103Holux_SLM_PM_Workbook_053110_FP_DW_Impl_ProgramWorkBook_11-Feb-2011" xfId="8495" xr:uid="{00000000-0005-0000-0000-0000D5200000}"/>
    <cellStyle name="_20061103Holux_SLM_PM_Workbook_053110_FP_DW_Impl_ProgramWorkBook_11-Feb-2011 2" xfId="8496" xr:uid="{00000000-0005-0000-0000-0000D6200000}"/>
    <cellStyle name="_20061103Holux_SLM_PM_Workbook_053110_FP_DW_Impl_ProgramWorkBook_11-Feb-2011 2_Steps of Doneness" xfId="8497" xr:uid="{00000000-0005-0000-0000-0000D7200000}"/>
    <cellStyle name="_20061103Holux_SLM_PM_Workbook_053110_FP_DW_Impl_ProgramWorkBook_11-Feb-2011 3" xfId="8498" xr:uid="{00000000-0005-0000-0000-0000D8200000}"/>
    <cellStyle name="_20061103Holux_SLM_PM_Workbook_053110_FP_DW_Impl_ProgramWorkBook_11-Feb-2011_Steps of Doneness" xfId="8499" xr:uid="{00000000-0005-0000-0000-0000D9200000}"/>
    <cellStyle name="_20061103Holux_SLM_PM_Workbook_053110_FP_DW_Impl_ProgramWorkBook_18-Feb-2011 - Working" xfId="8500" xr:uid="{00000000-0005-0000-0000-0000DA200000}"/>
    <cellStyle name="_20061103Holux_SLM_PM_Workbook_053110_FP_DW_Impl_ProgramWorkBook_18-Feb-2011 - Working 2" xfId="8501" xr:uid="{00000000-0005-0000-0000-0000DB200000}"/>
    <cellStyle name="_20061103Holux_SLM_PM_Workbook_053110_FP_DW_Impl_ProgramWorkBook_18-Feb-2011 - Working 2_Steps of Doneness" xfId="8502" xr:uid="{00000000-0005-0000-0000-0000DC200000}"/>
    <cellStyle name="_20061103Holux_SLM_PM_Workbook_053110_FP_DW_Impl_ProgramWorkBook_18-Feb-2011 - Working 3" xfId="8503" xr:uid="{00000000-0005-0000-0000-0000DD200000}"/>
    <cellStyle name="_20061103Holux_SLM_PM_Workbook_053110_FP_DW_Impl_ProgramWorkBook_18-Feb-2011 - Working_Steps of Doneness" xfId="8504" xr:uid="{00000000-0005-0000-0000-0000DE200000}"/>
    <cellStyle name="_20061103Holux_SLM_PM_Workbook_053110_FP_EnterprisePortal_ProgramWorkbook" xfId="8505" xr:uid="{00000000-0005-0000-0000-0000DF200000}"/>
    <cellStyle name="_20061103Holux_SLM_PM_Workbook_053110_FP_EnterprisePortal_ProgramWorkbook 2" xfId="8506" xr:uid="{00000000-0005-0000-0000-0000E0200000}"/>
    <cellStyle name="_20061103Holux_SLM_PM_Workbook_053110_FP_EnterprisePortal_ProgramWorkbook 2_Steps of Doneness" xfId="8507" xr:uid="{00000000-0005-0000-0000-0000E1200000}"/>
    <cellStyle name="_20061103Holux_SLM_PM_Workbook_053110_FP_EnterprisePortal_ProgramWorkbook 3" xfId="8508" xr:uid="{00000000-0005-0000-0000-0000E2200000}"/>
    <cellStyle name="_20061103Holux_SLM_PM_Workbook_053110_FP_EnterprisePortal_ProgramWorkbook_Steps of Doneness" xfId="8509" xr:uid="{00000000-0005-0000-0000-0000E3200000}"/>
    <cellStyle name="_20061103Holux_SLM_PM_Workbook_053110_FP_SAP_MLP v2" xfId="8510" xr:uid="{00000000-0005-0000-0000-0000E4200000}"/>
    <cellStyle name="_20061103Holux_SLM_PM_Workbook_053110_FP_SAP_MLP v2 2" xfId="8511" xr:uid="{00000000-0005-0000-0000-0000E5200000}"/>
    <cellStyle name="_20061103Holux_SLM_PM_Workbook_053110_FP_SAP_MLP v2 2_Steps of Doneness" xfId="8512" xr:uid="{00000000-0005-0000-0000-0000E6200000}"/>
    <cellStyle name="_20061103Holux_SLM_PM_Workbook_053110_FP_SAP_MLP v2 3" xfId="8513" xr:uid="{00000000-0005-0000-0000-0000E7200000}"/>
    <cellStyle name="_20061103Holux_SLM_PM_Workbook_053110_FP_SAP_MLP v2_Steps of Doneness" xfId="8514" xr:uid="{00000000-0005-0000-0000-0000E8200000}"/>
    <cellStyle name="_20061103Holux_SLM_PM_Workbook_053110_KeyDecisions" xfId="8515" xr:uid="{00000000-0005-0000-0000-0000E9200000}"/>
    <cellStyle name="_20061103Holux_SLM_PM_Workbook_053110_KeyDecisions 2" xfId="8516" xr:uid="{00000000-0005-0000-0000-0000EA200000}"/>
    <cellStyle name="_20061103Holux_SLM_PM_Workbook_053110_KeyDecisions 2_Steps of Doneness" xfId="8517" xr:uid="{00000000-0005-0000-0000-0000EB200000}"/>
    <cellStyle name="_20061103Holux_SLM_PM_Workbook_053110_KeyDecisions 3" xfId="8518" xr:uid="{00000000-0005-0000-0000-0000EC200000}"/>
    <cellStyle name="_20061103Holux_SLM_PM_Workbook_053110_KeyDecisions_Steps of Doneness" xfId="8519" xr:uid="{00000000-0005-0000-0000-0000ED200000}"/>
    <cellStyle name="_20061103Holux_SLM_PM_Workbook_053110_Sophia_Imp_ProjectWorkBook_02_18_2011" xfId="8520" xr:uid="{00000000-0005-0000-0000-0000EE200000}"/>
    <cellStyle name="_20061103Holux_SLM_PM_Workbook_053110_Sophia_Imp_ProjectWorkBook_02_18_2011 2" xfId="8521" xr:uid="{00000000-0005-0000-0000-0000EF200000}"/>
    <cellStyle name="_20061103Holux_SLM_PM_Workbook_053110_Sophia_Imp_ProjectWorkBook_02_18_2011 2_Steps of Doneness" xfId="8522" xr:uid="{00000000-0005-0000-0000-0000F0200000}"/>
    <cellStyle name="_20061103Holux_SLM_PM_Workbook_053110_Sophia_Imp_ProjectWorkBook_02_18_2011 3" xfId="8523" xr:uid="{00000000-0005-0000-0000-0000F1200000}"/>
    <cellStyle name="_20061103Holux_SLM_PM_Workbook_053110_Sophia_Imp_ProjectWorkBook_02_18_2011_Steps of Doneness" xfId="8524" xr:uid="{00000000-0005-0000-0000-0000F2200000}"/>
    <cellStyle name="_20061103Holux_SLM_PM_Workbook_053110_Steps of Doneness" xfId="8525" xr:uid="{00000000-0005-0000-0000-0000F3200000}"/>
    <cellStyle name="_20061103Holux_SLM_PM_Workbook_053110_t" xfId="8526" xr:uid="{00000000-0005-0000-0000-0000F4200000}"/>
    <cellStyle name="_20061103Holux_SLM_PM_Workbook_053110_t 2" xfId="8527" xr:uid="{00000000-0005-0000-0000-0000F5200000}"/>
    <cellStyle name="_20061103Holux_SLM_PM_Workbook_053110_t 2_Steps of Doneness" xfId="8528" xr:uid="{00000000-0005-0000-0000-0000F6200000}"/>
    <cellStyle name="_20061103Holux_SLM_PM_Workbook_053110_t 3" xfId="8529" xr:uid="{00000000-0005-0000-0000-0000F7200000}"/>
    <cellStyle name="_20061103Holux_SLM_PM_Workbook_053110_t_Steps of Doneness" xfId="8530" xr:uid="{00000000-0005-0000-0000-0000F8200000}"/>
    <cellStyle name="_20061103Holux_SLM_PMO_Workbook_060910" xfId="8531" xr:uid="{00000000-0005-0000-0000-0000F9200000}"/>
    <cellStyle name="_20061103Holux_SLM_PMO_Workbook_060910 2" xfId="8532" xr:uid="{00000000-0005-0000-0000-0000FA200000}"/>
    <cellStyle name="_20061103Holux_SLM_PMO_Workbook_060910 2 2" xfId="8533" xr:uid="{00000000-0005-0000-0000-0000FB200000}"/>
    <cellStyle name="_20061103Holux_SLM_PMO_Workbook_060910 2 2_Steps of Doneness" xfId="8534" xr:uid="{00000000-0005-0000-0000-0000FC200000}"/>
    <cellStyle name="_20061103Holux_SLM_PMO_Workbook_060910 2 3" xfId="8535" xr:uid="{00000000-0005-0000-0000-0000FD200000}"/>
    <cellStyle name="_20061103Holux_SLM_PMO_Workbook_060910 2_Steps of Doneness" xfId="8536" xr:uid="{00000000-0005-0000-0000-0000FE200000}"/>
    <cellStyle name="_20061103Holux_SLM_PMO_Workbook_060910 3" xfId="8537" xr:uid="{00000000-0005-0000-0000-0000FF200000}"/>
    <cellStyle name="_20061103Holux_SLM_PMO_Workbook_060910 3 2" xfId="8538" xr:uid="{00000000-0005-0000-0000-000000210000}"/>
    <cellStyle name="_20061103Holux_SLM_PMO_Workbook_060910 3 2_Steps of Doneness" xfId="8539" xr:uid="{00000000-0005-0000-0000-000001210000}"/>
    <cellStyle name="_20061103Holux_SLM_PMO_Workbook_060910 3 3" xfId="8540" xr:uid="{00000000-0005-0000-0000-000002210000}"/>
    <cellStyle name="_20061103Holux_SLM_PMO_Workbook_060910 3_Steps of Doneness" xfId="8541" xr:uid="{00000000-0005-0000-0000-000003210000}"/>
    <cellStyle name="_20061103Holux_SLM_PMO_Workbook_060910 4" xfId="8542" xr:uid="{00000000-0005-0000-0000-000004210000}"/>
    <cellStyle name="_20061103Holux_SLM_PMO_Workbook_060910 4_Steps of Doneness" xfId="8543" xr:uid="{00000000-0005-0000-0000-000005210000}"/>
    <cellStyle name="_20061103Holux_SLM_PMO_Workbook_060910 5" xfId="8544" xr:uid="{00000000-0005-0000-0000-000006210000}"/>
    <cellStyle name="_20061103Holux_SLM_PMO_Workbook_060910 6" xfId="8545" xr:uid="{00000000-0005-0000-0000-000007210000}"/>
    <cellStyle name="_20061103Holux_SLM_PMO_Workbook_060910_Commissioning System Implementation_Project Workbook_06_10_2011" xfId="8546" xr:uid="{00000000-0005-0000-0000-000008210000}"/>
    <cellStyle name="_20061103Holux_SLM_PMO_Workbook_060910_Commissioning System Implementation_Project Workbook_06_10_2011 2" xfId="8547" xr:uid="{00000000-0005-0000-0000-000009210000}"/>
    <cellStyle name="_20061103Holux_SLM_PMO_Workbook_060910_Commissioning System Implementation_Project Workbook_06_10_2011 2_Steps of Doneness" xfId="8548" xr:uid="{00000000-0005-0000-0000-00000A210000}"/>
    <cellStyle name="_20061103Holux_SLM_PMO_Workbook_060910_Commissioning System Implementation_Project Workbook_06_10_2011 3" xfId="8549" xr:uid="{00000000-0005-0000-0000-00000B210000}"/>
    <cellStyle name="_20061103Holux_SLM_PMO_Workbook_060910_Commissioning System Implementation_Project Workbook_06_10_2011_Steps of Doneness" xfId="8550" xr:uid="{00000000-0005-0000-0000-00000C210000}"/>
    <cellStyle name="_20061103Holux_SLM_PMO_Workbook_060910_FairPoint_CampReport" xfId="8551" xr:uid="{00000000-0005-0000-0000-00000D210000}"/>
    <cellStyle name="_20061103Holux_SLM_PMO_Workbook_060910_FairPoint_CampReport 2" xfId="8552" xr:uid="{00000000-0005-0000-0000-00000E210000}"/>
    <cellStyle name="_20061103Holux_SLM_PMO_Workbook_060910_FairPoint_CampReport 2_Steps of Doneness" xfId="8553" xr:uid="{00000000-0005-0000-0000-00000F210000}"/>
    <cellStyle name="_20061103Holux_SLM_PMO_Workbook_060910_FairPoint_CampReport 3" xfId="8554" xr:uid="{00000000-0005-0000-0000-000010210000}"/>
    <cellStyle name="_20061103Holux_SLM_PMO_Workbook_060910_FairPoint_CampReport_Steps of Doneness" xfId="8555" xr:uid="{00000000-0005-0000-0000-000011210000}"/>
    <cellStyle name="_20061103Holux_SLM_PMO_Workbook_060910_FairPoint_FP comTechOps_ProgramWorkbook" xfId="8556" xr:uid="{00000000-0005-0000-0000-000012210000}"/>
    <cellStyle name="_20061103Holux_SLM_PMO_Workbook_060910_FairPoint_FP comTechOps_ProgramWorkbook 2" xfId="8557" xr:uid="{00000000-0005-0000-0000-000013210000}"/>
    <cellStyle name="_20061103Holux_SLM_PMO_Workbook_060910_FairPoint_FP comTechOps_ProgramWorkbook 2_Steps of Doneness" xfId="8558" xr:uid="{00000000-0005-0000-0000-000014210000}"/>
    <cellStyle name="_20061103Holux_SLM_PMO_Workbook_060910_FairPoint_FP comTechOps_ProgramWorkbook 3" xfId="8559" xr:uid="{00000000-0005-0000-0000-000015210000}"/>
    <cellStyle name="_20061103Holux_SLM_PMO_Workbook_060910_FairPoint_FP comTechOps_ProgramWorkbook_sachin" xfId="8560" xr:uid="{00000000-0005-0000-0000-000016210000}"/>
    <cellStyle name="_20061103Holux_SLM_PMO_Workbook_060910_FairPoint_FP comTechOps_ProgramWorkbook_sachin 2" xfId="8561" xr:uid="{00000000-0005-0000-0000-000017210000}"/>
    <cellStyle name="_20061103Holux_SLM_PMO_Workbook_060910_FairPoint_FP comTechOps_ProgramWorkbook_sachin 2_Steps of Doneness" xfId="8562" xr:uid="{00000000-0005-0000-0000-000018210000}"/>
    <cellStyle name="_20061103Holux_SLM_PMO_Workbook_060910_FairPoint_FP comTechOps_ProgramWorkbook_sachin 3" xfId="8563" xr:uid="{00000000-0005-0000-0000-000019210000}"/>
    <cellStyle name="_20061103Holux_SLM_PMO_Workbook_060910_FairPoint_FP comTechOps_ProgramWorkbook_sachin_Steps of Doneness" xfId="8564" xr:uid="{00000000-0005-0000-0000-00001A210000}"/>
    <cellStyle name="_20061103Holux_SLM_PMO_Workbook_060910_FairPoint_FP comTechOps_ProgramWorkbook_sachin_v1" xfId="8565" xr:uid="{00000000-0005-0000-0000-00001B210000}"/>
    <cellStyle name="_20061103Holux_SLM_PMO_Workbook_060910_FairPoint_FP comTechOps_ProgramWorkbook_sachin_v1 2" xfId="8566" xr:uid="{00000000-0005-0000-0000-00001C210000}"/>
    <cellStyle name="_20061103Holux_SLM_PMO_Workbook_060910_FairPoint_FP comTechOps_ProgramWorkbook_sachin_v1 2_Steps of Doneness" xfId="8567" xr:uid="{00000000-0005-0000-0000-00001D210000}"/>
    <cellStyle name="_20061103Holux_SLM_PMO_Workbook_060910_FairPoint_FP comTechOps_ProgramWorkbook_sachin_v1 3" xfId="8568" xr:uid="{00000000-0005-0000-0000-00001E210000}"/>
    <cellStyle name="_20061103Holux_SLM_PMO_Workbook_060910_FairPoint_FP comTechOps_ProgramWorkbook_sachin_v1_Steps of Doneness" xfId="8569" xr:uid="{00000000-0005-0000-0000-00001F210000}"/>
    <cellStyle name="_20061103Holux_SLM_PMO_Workbook_060910_FairPoint_FP comTechOps_ProgramWorkbook_Steps of Doneness" xfId="8570" xr:uid="{00000000-0005-0000-0000-000020210000}"/>
    <cellStyle name="_20061103Holux_SLM_PMO_Workbook_060910_FP_CAMP&amp;ITReporting_Maintenance_Dashboard" xfId="8571" xr:uid="{00000000-0005-0000-0000-000021210000}"/>
    <cellStyle name="_20061103Holux_SLM_PMO_Workbook_060910_FP_CAMP&amp;ITReporting_Maintenance_Dashboard 2" xfId="8572" xr:uid="{00000000-0005-0000-0000-000022210000}"/>
    <cellStyle name="_20061103Holux_SLM_PMO_Workbook_060910_FP_CAMP&amp;ITReporting_Maintenance_Dashboard 2_Steps of Doneness" xfId="8573" xr:uid="{00000000-0005-0000-0000-000023210000}"/>
    <cellStyle name="_20061103Holux_SLM_PMO_Workbook_060910_FP_CAMP&amp;ITReporting_Maintenance_Dashboard 3" xfId="8574" xr:uid="{00000000-0005-0000-0000-000024210000}"/>
    <cellStyle name="_20061103Holux_SLM_PMO_Workbook_060910_FP_CAMP&amp;ITReporting_Maintenance_Dashboard_Steps of Doneness" xfId="8575" xr:uid="{00000000-0005-0000-0000-000025210000}"/>
    <cellStyle name="_20061103Holux_SLM_PMO_Workbook_060910_FP_CAMPITReporting_Maintenance_Dashboard" xfId="8576" xr:uid="{00000000-0005-0000-0000-000026210000}"/>
    <cellStyle name="_20061103Holux_SLM_PMO_Workbook_060910_FP_CAMPITReporting_Maintenance_Dashboard 2" xfId="8577" xr:uid="{00000000-0005-0000-0000-000027210000}"/>
    <cellStyle name="_20061103Holux_SLM_PMO_Workbook_060910_FP_CAMPITReporting_Maintenance_Dashboard 2_Steps of Doneness" xfId="8578" xr:uid="{00000000-0005-0000-0000-000028210000}"/>
    <cellStyle name="_20061103Holux_SLM_PMO_Workbook_060910_FP_CAMPITReporting_Maintenance_Dashboard 3" xfId="8579" xr:uid="{00000000-0005-0000-0000-000029210000}"/>
    <cellStyle name="_20061103Holux_SLM_PMO_Workbook_060910_FP_CAMPITReporting_Maintenance_Dashboard_Steps of Doneness" xfId="8580" xr:uid="{00000000-0005-0000-0000-00002A210000}"/>
    <cellStyle name="_20061103Holux_SLM_PMO_Workbook_060910_FP_Commissions_Req_Dn_ProgramWorkBook_10-Dec-2010" xfId="8581" xr:uid="{00000000-0005-0000-0000-00002B210000}"/>
    <cellStyle name="_20061103Holux_SLM_PMO_Workbook_060910_FP_Commissions_Req_Dn_ProgramWorkBook_10-Dec-2010 2" xfId="8582" xr:uid="{00000000-0005-0000-0000-00002C210000}"/>
    <cellStyle name="_20061103Holux_SLM_PMO_Workbook_060910_FP_Commissions_Req_Dn_ProgramWorkBook_10-Dec-2010 2_Steps of Doneness" xfId="8583" xr:uid="{00000000-0005-0000-0000-00002D210000}"/>
    <cellStyle name="_20061103Holux_SLM_PMO_Workbook_060910_FP_Commissions_Req_Dn_ProgramWorkBook_10-Dec-2010 3" xfId="8584" xr:uid="{00000000-0005-0000-0000-00002E210000}"/>
    <cellStyle name="_20061103Holux_SLM_PMO_Workbook_060910_FP_Commissions_Req_Dn_ProgramWorkBook_10-Dec-2010_Steps of Doneness" xfId="8585" xr:uid="{00000000-0005-0000-0000-00002F210000}"/>
    <cellStyle name="_20061103Holux_SLM_PMO_Workbook_060910_FP_DW_Impl_ProgramWorkBook_07-Jan-2011" xfId="8586" xr:uid="{00000000-0005-0000-0000-000030210000}"/>
    <cellStyle name="_20061103Holux_SLM_PMO_Workbook_060910_FP_DW_Impl_ProgramWorkBook_07-Jan-2011 2" xfId="8587" xr:uid="{00000000-0005-0000-0000-000031210000}"/>
    <cellStyle name="_20061103Holux_SLM_PMO_Workbook_060910_FP_DW_Impl_ProgramWorkBook_07-Jan-2011 2 2" xfId="8588" xr:uid="{00000000-0005-0000-0000-000032210000}"/>
    <cellStyle name="_20061103Holux_SLM_PMO_Workbook_060910_FP_DW_Impl_ProgramWorkBook_07-Jan-2011 2 2_Steps of Doneness" xfId="8589" xr:uid="{00000000-0005-0000-0000-000033210000}"/>
    <cellStyle name="_20061103Holux_SLM_PMO_Workbook_060910_FP_DW_Impl_ProgramWorkBook_07-Jan-2011 2 3" xfId="8590" xr:uid="{00000000-0005-0000-0000-000034210000}"/>
    <cellStyle name="_20061103Holux_SLM_PMO_Workbook_060910_FP_DW_Impl_ProgramWorkBook_07-Jan-2011 2_Steps of Doneness" xfId="8591" xr:uid="{00000000-0005-0000-0000-000035210000}"/>
    <cellStyle name="_20061103Holux_SLM_PMO_Workbook_060910_FP_DW_Impl_ProgramWorkBook_07-Jan-2011 3" xfId="8592" xr:uid="{00000000-0005-0000-0000-000036210000}"/>
    <cellStyle name="_20061103Holux_SLM_PMO_Workbook_060910_FP_DW_Impl_ProgramWorkBook_07-Jan-2011 3_Steps of Doneness" xfId="8593" xr:uid="{00000000-0005-0000-0000-000037210000}"/>
    <cellStyle name="_20061103Holux_SLM_PMO_Workbook_060910_FP_DW_Impl_ProgramWorkBook_07-Jan-2011 4" xfId="8594" xr:uid="{00000000-0005-0000-0000-000038210000}"/>
    <cellStyle name="_20061103Holux_SLM_PMO_Workbook_060910_FP_DW_Impl_ProgramWorkBook_07-Jan-2011_Steps of Doneness" xfId="8595" xr:uid="{00000000-0005-0000-0000-000039210000}"/>
    <cellStyle name="_20061103Holux_SLM_PMO_Workbook_060910_FP_DW_Impl_ProgramWorkBook_11-Feb-2011" xfId="8596" xr:uid="{00000000-0005-0000-0000-00003A210000}"/>
    <cellStyle name="_20061103Holux_SLM_PMO_Workbook_060910_FP_DW_Impl_ProgramWorkBook_11-Feb-2011 2" xfId="8597" xr:uid="{00000000-0005-0000-0000-00003B210000}"/>
    <cellStyle name="_20061103Holux_SLM_PMO_Workbook_060910_FP_DW_Impl_ProgramWorkBook_11-Feb-2011 2_Steps of Doneness" xfId="8598" xr:uid="{00000000-0005-0000-0000-00003C210000}"/>
    <cellStyle name="_20061103Holux_SLM_PMO_Workbook_060910_FP_DW_Impl_ProgramWorkBook_11-Feb-2011 3" xfId="8599" xr:uid="{00000000-0005-0000-0000-00003D210000}"/>
    <cellStyle name="_20061103Holux_SLM_PMO_Workbook_060910_FP_DW_Impl_ProgramWorkBook_11-Feb-2011_Steps of Doneness" xfId="8600" xr:uid="{00000000-0005-0000-0000-00003E210000}"/>
    <cellStyle name="_20061103Holux_SLM_PMO_Workbook_060910_FP_DW_Impl_ProgramWorkBook_18-Feb-2011 - Working" xfId="8601" xr:uid="{00000000-0005-0000-0000-00003F210000}"/>
    <cellStyle name="_20061103Holux_SLM_PMO_Workbook_060910_FP_DW_Impl_ProgramWorkBook_18-Feb-2011 - Working 2" xfId="8602" xr:uid="{00000000-0005-0000-0000-000040210000}"/>
    <cellStyle name="_20061103Holux_SLM_PMO_Workbook_060910_FP_DW_Impl_ProgramWorkBook_18-Feb-2011 - Working 2_Steps of Doneness" xfId="8603" xr:uid="{00000000-0005-0000-0000-000041210000}"/>
    <cellStyle name="_20061103Holux_SLM_PMO_Workbook_060910_FP_DW_Impl_ProgramWorkBook_18-Feb-2011 - Working 3" xfId="8604" xr:uid="{00000000-0005-0000-0000-000042210000}"/>
    <cellStyle name="_20061103Holux_SLM_PMO_Workbook_060910_FP_DW_Impl_ProgramWorkBook_18-Feb-2011 - Working_Steps of Doneness" xfId="8605" xr:uid="{00000000-0005-0000-0000-000043210000}"/>
    <cellStyle name="_20061103Holux_SLM_PMO_Workbook_060910_FP_EnterprisePortal_ProgramWorkbook" xfId="8606" xr:uid="{00000000-0005-0000-0000-000044210000}"/>
    <cellStyle name="_20061103Holux_SLM_PMO_Workbook_060910_FP_EnterprisePortal_ProgramWorkbook 2" xfId="8607" xr:uid="{00000000-0005-0000-0000-000045210000}"/>
    <cellStyle name="_20061103Holux_SLM_PMO_Workbook_060910_FP_EnterprisePortal_ProgramWorkbook 2_Steps of Doneness" xfId="8608" xr:uid="{00000000-0005-0000-0000-000046210000}"/>
    <cellStyle name="_20061103Holux_SLM_PMO_Workbook_060910_FP_EnterprisePortal_ProgramWorkbook 3" xfId="8609" xr:uid="{00000000-0005-0000-0000-000047210000}"/>
    <cellStyle name="_20061103Holux_SLM_PMO_Workbook_060910_FP_EnterprisePortal_ProgramWorkbook_Steps of Doneness" xfId="8610" xr:uid="{00000000-0005-0000-0000-000048210000}"/>
    <cellStyle name="_20061103Holux_SLM_PMO_Workbook_060910_FP_SAP_MLP v2" xfId="8611" xr:uid="{00000000-0005-0000-0000-000049210000}"/>
    <cellStyle name="_20061103Holux_SLM_PMO_Workbook_060910_FP_SAP_MLP v2 2" xfId="8612" xr:uid="{00000000-0005-0000-0000-00004A210000}"/>
    <cellStyle name="_20061103Holux_SLM_PMO_Workbook_060910_FP_SAP_MLP v2 2_Steps of Doneness" xfId="8613" xr:uid="{00000000-0005-0000-0000-00004B210000}"/>
    <cellStyle name="_20061103Holux_SLM_PMO_Workbook_060910_FP_SAP_MLP v2 3" xfId="8614" xr:uid="{00000000-0005-0000-0000-00004C210000}"/>
    <cellStyle name="_20061103Holux_SLM_PMO_Workbook_060910_FP_SAP_MLP v2_Steps of Doneness" xfId="8615" xr:uid="{00000000-0005-0000-0000-00004D210000}"/>
    <cellStyle name="_20061103Holux_SLM_PMO_Workbook_060910_KeyDecisions" xfId="8616" xr:uid="{00000000-0005-0000-0000-00004E210000}"/>
    <cellStyle name="_20061103Holux_SLM_PMO_Workbook_060910_KeyDecisions 2" xfId="8617" xr:uid="{00000000-0005-0000-0000-00004F210000}"/>
    <cellStyle name="_20061103Holux_SLM_PMO_Workbook_060910_KeyDecisions 2_Steps of Doneness" xfId="8618" xr:uid="{00000000-0005-0000-0000-000050210000}"/>
    <cellStyle name="_20061103Holux_SLM_PMO_Workbook_060910_KeyDecisions 3" xfId="8619" xr:uid="{00000000-0005-0000-0000-000051210000}"/>
    <cellStyle name="_20061103Holux_SLM_PMO_Workbook_060910_KeyDecisions_Steps of Doneness" xfId="8620" xr:uid="{00000000-0005-0000-0000-000052210000}"/>
    <cellStyle name="_20061103Holux_SLM_PMO_Workbook_060910_Sophia_Imp_ProjectWorkBook_02_18_2011" xfId="8621" xr:uid="{00000000-0005-0000-0000-000053210000}"/>
    <cellStyle name="_20061103Holux_SLM_PMO_Workbook_060910_Sophia_Imp_ProjectWorkBook_02_18_2011 2" xfId="8622" xr:uid="{00000000-0005-0000-0000-000054210000}"/>
    <cellStyle name="_20061103Holux_SLM_PMO_Workbook_060910_Sophia_Imp_ProjectWorkBook_02_18_2011 2_Steps of Doneness" xfId="8623" xr:uid="{00000000-0005-0000-0000-000055210000}"/>
    <cellStyle name="_20061103Holux_SLM_PMO_Workbook_060910_Sophia_Imp_ProjectWorkBook_02_18_2011 3" xfId="8624" xr:uid="{00000000-0005-0000-0000-000056210000}"/>
    <cellStyle name="_20061103Holux_SLM_PMO_Workbook_060910_Sophia_Imp_ProjectWorkBook_02_18_2011_Steps of Doneness" xfId="8625" xr:uid="{00000000-0005-0000-0000-000057210000}"/>
    <cellStyle name="_20061103Holux_SLM_PMO_Workbook_060910_Steps of Doneness" xfId="8626" xr:uid="{00000000-0005-0000-0000-000058210000}"/>
    <cellStyle name="_20061103Holux_SLM_PMO_Workbook_060910_t" xfId="8627" xr:uid="{00000000-0005-0000-0000-000059210000}"/>
    <cellStyle name="_20061103Holux_SLM_PMO_Workbook_060910_t 2" xfId="8628" xr:uid="{00000000-0005-0000-0000-00005A210000}"/>
    <cellStyle name="_20061103Holux_SLM_PMO_Workbook_060910_t 2_Steps of Doneness" xfId="8629" xr:uid="{00000000-0005-0000-0000-00005B210000}"/>
    <cellStyle name="_20061103Holux_SLM_PMO_Workbook_060910_t 3" xfId="8630" xr:uid="{00000000-0005-0000-0000-00005C210000}"/>
    <cellStyle name="_20061103Holux_SLM_PMO_Workbook_060910_t_Steps of Doneness" xfId="8631" xr:uid="{00000000-0005-0000-0000-00005D210000}"/>
    <cellStyle name="_20061103Holux_Sophia_Imp_ProjectWorkBook_02_18_2011" xfId="8632" xr:uid="{00000000-0005-0000-0000-00005E210000}"/>
    <cellStyle name="_20061103Holux_Sophia_Imp_ProjectWorkBook_02_18_2011 2" xfId="8633" xr:uid="{00000000-0005-0000-0000-00005F210000}"/>
    <cellStyle name="_20061103Holux_Sophia_Imp_ProjectWorkBook_02_18_2011 2_Steps of Doneness" xfId="8634" xr:uid="{00000000-0005-0000-0000-000060210000}"/>
    <cellStyle name="_20061103Holux_Sophia_Imp_ProjectWorkBook_02_18_2011 3" xfId="8635" xr:uid="{00000000-0005-0000-0000-000061210000}"/>
    <cellStyle name="_20061103Holux_Sophia_Imp_ProjectWorkBook_02_18_2011_Steps of Doneness" xfId="8636" xr:uid="{00000000-0005-0000-0000-000062210000}"/>
    <cellStyle name="_20061103Holux_t" xfId="8637" xr:uid="{00000000-0005-0000-0000-000063210000}"/>
    <cellStyle name="_20061103Holux_t 2" xfId="8638" xr:uid="{00000000-0005-0000-0000-000064210000}"/>
    <cellStyle name="_20061103Holux_t 2_Steps of Doneness" xfId="8639" xr:uid="{00000000-0005-0000-0000-000065210000}"/>
    <cellStyle name="_20061103Holux_t 3" xfId="8640" xr:uid="{00000000-0005-0000-0000-000066210000}"/>
    <cellStyle name="_20061103Holux_t_Steps of Doneness" xfId="8641" xr:uid="{00000000-0005-0000-0000-000067210000}"/>
    <cellStyle name="_20061103Holux_UX Plan_0401" xfId="8642" xr:uid="{00000000-0005-0000-0000-000068210000}"/>
    <cellStyle name="_20061103Holux_UX Plan_0401 2" xfId="8643" xr:uid="{00000000-0005-0000-0000-000069210000}"/>
    <cellStyle name="_20061103Holux_UX Plan_0401 2 2" xfId="8644" xr:uid="{00000000-0005-0000-0000-00006A210000}"/>
    <cellStyle name="_20061103Holux_UX Plan_0401 2 2_Steps of Doneness" xfId="8645" xr:uid="{00000000-0005-0000-0000-00006B210000}"/>
    <cellStyle name="_20061103Holux_UX Plan_0401 2 3" xfId="8646" xr:uid="{00000000-0005-0000-0000-00006C210000}"/>
    <cellStyle name="_20061103Holux_UX Plan_0401 2_Steps of Doneness" xfId="8647" xr:uid="{00000000-0005-0000-0000-00006D210000}"/>
    <cellStyle name="_20061103Holux_UX Plan_0401 3" xfId="8648" xr:uid="{00000000-0005-0000-0000-00006E210000}"/>
    <cellStyle name="_20061103Holux_UX Plan_0401 3 2" xfId="8649" xr:uid="{00000000-0005-0000-0000-00006F210000}"/>
    <cellStyle name="_20061103Holux_UX Plan_0401 3 2_Steps of Doneness" xfId="8650" xr:uid="{00000000-0005-0000-0000-000070210000}"/>
    <cellStyle name="_20061103Holux_UX Plan_0401 3 3" xfId="8651" xr:uid="{00000000-0005-0000-0000-000071210000}"/>
    <cellStyle name="_20061103Holux_UX Plan_0401 3_Steps of Doneness" xfId="8652" xr:uid="{00000000-0005-0000-0000-000072210000}"/>
    <cellStyle name="_20061103Holux_UX Plan_0401 4" xfId="8653" xr:uid="{00000000-0005-0000-0000-000073210000}"/>
    <cellStyle name="_20061103Holux_UX Plan_0401 4_Steps of Doneness" xfId="8654" xr:uid="{00000000-0005-0000-0000-000074210000}"/>
    <cellStyle name="_20061103Holux_UX Plan_0401 5" xfId="8655" xr:uid="{00000000-0005-0000-0000-000075210000}"/>
    <cellStyle name="_20061103Holux_UX Plan_0401 6" xfId="8656" xr:uid="{00000000-0005-0000-0000-000076210000}"/>
    <cellStyle name="_20061103Holux_UX Plan_0401_Commissioning System Implementation_Project Workbook_06_10_2011" xfId="8657" xr:uid="{00000000-0005-0000-0000-000077210000}"/>
    <cellStyle name="_20061103Holux_UX Plan_0401_Commissioning System Implementation_Project Workbook_06_10_2011 2" xfId="8658" xr:uid="{00000000-0005-0000-0000-000078210000}"/>
    <cellStyle name="_20061103Holux_UX Plan_0401_Commissioning System Implementation_Project Workbook_06_10_2011 2_Steps of Doneness" xfId="8659" xr:uid="{00000000-0005-0000-0000-000079210000}"/>
    <cellStyle name="_20061103Holux_UX Plan_0401_Commissioning System Implementation_Project Workbook_06_10_2011 3" xfId="8660" xr:uid="{00000000-0005-0000-0000-00007A210000}"/>
    <cellStyle name="_20061103Holux_UX Plan_0401_Commissioning System Implementation_Project Workbook_06_10_2011_Steps of Doneness" xfId="8661" xr:uid="{00000000-0005-0000-0000-00007B210000}"/>
    <cellStyle name="_20061103Holux_UX Plan_0401_FairPoint_CampReport" xfId="8662" xr:uid="{00000000-0005-0000-0000-00007C210000}"/>
    <cellStyle name="_20061103Holux_UX Plan_0401_FairPoint_CampReport 2" xfId="8663" xr:uid="{00000000-0005-0000-0000-00007D210000}"/>
    <cellStyle name="_20061103Holux_UX Plan_0401_FairPoint_CampReport 2_Steps of Doneness" xfId="8664" xr:uid="{00000000-0005-0000-0000-00007E210000}"/>
    <cellStyle name="_20061103Holux_UX Plan_0401_FairPoint_CampReport 3" xfId="8665" xr:uid="{00000000-0005-0000-0000-00007F210000}"/>
    <cellStyle name="_20061103Holux_UX Plan_0401_FairPoint_CampReport_Steps of Doneness" xfId="8666" xr:uid="{00000000-0005-0000-0000-000080210000}"/>
    <cellStyle name="_20061103Holux_UX Plan_0401_FairPoint_FP comTechOps_ProgramWorkbook" xfId="8667" xr:uid="{00000000-0005-0000-0000-000081210000}"/>
    <cellStyle name="_20061103Holux_UX Plan_0401_FairPoint_FP comTechOps_ProgramWorkbook 2" xfId="8668" xr:uid="{00000000-0005-0000-0000-000082210000}"/>
    <cellStyle name="_20061103Holux_UX Plan_0401_FairPoint_FP comTechOps_ProgramWorkbook 2_Steps of Doneness" xfId="8669" xr:uid="{00000000-0005-0000-0000-000083210000}"/>
    <cellStyle name="_20061103Holux_UX Plan_0401_FairPoint_FP comTechOps_ProgramWorkbook 3" xfId="8670" xr:uid="{00000000-0005-0000-0000-000084210000}"/>
    <cellStyle name="_20061103Holux_UX Plan_0401_FairPoint_FP comTechOps_ProgramWorkbook_sachin" xfId="8671" xr:uid="{00000000-0005-0000-0000-000085210000}"/>
    <cellStyle name="_20061103Holux_UX Plan_0401_FairPoint_FP comTechOps_ProgramWorkbook_sachin 2" xfId="8672" xr:uid="{00000000-0005-0000-0000-000086210000}"/>
    <cellStyle name="_20061103Holux_UX Plan_0401_FairPoint_FP comTechOps_ProgramWorkbook_sachin 2_Steps of Doneness" xfId="8673" xr:uid="{00000000-0005-0000-0000-000087210000}"/>
    <cellStyle name="_20061103Holux_UX Plan_0401_FairPoint_FP comTechOps_ProgramWorkbook_sachin 3" xfId="8674" xr:uid="{00000000-0005-0000-0000-000088210000}"/>
    <cellStyle name="_20061103Holux_UX Plan_0401_FairPoint_FP comTechOps_ProgramWorkbook_sachin_Steps of Doneness" xfId="8675" xr:uid="{00000000-0005-0000-0000-000089210000}"/>
    <cellStyle name="_20061103Holux_UX Plan_0401_FairPoint_FP comTechOps_ProgramWorkbook_sachin_v1" xfId="8676" xr:uid="{00000000-0005-0000-0000-00008A210000}"/>
    <cellStyle name="_20061103Holux_UX Plan_0401_FairPoint_FP comTechOps_ProgramWorkbook_sachin_v1 2" xfId="8677" xr:uid="{00000000-0005-0000-0000-00008B210000}"/>
    <cellStyle name="_20061103Holux_UX Plan_0401_FairPoint_FP comTechOps_ProgramWorkbook_sachin_v1 2_Steps of Doneness" xfId="8678" xr:uid="{00000000-0005-0000-0000-00008C210000}"/>
    <cellStyle name="_20061103Holux_UX Plan_0401_FairPoint_FP comTechOps_ProgramWorkbook_sachin_v1 3" xfId="8679" xr:uid="{00000000-0005-0000-0000-00008D210000}"/>
    <cellStyle name="_20061103Holux_UX Plan_0401_FairPoint_FP comTechOps_ProgramWorkbook_sachin_v1_Steps of Doneness" xfId="8680" xr:uid="{00000000-0005-0000-0000-00008E210000}"/>
    <cellStyle name="_20061103Holux_UX Plan_0401_FairPoint_FP comTechOps_ProgramWorkbook_Steps of Doneness" xfId="8681" xr:uid="{00000000-0005-0000-0000-00008F210000}"/>
    <cellStyle name="_20061103Holux_UX Plan_0401_FP_CAMP&amp;ITReporting_Maintenance_Dashboard" xfId="8682" xr:uid="{00000000-0005-0000-0000-000090210000}"/>
    <cellStyle name="_20061103Holux_UX Plan_0401_FP_CAMP&amp;ITReporting_Maintenance_Dashboard 2" xfId="8683" xr:uid="{00000000-0005-0000-0000-000091210000}"/>
    <cellStyle name="_20061103Holux_UX Plan_0401_FP_CAMP&amp;ITReporting_Maintenance_Dashboard 2_Steps of Doneness" xfId="8684" xr:uid="{00000000-0005-0000-0000-000092210000}"/>
    <cellStyle name="_20061103Holux_UX Plan_0401_FP_CAMP&amp;ITReporting_Maintenance_Dashboard 3" xfId="8685" xr:uid="{00000000-0005-0000-0000-000093210000}"/>
    <cellStyle name="_20061103Holux_UX Plan_0401_FP_CAMP&amp;ITReporting_Maintenance_Dashboard_Steps of Doneness" xfId="8686" xr:uid="{00000000-0005-0000-0000-000094210000}"/>
    <cellStyle name="_20061103Holux_UX Plan_0401_FP_CAMPITReporting_Maintenance_Dashboard" xfId="8687" xr:uid="{00000000-0005-0000-0000-000095210000}"/>
    <cellStyle name="_20061103Holux_UX Plan_0401_FP_CAMPITReporting_Maintenance_Dashboard 2" xfId="8688" xr:uid="{00000000-0005-0000-0000-000096210000}"/>
    <cellStyle name="_20061103Holux_UX Plan_0401_FP_CAMPITReporting_Maintenance_Dashboard 2_Steps of Doneness" xfId="8689" xr:uid="{00000000-0005-0000-0000-000097210000}"/>
    <cellStyle name="_20061103Holux_UX Plan_0401_FP_CAMPITReporting_Maintenance_Dashboard 3" xfId="8690" xr:uid="{00000000-0005-0000-0000-000098210000}"/>
    <cellStyle name="_20061103Holux_UX Plan_0401_FP_CAMPITReporting_Maintenance_Dashboard_Steps of Doneness" xfId="8691" xr:uid="{00000000-0005-0000-0000-000099210000}"/>
    <cellStyle name="_20061103Holux_UX Plan_0401_FP_Commissions_Req_Dn_ProgramWorkBook_10-Dec-2010" xfId="8692" xr:uid="{00000000-0005-0000-0000-00009A210000}"/>
    <cellStyle name="_20061103Holux_UX Plan_0401_FP_Commissions_Req_Dn_ProgramWorkBook_10-Dec-2010 2" xfId="8693" xr:uid="{00000000-0005-0000-0000-00009B210000}"/>
    <cellStyle name="_20061103Holux_UX Plan_0401_FP_Commissions_Req_Dn_ProgramWorkBook_10-Dec-2010 2_Steps of Doneness" xfId="8694" xr:uid="{00000000-0005-0000-0000-00009C210000}"/>
    <cellStyle name="_20061103Holux_UX Plan_0401_FP_Commissions_Req_Dn_ProgramWorkBook_10-Dec-2010 3" xfId="8695" xr:uid="{00000000-0005-0000-0000-00009D210000}"/>
    <cellStyle name="_20061103Holux_UX Plan_0401_FP_Commissions_Req_Dn_ProgramWorkBook_10-Dec-2010_Steps of Doneness" xfId="8696" xr:uid="{00000000-0005-0000-0000-00009E210000}"/>
    <cellStyle name="_20061103Holux_UX Plan_0401_FP_DW_Impl_ProgramWorkBook_07-Jan-2011" xfId="8697" xr:uid="{00000000-0005-0000-0000-00009F210000}"/>
    <cellStyle name="_20061103Holux_UX Plan_0401_FP_DW_Impl_ProgramWorkBook_07-Jan-2011 2" xfId="8698" xr:uid="{00000000-0005-0000-0000-0000A0210000}"/>
    <cellStyle name="_20061103Holux_UX Plan_0401_FP_DW_Impl_ProgramWorkBook_07-Jan-2011 2 2" xfId="8699" xr:uid="{00000000-0005-0000-0000-0000A1210000}"/>
    <cellStyle name="_20061103Holux_UX Plan_0401_FP_DW_Impl_ProgramWorkBook_07-Jan-2011 2 2_Steps of Doneness" xfId="8700" xr:uid="{00000000-0005-0000-0000-0000A2210000}"/>
    <cellStyle name="_20061103Holux_UX Plan_0401_FP_DW_Impl_ProgramWorkBook_07-Jan-2011 2 3" xfId="8701" xr:uid="{00000000-0005-0000-0000-0000A3210000}"/>
    <cellStyle name="_20061103Holux_UX Plan_0401_FP_DW_Impl_ProgramWorkBook_07-Jan-2011 2_Steps of Doneness" xfId="8702" xr:uid="{00000000-0005-0000-0000-0000A4210000}"/>
    <cellStyle name="_20061103Holux_UX Plan_0401_FP_DW_Impl_ProgramWorkBook_07-Jan-2011 3" xfId="8703" xr:uid="{00000000-0005-0000-0000-0000A5210000}"/>
    <cellStyle name="_20061103Holux_UX Plan_0401_FP_DW_Impl_ProgramWorkBook_07-Jan-2011 3_Steps of Doneness" xfId="8704" xr:uid="{00000000-0005-0000-0000-0000A6210000}"/>
    <cellStyle name="_20061103Holux_UX Plan_0401_FP_DW_Impl_ProgramWorkBook_07-Jan-2011 4" xfId="8705" xr:uid="{00000000-0005-0000-0000-0000A7210000}"/>
    <cellStyle name="_20061103Holux_UX Plan_0401_FP_DW_Impl_ProgramWorkBook_07-Jan-2011_Steps of Doneness" xfId="8706" xr:uid="{00000000-0005-0000-0000-0000A8210000}"/>
    <cellStyle name="_20061103Holux_UX Plan_0401_FP_DW_Impl_ProgramWorkBook_11-Feb-2011" xfId="8707" xr:uid="{00000000-0005-0000-0000-0000A9210000}"/>
    <cellStyle name="_20061103Holux_UX Plan_0401_FP_DW_Impl_ProgramWorkBook_11-Feb-2011 2" xfId="8708" xr:uid="{00000000-0005-0000-0000-0000AA210000}"/>
    <cellStyle name="_20061103Holux_UX Plan_0401_FP_DW_Impl_ProgramWorkBook_11-Feb-2011 2_Steps of Doneness" xfId="8709" xr:uid="{00000000-0005-0000-0000-0000AB210000}"/>
    <cellStyle name="_20061103Holux_UX Plan_0401_FP_DW_Impl_ProgramWorkBook_11-Feb-2011 3" xfId="8710" xr:uid="{00000000-0005-0000-0000-0000AC210000}"/>
    <cellStyle name="_20061103Holux_UX Plan_0401_FP_DW_Impl_ProgramWorkBook_11-Feb-2011_Steps of Doneness" xfId="8711" xr:uid="{00000000-0005-0000-0000-0000AD210000}"/>
    <cellStyle name="_20061103Holux_UX Plan_0401_FP_DW_Impl_ProgramWorkBook_18-Feb-2011 - Working" xfId="8712" xr:uid="{00000000-0005-0000-0000-0000AE210000}"/>
    <cellStyle name="_20061103Holux_UX Plan_0401_FP_DW_Impl_ProgramWorkBook_18-Feb-2011 - Working 2" xfId="8713" xr:uid="{00000000-0005-0000-0000-0000AF210000}"/>
    <cellStyle name="_20061103Holux_UX Plan_0401_FP_DW_Impl_ProgramWorkBook_18-Feb-2011 - Working 2_Steps of Doneness" xfId="8714" xr:uid="{00000000-0005-0000-0000-0000B0210000}"/>
    <cellStyle name="_20061103Holux_UX Plan_0401_FP_DW_Impl_ProgramWorkBook_18-Feb-2011 - Working 3" xfId="8715" xr:uid="{00000000-0005-0000-0000-0000B1210000}"/>
    <cellStyle name="_20061103Holux_UX Plan_0401_FP_DW_Impl_ProgramWorkBook_18-Feb-2011 - Working_Steps of Doneness" xfId="8716" xr:uid="{00000000-0005-0000-0000-0000B2210000}"/>
    <cellStyle name="_20061103Holux_UX Plan_0401_FP_EnterprisePortal_ProgramWorkbook" xfId="8717" xr:uid="{00000000-0005-0000-0000-0000B3210000}"/>
    <cellStyle name="_20061103Holux_UX Plan_0401_FP_EnterprisePortal_ProgramWorkbook 2" xfId="8718" xr:uid="{00000000-0005-0000-0000-0000B4210000}"/>
    <cellStyle name="_20061103Holux_UX Plan_0401_FP_EnterprisePortal_ProgramWorkbook 2_Steps of Doneness" xfId="8719" xr:uid="{00000000-0005-0000-0000-0000B5210000}"/>
    <cellStyle name="_20061103Holux_UX Plan_0401_FP_EnterprisePortal_ProgramWorkbook 3" xfId="8720" xr:uid="{00000000-0005-0000-0000-0000B6210000}"/>
    <cellStyle name="_20061103Holux_UX Plan_0401_FP_EnterprisePortal_ProgramWorkbook_Steps of Doneness" xfId="8721" xr:uid="{00000000-0005-0000-0000-0000B7210000}"/>
    <cellStyle name="_20061103Holux_UX Plan_0401_FP_SAP_MLP v2" xfId="8722" xr:uid="{00000000-0005-0000-0000-0000B8210000}"/>
    <cellStyle name="_20061103Holux_UX Plan_0401_FP_SAP_MLP v2 2" xfId="8723" xr:uid="{00000000-0005-0000-0000-0000B9210000}"/>
    <cellStyle name="_20061103Holux_UX Plan_0401_FP_SAP_MLP v2 2_Steps of Doneness" xfId="8724" xr:uid="{00000000-0005-0000-0000-0000BA210000}"/>
    <cellStyle name="_20061103Holux_UX Plan_0401_FP_SAP_MLP v2 3" xfId="8725" xr:uid="{00000000-0005-0000-0000-0000BB210000}"/>
    <cellStyle name="_20061103Holux_UX Plan_0401_FP_SAP_MLP v2_Steps of Doneness" xfId="8726" xr:uid="{00000000-0005-0000-0000-0000BC210000}"/>
    <cellStyle name="_20061103Holux_UX Plan_0401_KeyDecisions" xfId="8727" xr:uid="{00000000-0005-0000-0000-0000BD210000}"/>
    <cellStyle name="_20061103Holux_UX Plan_0401_KeyDecisions 2" xfId="8728" xr:uid="{00000000-0005-0000-0000-0000BE210000}"/>
    <cellStyle name="_20061103Holux_UX Plan_0401_KeyDecisions 2_Steps of Doneness" xfId="8729" xr:uid="{00000000-0005-0000-0000-0000BF210000}"/>
    <cellStyle name="_20061103Holux_UX Plan_0401_KeyDecisions 3" xfId="8730" xr:uid="{00000000-0005-0000-0000-0000C0210000}"/>
    <cellStyle name="_20061103Holux_UX Plan_0401_KeyDecisions_Steps of Doneness" xfId="8731" xr:uid="{00000000-0005-0000-0000-0000C1210000}"/>
    <cellStyle name="_20061103Holux_UX Plan_0401_Sophia_Imp_ProjectWorkBook_02_18_2011" xfId="8732" xr:uid="{00000000-0005-0000-0000-0000C2210000}"/>
    <cellStyle name="_20061103Holux_UX Plan_0401_Sophia_Imp_ProjectWorkBook_02_18_2011 2" xfId="8733" xr:uid="{00000000-0005-0000-0000-0000C3210000}"/>
    <cellStyle name="_20061103Holux_UX Plan_0401_Sophia_Imp_ProjectWorkBook_02_18_2011 2_Steps of Doneness" xfId="8734" xr:uid="{00000000-0005-0000-0000-0000C4210000}"/>
    <cellStyle name="_20061103Holux_UX Plan_0401_Sophia_Imp_ProjectWorkBook_02_18_2011 3" xfId="8735" xr:uid="{00000000-0005-0000-0000-0000C5210000}"/>
    <cellStyle name="_20061103Holux_UX Plan_0401_Sophia_Imp_ProjectWorkBook_02_18_2011_Steps of Doneness" xfId="8736" xr:uid="{00000000-0005-0000-0000-0000C6210000}"/>
    <cellStyle name="_20061103Holux_UX Plan_0401_Steps of Doneness" xfId="8737" xr:uid="{00000000-0005-0000-0000-0000C7210000}"/>
    <cellStyle name="_20061103Holux_UX Plan_0401_t" xfId="8738" xr:uid="{00000000-0005-0000-0000-0000C8210000}"/>
    <cellStyle name="_20061103Holux_UX Plan_0401_t 2" xfId="8739" xr:uid="{00000000-0005-0000-0000-0000C9210000}"/>
    <cellStyle name="_20061103Holux_UX Plan_0401_t 2_Steps of Doneness" xfId="8740" xr:uid="{00000000-0005-0000-0000-0000CA210000}"/>
    <cellStyle name="_20061103Holux_UX Plan_0401_t 3" xfId="8741" xr:uid="{00000000-0005-0000-0000-0000CB210000}"/>
    <cellStyle name="_20061103Holux_UX Plan_0401_t_Steps of Doneness" xfId="8742" xr:uid="{00000000-0005-0000-0000-0000CC210000}"/>
    <cellStyle name="_20061103Holux_WorldBankCMSScope" xfId="8743" xr:uid="{00000000-0005-0000-0000-0000CD210000}"/>
    <cellStyle name="_20061103Holux_WorldBankCMSScope 2" xfId="8744" xr:uid="{00000000-0005-0000-0000-0000CE210000}"/>
    <cellStyle name="_20061103Holux_WorldBankCMSScope 2 2" xfId="8745" xr:uid="{00000000-0005-0000-0000-0000CF210000}"/>
    <cellStyle name="_20061103Holux_WorldBankCMSScope 2 2_Steps of Doneness" xfId="8746" xr:uid="{00000000-0005-0000-0000-0000D0210000}"/>
    <cellStyle name="_20061103Holux_WorldBankCMSScope 2 3" xfId="8747" xr:uid="{00000000-0005-0000-0000-0000D1210000}"/>
    <cellStyle name="_20061103Holux_WorldBankCMSScope 2_Steps of Doneness" xfId="8748" xr:uid="{00000000-0005-0000-0000-0000D2210000}"/>
    <cellStyle name="_20061103Holux_WorldBankCMSScope 3" xfId="8749" xr:uid="{00000000-0005-0000-0000-0000D3210000}"/>
    <cellStyle name="_20061103Holux_WorldBankCMSScope 3_Steps of Doneness" xfId="8750" xr:uid="{00000000-0005-0000-0000-0000D4210000}"/>
    <cellStyle name="_20061103Holux_WorldBankCMSScope 4" xfId="8751" xr:uid="{00000000-0005-0000-0000-0000D5210000}"/>
    <cellStyle name="_20061103Holux_WorldBankCMSScope_CMS_SOW_Deliverables_0430" xfId="8752" xr:uid="{00000000-0005-0000-0000-0000D6210000}"/>
    <cellStyle name="_20061103Holux_WorldBankCMSScope_CMS_SOW_Deliverables_0430 2" xfId="8753" xr:uid="{00000000-0005-0000-0000-0000D7210000}"/>
    <cellStyle name="_20061103Holux_WorldBankCMSScope_CMS_SOW_Deliverables_0430 2 2" xfId="8754" xr:uid="{00000000-0005-0000-0000-0000D8210000}"/>
    <cellStyle name="_20061103Holux_WorldBankCMSScope_CMS_SOW_Deliverables_0430 2 2_Steps of Doneness" xfId="8755" xr:uid="{00000000-0005-0000-0000-0000D9210000}"/>
    <cellStyle name="_20061103Holux_WorldBankCMSScope_CMS_SOW_Deliverables_0430 2 3" xfId="8756" xr:uid="{00000000-0005-0000-0000-0000DA210000}"/>
    <cellStyle name="_20061103Holux_WorldBankCMSScope_CMS_SOW_Deliverables_0430 2_Steps of Doneness" xfId="8757" xr:uid="{00000000-0005-0000-0000-0000DB210000}"/>
    <cellStyle name="_20061103Holux_WorldBankCMSScope_CMS_SOW_Deliverables_0430 3" xfId="8758" xr:uid="{00000000-0005-0000-0000-0000DC210000}"/>
    <cellStyle name="_20061103Holux_WorldBankCMSScope_CMS_SOW_Deliverables_0430 3_Steps of Doneness" xfId="8759" xr:uid="{00000000-0005-0000-0000-0000DD210000}"/>
    <cellStyle name="_20061103Holux_WorldBankCMSScope_CMS_SOW_Deliverables_0430 4" xfId="8760" xr:uid="{00000000-0005-0000-0000-0000DE210000}"/>
    <cellStyle name="_20061103Holux_WorldBankCMSScope_CMS_SOW_Deliverables_0430_Commissioning System Implementation_Project Workbook_06_10_2011" xfId="8761" xr:uid="{00000000-0005-0000-0000-0000DF210000}"/>
    <cellStyle name="_20061103Holux_WorldBankCMSScope_CMS_SOW_Deliverables_0430_Commissioning System Implementation_Project Workbook_06_10_2011 2" xfId="8762" xr:uid="{00000000-0005-0000-0000-0000E0210000}"/>
    <cellStyle name="_20061103Holux_WorldBankCMSScope_CMS_SOW_Deliverables_0430_Commissioning System Implementation_Project Workbook_06_10_2011 2_Steps of Doneness" xfId="8763" xr:uid="{00000000-0005-0000-0000-0000E1210000}"/>
    <cellStyle name="_20061103Holux_WorldBankCMSScope_CMS_SOW_Deliverables_0430_Commissioning System Implementation_Project Workbook_06_10_2011 3" xfId="8764" xr:uid="{00000000-0005-0000-0000-0000E2210000}"/>
    <cellStyle name="_20061103Holux_WorldBankCMSScope_CMS_SOW_Deliverables_0430_Commissioning System Implementation_Project Workbook_06_10_2011_Steps of Doneness" xfId="8765" xr:uid="{00000000-0005-0000-0000-0000E3210000}"/>
    <cellStyle name="_20061103Holux_WorldBankCMSScope_CMS_SOW_Deliverables_0430_FairPoint_CampReport" xfId="8766" xr:uid="{00000000-0005-0000-0000-0000E4210000}"/>
    <cellStyle name="_20061103Holux_WorldBankCMSScope_CMS_SOW_Deliverables_0430_FairPoint_CampReport 2" xfId="8767" xr:uid="{00000000-0005-0000-0000-0000E5210000}"/>
    <cellStyle name="_20061103Holux_WorldBankCMSScope_CMS_SOW_Deliverables_0430_FairPoint_CampReport 2_Steps of Doneness" xfId="8768" xr:uid="{00000000-0005-0000-0000-0000E6210000}"/>
    <cellStyle name="_20061103Holux_WorldBankCMSScope_CMS_SOW_Deliverables_0430_FairPoint_CampReport 3" xfId="8769" xr:uid="{00000000-0005-0000-0000-0000E7210000}"/>
    <cellStyle name="_20061103Holux_WorldBankCMSScope_CMS_SOW_Deliverables_0430_FairPoint_CampReport_Steps of Doneness" xfId="8770" xr:uid="{00000000-0005-0000-0000-0000E8210000}"/>
    <cellStyle name="_20061103Holux_WorldBankCMSScope_CMS_SOW_Deliverables_0430_FairPoint_FP comTechOps_ProgramWorkbook" xfId="8771" xr:uid="{00000000-0005-0000-0000-0000E9210000}"/>
    <cellStyle name="_20061103Holux_WorldBankCMSScope_CMS_SOW_Deliverables_0430_FairPoint_FP comTechOps_ProgramWorkbook 2" xfId="8772" xr:uid="{00000000-0005-0000-0000-0000EA210000}"/>
    <cellStyle name="_20061103Holux_WorldBankCMSScope_CMS_SOW_Deliverables_0430_FairPoint_FP comTechOps_ProgramWorkbook 2_Steps of Doneness" xfId="8773" xr:uid="{00000000-0005-0000-0000-0000EB210000}"/>
    <cellStyle name="_20061103Holux_WorldBankCMSScope_CMS_SOW_Deliverables_0430_FairPoint_FP comTechOps_ProgramWorkbook 3" xfId="8774" xr:uid="{00000000-0005-0000-0000-0000EC210000}"/>
    <cellStyle name="_20061103Holux_WorldBankCMSScope_CMS_SOW_Deliverables_0430_FairPoint_FP comTechOps_ProgramWorkbook_sachin" xfId="8775" xr:uid="{00000000-0005-0000-0000-0000ED210000}"/>
    <cellStyle name="_20061103Holux_WorldBankCMSScope_CMS_SOW_Deliverables_0430_FairPoint_FP comTechOps_ProgramWorkbook_sachin 2" xfId="8776" xr:uid="{00000000-0005-0000-0000-0000EE210000}"/>
    <cellStyle name="_20061103Holux_WorldBankCMSScope_CMS_SOW_Deliverables_0430_FairPoint_FP comTechOps_ProgramWorkbook_sachin 2_Steps of Doneness" xfId="8777" xr:uid="{00000000-0005-0000-0000-0000EF210000}"/>
    <cellStyle name="_20061103Holux_WorldBankCMSScope_CMS_SOW_Deliverables_0430_FairPoint_FP comTechOps_ProgramWorkbook_sachin 3" xfId="8778" xr:uid="{00000000-0005-0000-0000-0000F0210000}"/>
    <cellStyle name="_20061103Holux_WorldBankCMSScope_CMS_SOW_Deliverables_0430_FairPoint_FP comTechOps_ProgramWorkbook_sachin_Steps of Doneness" xfId="8779" xr:uid="{00000000-0005-0000-0000-0000F1210000}"/>
    <cellStyle name="_20061103Holux_WorldBankCMSScope_CMS_SOW_Deliverables_0430_FairPoint_FP comTechOps_ProgramWorkbook_sachin_v1" xfId="8780" xr:uid="{00000000-0005-0000-0000-0000F2210000}"/>
    <cellStyle name="_20061103Holux_WorldBankCMSScope_CMS_SOW_Deliverables_0430_FairPoint_FP comTechOps_ProgramWorkbook_sachin_v1 2" xfId="8781" xr:uid="{00000000-0005-0000-0000-0000F3210000}"/>
    <cellStyle name="_20061103Holux_WorldBankCMSScope_CMS_SOW_Deliverables_0430_FairPoint_FP comTechOps_ProgramWorkbook_sachin_v1 2_Steps of Doneness" xfId="8782" xr:uid="{00000000-0005-0000-0000-0000F4210000}"/>
    <cellStyle name="_20061103Holux_WorldBankCMSScope_CMS_SOW_Deliverables_0430_FairPoint_FP comTechOps_ProgramWorkbook_sachin_v1 3" xfId="8783" xr:uid="{00000000-0005-0000-0000-0000F5210000}"/>
    <cellStyle name="_20061103Holux_WorldBankCMSScope_CMS_SOW_Deliverables_0430_FairPoint_FP comTechOps_ProgramWorkbook_sachin_v1_Steps of Doneness" xfId="8784" xr:uid="{00000000-0005-0000-0000-0000F6210000}"/>
    <cellStyle name="_20061103Holux_WorldBankCMSScope_CMS_SOW_Deliverables_0430_FairPoint_FP comTechOps_ProgramWorkbook_Steps of Doneness" xfId="8785" xr:uid="{00000000-0005-0000-0000-0000F7210000}"/>
    <cellStyle name="_20061103Holux_WorldBankCMSScope_CMS_SOW_Deliverables_0430_FP_CAMP&amp;ITReporting_Maintenance_Dashboard" xfId="8786" xr:uid="{00000000-0005-0000-0000-0000F8210000}"/>
    <cellStyle name="_20061103Holux_WorldBankCMSScope_CMS_SOW_Deliverables_0430_FP_CAMP&amp;ITReporting_Maintenance_Dashboard 2" xfId="8787" xr:uid="{00000000-0005-0000-0000-0000F9210000}"/>
    <cellStyle name="_20061103Holux_WorldBankCMSScope_CMS_SOW_Deliverables_0430_FP_CAMP&amp;ITReporting_Maintenance_Dashboard 2_Steps of Doneness" xfId="8788" xr:uid="{00000000-0005-0000-0000-0000FA210000}"/>
    <cellStyle name="_20061103Holux_WorldBankCMSScope_CMS_SOW_Deliverables_0430_FP_CAMP&amp;ITReporting_Maintenance_Dashboard 3" xfId="8789" xr:uid="{00000000-0005-0000-0000-0000FB210000}"/>
    <cellStyle name="_20061103Holux_WorldBankCMSScope_CMS_SOW_Deliverables_0430_FP_CAMP&amp;ITReporting_Maintenance_Dashboard_Steps of Doneness" xfId="8790" xr:uid="{00000000-0005-0000-0000-0000FC210000}"/>
    <cellStyle name="_20061103Holux_WorldBankCMSScope_CMS_SOW_Deliverables_0430_FP_CAMPITReporting_Maintenance_Dashboard" xfId="8791" xr:uid="{00000000-0005-0000-0000-0000FD210000}"/>
    <cellStyle name="_20061103Holux_WorldBankCMSScope_CMS_SOW_Deliverables_0430_FP_CAMPITReporting_Maintenance_Dashboard 2" xfId="8792" xr:uid="{00000000-0005-0000-0000-0000FE210000}"/>
    <cellStyle name="_20061103Holux_WorldBankCMSScope_CMS_SOW_Deliverables_0430_FP_CAMPITReporting_Maintenance_Dashboard 2_Steps of Doneness" xfId="8793" xr:uid="{00000000-0005-0000-0000-0000FF210000}"/>
    <cellStyle name="_20061103Holux_WorldBankCMSScope_CMS_SOW_Deliverables_0430_FP_CAMPITReporting_Maintenance_Dashboard 3" xfId="8794" xr:uid="{00000000-0005-0000-0000-000000220000}"/>
    <cellStyle name="_20061103Holux_WorldBankCMSScope_CMS_SOW_Deliverables_0430_FP_CAMPITReporting_Maintenance_Dashboard_Steps of Doneness" xfId="8795" xr:uid="{00000000-0005-0000-0000-000001220000}"/>
    <cellStyle name="_20061103Holux_WorldBankCMSScope_CMS_SOW_Deliverables_0430_FP_Commissions_Req_Dn_ProgramWorkBook_10-Dec-2010" xfId="8796" xr:uid="{00000000-0005-0000-0000-000002220000}"/>
    <cellStyle name="_20061103Holux_WorldBankCMSScope_CMS_SOW_Deliverables_0430_FP_Commissions_Req_Dn_ProgramWorkBook_10-Dec-2010 2" xfId="8797" xr:uid="{00000000-0005-0000-0000-000003220000}"/>
    <cellStyle name="_20061103Holux_WorldBankCMSScope_CMS_SOW_Deliverables_0430_FP_Commissions_Req_Dn_ProgramWorkBook_10-Dec-2010 2_Steps of Doneness" xfId="8798" xr:uid="{00000000-0005-0000-0000-000004220000}"/>
    <cellStyle name="_20061103Holux_WorldBankCMSScope_CMS_SOW_Deliverables_0430_FP_Commissions_Req_Dn_ProgramWorkBook_10-Dec-2010 3" xfId="8799" xr:uid="{00000000-0005-0000-0000-000005220000}"/>
    <cellStyle name="_20061103Holux_WorldBankCMSScope_CMS_SOW_Deliverables_0430_FP_Commissions_Req_Dn_ProgramWorkBook_10-Dec-2010_Steps of Doneness" xfId="8800" xr:uid="{00000000-0005-0000-0000-000006220000}"/>
    <cellStyle name="_20061103Holux_WorldBankCMSScope_CMS_SOW_Deliverables_0430_FP_DW_Impl_ProgramWorkBook_07-Jan-2011" xfId="8801" xr:uid="{00000000-0005-0000-0000-000007220000}"/>
    <cellStyle name="_20061103Holux_WorldBankCMSScope_CMS_SOW_Deliverables_0430_FP_DW_Impl_ProgramWorkBook_07-Jan-2011 2" xfId="8802" xr:uid="{00000000-0005-0000-0000-000008220000}"/>
    <cellStyle name="_20061103Holux_WorldBankCMSScope_CMS_SOW_Deliverables_0430_FP_DW_Impl_ProgramWorkBook_07-Jan-2011 2 2" xfId="8803" xr:uid="{00000000-0005-0000-0000-000009220000}"/>
    <cellStyle name="_20061103Holux_WorldBankCMSScope_CMS_SOW_Deliverables_0430_FP_DW_Impl_ProgramWorkBook_07-Jan-2011 2 2_Steps of Doneness" xfId="8804" xr:uid="{00000000-0005-0000-0000-00000A220000}"/>
    <cellStyle name="_20061103Holux_WorldBankCMSScope_CMS_SOW_Deliverables_0430_FP_DW_Impl_ProgramWorkBook_07-Jan-2011 2 3" xfId="8805" xr:uid="{00000000-0005-0000-0000-00000B220000}"/>
    <cellStyle name="_20061103Holux_WorldBankCMSScope_CMS_SOW_Deliverables_0430_FP_DW_Impl_ProgramWorkBook_07-Jan-2011 2_Steps of Doneness" xfId="8806" xr:uid="{00000000-0005-0000-0000-00000C220000}"/>
    <cellStyle name="_20061103Holux_WorldBankCMSScope_CMS_SOW_Deliverables_0430_FP_DW_Impl_ProgramWorkBook_07-Jan-2011 3" xfId="8807" xr:uid="{00000000-0005-0000-0000-00000D220000}"/>
    <cellStyle name="_20061103Holux_WorldBankCMSScope_CMS_SOW_Deliverables_0430_FP_DW_Impl_ProgramWorkBook_07-Jan-2011 3_Steps of Doneness" xfId="8808" xr:uid="{00000000-0005-0000-0000-00000E220000}"/>
    <cellStyle name="_20061103Holux_WorldBankCMSScope_CMS_SOW_Deliverables_0430_FP_DW_Impl_ProgramWorkBook_07-Jan-2011 4" xfId="8809" xr:uid="{00000000-0005-0000-0000-00000F220000}"/>
    <cellStyle name="_20061103Holux_WorldBankCMSScope_CMS_SOW_Deliverables_0430_FP_DW_Impl_ProgramWorkBook_07-Jan-2011_Steps of Doneness" xfId="8810" xr:uid="{00000000-0005-0000-0000-000010220000}"/>
    <cellStyle name="_20061103Holux_WorldBankCMSScope_CMS_SOW_Deliverables_0430_FP_DW_Impl_ProgramWorkBook_11-Feb-2011" xfId="8811" xr:uid="{00000000-0005-0000-0000-000011220000}"/>
    <cellStyle name="_20061103Holux_WorldBankCMSScope_CMS_SOW_Deliverables_0430_FP_DW_Impl_ProgramWorkBook_11-Feb-2011 2" xfId="8812" xr:uid="{00000000-0005-0000-0000-000012220000}"/>
    <cellStyle name="_20061103Holux_WorldBankCMSScope_CMS_SOW_Deliverables_0430_FP_DW_Impl_ProgramWorkBook_11-Feb-2011 2_Steps of Doneness" xfId="8813" xr:uid="{00000000-0005-0000-0000-000013220000}"/>
    <cellStyle name="_20061103Holux_WorldBankCMSScope_CMS_SOW_Deliverables_0430_FP_DW_Impl_ProgramWorkBook_11-Feb-2011 3" xfId="8814" xr:uid="{00000000-0005-0000-0000-000014220000}"/>
    <cellStyle name="_20061103Holux_WorldBankCMSScope_CMS_SOW_Deliverables_0430_FP_DW_Impl_ProgramWorkBook_11-Feb-2011_Steps of Doneness" xfId="8815" xr:uid="{00000000-0005-0000-0000-000015220000}"/>
    <cellStyle name="_20061103Holux_WorldBankCMSScope_CMS_SOW_Deliverables_0430_FP_DW_Impl_ProgramWorkBook_18-Feb-2011 - Working" xfId="8816" xr:uid="{00000000-0005-0000-0000-000016220000}"/>
    <cellStyle name="_20061103Holux_WorldBankCMSScope_CMS_SOW_Deliverables_0430_FP_DW_Impl_ProgramWorkBook_18-Feb-2011 - Working 2" xfId="8817" xr:uid="{00000000-0005-0000-0000-000017220000}"/>
    <cellStyle name="_20061103Holux_WorldBankCMSScope_CMS_SOW_Deliverables_0430_FP_DW_Impl_ProgramWorkBook_18-Feb-2011 - Working 2_Steps of Doneness" xfId="8818" xr:uid="{00000000-0005-0000-0000-000018220000}"/>
    <cellStyle name="_20061103Holux_WorldBankCMSScope_CMS_SOW_Deliverables_0430_FP_DW_Impl_ProgramWorkBook_18-Feb-2011 - Working 3" xfId="8819" xr:uid="{00000000-0005-0000-0000-000019220000}"/>
    <cellStyle name="_20061103Holux_WorldBankCMSScope_CMS_SOW_Deliverables_0430_FP_DW_Impl_ProgramWorkBook_18-Feb-2011 - Working_Steps of Doneness" xfId="8820" xr:uid="{00000000-0005-0000-0000-00001A220000}"/>
    <cellStyle name="_20061103Holux_WorldBankCMSScope_CMS_SOW_Deliverables_0430_FP_EnterprisePortal_ProgramWorkbook" xfId="8821" xr:uid="{00000000-0005-0000-0000-00001B220000}"/>
    <cellStyle name="_20061103Holux_WorldBankCMSScope_CMS_SOW_Deliverables_0430_FP_EnterprisePortal_ProgramWorkbook 2" xfId="8822" xr:uid="{00000000-0005-0000-0000-00001C220000}"/>
    <cellStyle name="_20061103Holux_WorldBankCMSScope_CMS_SOW_Deliverables_0430_FP_EnterprisePortal_ProgramWorkbook 2_Steps of Doneness" xfId="8823" xr:uid="{00000000-0005-0000-0000-00001D220000}"/>
    <cellStyle name="_20061103Holux_WorldBankCMSScope_CMS_SOW_Deliverables_0430_FP_EnterprisePortal_ProgramWorkbook 3" xfId="8824" xr:uid="{00000000-0005-0000-0000-00001E220000}"/>
    <cellStyle name="_20061103Holux_WorldBankCMSScope_CMS_SOW_Deliverables_0430_FP_EnterprisePortal_ProgramWorkbook_Steps of Doneness" xfId="8825" xr:uid="{00000000-0005-0000-0000-00001F220000}"/>
    <cellStyle name="_20061103Holux_WorldBankCMSScope_CMS_SOW_Deliverables_0430_FP_SAP_MLP v2" xfId="8826" xr:uid="{00000000-0005-0000-0000-000020220000}"/>
    <cellStyle name="_20061103Holux_WorldBankCMSScope_CMS_SOW_Deliverables_0430_FP_SAP_MLP v2 2" xfId="8827" xr:uid="{00000000-0005-0000-0000-000021220000}"/>
    <cellStyle name="_20061103Holux_WorldBankCMSScope_CMS_SOW_Deliverables_0430_FP_SAP_MLP v2 2_Steps of Doneness" xfId="8828" xr:uid="{00000000-0005-0000-0000-000022220000}"/>
    <cellStyle name="_20061103Holux_WorldBankCMSScope_CMS_SOW_Deliverables_0430_FP_SAP_MLP v2 3" xfId="8829" xr:uid="{00000000-0005-0000-0000-000023220000}"/>
    <cellStyle name="_20061103Holux_WorldBankCMSScope_CMS_SOW_Deliverables_0430_FP_SAP_MLP v2_Steps of Doneness" xfId="8830" xr:uid="{00000000-0005-0000-0000-000024220000}"/>
    <cellStyle name="_20061103Holux_WorldBankCMSScope_CMS_SOW_Deliverables_0430_KeyDecisions" xfId="8831" xr:uid="{00000000-0005-0000-0000-000025220000}"/>
    <cellStyle name="_20061103Holux_WorldBankCMSScope_CMS_SOW_Deliverables_0430_KeyDecisions 2" xfId="8832" xr:uid="{00000000-0005-0000-0000-000026220000}"/>
    <cellStyle name="_20061103Holux_WorldBankCMSScope_CMS_SOW_Deliverables_0430_KeyDecisions 2_Steps of Doneness" xfId="8833" xr:uid="{00000000-0005-0000-0000-000027220000}"/>
    <cellStyle name="_20061103Holux_WorldBankCMSScope_CMS_SOW_Deliverables_0430_KeyDecisions 3" xfId="8834" xr:uid="{00000000-0005-0000-0000-000028220000}"/>
    <cellStyle name="_20061103Holux_WorldBankCMSScope_CMS_SOW_Deliverables_0430_KeyDecisions_Steps of Doneness" xfId="8835" xr:uid="{00000000-0005-0000-0000-000029220000}"/>
    <cellStyle name="_20061103Holux_WorldBankCMSScope_CMS_SOW_Deliverables_0430_Sophia_Imp_ProjectWorkBook_02_18_2011" xfId="8836" xr:uid="{00000000-0005-0000-0000-00002A220000}"/>
    <cellStyle name="_20061103Holux_WorldBankCMSScope_CMS_SOW_Deliverables_0430_Sophia_Imp_ProjectWorkBook_02_18_2011 2" xfId="8837" xr:uid="{00000000-0005-0000-0000-00002B220000}"/>
    <cellStyle name="_20061103Holux_WorldBankCMSScope_CMS_SOW_Deliverables_0430_Sophia_Imp_ProjectWorkBook_02_18_2011 2_Steps of Doneness" xfId="8838" xr:uid="{00000000-0005-0000-0000-00002C220000}"/>
    <cellStyle name="_20061103Holux_WorldBankCMSScope_CMS_SOW_Deliverables_0430_Sophia_Imp_ProjectWorkBook_02_18_2011 3" xfId="8839" xr:uid="{00000000-0005-0000-0000-00002D220000}"/>
    <cellStyle name="_20061103Holux_WorldBankCMSScope_CMS_SOW_Deliverables_0430_Sophia_Imp_ProjectWorkBook_02_18_2011_Steps of Doneness" xfId="8840" xr:uid="{00000000-0005-0000-0000-00002E220000}"/>
    <cellStyle name="_20061103Holux_WorldBankCMSScope_CMS_SOW_Deliverables_0430_Steps of Doneness" xfId="8841" xr:uid="{00000000-0005-0000-0000-00002F220000}"/>
    <cellStyle name="_20061103Holux_WorldBankCMSScope_CMS_SOW_Deliverables_0430_t" xfId="8842" xr:uid="{00000000-0005-0000-0000-000030220000}"/>
    <cellStyle name="_20061103Holux_WorldBankCMSScope_CMS_SOW_Deliverables_0430_t 2" xfId="8843" xr:uid="{00000000-0005-0000-0000-000031220000}"/>
    <cellStyle name="_20061103Holux_WorldBankCMSScope_CMS_SOW_Deliverables_0430_t 2_Steps of Doneness" xfId="8844" xr:uid="{00000000-0005-0000-0000-000032220000}"/>
    <cellStyle name="_20061103Holux_WorldBankCMSScope_CMS_SOW_Deliverables_0430_t 3" xfId="8845" xr:uid="{00000000-0005-0000-0000-000033220000}"/>
    <cellStyle name="_20061103Holux_WorldBankCMSScope_CMS_SOW_Deliverables_0430_t_Steps of Doneness" xfId="8846" xr:uid="{00000000-0005-0000-0000-000034220000}"/>
    <cellStyle name="_20061103Holux_WorldBankCMSScope_CMS_Web_Design_Phase_Deliverables_0610" xfId="8847" xr:uid="{00000000-0005-0000-0000-000035220000}"/>
    <cellStyle name="_20061103Holux_WorldBankCMSScope_CMS_Web_Design_Phase_Deliverables_0610 2" xfId="8848" xr:uid="{00000000-0005-0000-0000-000036220000}"/>
    <cellStyle name="_20061103Holux_WorldBankCMSScope_CMS_Web_Design_Phase_Deliverables_0610 2 2" xfId="8849" xr:uid="{00000000-0005-0000-0000-000037220000}"/>
    <cellStyle name="_20061103Holux_WorldBankCMSScope_CMS_Web_Design_Phase_Deliverables_0610 2 2_Steps of Doneness" xfId="8850" xr:uid="{00000000-0005-0000-0000-000038220000}"/>
    <cellStyle name="_20061103Holux_WorldBankCMSScope_CMS_Web_Design_Phase_Deliverables_0610 2 3" xfId="8851" xr:uid="{00000000-0005-0000-0000-000039220000}"/>
    <cellStyle name="_20061103Holux_WorldBankCMSScope_CMS_Web_Design_Phase_Deliverables_0610 2_Steps of Doneness" xfId="8852" xr:uid="{00000000-0005-0000-0000-00003A220000}"/>
    <cellStyle name="_20061103Holux_WorldBankCMSScope_CMS_Web_Design_Phase_Deliverables_0610 3" xfId="8853" xr:uid="{00000000-0005-0000-0000-00003B220000}"/>
    <cellStyle name="_20061103Holux_WorldBankCMSScope_CMS_Web_Design_Phase_Deliverables_0610 3_Steps of Doneness" xfId="8854" xr:uid="{00000000-0005-0000-0000-00003C220000}"/>
    <cellStyle name="_20061103Holux_WorldBankCMSScope_CMS_Web_Design_Phase_Deliverables_0610 4" xfId="8855" xr:uid="{00000000-0005-0000-0000-00003D220000}"/>
    <cellStyle name="_20061103Holux_WorldBankCMSScope_CMS_Web_Design_Phase_Deliverables_0610_Commissioning System Implementation_Project Workbook_06_10_2011" xfId="8856" xr:uid="{00000000-0005-0000-0000-00003E220000}"/>
    <cellStyle name="_20061103Holux_WorldBankCMSScope_CMS_Web_Design_Phase_Deliverables_0610_Commissioning System Implementation_Project Workbook_06_10_2011 2" xfId="8857" xr:uid="{00000000-0005-0000-0000-00003F220000}"/>
    <cellStyle name="_20061103Holux_WorldBankCMSScope_CMS_Web_Design_Phase_Deliverables_0610_Commissioning System Implementation_Project Workbook_06_10_2011 2_Steps of Doneness" xfId="8858" xr:uid="{00000000-0005-0000-0000-000040220000}"/>
    <cellStyle name="_20061103Holux_WorldBankCMSScope_CMS_Web_Design_Phase_Deliverables_0610_Commissioning System Implementation_Project Workbook_06_10_2011 3" xfId="8859" xr:uid="{00000000-0005-0000-0000-000041220000}"/>
    <cellStyle name="_20061103Holux_WorldBankCMSScope_CMS_Web_Design_Phase_Deliverables_0610_Commissioning System Implementation_Project Workbook_06_10_2011_Steps of Doneness" xfId="8860" xr:uid="{00000000-0005-0000-0000-000042220000}"/>
    <cellStyle name="_20061103Holux_WorldBankCMSScope_CMS_Web_Design_Phase_Deliverables_0610_FairPoint_CampReport" xfId="8861" xr:uid="{00000000-0005-0000-0000-000043220000}"/>
    <cellStyle name="_20061103Holux_WorldBankCMSScope_CMS_Web_Design_Phase_Deliverables_0610_FairPoint_CampReport 2" xfId="8862" xr:uid="{00000000-0005-0000-0000-000044220000}"/>
    <cellStyle name="_20061103Holux_WorldBankCMSScope_CMS_Web_Design_Phase_Deliverables_0610_FairPoint_CampReport 2_Steps of Doneness" xfId="8863" xr:uid="{00000000-0005-0000-0000-000045220000}"/>
    <cellStyle name="_20061103Holux_WorldBankCMSScope_CMS_Web_Design_Phase_Deliverables_0610_FairPoint_CampReport 3" xfId="8864" xr:uid="{00000000-0005-0000-0000-000046220000}"/>
    <cellStyle name="_20061103Holux_WorldBankCMSScope_CMS_Web_Design_Phase_Deliverables_0610_FairPoint_CampReport_Steps of Doneness" xfId="8865" xr:uid="{00000000-0005-0000-0000-000047220000}"/>
    <cellStyle name="_20061103Holux_WorldBankCMSScope_CMS_Web_Design_Phase_Deliverables_0610_FairPoint_FP comTechOps_ProgramWorkbook" xfId="8866" xr:uid="{00000000-0005-0000-0000-000048220000}"/>
    <cellStyle name="_20061103Holux_WorldBankCMSScope_CMS_Web_Design_Phase_Deliverables_0610_FairPoint_FP comTechOps_ProgramWorkbook 2" xfId="8867" xr:uid="{00000000-0005-0000-0000-000049220000}"/>
    <cellStyle name="_20061103Holux_WorldBankCMSScope_CMS_Web_Design_Phase_Deliverables_0610_FairPoint_FP comTechOps_ProgramWorkbook 2_Steps of Doneness" xfId="8868" xr:uid="{00000000-0005-0000-0000-00004A220000}"/>
    <cellStyle name="_20061103Holux_WorldBankCMSScope_CMS_Web_Design_Phase_Deliverables_0610_FairPoint_FP comTechOps_ProgramWorkbook 3" xfId="8869" xr:uid="{00000000-0005-0000-0000-00004B220000}"/>
    <cellStyle name="_20061103Holux_WorldBankCMSScope_CMS_Web_Design_Phase_Deliverables_0610_FairPoint_FP comTechOps_ProgramWorkbook_sachin" xfId="8870" xr:uid="{00000000-0005-0000-0000-00004C220000}"/>
    <cellStyle name="_20061103Holux_WorldBankCMSScope_CMS_Web_Design_Phase_Deliverables_0610_FairPoint_FP comTechOps_ProgramWorkbook_sachin 2" xfId="8871" xr:uid="{00000000-0005-0000-0000-00004D220000}"/>
    <cellStyle name="_20061103Holux_WorldBankCMSScope_CMS_Web_Design_Phase_Deliverables_0610_FairPoint_FP comTechOps_ProgramWorkbook_sachin 2_Steps of Doneness" xfId="8872" xr:uid="{00000000-0005-0000-0000-00004E220000}"/>
    <cellStyle name="_20061103Holux_WorldBankCMSScope_CMS_Web_Design_Phase_Deliverables_0610_FairPoint_FP comTechOps_ProgramWorkbook_sachin 3" xfId="8873" xr:uid="{00000000-0005-0000-0000-00004F220000}"/>
    <cellStyle name="_20061103Holux_WorldBankCMSScope_CMS_Web_Design_Phase_Deliverables_0610_FairPoint_FP comTechOps_ProgramWorkbook_sachin_Steps of Doneness" xfId="8874" xr:uid="{00000000-0005-0000-0000-000050220000}"/>
    <cellStyle name="_20061103Holux_WorldBankCMSScope_CMS_Web_Design_Phase_Deliverables_0610_FairPoint_FP comTechOps_ProgramWorkbook_sachin_v1" xfId="8875" xr:uid="{00000000-0005-0000-0000-000051220000}"/>
    <cellStyle name="_20061103Holux_WorldBankCMSScope_CMS_Web_Design_Phase_Deliverables_0610_FairPoint_FP comTechOps_ProgramWorkbook_sachin_v1 2" xfId="8876" xr:uid="{00000000-0005-0000-0000-000052220000}"/>
    <cellStyle name="_20061103Holux_WorldBankCMSScope_CMS_Web_Design_Phase_Deliverables_0610_FairPoint_FP comTechOps_ProgramWorkbook_sachin_v1 2_Steps of Doneness" xfId="8877" xr:uid="{00000000-0005-0000-0000-000053220000}"/>
    <cellStyle name="_20061103Holux_WorldBankCMSScope_CMS_Web_Design_Phase_Deliverables_0610_FairPoint_FP comTechOps_ProgramWorkbook_sachin_v1 3" xfId="8878" xr:uid="{00000000-0005-0000-0000-000054220000}"/>
    <cellStyle name="_20061103Holux_WorldBankCMSScope_CMS_Web_Design_Phase_Deliverables_0610_FairPoint_FP comTechOps_ProgramWorkbook_sachin_v1_Steps of Doneness" xfId="8879" xr:uid="{00000000-0005-0000-0000-000055220000}"/>
    <cellStyle name="_20061103Holux_WorldBankCMSScope_CMS_Web_Design_Phase_Deliverables_0610_FairPoint_FP comTechOps_ProgramWorkbook_Steps of Doneness" xfId="8880" xr:uid="{00000000-0005-0000-0000-000056220000}"/>
    <cellStyle name="_20061103Holux_WorldBankCMSScope_CMS_Web_Design_Phase_Deliverables_0610_FP_CAMP&amp;ITReporting_Maintenance_Dashboard" xfId="8881" xr:uid="{00000000-0005-0000-0000-000057220000}"/>
    <cellStyle name="_20061103Holux_WorldBankCMSScope_CMS_Web_Design_Phase_Deliverables_0610_FP_CAMP&amp;ITReporting_Maintenance_Dashboard 2" xfId="8882" xr:uid="{00000000-0005-0000-0000-000058220000}"/>
    <cellStyle name="_20061103Holux_WorldBankCMSScope_CMS_Web_Design_Phase_Deliverables_0610_FP_CAMP&amp;ITReporting_Maintenance_Dashboard 2_Steps of Doneness" xfId="8883" xr:uid="{00000000-0005-0000-0000-000059220000}"/>
    <cellStyle name="_20061103Holux_WorldBankCMSScope_CMS_Web_Design_Phase_Deliverables_0610_FP_CAMP&amp;ITReporting_Maintenance_Dashboard 3" xfId="8884" xr:uid="{00000000-0005-0000-0000-00005A220000}"/>
    <cellStyle name="_20061103Holux_WorldBankCMSScope_CMS_Web_Design_Phase_Deliverables_0610_FP_CAMP&amp;ITReporting_Maintenance_Dashboard_Steps of Doneness" xfId="8885" xr:uid="{00000000-0005-0000-0000-00005B220000}"/>
    <cellStyle name="_20061103Holux_WorldBankCMSScope_CMS_Web_Design_Phase_Deliverables_0610_FP_CAMPITReporting_Maintenance_Dashboard" xfId="8886" xr:uid="{00000000-0005-0000-0000-00005C220000}"/>
    <cellStyle name="_20061103Holux_WorldBankCMSScope_CMS_Web_Design_Phase_Deliverables_0610_FP_CAMPITReporting_Maintenance_Dashboard 2" xfId="8887" xr:uid="{00000000-0005-0000-0000-00005D220000}"/>
    <cellStyle name="_20061103Holux_WorldBankCMSScope_CMS_Web_Design_Phase_Deliverables_0610_FP_CAMPITReporting_Maintenance_Dashboard 2_Steps of Doneness" xfId="8888" xr:uid="{00000000-0005-0000-0000-00005E220000}"/>
    <cellStyle name="_20061103Holux_WorldBankCMSScope_CMS_Web_Design_Phase_Deliverables_0610_FP_CAMPITReporting_Maintenance_Dashboard 3" xfId="8889" xr:uid="{00000000-0005-0000-0000-00005F220000}"/>
    <cellStyle name="_20061103Holux_WorldBankCMSScope_CMS_Web_Design_Phase_Deliverables_0610_FP_CAMPITReporting_Maintenance_Dashboard_Steps of Doneness" xfId="8890" xr:uid="{00000000-0005-0000-0000-000060220000}"/>
    <cellStyle name="_20061103Holux_WorldBankCMSScope_CMS_Web_Design_Phase_Deliverables_0610_FP_Commissions_Req_Dn_ProgramWorkBook_10-Dec-2010" xfId="8891" xr:uid="{00000000-0005-0000-0000-000061220000}"/>
    <cellStyle name="_20061103Holux_WorldBankCMSScope_CMS_Web_Design_Phase_Deliverables_0610_FP_Commissions_Req_Dn_ProgramWorkBook_10-Dec-2010 2" xfId="8892" xr:uid="{00000000-0005-0000-0000-000062220000}"/>
    <cellStyle name="_20061103Holux_WorldBankCMSScope_CMS_Web_Design_Phase_Deliverables_0610_FP_Commissions_Req_Dn_ProgramWorkBook_10-Dec-2010 2_Steps of Doneness" xfId="8893" xr:uid="{00000000-0005-0000-0000-000063220000}"/>
    <cellStyle name="_20061103Holux_WorldBankCMSScope_CMS_Web_Design_Phase_Deliverables_0610_FP_Commissions_Req_Dn_ProgramWorkBook_10-Dec-2010 3" xfId="8894" xr:uid="{00000000-0005-0000-0000-000064220000}"/>
    <cellStyle name="_20061103Holux_WorldBankCMSScope_CMS_Web_Design_Phase_Deliverables_0610_FP_Commissions_Req_Dn_ProgramWorkBook_10-Dec-2010_Steps of Doneness" xfId="8895" xr:uid="{00000000-0005-0000-0000-000065220000}"/>
    <cellStyle name="_20061103Holux_WorldBankCMSScope_CMS_Web_Design_Phase_Deliverables_0610_FP_DW_Impl_ProgramWorkBook_07-Jan-2011" xfId="8896" xr:uid="{00000000-0005-0000-0000-000066220000}"/>
    <cellStyle name="_20061103Holux_WorldBankCMSScope_CMS_Web_Design_Phase_Deliverables_0610_FP_DW_Impl_ProgramWorkBook_07-Jan-2011 2" xfId="8897" xr:uid="{00000000-0005-0000-0000-000067220000}"/>
    <cellStyle name="_20061103Holux_WorldBankCMSScope_CMS_Web_Design_Phase_Deliverables_0610_FP_DW_Impl_ProgramWorkBook_07-Jan-2011 2 2" xfId="8898" xr:uid="{00000000-0005-0000-0000-000068220000}"/>
    <cellStyle name="_20061103Holux_WorldBankCMSScope_CMS_Web_Design_Phase_Deliverables_0610_FP_DW_Impl_ProgramWorkBook_07-Jan-2011 2 2_Steps of Doneness" xfId="8899" xr:uid="{00000000-0005-0000-0000-000069220000}"/>
    <cellStyle name="_20061103Holux_WorldBankCMSScope_CMS_Web_Design_Phase_Deliverables_0610_FP_DW_Impl_ProgramWorkBook_07-Jan-2011 2 3" xfId="8900" xr:uid="{00000000-0005-0000-0000-00006A220000}"/>
    <cellStyle name="_20061103Holux_WorldBankCMSScope_CMS_Web_Design_Phase_Deliverables_0610_FP_DW_Impl_ProgramWorkBook_07-Jan-2011 2_Steps of Doneness" xfId="8901" xr:uid="{00000000-0005-0000-0000-00006B220000}"/>
    <cellStyle name="_20061103Holux_WorldBankCMSScope_CMS_Web_Design_Phase_Deliverables_0610_FP_DW_Impl_ProgramWorkBook_07-Jan-2011 3" xfId="8902" xr:uid="{00000000-0005-0000-0000-00006C220000}"/>
    <cellStyle name="_20061103Holux_WorldBankCMSScope_CMS_Web_Design_Phase_Deliverables_0610_FP_DW_Impl_ProgramWorkBook_07-Jan-2011 3_Steps of Doneness" xfId="8903" xr:uid="{00000000-0005-0000-0000-00006D220000}"/>
    <cellStyle name="_20061103Holux_WorldBankCMSScope_CMS_Web_Design_Phase_Deliverables_0610_FP_DW_Impl_ProgramWorkBook_07-Jan-2011 4" xfId="8904" xr:uid="{00000000-0005-0000-0000-00006E220000}"/>
    <cellStyle name="_20061103Holux_WorldBankCMSScope_CMS_Web_Design_Phase_Deliverables_0610_FP_DW_Impl_ProgramWorkBook_07-Jan-2011_Steps of Doneness" xfId="8905" xr:uid="{00000000-0005-0000-0000-00006F220000}"/>
    <cellStyle name="_20061103Holux_WorldBankCMSScope_CMS_Web_Design_Phase_Deliverables_0610_FP_DW_Impl_ProgramWorkBook_11-Feb-2011" xfId="8906" xr:uid="{00000000-0005-0000-0000-000070220000}"/>
    <cellStyle name="_20061103Holux_WorldBankCMSScope_CMS_Web_Design_Phase_Deliverables_0610_FP_DW_Impl_ProgramWorkBook_11-Feb-2011 2" xfId="8907" xr:uid="{00000000-0005-0000-0000-000071220000}"/>
    <cellStyle name="_20061103Holux_WorldBankCMSScope_CMS_Web_Design_Phase_Deliverables_0610_FP_DW_Impl_ProgramWorkBook_11-Feb-2011 2_Steps of Doneness" xfId="8908" xr:uid="{00000000-0005-0000-0000-000072220000}"/>
    <cellStyle name="_20061103Holux_WorldBankCMSScope_CMS_Web_Design_Phase_Deliverables_0610_FP_DW_Impl_ProgramWorkBook_11-Feb-2011 3" xfId="8909" xr:uid="{00000000-0005-0000-0000-000073220000}"/>
    <cellStyle name="_20061103Holux_WorldBankCMSScope_CMS_Web_Design_Phase_Deliverables_0610_FP_DW_Impl_ProgramWorkBook_11-Feb-2011_Steps of Doneness" xfId="8910" xr:uid="{00000000-0005-0000-0000-000074220000}"/>
    <cellStyle name="_20061103Holux_WorldBankCMSScope_CMS_Web_Design_Phase_Deliverables_0610_FP_DW_Impl_ProgramWorkBook_18-Feb-2011 - Working" xfId="8911" xr:uid="{00000000-0005-0000-0000-000075220000}"/>
    <cellStyle name="_20061103Holux_WorldBankCMSScope_CMS_Web_Design_Phase_Deliverables_0610_FP_DW_Impl_ProgramWorkBook_18-Feb-2011 - Working 2" xfId="8912" xr:uid="{00000000-0005-0000-0000-000076220000}"/>
    <cellStyle name="_20061103Holux_WorldBankCMSScope_CMS_Web_Design_Phase_Deliverables_0610_FP_DW_Impl_ProgramWorkBook_18-Feb-2011 - Working 2_Steps of Doneness" xfId="8913" xr:uid="{00000000-0005-0000-0000-000077220000}"/>
    <cellStyle name="_20061103Holux_WorldBankCMSScope_CMS_Web_Design_Phase_Deliverables_0610_FP_DW_Impl_ProgramWorkBook_18-Feb-2011 - Working 3" xfId="8914" xr:uid="{00000000-0005-0000-0000-000078220000}"/>
    <cellStyle name="_20061103Holux_WorldBankCMSScope_CMS_Web_Design_Phase_Deliverables_0610_FP_DW_Impl_ProgramWorkBook_18-Feb-2011 - Working_Steps of Doneness" xfId="8915" xr:uid="{00000000-0005-0000-0000-000079220000}"/>
    <cellStyle name="_20061103Holux_WorldBankCMSScope_CMS_Web_Design_Phase_Deliverables_0610_FP_EnterprisePortal_ProgramWorkbook" xfId="8916" xr:uid="{00000000-0005-0000-0000-00007A220000}"/>
    <cellStyle name="_20061103Holux_WorldBankCMSScope_CMS_Web_Design_Phase_Deliverables_0610_FP_EnterprisePortal_ProgramWorkbook 2" xfId="8917" xr:uid="{00000000-0005-0000-0000-00007B220000}"/>
    <cellStyle name="_20061103Holux_WorldBankCMSScope_CMS_Web_Design_Phase_Deliverables_0610_FP_EnterprisePortal_ProgramWorkbook 2_Steps of Doneness" xfId="8918" xr:uid="{00000000-0005-0000-0000-00007C220000}"/>
    <cellStyle name="_20061103Holux_WorldBankCMSScope_CMS_Web_Design_Phase_Deliverables_0610_FP_EnterprisePortal_ProgramWorkbook 3" xfId="8919" xr:uid="{00000000-0005-0000-0000-00007D220000}"/>
    <cellStyle name="_20061103Holux_WorldBankCMSScope_CMS_Web_Design_Phase_Deliverables_0610_FP_EnterprisePortal_ProgramWorkbook_Steps of Doneness" xfId="8920" xr:uid="{00000000-0005-0000-0000-00007E220000}"/>
    <cellStyle name="_20061103Holux_WorldBankCMSScope_CMS_Web_Design_Phase_Deliverables_0610_FP_SAP_MLP v2" xfId="8921" xr:uid="{00000000-0005-0000-0000-00007F220000}"/>
    <cellStyle name="_20061103Holux_WorldBankCMSScope_CMS_Web_Design_Phase_Deliverables_0610_FP_SAP_MLP v2 2" xfId="8922" xr:uid="{00000000-0005-0000-0000-000080220000}"/>
    <cellStyle name="_20061103Holux_WorldBankCMSScope_CMS_Web_Design_Phase_Deliverables_0610_FP_SAP_MLP v2 2_Steps of Doneness" xfId="8923" xr:uid="{00000000-0005-0000-0000-000081220000}"/>
    <cellStyle name="_20061103Holux_WorldBankCMSScope_CMS_Web_Design_Phase_Deliverables_0610_FP_SAP_MLP v2 3" xfId="8924" xr:uid="{00000000-0005-0000-0000-000082220000}"/>
    <cellStyle name="_20061103Holux_WorldBankCMSScope_CMS_Web_Design_Phase_Deliverables_0610_FP_SAP_MLP v2_Steps of Doneness" xfId="8925" xr:uid="{00000000-0005-0000-0000-000083220000}"/>
    <cellStyle name="_20061103Holux_WorldBankCMSScope_CMS_Web_Design_Phase_Deliverables_0610_KeyDecisions" xfId="8926" xr:uid="{00000000-0005-0000-0000-000084220000}"/>
    <cellStyle name="_20061103Holux_WorldBankCMSScope_CMS_Web_Design_Phase_Deliverables_0610_KeyDecisions 2" xfId="8927" xr:uid="{00000000-0005-0000-0000-000085220000}"/>
    <cellStyle name="_20061103Holux_WorldBankCMSScope_CMS_Web_Design_Phase_Deliverables_0610_KeyDecisions 2_Steps of Doneness" xfId="8928" xr:uid="{00000000-0005-0000-0000-000086220000}"/>
    <cellStyle name="_20061103Holux_WorldBankCMSScope_CMS_Web_Design_Phase_Deliverables_0610_KeyDecisions 3" xfId="8929" xr:uid="{00000000-0005-0000-0000-000087220000}"/>
    <cellStyle name="_20061103Holux_WorldBankCMSScope_CMS_Web_Design_Phase_Deliverables_0610_KeyDecisions_Steps of Doneness" xfId="8930" xr:uid="{00000000-0005-0000-0000-000088220000}"/>
    <cellStyle name="_20061103Holux_WorldBankCMSScope_CMS_Web_Design_Phase_Deliverables_0610_Sophia_Imp_ProjectWorkBook_02_18_2011" xfId="8931" xr:uid="{00000000-0005-0000-0000-000089220000}"/>
    <cellStyle name="_20061103Holux_WorldBankCMSScope_CMS_Web_Design_Phase_Deliverables_0610_Sophia_Imp_ProjectWorkBook_02_18_2011 2" xfId="8932" xr:uid="{00000000-0005-0000-0000-00008A220000}"/>
    <cellStyle name="_20061103Holux_WorldBankCMSScope_CMS_Web_Design_Phase_Deliverables_0610_Sophia_Imp_ProjectWorkBook_02_18_2011 2_Steps of Doneness" xfId="8933" xr:uid="{00000000-0005-0000-0000-00008B220000}"/>
    <cellStyle name="_20061103Holux_WorldBankCMSScope_CMS_Web_Design_Phase_Deliverables_0610_Sophia_Imp_ProjectWorkBook_02_18_2011 3" xfId="8934" xr:uid="{00000000-0005-0000-0000-00008C220000}"/>
    <cellStyle name="_20061103Holux_WorldBankCMSScope_CMS_Web_Design_Phase_Deliverables_0610_Sophia_Imp_ProjectWorkBook_02_18_2011_Steps of Doneness" xfId="8935" xr:uid="{00000000-0005-0000-0000-00008D220000}"/>
    <cellStyle name="_20061103Holux_WorldBankCMSScope_CMS_Web_Design_Phase_Deliverables_0610_Steps of Doneness" xfId="8936" xr:uid="{00000000-0005-0000-0000-00008E220000}"/>
    <cellStyle name="_20061103Holux_WorldBankCMSScope_CMS_Web_Design_Phase_Deliverables_0610_t" xfId="8937" xr:uid="{00000000-0005-0000-0000-00008F220000}"/>
    <cellStyle name="_20061103Holux_WorldBankCMSScope_CMS_Web_Design_Phase_Deliverables_0610_t 2" xfId="8938" xr:uid="{00000000-0005-0000-0000-000090220000}"/>
    <cellStyle name="_20061103Holux_WorldBankCMSScope_CMS_Web_Design_Phase_Deliverables_0610_t 2_Steps of Doneness" xfId="8939" xr:uid="{00000000-0005-0000-0000-000091220000}"/>
    <cellStyle name="_20061103Holux_WorldBankCMSScope_CMS_Web_Design_Phase_Deliverables_0610_t 3" xfId="8940" xr:uid="{00000000-0005-0000-0000-000092220000}"/>
    <cellStyle name="_20061103Holux_WorldBankCMSScope_CMS_Web_Design_Phase_Deliverables_0610_t_Steps of Doneness" xfId="8941" xr:uid="{00000000-0005-0000-0000-000093220000}"/>
    <cellStyle name="_20061103Holux_WorldBankCMSScope_CMS_Web_Design_Phase_Deliverables_0618a" xfId="8942" xr:uid="{00000000-0005-0000-0000-000094220000}"/>
    <cellStyle name="_20061103Holux_WorldBankCMSScope_CMS_Web_Design_Phase_Deliverables_0618a 2" xfId="8943" xr:uid="{00000000-0005-0000-0000-000095220000}"/>
    <cellStyle name="_20061103Holux_WorldBankCMSScope_CMS_Web_Design_Phase_Deliverables_0618a 2 2" xfId="8944" xr:uid="{00000000-0005-0000-0000-000096220000}"/>
    <cellStyle name="_20061103Holux_WorldBankCMSScope_CMS_Web_Design_Phase_Deliverables_0618a 2 2_Steps of Doneness" xfId="8945" xr:uid="{00000000-0005-0000-0000-000097220000}"/>
    <cellStyle name="_20061103Holux_WorldBankCMSScope_CMS_Web_Design_Phase_Deliverables_0618a 2 3" xfId="8946" xr:uid="{00000000-0005-0000-0000-000098220000}"/>
    <cellStyle name="_20061103Holux_WorldBankCMSScope_CMS_Web_Design_Phase_Deliverables_0618a 2_Steps of Doneness" xfId="8947" xr:uid="{00000000-0005-0000-0000-000099220000}"/>
    <cellStyle name="_20061103Holux_WorldBankCMSScope_CMS_Web_Design_Phase_Deliverables_0618a 3" xfId="8948" xr:uid="{00000000-0005-0000-0000-00009A220000}"/>
    <cellStyle name="_20061103Holux_WorldBankCMSScope_CMS_Web_Design_Phase_Deliverables_0618a 3_Steps of Doneness" xfId="8949" xr:uid="{00000000-0005-0000-0000-00009B220000}"/>
    <cellStyle name="_20061103Holux_WorldBankCMSScope_CMS_Web_Design_Phase_Deliverables_0618a 4" xfId="8950" xr:uid="{00000000-0005-0000-0000-00009C220000}"/>
    <cellStyle name="_20061103Holux_WorldBankCMSScope_CMS_Web_Design_Phase_Deliverables_0618a_Commissioning System Implementation_Project Workbook_06_10_2011" xfId="8951" xr:uid="{00000000-0005-0000-0000-00009D220000}"/>
    <cellStyle name="_20061103Holux_WorldBankCMSScope_CMS_Web_Design_Phase_Deliverables_0618a_Commissioning System Implementation_Project Workbook_06_10_2011 2" xfId="8952" xr:uid="{00000000-0005-0000-0000-00009E220000}"/>
    <cellStyle name="_20061103Holux_WorldBankCMSScope_CMS_Web_Design_Phase_Deliverables_0618a_Commissioning System Implementation_Project Workbook_06_10_2011 2_Steps of Doneness" xfId="8953" xr:uid="{00000000-0005-0000-0000-00009F220000}"/>
    <cellStyle name="_20061103Holux_WorldBankCMSScope_CMS_Web_Design_Phase_Deliverables_0618a_Commissioning System Implementation_Project Workbook_06_10_2011 3" xfId="8954" xr:uid="{00000000-0005-0000-0000-0000A0220000}"/>
    <cellStyle name="_20061103Holux_WorldBankCMSScope_CMS_Web_Design_Phase_Deliverables_0618a_Commissioning System Implementation_Project Workbook_06_10_2011_Steps of Doneness" xfId="8955" xr:uid="{00000000-0005-0000-0000-0000A1220000}"/>
    <cellStyle name="_20061103Holux_WorldBankCMSScope_CMS_Web_Design_Phase_Deliverables_0618a_FairPoint_CampReport" xfId="8956" xr:uid="{00000000-0005-0000-0000-0000A2220000}"/>
    <cellStyle name="_20061103Holux_WorldBankCMSScope_CMS_Web_Design_Phase_Deliverables_0618a_FairPoint_CampReport 2" xfId="8957" xr:uid="{00000000-0005-0000-0000-0000A3220000}"/>
    <cellStyle name="_20061103Holux_WorldBankCMSScope_CMS_Web_Design_Phase_Deliverables_0618a_FairPoint_CampReport 2_Steps of Doneness" xfId="8958" xr:uid="{00000000-0005-0000-0000-0000A4220000}"/>
    <cellStyle name="_20061103Holux_WorldBankCMSScope_CMS_Web_Design_Phase_Deliverables_0618a_FairPoint_CampReport 3" xfId="8959" xr:uid="{00000000-0005-0000-0000-0000A5220000}"/>
    <cellStyle name="_20061103Holux_WorldBankCMSScope_CMS_Web_Design_Phase_Deliverables_0618a_FairPoint_CampReport_Steps of Doneness" xfId="8960" xr:uid="{00000000-0005-0000-0000-0000A6220000}"/>
    <cellStyle name="_20061103Holux_WorldBankCMSScope_CMS_Web_Design_Phase_Deliverables_0618a_FairPoint_FP comTechOps_ProgramWorkbook" xfId="8961" xr:uid="{00000000-0005-0000-0000-0000A7220000}"/>
    <cellStyle name="_20061103Holux_WorldBankCMSScope_CMS_Web_Design_Phase_Deliverables_0618a_FairPoint_FP comTechOps_ProgramWorkbook 2" xfId="8962" xr:uid="{00000000-0005-0000-0000-0000A8220000}"/>
    <cellStyle name="_20061103Holux_WorldBankCMSScope_CMS_Web_Design_Phase_Deliverables_0618a_FairPoint_FP comTechOps_ProgramWorkbook 2_Steps of Doneness" xfId="8963" xr:uid="{00000000-0005-0000-0000-0000A9220000}"/>
    <cellStyle name="_20061103Holux_WorldBankCMSScope_CMS_Web_Design_Phase_Deliverables_0618a_FairPoint_FP comTechOps_ProgramWorkbook 3" xfId="8964" xr:uid="{00000000-0005-0000-0000-0000AA220000}"/>
    <cellStyle name="_20061103Holux_WorldBankCMSScope_CMS_Web_Design_Phase_Deliverables_0618a_FairPoint_FP comTechOps_ProgramWorkbook_sachin" xfId="8965" xr:uid="{00000000-0005-0000-0000-0000AB220000}"/>
    <cellStyle name="_20061103Holux_WorldBankCMSScope_CMS_Web_Design_Phase_Deliverables_0618a_FairPoint_FP comTechOps_ProgramWorkbook_sachin 2" xfId="8966" xr:uid="{00000000-0005-0000-0000-0000AC220000}"/>
    <cellStyle name="_20061103Holux_WorldBankCMSScope_CMS_Web_Design_Phase_Deliverables_0618a_FairPoint_FP comTechOps_ProgramWorkbook_sachin 2_Steps of Doneness" xfId="8967" xr:uid="{00000000-0005-0000-0000-0000AD220000}"/>
    <cellStyle name="_20061103Holux_WorldBankCMSScope_CMS_Web_Design_Phase_Deliverables_0618a_FairPoint_FP comTechOps_ProgramWorkbook_sachin 3" xfId="8968" xr:uid="{00000000-0005-0000-0000-0000AE220000}"/>
    <cellStyle name="_20061103Holux_WorldBankCMSScope_CMS_Web_Design_Phase_Deliverables_0618a_FairPoint_FP comTechOps_ProgramWorkbook_sachin_Steps of Doneness" xfId="8969" xr:uid="{00000000-0005-0000-0000-0000AF220000}"/>
    <cellStyle name="_20061103Holux_WorldBankCMSScope_CMS_Web_Design_Phase_Deliverables_0618a_FairPoint_FP comTechOps_ProgramWorkbook_sachin_v1" xfId="8970" xr:uid="{00000000-0005-0000-0000-0000B0220000}"/>
    <cellStyle name="_20061103Holux_WorldBankCMSScope_CMS_Web_Design_Phase_Deliverables_0618a_FairPoint_FP comTechOps_ProgramWorkbook_sachin_v1 2" xfId="8971" xr:uid="{00000000-0005-0000-0000-0000B1220000}"/>
    <cellStyle name="_20061103Holux_WorldBankCMSScope_CMS_Web_Design_Phase_Deliverables_0618a_FairPoint_FP comTechOps_ProgramWorkbook_sachin_v1 2_Steps of Doneness" xfId="8972" xr:uid="{00000000-0005-0000-0000-0000B2220000}"/>
    <cellStyle name="_20061103Holux_WorldBankCMSScope_CMS_Web_Design_Phase_Deliverables_0618a_FairPoint_FP comTechOps_ProgramWorkbook_sachin_v1 3" xfId="8973" xr:uid="{00000000-0005-0000-0000-0000B3220000}"/>
    <cellStyle name="_20061103Holux_WorldBankCMSScope_CMS_Web_Design_Phase_Deliverables_0618a_FairPoint_FP comTechOps_ProgramWorkbook_sachin_v1_Steps of Doneness" xfId="8974" xr:uid="{00000000-0005-0000-0000-0000B4220000}"/>
    <cellStyle name="_20061103Holux_WorldBankCMSScope_CMS_Web_Design_Phase_Deliverables_0618a_FairPoint_FP comTechOps_ProgramWorkbook_Steps of Doneness" xfId="8975" xr:uid="{00000000-0005-0000-0000-0000B5220000}"/>
    <cellStyle name="_20061103Holux_WorldBankCMSScope_CMS_Web_Design_Phase_Deliverables_0618a_FP_CAMP&amp;ITReporting_Maintenance_Dashboard" xfId="8976" xr:uid="{00000000-0005-0000-0000-0000B6220000}"/>
    <cellStyle name="_20061103Holux_WorldBankCMSScope_CMS_Web_Design_Phase_Deliverables_0618a_FP_CAMP&amp;ITReporting_Maintenance_Dashboard 2" xfId="8977" xr:uid="{00000000-0005-0000-0000-0000B7220000}"/>
    <cellStyle name="_20061103Holux_WorldBankCMSScope_CMS_Web_Design_Phase_Deliverables_0618a_FP_CAMP&amp;ITReporting_Maintenance_Dashboard 2_Steps of Doneness" xfId="8978" xr:uid="{00000000-0005-0000-0000-0000B8220000}"/>
    <cellStyle name="_20061103Holux_WorldBankCMSScope_CMS_Web_Design_Phase_Deliverables_0618a_FP_CAMP&amp;ITReporting_Maintenance_Dashboard 3" xfId="8979" xr:uid="{00000000-0005-0000-0000-0000B9220000}"/>
    <cellStyle name="_20061103Holux_WorldBankCMSScope_CMS_Web_Design_Phase_Deliverables_0618a_FP_CAMP&amp;ITReporting_Maintenance_Dashboard_Steps of Doneness" xfId="8980" xr:uid="{00000000-0005-0000-0000-0000BA220000}"/>
    <cellStyle name="_20061103Holux_WorldBankCMSScope_CMS_Web_Design_Phase_Deliverables_0618a_FP_CAMPITReporting_Maintenance_Dashboard" xfId="8981" xr:uid="{00000000-0005-0000-0000-0000BB220000}"/>
    <cellStyle name="_20061103Holux_WorldBankCMSScope_CMS_Web_Design_Phase_Deliverables_0618a_FP_CAMPITReporting_Maintenance_Dashboard 2" xfId="8982" xr:uid="{00000000-0005-0000-0000-0000BC220000}"/>
    <cellStyle name="_20061103Holux_WorldBankCMSScope_CMS_Web_Design_Phase_Deliverables_0618a_FP_CAMPITReporting_Maintenance_Dashboard 2_Steps of Doneness" xfId="8983" xr:uid="{00000000-0005-0000-0000-0000BD220000}"/>
    <cellStyle name="_20061103Holux_WorldBankCMSScope_CMS_Web_Design_Phase_Deliverables_0618a_FP_CAMPITReporting_Maintenance_Dashboard 3" xfId="8984" xr:uid="{00000000-0005-0000-0000-0000BE220000}"/>
    <cellStyle name="_20061103Holux_WorldBankCMSScope_CMS_Web_Design_Phase_Deliverables_0618a_FP_CAMPITReporting_Maintenance_Dashboard_Steps of Doneness" xfId="8985" xr:uid="{00000000-0005-0000-0000-0000BF220000}"/>
    <cellStyle name="_20061103Holux_WorldBankCMSScope_CMS_Web_Design_Phase_Deliverables_0618a_FP_Commissions_Req_Dn_ProgramWorkBook_10-Dec-2010" xfId="8986" xr:uid="{00000000-0005-0000-0000-0000C0220000}"/>
    <cellStyle name="_20061103Holux_WorldBankCMSScope_CMS_Web_Design_Phase_Deliverables_0618a_FP_Commissions_Req_Dn_ProgramWorkBook_10-Dec-2010 2" xfId="8987" xr:uid="{00000000-0005-0000-0000-0000C1220000}"/>
    <cellStyle name="_20061103Holux_WorldBankCMSScope_CMS_Web_Design_Phase_Deliverables_0618a_FP_Commissions_Req_Dn_ProgramWorkBook_10-Dec-2010 2_Steps of Doneness" xfId="8988" xr:uid="{00000000-0005-0000-0000-0000C2220000}"/>
    <cellStyle name="_20061103Holux_WorldBankCMSScope_CMS_Web_Design_Phase_Deliverables_0618a_FP_Commissions_Req_Dn_ProgramWorkBook_10-Dec-2010 3" xfId="8989" xr:uid="{00000000-0005-0000-0000-0000C3220000}"/>
    <cellStyle name="_20061103Holux_WorldBankCMSScope_CMS_Web_Design_Phase_Deliverables_0618a_FP_Commissions_Req_Dn_ProgramWorkBook_10-Dec-2010_Steps of Doneness" xfId="8990" xr:uid="{00000000-0005-0000-0000-0000C4220000}"/>
    <cellStyle name="_20061103Holux_WorldBankCMSScope_CMS_Web_Design_Phase_Deliverables_0618a_FP_DW_Impl_ProgramWorkBook_07-Jan-2011" xfId="8991" xr:uid="{00000000-0005-0000-0000-0000C5220000}"/>
    <cellStyle name="_20061103Holux_WorldBankCMSScope_CMS_Web_Design_Phase_Deliverables_0618a_FP_DW_Impl_ProgramWorkBook_07-Jan-2011 2" xfId="8992" xr:uid="{00000000-0005-0000-0000-0000C6220000}"/>
    <cellStyle name="_20061103Holux_WorldBankCMSScope_CMS_Web_Design_Phase_Deliverables_0618a_FP_DW_Impl_ProgramWorkBook_07-Jan-2011 2 2" xfId="8993" xr:uid="{00000000-0005-0000-0000-0000C7220000}"/>
    <cellStyle name="_20061103Holux_WorldBankCMSScope_CMS_Web_Design_Phase_Deliverables_0618a_FP_DW_Impl_ProgramWorkBook_07-Jan-2011 2 2_Steps of Doneness" xfId="8994" xr:uid="{00000000-0005-0000-0000-0000C8220000}"/>
    <cellStyle name="_20061103Holux_WorldBankCMSScope_CMS_Web_Design_Phase_Deliverables_0618a_FP_DW_Impl_ProgramWorkBook_07-Jan-2011 2 3" xfId="8995" xr:uid="{00000000-0005-0000-0000-0000C9220000}"/>
    <cellStyle name="_20061103Holux_WorldBankCMSScope_CMS_Web_Design_Phase_Deliverables_0618a_FP_DW_Impl_ProgramWorkBook_07-Jan-2011 2_Steps of Doneness" xfId="8996" xr:uid="{00000000-0005-0000-0000-0000CA220000}"/>
    <cellStyle name="_20061103Holux_WorldBankCMSScope_CMS_Web_Design_Phase_Deliverables_0618a_FP_DW_Impl_ProgramWorkBook_07-Jan-2011 3" xfId="8997" xr:uid="{00000000-0005-0000-0000-0000CB220000}"/>
    <cellStyle name="_20061103Holux_WorldBankCMSScope_CMS_Web_Design_Phase_Deliverables_0618a_FP_DW_Impl_ProgramWorkBook_07-Jan-2011 3_Steps of Doneness" xfId="8998" xr:uid="{00000000-0005-0000-0000-0000CC220000}"/>
    <cellStyle name="_20061103Holux_WorldBankCMSScope_CMS_Web_Design_Phase_Deliverables_0618a_FP_DW_Impl_ProgramWorkBook_07-Jan-2011 4" xfId="8999" xr:uid="{00000000-0005-0000-0000-0000CD220000}"/>
    <cellStyle name="_20061103Holux_WorldBankCMSScope_CMS_Web_Design_Phase_Deliverables_0618a_FP_DW_Impl_ProgramWorkBook_07-Jan-2011_Steps of Doneness" xfId="9000" xr:uid="{00000000-0005-0000-0000-0000CE220000}"/>
    <cellStyle name="_20061103Holux_WorldBankCMSScope_CMS_Web_Design_Phase_Deliverables_0618a_FP_DW_Impl_ProgramWorkBook_11-Feb-2011" xfId="9001" xr:uid="{00000000-0005-0000-0000-0000CF220000}"/>
    <cellStyle name="_20061103Holux_WorldBankCMSScope_CMS_Web_Design_Phase_Deliverables_0618a_FP_DW_Impl_ProgramWorkBook_11-Feb-2011 2" xfId="9002" xr:uid="{00000000-0005-0000-0000-0000D0220000}"/>
    <cellStyle name="_20061103Holux_WorldBankCMSScope_CMS_Web_Design_Phase_Deliverables_0618a_FP_DW_Impl_ProgramWorkBook_11-Feb-2011 2_Steps of Doneness" xfId="9003" xr:uid="{00000000-0005-0000-0000-0000D1220000}"/>
    <cellStyle name="_20061103Holux_WorldBankCMSScope_CMS_Web_Design_Phase_Deliverables_0618a_FP_DW_Impl_ProgramWorkBook_11-Feb-2011 3" xfId="9004" xr:uid="{00000000-0005-0000-0000-0000D2220000}"/>
    <cellStyle name="_20061103Holux_WorldBankCMSScope_CMS_Web_Design_Phase_Deliverables_0618a_FP_DW_Impl_ProgramWorkBook_11-Feb-2011_Steps of Doneness" xfId="9005" xr:uid="{00000000-0005-0000-0000-0000D3220000}"/>
    <cellStyle name="_20061103Holux_WorldBankCMSScope_CMS_Web_Design_Phase_Deliverables_0618a_FP_DW_Impl_ProgramWorkBook_18-Feb-2011 - Working" xfId="9006" xr:uid="{00000000-0005-0000-0000-0000D4220000}"/>
    <cellStyle name="_20061103Holux_WorldBankCMSScope_CMS_Web_Design_Phase_Deliverables_0618a_FP_DW_Impl_ProgramWorkBook_18-Feb-2011 - Working 2" xfId="9007" xr:uid="{00000000-0005-0000-0000-0000D5220000}"/>
    <cellStyle name="_20061103Holux_WorldBankCMSScope_CMS_Web_Design_Phase_Deliverables_0618a_FP_DW_Impl_ProgramWorkBook_18-Feb-2011 - Working 2_Steps of Doneness" xfId="9008" xr:uid="{00000000-0005-0000-0000-0000D6220000}"/>
    <cellStyle name="_20061103Holux_WorldBankCMSScope_CMS_Web_Design_Phase_Deliverables_0618a_FP_DW_Impl_ProgramWorkBook_18-Feb-2011 - Working 3" xfId="9009" xr:uid="{00000000-0005-0000-0000-0000D7220000}"/>
    <cellStyle name="_20061103Holux_WorldBankCMSScope_CMS_Web_Design_Phase_Deliverables_0618a_FP_DW_Impl_ProgramWorkBook_18-Feb-2011 - Working_Steps of Doneness" xfId="9010" xr:uid="{00000000-0005-0000-0000-0000D8220000}"/>
    <cellStyle name="_20061103Holux_WorldBankCMSScope_CMS_Web_Design_Phase_Deliverables_0618a_FP_EnterprisePortal_ProgramWorkbook" xfId="9011" xr:uid="{00000000-0005-0000-0000-0000D9220000}"/>
    <cellStyle name="_20061103Holux_WorldBankCMSScope_CMS_Web_Design_Phase_Deliverables_0618a_FP_EnterprisePortal_ProgramWorkbook 2" xfId="9012" xr:uid="{00000000-0005-0000-0000-0000DA220000}"/>
    <cellStyle name="_20061103Holux_WorldBankCMSScope_CMS_Web_Design_Phase_Deliverables_0618a_FP_EnterprisePortal_ProgramWorkbook 2_Steps of Doneness" xfId="9013" xr:uid="{00000000-0005-0000-0000-0000DB220000}"/>
    <cellStyle name="_20061103Holux_WorldBankCMSScope_CMS_Web_Design_Phase_Deliverables_0618a_FP_EnterprisePortal_ProgramWorkbook 3" xfId="9014" xr:uid="{00000000-0005-0000-0000-0000DC220000}"/>
    <cellStyle name="_20061103Holux_WorldBankCMSScope_CMS_Web_Design_Phase_Deliverables_0618a_FP_EnterprisePortal_ProgramWorkbook_Steps of Doneness" xfId="9015" xr:uid="{00000000-0005-0000-0000-0000DD220000}"/>
    <cellStyle name="_20061103Holux_WorldBankCMSScope_CMS_Web_Design_Phase_Deliverables_0618a_FP_SAP_MLP v2" xfId="9016" xr:uid="{00000000-0005-0000-0000-0000DE220000}"/>
    <cellStyle name="_20061103Holux_WorldBankCMSScope_CMS_Web_Design_Phase_Deliverables_0618a_FP_SAP_MLP v2 2" xfId="9017" xr:uid="{00000000-0005-0000-0000-0000DF220000}"/>
    <cellStyle name="_20061103Holux_WorldBankCMSScope_CMS_Web_Design_Phase_Deliverables_0618a_FP_SAP_MLP v2 2_Steps of Doneness" xfId="9018" xr:uid="{00000000-0005-0000-0000-0000E0220000}"/>
    <cellStyle name="_20061103Holux_WorldBankCMSScope_CMS_Web_Design_Phase_Deliverables_0618a_FP_SAP_MLP v2 3" xfId="9019" xr:uid="{00000000-0005-0000-0000-0000E1220000}"/>
    <cellStyle name="_20061103Holux_WorldBankCMSScope_CMS_Web_Design_Phase_Deliverables_0618a_FP_SAP_MLP v2_Steps of Doneness" xfId="9020" xr:uid="{00000000-0005-0000-0000-0000E2220000}"/>
    <cellStyle name="_20061103Holux_WorldBankCMSScope_CMS_Web_Design_Phase_Deliverables_0618a_KeyDecisions" xfId="9021" xr:uid="{00000000-0005-0000-0000-0000E3220000}"/>
    <cellStyle name="_20061103Holux_WorldBankCMSScope_CMS_Web_Design_Phase_Deliverables_0618a_KeyDecisions 2" xfId="9022" xr:uid="{00000000-0005-0000-0000-0000E4220000}"/>
    <cellStyle name="_20061103Holux_WorldBankCMSScope_CMS_Web_Design_Phase_Deliverables_0618a_KeyDecisions 2_Steps of Doneness" xfId="9023" xr:uid="{00000000-0005-0000-0000-0000E5220000}"/>
    <cellStyle name="_20061103Holux_WorldBankCMSScope_CMS_Web_Design_Phase_Deliverables_0618a_KeyDecisions 3" xfId="9024" xr:uid="{00000000-0005-0000-0000-0000E6220000}"/>
    <cellStyle name="_20061103Holux_WorldBankCMSScope_CMS_Web_Design_Phase_Deliverables_0618a_KeyDecisions_Steps of Doneness" xfId="9025" xr:uid="{00000000-0005-0000-0000-0000E7220000}"/>
    <cellStyle name="_20061103Holux_WorldBankCMSScope_CMS_Web_Design_Phase_Deliverables_0618a_Sophia_Imp_ProjectWorkBook_02_18_2011" xfId="9026" xr:uid="{00000000-0005-0000-0000-0000E8220000}"/>
    <cellStyle name="_20061103Holux_WorldBankCMSScope_CMS_Web_Design_Phase_Deliverables_0618a_Sophia_Imp_ProjectWorkBook_02_18_2011 2" xfId="9027" xr:uid="{00000000-0005-0000-0000-0000E9220000}"/>
    <cellStyle name="_20061103Holux_WorldBankCMSScope_CMS_Web_Design_Phase_Deliverables_0618a_Sophia_Imp_ProjectWorkBook_02_18_2011 2_Steps of Doneness" xfId="9028" xr:uid="{00000000-0005-0000-0000-0000EA220000}"/>
    <cellStyle name="_20061103Holux_WorldBankCMSScope_CMS_Web_Design_Phase_Deliverables_0618a_Sophia_Imp_ProjectWorkBook_02_18_2011 3" xfId="9029" xr:uid="{00000000-0005-0000-0000-0000EB220000}"/>
    <cellStyle name="_20061103Holux_WorldBankCMSScope_CMS_Web_Design_Phase_Deliverables_0618a_Sophia_Imp_ProjectWorkBook_02_18_2011_Steps of Doneness" xfId="9030" xr:uid="{00000000-0005-0000-0000-0000EC220000}"/>
    <cellStyle name="_20061103Holux_WorldBankCMSScope_CMS_Web_Design_Phase_Deliverables_0618a_Steps of Doneness" xfId="9031" xr:uid="{00000000-0005-0000-0000-0000ED220000}"/>
    <cellStyle name="_20061103Holux_WorldBankCMSScope_CMS_Web_Design_Phase_Deliverables_0618a_t" xfId="9032" xr:uid="{00000000-0005-0000-0000-0000EE220000}"/>
    <cellStyle name="_20061103Holux_WorldBankCMSScope_CMS_Web_Design_Phase_Deliverables_0618a_t 2" xfId="9033" xr:uid="{00000000-0005-0000-0000-0000EF220000}"/>
    <cellStyle name="_20061103Holux_WorldBankCMSScope_CMS_Web_Design_Phase_Deliverables_0618a_t 2_Steps of Doneness" xfId="9034" xr:uid="{00000000-0005-0000-0000-0000F0220000}"/>
    <cellStyle name="_20061103Holux_WorldBankCMSScope_CMS_Web_Design_Phase_Deliverables_0618a_t 3" xfId="9035" xr:uid="{00000000-0005-0000-0000-0000F1220000}"/>
    <cellStyle name="_20061103Holux_WorldBankCMSScope_CMS_Web_Design_Phase_Deliverables_0618a_t_Steps of Doneness" xfId="9036" xr:uid="{00000000-0005-0000-0000-0000F2220000}"/>
    <cellStyle name="_20061103Holux_WorldBankCMSScope_CMS_Web_Design_Phase_Deliverables_0621" xfId="9037" xr:uid="{00000000-0005-0000-0000-0000F3220000}"/>
    <cellStyle name="_20061103Holux_WorldBankCMSScope_CMS_Web_Design_Phase_Deliverables_0621 2" xfId="9038" xr:uid="{00000000-0005-0000-0000-0000F4220000}"/>
    <cellStyle name="_20061103Holux_WorldBankCMSScope_CMS_Web_Design_Phase_Deliverables_0621 2 2" xfId="9039" xr:uid="{00000000-0005-0000-0000-0000F5220000}"/>
    <cellStyle name="_20061103Holux_WorldBankCMSScope_CMS_Web_Design_Phase_Deliverables_0621 2 2_Steps of Doneness" xfId="9040" xr:uid="{00000000-0005-0000-0000-0000F6220000}"/>
    <cellStyle name="_20061103Holux_WorldBankCMSScope_CMS_Web_Design_Phase_Deliverables_0621 2 3" xfId="9041" xr:uid="{00000000-0005-0000-0000-0000F7220000}"/>
    <cellStyle name="_20061103Holux_WorldBankCMSScope_CMS_Web_Design_Phase_Deliverables_0621 2_Steps of Doneness" xfId="9042" xr:uid="{00000000-0005-0000-0000-0000F8220000}"/>
    <cellStyle name="_20061103Holux_WorldBankCMSScope_CMS_Web_Design_Phase_Deliverables_0621 3" xfId="9043" xr:uid="{00000000-0005-0000-0000-0000F9220000}"/>
    <cellStyle name="_20061103Holux_WorldBankCMSScope_CMS_Web_Design_Phase_Deliverables_0621 3_Steps of Doneness" xfId="9044" xr:uid="{00000000-0005-0000-0000-0000FA220000}"/>
    <cellStyle name="_20061103Holux_WorldBankCMSScope_CMS_Web_Design_Phase_Deliverables_0621 4" xfId="9045" xr:uid="{00000000-0005-0000-0000-0000FB220000}"/>
    <cellStyle name="_20061103Holux_WorldBankCMSScope_CMS_Web_Design_Phase_Deliverables_0621_Commissioning System Implementation_Project Workbook_06_10_2011" xfId="9046" xr:uid="{00000000-0005-0000-0000-0000FC220000}"/>
    <cellStyle name="_20061103Holux_WorldBankCMSScope_CMS_Web_Design_Phase_Deliverables_0621_Commissioning System Implementation_Project Workbook_06_10_2011 2" xfId="9047" xr:uid="{00000000-0005-0000-0000-0000FD220000}"/>
    <cellStyle name="_20061103Holux_WorldBankCMSScope_CMS_Web_Design_Phase_Deliverables_0621_Commissioning System Implementation_Project Workbook_06_10_2011 2_Steps of Doneness" xfId="9048" xr:uid="{00000000-0005-0000-0000-0000FE220000}"/>
    <cellStyle name="_20061103Holux_WorldBankCMSScope_CMS_Web_Design_Phase_Deliverables_0621_Commissioning System Implementation_Project Workbook_06_10_2011 3" xfId="9049" xr:uid="{00000000-0005-0000-0000-0000FF220000}"/>
    <cellStyle name="_20061103Holux_WorldBankCMSScope_CMS_Web_Design_Phase_Deliverables_0621_Commissioning System Implementation_Project Workbook_06_10_2011_Steps of Doneness" xfId="9050" xr:uid="{00000000-0005-0000-0000-000000230000}"/>
    <cellStyle name="_20061103Holux_WorldBankCMSScope_CMS_Web_Design_Phase_Deliverables_0621_FairPoint_CampReport" xfId="9051" xr:uid="{00000000-0005-0000-0000-000001230000}"/>
    <cellStyle name="_20061103Holux_WorldBankCMSScope_CMS_Web_Design_Phase_Deliverables_0621_FairPoint_CampReport 2" xfId="9052" xr:uid="{00000000-0005-0000-0000-000002230000}"/>
    <cellStyle name="_20061103Holux_WorldBankCMSScope_CMS_Web_Design_Phase_Deliverables_0621_FairPoint_CampReport 2_Steps of Doneness" xfId="9053" xr:uid="{00000000-0005-0000-0000-000003230000}"/>
    <cellStyle name="_20061103Holux_WorldBankCMSScope_CMS_Web_Design_Phase_Deliverables_0621_FairPoint_CampReport 3" xfId="9054" xr:uid="{00000000-0005-0000-0000-000004230000}"/>
    <cellStyle name="_20061103Holux_WorldBankCMSScope_CMS_Web_Design_Phase_Deliverables_0621_FairPoint_CampReport_Steps of Doneness" xfId="9055" xr:uid="{00000000-0005-0000-0000-000005230000}"/>
    <cellStyle name="_20061103Holux_WorldBankCMSScope_CMS_Web_Design_Phase_Deliverables_0621_FairPoint_FP comTechOps_ProgramWorkbook" xfId="9056" xr:uid="{00000000-0005-0000-0000-000006230000}"/>
    <cellStyle name="_20061103Holux_WorldBankCMSScope_CMS_Web_Design_Phase_Deliverables_0621_FairPoint_FP comTechOps_ProgramWorkbook 2" xfId="9057" xr:uid="{00000000-0005-0000-0000-000007230000}"/>
    <cellStyle name="_20061103Holux_WorldBankCMSScope_CMS_Web_Design_Phase_Deliverables_0621_FairPoint_FP comTechOps_ProgramWorkbook 2_Steps of Doneness" xfId="9058" xr:uid="{00000000-0005-0000-0000-000008230000}"/>
    <cellStyle name="_20061103Holux_WorldBankCMSScope_CMS_Web_Design_Phase_Deliverables_0621_FairPoint_FP comTechOps_ProgramWorkbook 3" xfId="9059" xr:uid="{00000000-0005-0000-0000-000009230000}"/>
    <cellStyle name="_20061103Holux_WorldBankCMSScope_CMS_Web_Design_Phase_Deliverables_0621_FairPoint_FP comTechOps_ProgramWorkbook_sachin" xfId="9060" xr:uid="{00000000-0005-0000-0000-00000A230000}"/>
    <cellStyle name="_20061103Holux_WorldBankCMSScope_CMS_Web_Design_Phase_Deliverables_0621_FairPoint_FP comTechOps_ProgramWorkbook_sachin 2" xfId="9061" xr:uid="{00000000-0005-0000-0000-00000B230000}"/>
    <cellStyle name="_20061103Holux_WorldBankCMSScope_CMS_Web_Design_Phase_Deliverables_0621_FairPoint_FP comTechOps_ProgramWorkbook_sachin 2_Steps of Doneness" xfId="9062" xr:uid="{00000000-0005-0000-0000-00000C230000}"/>
    <cellStyle name="_20061103Holux_WorldBankCMSScope_CMS_Web_Design_Phase_Deliverables_0621_FairPoint_FP comTechOps_ProgramWorkbook_sachin 3" xfId="9063" xr:uid="{00000000-0005-0000-0000-00000D230000}"/>
    <cellStyle name="_20061103Holux_WorldBankCMSScope_CMS_Web_Design_Phase_Deliverables_0621_FairPoint_FP comTechOps_ProgramWorkbook_sachin_Steps of Doneness" xfId="9064" xr:uid="{00000000-0005-0000-0000-00000E230000}"/>
    <cellStyle name="_20061103Holux_WorldBankCMSScope_CMS_Web_Design_Phase_Deliverables_0621_FairPoint_FP comTechOps_ProgramWorkbook_sachin_v1" xfId="9065" xr:uid="{00000000-0005-0000-0000-00000F230000}"/>
    <cellStyle name="_20061103Holux_WorldBankCMSScope_CMS_Web_Design_Phase_Deliverables_0621_FairPoint_FP comTechOps_ProgramWorkbook_sachin_v1 2" xfId="9066" xr:uid="{00000000-0005-0000-0000-000010230000}"/>
    <cellStyle name="_20061103Holux_WorldBankCMSScope_CMS_Web_Design_Phase_Deliverables_0621_FairPoint_FP comTechOps_ProgramWorkbook_sachin_v1 2_Steps of Doneness" xfId="9067" xr:uid="{00000000-0005-0000-0000-000011230000}"/>
    <cellStyle name="_20061103Holux_WorldBankCMSScope_CMS_Web_Design_Phase_Deliverables_0621_FairPoint_FP comTechOps_ProgramWorkbook_sachin_v1 3" xfId="9068" xr:uid="{00000000-0005-0000-0000-000012230000}"/>
    <cellStyle name="_20061103Holux_WorldBankCMSScope_CMS_Web_Design_Phase_Deliverables_0621_FairPoint_FP comTechOps_ProgramWorkbook_sachin_v1_Steps of Doneness" xfId="9069" xr:uid="{00000000-0005-0000-0000-000013230000}"/>
    <cellStyle name="_20061103Holux_WorldBankCMSScope_CMS_Web_Design_Phase_Deliverables_0621_FairPoint_FP comTechOps_ProgramWorkbook_Steps of Doneness" xfId="9070" xr:uid="{00000000-0005-0000-0000-000014230000}"/>
    <cellStyle name="_20061103Holux_WorldBankCMSScope_CMS_Web_Design_Phase_Deliverables_0621_FP_CAMP&amp;ITReporting_Maintenance_Dashboard" xfId="9071" xr:uid="{00000000-0005-0000-0000-000015230000}"/>
    <cellStyle name="_20061103Holux_WorldBankCMSScope_CMS_Web_Design_Phase_Deliverables_0621_FP_CAMP&amp;ITReporting_Maintenance_Dashboard 2" xfId="9072" xr:uid="{00000000-0005-0000-0000-000016230000}"/>
    <cellStyle name="_20061103Holux_WorldBankCMSScope_CMS_Web_Design_Phase_Deliverables_0621_FP_CAMP&amp;ITReporting_Maintenance_Dashboard 2_Steps of Doneness" xfId="9073" xr:uid="{00000000-0005-0000-0000-000017230000}"/>
    <cellStyle name="_20061103Holux_WorldBankCMSScope_CMS_Web_Design_Phase_Deliverables_0621_FP_CAMP&amp;ITReporting_Maintenance_Dashboard 3" xfId="9074" xr:uid="{00000000-0005-0000-0000-000018230000}"/>
    <cellStyle name="_20061103Holux_WorldBankCMSScope_CMS_Web_Design_Phase_Deliverables_0621_FP_CAMP&amp;ITReporting_Maintenance_Dashboard_Steps of Doneness" xfId="9075" xr:uid="{00000000-0005-0000-0000-000019230000}"/>
    <cellStyle name="_20061103Holux_WorldBankCMSScope_CMS_Web_Design_Phase_Deliverables_0621_FP_CAMPITReporting_Maintenance_Dashboard" xfId="9076" xr:uid="{00000000-0005-0000-0000-00001A230000}"/>
    <cellStyle name="_20061103Holux_WorldBankCMSScope_CMS_Web_Design_Phase_Deliverables_0621_FP_CAMPITReporting_Maintenance_Dashboard 2" xfId="9077" xr:uid="{00000000-0005-0000-0000-00001B230000}"/>
    <cellStyle name="_20061103Holux_WorldBankCMSScope_CMS_Web_Design_Phase_Deliverables_0621_FP_CAMPITReporting_Maintenance_Dashboard 2_Steps of Doneness" xfId="9078" xr:uid="{00000000-0005-0000-0000-00001C230000}"/>
    <cellStyle name="_20061103Holux_WorldBankCMSScope_CMS_Web_Design_Phase_Deliverables_0621_FP_CAMPITReporting_Maintenance_Dashboard 3" xfId="9079" xr:uid="{00000000-0005-0000-0000-00001D230000}"/>
    <cellStyle name="_20061103Holux_WorldBankCMSScope_CMS_Web_Design_Phase_Deliverables_0621_FP_CAMPITReporting_Maintenance_Dashboard_Steps of Doneness" xfId="9080" xr:uid="{00000000-0005-0000-0000-00001E230000}"/>
    <cellStyle name="_20061103Holux_WorldBankCMSScope_CMS_Web_Design_Phase_Deliverables_0621_FP_Commissions_Req_Dn_ProgramWorkBook_10-Dec-2010" xfId="9081" xr:uid="{00000000-0005-0000-0000-00001F230000}"/>
    <cellStyle name="_20061103Holux_WorldBankCMSScope_CMS_Web_Design_Phase_Deliverables_0621_FP_Commissions_Req_Dn_ProgramWorkBook_10-Dec-2010 2" xfId="9082" xr:uid="{00000000-0005-0000-0000-000020230000}"/>
    <cellStyle name="_20061103Holux_WorldBankCMSScope_CMS_Web_Design_Phase_Deliverables_0621_FP_Commissions_Req_Dn_ProgramWorkBook_10-Dec-2010 2_Steps of Doneness" xfId="9083" xr:uid="{00000000-0005-0000-0000-000021230000}"/>
    <cellStyle name="_20061103Holux_WorldBankCMSScope_CMS_Web_Design_Phase_Deliverables_0621_FP_Commissions_Req_Dn_ProgramWorkBook_10-Dec-2010 3" xfId="9084" xr:uid="{00000000-0005-0000-0000-000022230000}"/>
    <cellStyle name="_20061103Holux_WorldBankCMSScope_CMS_Web_Design_Phase_Deliverables_0621_FP_Commissions_Req_Dn_ProgramWorkBook_10-Dec-2010_Steps of Doneness" xfId="9085" xr:uid="{00000000-0005-0000-0000-000023230000}"/>
    <cellStyle name="_20061103Holux_WorldBankCMSScope_CMS_Web_Design_Phase_Deliverables_0621_FP_DW_Impl_ProgramWorkBook_07-Jan-2011" xfId="9086" xr:uid="{00000000-0005-0000-0000-000024230000}"/>
    <cellStyle name="_20061103Holux_WorldBankCMSScope_CMS_Web_Design_Phase_Deliverables_0621_FP_DW_Impl_ProgramWorkBook_07-Jan-2011 2" xfId="9087" xr:uid="{00000000-0005-0000-0000-000025230000}"/>
    <cellStyle name="_20061103Holux_WorldBankCMSScope_CMS_Web_Design_Phase_Deliverables_0621_FP_DW_Impl_ProgramWorkBook_07-Jan-2011 2 2" xfId="9088" xr:uid="{00000000-0005-0000-0000-000026230000}"/>
    <cellStyle name="_20061103Holux_WorldBankCMSScope_CMS_Web_Design_Phase_Deliverables_0621_FP_DW_Impl_ProgramWorkBook_07-Jan-2011 2 2_Steps of Doneness" xfId="9089" xr:uid="{00000000-0005-0000-0000-000027230000}"/>
    <cellStyle name="_20061103Holux_WorldBankCMSScope_CMS_Web_Design_Phase_Deliverables_0621_FP_DW_Impl_ProgramWorkBook_07-Jan-2011 2 3" xfId="9090" xr:uid="{00000000-0005-0000-0000-000028230000}"/>
    <cellStyle name="_20061103Holux_WorldBankCMSScope_CMS_Web_Design_Phase_Deliverables_0621_FP_DW_Impl_ProgramWorkBook_07-Jan-2011 2_Steps of Doneness" xfId="9091" xr:uid="{00000000-0005-0000-0000-000029230000}"/>
    <cellStyle name="_20061103Holux_WorldBankCMSScope_CMS_Web_Design_Phase_Deliverables_0621_FP_DW_Impl_ProgramWorkBook_07-Jan-2011 3" xfId="9092" xr:uid="{00000000-0005-0000-0000-00002A230000}"/>
    <cellStyle name="_20061103Holux_WorldBankCMSScope_CMS_Web_Design_Phase_Deliverables_0621_FP_DW_Impl_ProgramWorkBook_07-Jan-2011 3_Steps of Doneness" xfId="9093" xr:uid="{00000000-0005-0000-0000-00002B230000}"/>
    <cellStyle name="_20061103Holux_WorldBankCMSScope_CMS_Web_Design_Phase_Deliverables_0621_FP_DW_Impl_ProgramWorkBook_07-Jan-2011 4" xfId="9094" xr:uid="{00000000-0005-0000-0000-00002C230000}"/>
    <cellStyle name="_20061103Holux_WorldBankCMSScope_CMS_Web_Design_Phase_Deliverables_0621_FP_DW_Impl_ProgramWorkBook_07-Jan-2011_Steps of Doneness" xfId="9095" xr:uid="{00000000-0005-0000-0000-00002D230000}"/>
    <cellStyle name="_20061103Holux_WorldBankCMSScope_CMS_Web_Design_Phase_Deliverables_0621_FP_DW_Impl_ProgramWorkBook_11-Feb-2011" xfId="9096" xr:uid="{00000000-0005-0000-0000-00002E230000}"/>
    <cellStyle name="_20061103Holux_WorldBankCMSScope_CMS_Web_Design_Phase_Deliverables_0621_FP_DW_Impl_ProgramWorkBook_11-Feb-2011 2" xfId="9097" xr:uid="{00000000-0005-0000-0000-00002F230000}"/>
    <cellStyle name="_20061103Holux_WorldBankCMSScope_CMS_Web_Design_Phase_Deliverables_0621_FP_DW_Impl_ProgramWorkBook_11-Feb-2011 2_Steps of Doneness" xfId="9098" xr:uid="{00000000-0005-0000-0000-000030230000}"/>
    <cellStyle name="_20061103Holux_WorldBankCMSScope_CMS_Web_Design_Phase_Deliverables_0621_FP_DW_Impl_ProgramWorkBook_11-Feb-2011 3" xfId="9099" xr:uid="{00000000-0005-0000-0000-000031230000}"/>
    <cellStyle name="_20061103Holux_WorldBankCMSScope_CMS_Web_Design_Phase_Deliverables_0621_FP_DW_Impl_ProgramWorkBook_11-Feb-2011_Steps of Doneness" xfId="9100" xr:uid="{00000000-0005-0000-0000-000032230000}"/>
    <cellStyle name="_20061103Holux_WorldBankCMSScope_CMS_Web_Design_Phase_Deliverables_0621_FP_DW_Impl_ProgramWorkBook_18-Feb-2011 - Working" xfId="9101" xr:uid="{00000000-0005-0000-0000-000033230000}"/>
    <cellStyle name="_20061103Holux_WorldBankCMSScope_CMS_Web_Design_Phase_Deliverables_0621_FP_DW_Impl_ProgramWorkBook_18-Feb-2011 - Working 2" xfId="9102" xr:uid="{00000000-0005-0000-0000-000034230000}"/>
    <cellStyle name="_20061103Holux_WorldBankCMSScope_CMS_Web_Design_Phase_Deliverables_0621_FP_DW_Impl_ProgramWorkBook_18-Feb-2011 - Working 2_Steps of Doneness" xfId="9103" xr:uid="{00000000-0005-0000-0000-000035230000}"/>
    <cellStyle name="_20061103Holux_WorldBankCMSScope_CMS_Web_Design_Phase_Deliverables_0621_FP_DW_Impl_ProgramWorkBook_18-Feb-2011 - Working 3" xfId="9104" xr:uid="{00000000-0005-0000-0000-000036230000}"/>
    <cellStyle name="_20061103Holux_WorldBankCMSScope_CMS_Web_Design_Phase_Deliverables_0621_FP_DW_Impl_ProgramWorkBook_18-Feb-2011 - Working_Steps of Doneness" xfId="9105" xr:uid="{00000000-0005-0000-0000-000037230000}"/>
    <cellStyle name="_20061103Holux_WorldBankCMSScope_CMS_Web_Design_Phase_Deliverables_0621_FP_EnterprisePortal_ProgramWorkbook" xfId="9106" xr:uid="{00000000-0005-0000-0000-000038230000}"/>
    <cellStyle name="_20061103Holux_WorldBankCMSScope_CMS_Web_Design_Phase_Deliverables_0621_FP_EnterprisePortal_ProgramWorkbook 2" xfId="9107" xr:uid="{00000000-0005-0000-0000-000039230000}"/>
    <cellStyle name="_20061103Holux_WorldBankCMSScope_CMS_Web_Design_Phase_Deliverables_0621_FP_EnterprisePortal_ProgramWorkbook 2_Steps of Doneness" xfId="9108" xr:uid="{00000000-0005-0000-0000-00003A230000}"/>
    <cellStyle name="_20061103Holux_WorldBankCMSScope_CMS_Web_Design_Phase_Deliverables_0621_FP_EnterprisePortal_ProgramWorkbook 3" xfId="9109" xr:uid="{00000000-0005-0000-0000-00003B230000}"/>
    <cellStyle name="_20061103Holux_WorldBankCMSScope_CMS_Web_Design_Phase_Deliverables_0621_FP_EnterprisePortal_ProgramWorkbook_Steps of Doneness" xfId="9110" xr:uid="{00000000-0005-0000-0000-00003C230000}"/>
    <cellStyle name="_20061103Holux_WorldBankCMSScope_CMS_Web_Design_Phase_Deliverables_0621_FP_SAP_MLP v2" xfId="9111" xr:uid="{00000000-0005-0000-0000-00003D230000}"/>
    <cellStyle name="_20061103Holux_WorldBankCMSScope_CMS_Web_Design_Phase_Deliverables_0621_FP_SAP_MLP v2 2" xfId="9112" xr:uid="{00000000-0005-0000-0000-00003E230000}"/>
    <cellStyle name="_20061103Holux_WorldBankCMSScope_CMS_Web_Design_Phase_Deliverables_0621_FP_SAP_MLP v2 2_Steps of Doneness" xfId="9113" xr:uid="{00000000-0005-0000-0000-00003F230000}"/>
    <cellStyle name="_20061103Holux_WorldBankCMSScope_CMS_Web_Design_Phase_Deliverables_0621_FP_SAP_MLP v2 3" xfId="9114" xr:uid="{00000000-0005-0000-0000-000040230000}"/>
    <cellStyle name="_20061103Holux_WorldBankCMSScope_CMS_Web_Design_Phase_Deliverables_0621_FP_SAP_MLP v2_Steps of Doneness" xfId="9115" xr:uid="{00000000-0005-0000-0000-000041230000}"/>
    <cellStyle name="_20061103Holux_WorldBankCMSScope_CMS_Web_Design_Phase_Deliverables_0621_KeyDecisions" xfId="9116" xr:uid="{00000000-0005-0000-0000-000042230000}"/>
    <cellStyle name="_20061103Holux_WorldBankCMSScope_CMS_Web_Design_Phase_Deliverables_0621_KeyDecisions 2" xfId="9117" xr:uid="{00000000-0005-0000-0000-000043230000}"/>
    <cellStyle name="_20061103Holux_WorldBankCMSScope_CMS_Web_Design_Phase_Deliverables_0621_KeyDecisions 2_Steps of Doneness" xfId="9118" xr:uid="{00000000-0005-0000-0000-000044230000}"/>
    <cellStyle name="_20061103Holux_WorldBankCMSScope_CMS_Web_Design_Phase_Deliverables_0621_KeyDecisions 3" xfId="9119" xr:uid="{00000000-0005-0000-0000-000045230000}"/>
    <cellStyle name="_20061103Holux_WorldBankCMSScope_CMS_Web_Design_Phase_Deliverables_0621_KeyDecisions_Steps of Doneness" xfId="9120" xr:uid="{00000000-0005-0000-0000-000046230000}"/>
    <cellStyle name="_20061103Holux_WorldBankCMSScope_CMS_Web_Design_Phase_Deliverables_0621_Sophia_Imp_ProjectWorkBook_02_18_2011" xfId="9121" xr:uid="{00000000-0005-0000-0000-000047230000}"/>
    <cellStyle name="_20061103Holux_WorldBankCMSScope_CMS_Web_Design_Phase_Deliverables_0621_Sophia_Imp_ProjectWorkBook_02_18_2011 2" xfId="9122" xr:uid="{00000000-0005-0000-0000-000048230000}"/>
    <cellStyle name="_20061103Holux_WorldBankCMSScope_CMS_Web_Design_Phase_Deliverables_0621_Sophia_Imp_ProjectWorkBook_02_18_2011 2_Steps of Doneness" xfId="9123" xr:uid="{00000000-0005-0000-0000-000049230000}"/>
    <cellStyle name="_20061103Holux_WorldBankCMSScope_CMS_Web_Design_Phase_Deliverables_0621_Sophia_Imp_ProjectWorkBook_02_18_2011 3" xfId="9124" xr:uid="{00000000-0005-0000-0000-00004A230000}"/>
    <cellStyle name="_20061103Holux_WorldBankCMSScope_CMS_Web_Design_Phase_Deliverables_0621_Sophia_Imp_ProjectWorkBook_02_18_2011_Steps of Doneness" xfId="9125" xr:uid="{00000000-0005-0000-0000-00004B230000}"/>
    <cellStyle name="_20061103Holux_WorldBankCMSScope_CMS_Web_Design_Phase_Deliverables_0621_Steps of Doneness" xfId="9126" xr:uid="{00000000-0005-0000-0000-00004C230000}"/>
    <cellStyle name="_20061103Holux_WorldBankCMSScope_CMS_Web_Design_Phase_Deliverables_0621_t" xfId="9127" xr:uid="{00000000-0005-0000-0000-00004D230000}"/>
    <cellStyle name="_20061103Holux_WorldBankCMSScope_CMS_Web_Design_Phase_Deliverables_0621_t 2" xfId="9128" xr:uid="{00000000-0005-0000-0000-00004E230000}"/>
    <cellStyle name="_20061103Holux_WorldBankCMSScope_CMS_Web_Design_Phase_Deliverables_0621_t 2_Steps of Doneness" xfId="9129" xr:uid="{00000000-0005-0000-0000-00004F230000}"/>
    <cellStyle name="_20061103Holux_WorldBankCMSScope_CMS_Web_Design_Phase_Deliverables_0621_t 3" xfId="9130" xr:uid="{00000000-0005-0000-0000-000050230000}"/>
    <cellStyle name="_20061103Holux_WorldBankCMSScope_CMS_Web_Design_Phase_Deliverables_0621_t_Steps of Doneness" xfId="9131" xr:uid="{00000000-0005-0000-0000-000051230000}"/>
    <cellStyle name="_20061103Holux_WorldBankCMSScope_CMS_Web_Design_Phase_Deliverables_0625" xfId="9132" xr:uid="{00000000-0005-0000-0000-000052230000}"/>
    <cellStyle name="_20061103Holux_WorldBankCMSScope_CMS_Web_Design_Phase_Deliverables_0625 2" xfId="9133" xr:uid="{00000000-0005-0000-0000-000053230000}"/>
    <cellStyle name="_20061103Holux_WorldBankCMSScope_CMS_Web_Design_Phase_Deliverables_0625 2 2" xfId="9134" xr:uid="{00000000-0005-0000-0000-000054230000}"/>
    <cellStyle name="_20061103Holux_WorldBankCMSScope_CMS_Web_Design_Phase_Deliverables_0625 2 2_Steps of Doneness" xfId="9135" xr:uid="{00000000-0005-0000-0000-000055230000}"/>
    <cellStyle name="_20061103Holux_WorldBankCMSScope_CMS_Web_Design_Phase_Deliverables_0625 2 3" xfId="9136" xr:uid="{00000000-0005-0000-0000-000056230000}"/>
    <cellStyle name="_20061103Holux_WorldBankCMSScope_CMS_Web_Design_Phase_Deliverables_0625 2_Steps of Doneness" xfId="9137" xr:uid="{00000000-0005-0000-0000-000057230000}"/>
    <cellStyle name="_20061103Holux_WorldBankCMSScope_CMS_Web_Design_Phase_Deliverables_0625 3" xfId="9138" xr:uid="{00000000-0005-0000-0000-000058230000}"/>
    <cellStyle name="_20061103Holux_WorldBankCMSScope_CMS_Web_Design_Phase_Deliverables_0625 3_Steps of Doneness" xfId="9139" xr:uid="{00000000-0005-0000-0000-000059230000}"/>
    <cellStyle name="_20061103Holux_WorldBankCMSScope_CMS_Web_Design_Phase_Deliverables_0625 4" xfId="9140" xr:uid="{00000000-0005-0000-0000-00005A230000}"/>
    <cellStyle name="_20061103Holux_WorldBankCMSScope_CMS_Web_Design_Phase_Deliverables_0625_Commissioning System Implementation_Project Workbook_06_10_2011" xfId="9141" xr:uid="{00000000-0005-0000-0000-00005B230000}"/>
    <cellStyle name="_20061103Holux_WorldBankCMSScope_CMS_Web_Design_Phase_Deliverables_0625_Commissioning System Implementation_Project Workbook_06_10_2011 2" xfId="9142" xr:uid="{00000000-0005-0000-0000-00005C230000}"/>
    <cellStyle name="_20061103Holux_WorldBankCMSScope_CMS_Web_Design_Phase_Deliverables_0625_Commissioning System Implementation_Project Workbook_06_10_2011 2_Steps of Doneness" xfId="9143" xr:uid="{00000000-0005-0000-0000-00005D230000}"/>
    <cellStyle name="_20061103Holux_WorldBankCMSScope_CMS_Web_Design_Phase_Deliverables_0625_Commissioning System Implementation_Project Workbook_06_10_2011 3" xfId="9144" xr:uid="{00000000-0005-0000-0000-00005E230000}"/>
    <cellStyle name="_20061103Holux_WorldBankCMSScope_CMS_Web_Design_Phase_Deliverables_0625_Commissioning System Implementation_Project Workbook_06_10_2011_Steps of Doneness" xfId="9145" xr:uid="{00000000-0005-0000-0000-00005F230000}"/>
    <cellStyle name="_20061103Holux_WorldBankCMSScope_CMS_Web_Design_Phase_Deliverables_0625_FairPoint_CampReport" xfId="9146" xr:uid="{00000000-0005-0000-0000-000060230000}"/>
    <cellStyle name="_20061103Holux_WorldBankCMSScope_CMS_Web_Design_Phase_Deliverables_0625_FairPoint_CampReport 2" xfId="9147" xr:uid="{00000000-0005-0000-0000-000061230000}"/>
    <cellStyle name="_20061103Holux_WorldBankCMSScope_CMS_Web_Design_Phase_Deliverables_0625_FairPoint_CampReport 2_Steps of Doneness" xfId="9148" xr:uid="{00000000-0005-0000-0000-000062230000}"/>
    <cellStyle name="_20061103Holux_WorldBankCMSScope_CMS_Web_Design_Phase_Deliverables_0625_FairPoint_CampReport 3" xfId="9149" xr:uid="{00000000-0005-0000-0000-000063230000}"/>
    <cellStyle name="_20061103Holux_WorldBankCMSScope_CMS_Web_Design_Phase_Deliverables_0625_FairPoint_CampReport_Steps of Doneness" xfId="9150" xr:uid="{00000000-0005-0000-0000-000064230000}"/>
    <cellStyle name="_20061103Holux_WorldBankCMSScope_CMS_Web_Design_Phase_Deliverables_0625_FairPoint_FP comTechOps_ProgramWorkbook" xfId="9151" xr:uid="{00000000-0005-0000-0000-000065230000}"/>
    <cellStyle name="_20061103Holux_WorldBankCMSScope_CMS_Web_Design_Phase_Deliverables_0625_FairPoint_FP comTechOps_ProgramWorkbook 2" xfId="9152" xr:uid="{00000000-0005-0000-0000-000066230000}"/>
    <cellStyle name="_20061103Holux_WorldBankCMSScope_CMS_Web_Design_Phase_Deliverables_0625_FairPoint_FP comTechOps_ProgramWorkbook 2_Steps of Doneness" xfId="9153" xr:uid="{00000000-0005-0000-0000-000067230000}"/>
    <cellStyle name="_20061103Holux_WorldBankCMSScope_CMS_Web_Design_Phase_Deliverables_0625_FairPoint_FP comTechOps_ProgramWorkbook 3" xfId="9154" xr:uid="{00000000-0005-0000-0000-000068230000}"/>
    <cellStyle name="_20061103Holux_WorldBankCMSScope_CMS_Web_Design_Phase_Deliverables_0625_FairPoint_FP comTechOps_ProgramWorkbook_sachin" xfId="9155" xr:uid="{00000000-0005-0000-0000-000069230000}"/>
    <cellStyle name="_20061103Holux_WorldBankCMSScope_CMS_Web_Design_Phase_Deliverables_0625_FairPoint_FP comTechOps_ProgramWorkbook_sachin 2" xfId="9156" xr:uid="{00000000-0005-0000-0000-00006A230000}"/>
    <cellStyle name="_20061103Holux_WorldBankCMSScope_CMS_Web_Design_Phase_Deliverables_0625_FairPoint_FP comTechOps_ProgramWorkbook_sachin 2_Steps of Doneness" xfId="9157" xr:uid="{00000000-0005-0000-0000-00006B230000}"/>
    <cellStyle name="_20061103Holux_WorldBankCMSScope_CMS_Web_Design_Phase_Deliverables_0625_FairPoint_FP comTechOps_ProgramWorkbook_sachin 3" xfId="9158" xr:uid="{00000000-0005-0000-0000-00006C230000}"/>
    <cellStyle name="_20061103Holux_WorldBankCMSScope_CMS_Web_Design_Phase_Deliverables_0625_FairPoint_FP comTechOps_ProgramWorkbook_sachin_Steps of Doneness" xfId="9159" xr:uid="{00000000-0005-0000-0000-00006D230000}"/>
    <cellStyle name="_20061103Holux_WorldBankCMSScope_CMS_Web_Design_Phase_Deliverables_0625_FairPoint_FP comTechOps_ProgramWorkbook_sachin_v1" xfId="9160" xr:uid="{00000000-0005-0000-0000-00006E230000}"/>
    <cellStyle name="_20061103Holux_WorldBankCMSScope_CMS_Web_Design_Phase_Deliverables_0625_FairPoint_FP comTechOps_ProgramWorkbook_sachin_v1 2" xfId="9161" xr:uid="{00000000-0005-0000-0000-00006F230000}"/>
    <cellStyle name="_20061103Holux_WorldBankCMSScope_CMS_Web_Design_Phase_Deliverables_0625_FairPoint_FP comTechOps_ProgramWorkbook_sachin_v1 2_Steps of Doneness" xfId="9162" xr:uid="{00000000-0005-0000-0000-000070230000}"/>
    <cellStyle name="_20061103Holux_WorldBankCMSScope_CMS_Web_Design_Phase_Deliverables_0625_FairPoint_FP comTechOps_ProgramWorkbook_sachin_v1 3" xfId="9163" xr:uid="{00000000-0005-0000-0000-000071230000}"/>
    <cellStyle name="_20061103Holux_WorldBankCMSScope_CMS_Web_Design_Phase_Deliverables_0625_FairPoint_FP comTechOps_ProgramWorkbook_sachin_v1_Steps of Doneness" xfId="9164" xr:uid="{00000000-0005-0000-0000-000072230000}"/>
    <cellStyle name="_20061103Holux_WorldBankCMSScope_CMS_Web_Design_Phase_Deliverables_0625_FairPoint_FP comTechOps_ProgramWorkbook_Steps of Doneness" xfId="9165" xr:uid="{00000000-0005-0000-0000-000073230000}"/>
    <cellStyle name="_20061103Holux_WorldBankCMSScope_CMS_Web_Design_Phase_Deliverables_0625_FP_CAMP&amp;ITReporting_Maintenance_Dashboard" xfId="9166" xr:uid="{00000000-0005-0000-0000-000074230000}"/>
    <cellStyle name="_20061103Holux_WorldBankCMSScope_CMS_Web_Design_Phase_Deliverables_0625_FP_CAMP&amp;ITReporting_Maintenance_Dashboard 2" xfId="9167" xr:uid="{00000000-0005-0000-0000-000075230000}"/>
    <cellStyle name="_20061103Holux_WorldBankCMSScope_CMS_Web_Design_Phase_Deliverables_0625_FP_CAMP&amp;ITReporting_Maintenance_Dashboard 2_Steps of Doneness" xfId="9168" xr:uid="{00000000-0005-0000-0000-000076230000}"/>
    <cellStyle name="_20061103Holux_WorldBankCMSScope_CMS_Web_Design_Phase_Deliverables_0625_FP_CAMP&amp;ITReporting_Maintenance_Dashboard 3" xfId="9169" xr:uid="{00000000-0005-0000-0000-000077230000}"/>
    <cellStyle name="_20061103Holux_WorldBankCMSScope_CMS_Web_Design_Phase_Deliverables_0625_FP_CAMP&amp;ITReporting_Maintenance_Dashboard_Steps of Doneness" xfId="9170" xr:uid="{00000000-0005-0000-0000-000078230000}"/>
    <cellStyle name="_20061103Holux_WorldBankCMSScope_CMS_Web_Design_Phase_Deliverables_0625_FP_CAMPITReporting_Maintenance_Dashboard" xfId="9171" xr:uid="{00000000-0005-0000-0000-000079230000}"/>
    <cellStyle name="_20061103Holux_WorldBankCMSScope_CMS_Web_Design_Phase_Deliverables_0625_FP_CAMPITReporting_Maintenance_Dashboard 2" xfId="9172" xr:uid="{00000000-0005-0000-0000-00007A230000}"/>
    <cellStyle name="_20061103Holux_WorldBankCMSScope_CMS_Web_Design_Phase_Deliverables_0625_FP_CAMPITReporting_Maintenance_Dashboard 2_Steps of Doneness" xfId="9173" xr:uid="{00000000-0005-0000-0000-00007B230000}"/>
    <cellStyle name="_20061103Holux_WorldBankCMSScope_CMS_Web_Design_Phase_Deliverables_0625_FP_CAMPITReporting_Maintenance_Dashboard 3" xfId="9174" xr:uid="{00000000-0005-0000-0000-00007C230000}"/>
    <cellStyle name="_20061103Holux_WorldBankCMSScope_CMS_Web_Design_Phase_Deliverables_0625_FP_CAMPITReporting_Maintenance_Dashboard_Steps of Doneness" xfId="9175" xr:uid="{00000000-0005-0000-0000-00007D230000}"/>
    <cellStyle name="_20061103Holux_WorldBankCMSScope_CMS_Web_Design_Phase_Deliverables_0625_FP_Commissions_Req_Dn_ProgramWorkBook_10-Dec-2010" xfId="9176" xr:uid="{00000000-0005-0000-0000-00007E230000}"/>
    <cellStyle name="_20061103Holux_WorldBankCMSScope_CMS_Web_Design_Phase_Deliverables_0625_FP_Commissions_Req_Dn_ProgramWorkBook_10-Dec-2010 2" xfId="9177" xr:uid="{00000000-0005-0000-0000-00007F230000}"/>
    <cellStyle name="_20061103Holux_WorldBankCMSScope_CMS_Web_Design_Phase_Deliverables_0625_FP_Commissions_Req_Dn_ProgramWorkBook_10-Dec-2010 2_Steps of Doneness" xfId="9178" xr:uid="{00000000-0005-0000-0000-000080230000}"/>
    <cellStyle name="_20061103Holux_WorldBankCMSScope_CMS_Web_Design_Phase_Deliverables_0625_FP_Commissions_Req_Dn_ProgramWorkBook_10-Dec-2010 3" xfId="9179" xr:uid="{00000000-0005-0000-0000-000081230000}"/>
    <cellStyle name="_20061103Holux_WorldBankCMSScope_CMS_Web_Design_Phase_Deliverables_0625_FP_Commissions_Req_Dn_ProgramWorkBook_10-Dec-2010_Steps of Doneness" xfId="9180" xr:uid="{00000000-0005-0000-0000-000082230000}"/>
    <cellStyle name="_20061103Holux_WorldBankCMSScope_CMS_Web_Design_Phase_Deliverables_0625_FP_DW_Impl_ProgramWorkBook_07-Jan-2011" xfId="9181" xr:uid="{00000000-0005-0000-0000-000083230000}"/>
    <cellStyle name="_20061103Holux_WorldBankCMSScope_CMS_Web_Design_Phase_Deliverables_0625_FP_DW_Impl_ProgramWorkBook_07-Jan-2011 2" xfId="9182" xr:uid="{00000000-0005-0000-0000-000084230000}"/>
    <cellStyle name="_20061103Holux_WorldBankCMSScope_CMS_Web_Design_Phase_Deliverables_0625_FP_DW_Impl_ProgramWorkBook_07-Jan-2011 2 2" xfId="9183" xr:uid="{00000000-0005-0000-0000-000085230000}"/>
    <cellStyle name="_20061103Holux_WorldBankCMSScope_CMS_Web_Design_Phase_Deliverables_0625_FP_DW_Impl_ProgramWorkBook_07-Jan-2011 2 2_Steps of Doneness" xfId="9184" xr:uid="{00000000-0005-0000-0000-000086230000}"/>
    <cellStyle name="_20061103Holux_WorldBankCMSScope_CMS_Web_Design_Phase_Deliverables_0625_FP_DW_Impl_ProgramWorkBook_07-Jan-2011 2 3" xfId="9185" xr:uid="{00000000-0005-0000-0000-000087230000}"/>
    <cellStyle name="_20061103Holux_WorldBankCMSScope_CMS_Web_Design_Phase_Deliverables_0625_FP_DW_Impl_ProgramWorkBook_07-Jan-2011 2_Steps of Doneness" xfId="9186" xr:uid="{00000000-0005-0000-0000-000088230000}"/>
    <cellStyle name="_20061103Holux_WorldBankCMSScope_CMS_Web_Design_Phase_Deliverables_0625_FP_DW_Impl_ProgramWorkBook_07-Jan-2011 3" xfId="9187" xr:uid="{00000000-0005-0000-0000-000089230000}"/>
    <cellStyle name="_20061103Holux_WorldBankCMSScope_CMS_Web_Design_Phase_Deliverables_0625_FP_DW_Impl_ProgramWorkBook_07-Jan-2011 3_Steps of Doneness" xfId="9188" xr:uid="{00000000-0005-0000-0000-00008A230000}"/>
    <cellStyle name="_20061103Holux_WorldBankCMSScope_CMS_Web_Design_Phase_Deliverables_0625_FP_DW_Impl_ProgramWorkBook_07-Jan-2011 4" xfId="9189" xr:uid="{00000000-0005-0000-0000-00008B230000}"/>
    <cellStyle name="_20061103Holux_WorldBankCMSScope_CMS_Web_Design_Phase_Deliverables_0625_FP_DW_Impl_ProgramWorkBook_07-Jan-2011_Steps of Doneness" xfId="9190" xr:uid="{00000000-0005-0000-0000-00008C230000}"/>
    <cellStyle name="_20061103Holux_WorldBankCMSScope_CMS_Web_Design_Phase_Deliverables_0625_FP_DW_Impl_ProgramWorkBook_11-Feb-2011" xfId="9191" xr:uid="{00000000-0005-0000-0000-00008D230000}"/>
    <cellStyle name="_20061103Holux_WorldBankCMSScope_CMS_Web_Design_Phase_Deliverables_0625_FP_DW_Impl_ProgramWorkBook_11-Feb-2011 2" xfId="9192" xr:uid="{00000000-0005-0000-0000-00008E230000}"/>
    <cellStyle name="_20061103Holux_WorldBankCMSScope_CMS_Web_Design_Phase_Deliverables_0625_FP_DW_Impl_ProgramWorkBook_11-Feb-2011 2_Steps of Doneness" xfId="9193" xr:uid="{00000000-0005-0000-0000-00008F230000}"/>
    <cellStyle name="_20061103Holux_WorldBankCMSScope_CMS_Web_Design_Phase_Deliverables_0625_FP_DW_Impl_ProgramWorkBook_11-Feb-2011 3" xfId="9194" xr:uid="{00000000-0005-0000-0000-000090230000}"/>
    <cellStyle name="_20061103Holux_WorldBankCMSScope_CMS_Web_Design_Phase_Deliverables_0625_FP_DW_Impl_ProgramWorkBook_11-Feb-2011_Steps of Doneness" xfId="9195" xr:uid="{00000000-0005-0000-0000-000091230000}"/>
    <cellStyle name="_20061103Holux_WorldBankCMSScope_CMS_Web_Design_Phase_Deliverables_0625_FP_DW_Impl_ProgramWorkBook_18-Feb-2011 - Working" xfId="9196" xr:uid="{00000000-0005-0000-0000-000092230000}"/>
    <cellStyle name="_20061103Holux_WorldBankCMSScope_CMS_Web_Design_Phase_Deliverables_0625_FP_DW_Impl_ProgramWorkBook_18-Feb-2011 - Working 2" xfId="9197" xr:uid="{00000000-0005-0000-0000-000093230000}"/>
    <cellStyle name="_20061103Holux_WorldBankCMSScope_CMS_Web_Design_Phase_Deliverables_0625_FP_DW_Impl_ProgramWorkBook_18-Feb-2011 - Working 2_Steps of Doneness" xfId="9198" xr:uid="{00000000-0005-0000-0000-000094230000}"/>
    <cellStyle name="_20061103Holux_WorldBankCMSScope_CMS_Web_Design_Phase_Deliverables_0625_FP_DW_Impl_ProgramWorkBook_18-Feb-2011 - Working 3" xfId="9199" xr:uid="{00000000-0005-0000-0000-000095230000}"/>
    <cellStyle name="_20061103Holux_WorldBankCMSScope_CMS_Web_Design_Phase_Deliverables_0625_FP_DW_Impl_ProgramWorkBook_18-Feb-2011 - Working_Steps of Doneness" xfId="9200" xr:uid="{00000000-0005-0000-0000-000096230000}"/>
    <cellStyle name="_20061103Holux_WorldBankCMSScope_CMS_Web_Design_Phase_Deliverables_0625_FP_EnterprisePortal_ProgramWorkbook" xfId="9201" xr:uid="{00000000-0005-0000-0000-000097230000}"/>
    <cellStyle name="_20061103Holux_WorldBankCMSScope_CMS_Web_Design_Phase_Deliverables_0625_FP_EnterprisePortal_ProgramWorkbook 2" xfId="9202" xr:uid="{00000000-0005-0000-0000-000098230000}"/>
    <cellStyle name="_20061103Holux_WorldBankCMSScope_CMS_Web_Design_Phase_Deliverables_0625_FP_EnterprisePortal_ProgramWorkbook 2_Steps of Doneness" xfId="9203" xr:uid="{00000000-0005-0000-0000-000099230000}"/>
    <cellStyle name="_20061103Holux_WorldBankCMSScope_CMS_Web_Design_Phase_Deliverables_0625_FP_EnterprisePortal_ProgramWorkbook 3" xfId="9204" xr:uid="{00000000-0005-0000-0000-00009A230000}"/>
    <cellStyle name="_20061103Holux_WorldBankCMSScope_CMS_Web_Design_Phase_Deliverables_0625_FP_EnterprisePortal_ProgramWorkbook_Steps of Doneness" xfId="9205" xr:uid="{00000000-0005-0000-0000-00009B230000}"/>
    <cellStyle name="_20061103Holux_WorldBankCMSScope_CMS_Web_Design_Phase_Deliverables_0625_FP_SAP_MLP v2" xfId="9206" xr:uid="{00000000-0005-0000-0000-00009C230000}"/>
    <cellStyle name="_20061103Holux_WorldBankCMSScope_CMS_Web_Design_Phase_Deliverables_0625_FP_SAP_MLP v2 2" xfId="9207" xr:uid="{00000000-0005-0000-0000-00009D230000}"/>
    <cellStyle name="_20061103Holux_WorldBankCMSScope_CMS_Web_Design_Phase_Deliverables_0625_FP_SAP_MLP v2 2_Steps of Doneness" xfId="9208" xr:uid="{00000000-0005-0000-0000-00009E230000}"/>
    <cellStyle name="_20061103Holux_WorldBankCMSScope_CMS_Web_Design_Phase_Deliverables_0625_FP_SAP_MLP v2 3" xfId="9209" xr:uid="{00000000-0005-0000-0000-00009F230000}"/>
    <cellStyle name="_20061103Holux_WorldBankCMSScope_CMS_Web_Design_Phase_Deliverables_0625_FP_SAP_MLP v2_Steps of Doneness" xfId="9210" xr:uid="{00000000-0005-0000-0000-0000A0230000}"/>
    <cellStyle name="_20061103Holux_WorldBankCMSScope_CMS_Web_Design_Phase_Deliverables_0625_KeyDecisions" xfId="9211" xr:uid="{00000000-0005-0000-0000-0000A1230000}"/>
    <cellStyle name="_20061103Holux_WorldBankCMSScope_CMS_Web_Design_Phase_Deliverables_0625_KeyDecisions 2" xfId="9212" xr:uid="{00000000-0005-0000-0000-0000A2230000}"/>
    <cellStyle name="_20061103Holux_WorldBankCMSScope_CMS_Web_Design_Phase_Deliverables_0625_KeyDecisions 2_Steps of Doneness" xfId="9213" xr:uid="{00000000-0005-0000-0000-0000A3230000}"/>
    <cellStyle name="_20061103Holux_WorldBankCMSScope_CMS_Web_Design_Phase_Deliverables_0625_KeyDecisions 3" xfId="9214" xr:uid="{00000000-0005-0000-0000-0000A4230000}"/>
    <cellStyle name="_20061103Holux_WorldBankCMSScope_CMS_Web_Design_Phase_Deliverables_0625_KeyDecisions_Steps of Doneness" xfId="9215" xr:uid="{00000000-0005-0000-0000-0000A5230000}"/>
    <cellStyle name="_20061103Holux_WorldBankCMSScope_CMS_Web_Design_Phase_Deliverables_0625_Sophia_Imp_ProjectWorkBook_02_18_2011" xfId="9216" xr:uid="{00000000-0005-0000-0000-0000A6230000}"/>
    <cellStyle name="_20061103Holux_WorldBankCMSScope_CMS_Web_Design_Phase_Deliverables_0625_Sophia_Imp_ProjectWorkBook_02_18_2011 2" xfId="9217" xr:uid="{00000000-0005-0000-0000-0000A7230000}"/>
    <cellStyle name="_20061103Holux_WorldBankCMSScope_CMS_Web_Design_Phase_Deliverables_0625_Sophia_Imp_ProjectWorkBook_02_18_2011 2_Steps of Doneness" xfId="9218" xr:uid="{00000000-0005-0000-0000-0000A8230000}"/>
    <cellStyle name="_20061103Holux_WorldBankCMSScope_CMS_Web_Design_Phase_Deliverables_0625_Sophia_Imp_ProjectWorkBook_02_18_2011 3" xfId="9219" xr:uid="{00000000-0005-0000-0000-0000A9230000}"/>
    <cellStyle name="_20061103Holux_WorldBankCMSScope_CMS_Web_Design_Phase_Deliverables_0625_Sophia_Imp_ProjectWorkBook_02_18_2011_Steps of Doneness" xfId="9220" xr:uid="{00000000-0005-0000-0000-0000AA230000}"/>
    <cellStyle name="_20061103Holux_WorldBankCMSScope_CMS_Web_Design_Phase_Deliverables_0625_Steps of Doneness" xfId="9221" xr:uid="{00000000-0005-0000-0000-0000AB230000}"/>
    <cellStyle name="_20061103Holux_WorldBankCMSScope_CMS_Web_Design_Phase_Deliverables_0625_t" xfId="9222" xr:uid="{00000000-0005-0000-0000-0000AC230000}"/>
    <cellStyle name="_20061103Holux_WorldBankCMSScope_CMS_Web_Design_Phase_Deliverables_0625_t 2" xfId="9223" xr:uid="{00000000-0005-0000-0000-0000AD230000}"/>
    <cellStyle name="_20061103Holux_WorldBankCMSScope_CMS_Web_Design_Phase_Deliverables_0625_t 2_Steps of Doneness" xfId="9224" xr:uid="{00000000-0005-0000-0000-0000AE230000}"/>
    <cellStyle name="_20061103Holux_WorldBankCMSScope_CMS_Web_Design_Phase_Deliverables_0625_t 3" xfId="9225" xr:uid="{00000000-0005-0000-0000-0000AF230000}"/>
    <cellStyle name="_20061103Holux_WorldBankCMSScope_CMS_Web_Design_Phase_Deliverables_0625_t_Steps of Doneness" xfId="9226" xr:uid="{00000000-0005-0000-0000-0000B0230000}"/>
    <cellStyle name="_20061103Holux_WorldBankCMSScope_CMS_Web_Design_Phase_Deliverables_MLP_0627" xfId="9227" xr:uid="{00000000-0005-0000-0000-0000B1230000}"/>
    <cellStyle name="_20061103Holux_WorldBankCMSScope_CMS_Web_Design_Phase_Deliverables_MLP_0627 2" xfId="9228" xr:uid="{00000000-0005-0000-0000-0000B2230000}"/>
    <cellStyle name="_20061103Holux_WorldBankCMSScope_CMS_Web_Design_Phase_Deliverables_MLP_0627 2 2" xfId="9229" xr:uid="{00000000-0005-0000-0000-0000B3230000}"/>
    <cellStyle name="_20061103Holux_WorldBankCMSScope_CMS_Web_Design_Phase_Deliverables_MLP_0627 2 2_Steps of Doneness" xfId="9230" xr:uid="{00000000-0005-0000-0000-0000B4230000}"/>
    <cellStyle name="_20061103Holux_WorldBankCMSScope_CMS_Web_Design_Phase_Deliverables_MLP_0627 2 3" xfId="9231" xr:uid="{00000000-0005-0000-0000-0000B5230000}"/>
    <cellStyle name="_20061103Holux_WorldBankCMSScope_CMS_Web_Design_Phase_Deliverables_MLP_0627 2_Steps of Doneness" xfId="9232" xr:uid="{00000000-0005-0000-0000-0000B6230000}"/>
    <cellStyle name="_20061103Holux_WorldBankCMSScope_CMS_Web_Design_Phase_Deliverables_MLP_0627 3" xfId="9233" xr:uid="{00000000-0005-0000-0000-0000B7230000}"/>
    <cellStyle name="_20061103Holux_WorldBankCMSScope_CMS_Web_Design_Phase_Deliverables_MLP_0627 3_Steps of Doneness" xfId="9234" xr:uid="{00000000-0005-0000-0000-0000B8230000}"/>
    <cellStyle name="_20061103Holux_WorldBankCMSScope_CMS_Web_Design_Phase_Deliverables_MLP_0627 4" xfId="9235" xr:uid="{00000000-0005-0000-0000-0000B9230000}"/>
    <cellStyle name="_20061103Holux_WorldBankCMSScope_CMS_Web_Design_Phase_Deliverables_MLP_0627_Commissioning System Implementation_Project Workbook_06_10_2011" xfId="9236" xr:uid="{00000000-0005-0000-0000-0000BA230000}"/>
    <cellStyle name="_20061103Holux_WorldBankCMSScope_CMS_Web_Design_Phase_Deliverables_MLP_0627_Commissioning System Implementation_Project Workbook_06_10_2011 2" xfId="9237" xr:uid="{00000000-0005-0000-0000-0000BB230000}"/>
    <cellStyle name="_20061103Holux_WorldBankCMSScope_CMS_Web_Design_Phase_Deliverables_MLP_0627_Commissioning System Implementation_Project Workbook_06_10_2011 2_Steps of Doneness" xfId="9238" xr:uid="{00000000-0005-0000-0000-0000BC230000}"/>
    <cellStyle name="_20061103Holux_WorldBankCMSScope_CMS_Web_Design_Phase_Deliverables_MLP_0627_Commissioning System Implementation_Project Workbook_06_10_2011 3" xfId="9239" xr:uid="{00000000-0005-0000-0000-0000BD230000}"/>
    <cellStyle name="_20061103Holux_WorldBankCMSScope_CMS_Web_Design_Phase_Deliverables_MLP_0627_Commissioning System Implementation_Project Workbook_06_10_2011_Steps of Doneness" xfId="9240" xr:uid="{00000000-0005-0000-0000-0000BE230000}"/>
    <cellStyle name="_20061103Holux_WorldBankCMSScope_CMS_Web_Design_Phase_Deliverables_MLP_0627_FairPoint_CampReport" xfId="9241" xr:uid="{00000000-0005-0000-0000-0000BF230000}"/>
    <cellStyle name="_20061103Holux_WorldBankCMSScope_CMS_Web_Design_Phase_Deliverables_MLP_0627_FairPoint_CampReport 2" xfId="9242" xr:uid="{00000000-0005-0000-0000-0000C0230000}"/>
    <cellStyle name="_20061103Holux_WorldBankCMSScope_CMS_Web_Design_Phase_Deliverables_MLP_0627_FairPoint_CampReport 2_Steps of Doneness" xfId="9243" xr:uid="{00000000-0005-0000-0000-0000C1230000}"/>
    <cellStyle name="_20061103Holux_WorldBankCMSScope_CMS_Web_Design_Phase_Deliverables_MLP_0627_FairPoint_CampReport 3" xfId="9244" xr:uid="{00000000-0005-0000-0000-0000C2230000}"/>
    <cellStyle name="_20061103Holux_WorldBankCMSScope_CMS_Web_Design_Phase_Deliverables_MLP_0627_FairPoint_CampReport_Steps of Doneness" xfId="9245" xr:uid="{00000000-0005-0000-0000-0000C3230000}"/>
    <cellStyle name="_20061103Holux_WorldBankCMSScope_CMS_Web_Design_Phase_Deliverables_MLP_0627_FairPoint_FP comTechOps_ProgramWorkbook" xfId="9246" xr:uid="{00000000-0005-0000-0000-0000C4230000}"/>
    <cellStyle name="_20061103Holux_WorldBankCMSScope_CMS_Web_Design_Phase_Deliverables_MLP_0627_FairPoint_FP comTechOps_ProgramWorkbook 2" xfId="9247" xr:uid="{00000000-0005-0000-0000-0000C5230000}"/>
    <cellStyle name="_20061103Holux_WorldBankCMSScope_CMS_Web_Design_Phase_Deliverables_MLP_0627_FairPoint_FP comTechOps_ProgramWorkbook 2_Steps of Doneness" xfId="9248" xr:uid="{00000000-0005-0000-0000-0000C6230000}"/>
    <cellStyle name="_20061103Holux_WorldBankCMSScope_CMS_Web_Design_Phase_Deliverables_MLP_0627_FairPoint_FP comTechOps_ProgramWorkbook 3" xfId="9249" xr:uid="{00000000-0005-0000-0000-0000C7230000}"/>
    <cellStyle name="_20061103Holux_WorldBankCMSScope_CMS_Web_Design_Phase_Deliverables_MLP_0627_FairPoint_FP comTechOps_ProgramWorkbook_sachin" xfId="9250" xr:uid="{00000000-0005-0000-0000-0000C8230000}"/>
    <cellStyle name="_20061103Holux_WorldBankCMSScope_CMS_Web_Design_Phase_Deliverables_MLP_0627_FairPoint_FP comTechOps_ProgramWorkbook_sachin 2" xfId="9251" xr:uid="{00000000-0005-0000-0000-0000C9230000}"/>
    <cellStyle name="_20061103Holux_WorldBankCMSScope_CMS_Web_Design_Phase_Deliverables_MLP_0627_FairPoint_FP comTechOps_ProgramWorkbook_sachin 2_Steps of Doneness" xfId="9252" xr:uid="{00000000-0005-0000-0000-0000CA230000}"/>
    <cellStyle name="_20061103Holux_WorldBankCMSScope_CMS_Web_Design_Phase_Deliverables_MLP_0627_FairPoint_FP comTechOps_ProgramWorkbook_sachin 3" xfId="9253" xr:uid="{00000000-0005-0000-0000-0000CB230000}"/>
    <cellStyle name="_20061103Holux_WorldBankCMSScope_CMS_Web_Design_Phase_Deliverables_MLP_0627_FairPoint_FP comTechOps_ProgramWorkbook_sachin_Steps of Doneness" xfId="9254" xr:uid="{00000000-0005-0000-0000-0000CC230000}"/>
    <cellStyle name="_20061103Holux_WorldBankCMSScope_CMS_Web_Design_Phase_Deliverables_MLP_0627_FairPoint_FP comTechOps_ProgramWorkbook_sachin_v1" xfId="9255" xr:uid="{00000000-0005-0000-0000-0000CD230000}"/>
    <cellStyle name="_20061103Holux_WorldBankCMSScope_CMS_Web_Design_Phase_Deliverables_MLP_0627_FairPoint_FP comTechOps_ProgramWorkbook_sachin_v1 2" xfId="9256" xr:uid="{00000000-0005-0000-0000-0000CE230000}"/>
    <cellStyle name="_20061103Holux_WorldBankCMSScope_CMS_Web_Design_Phase_Deliverables_MLP_0627_FairPoint_FP comTechOps_ProgramWorkbook_sachin_v1 2_Steps of Doneness" xfId="9257" xr:uid="{00000000-0005-0000-0000-0000CF230000}"/>
    <cellStyle name="_20061103Holux_WorldBankCMSScope_CMS_Web_Design_Phase_Deliverables_MLP_0627_FairPoint_FP comTechOps_ProgramWorkbook_sachin_v1 3" xfId="9258" xr:uid="{00000000-0005-0000-0000-0000D0230000}"/>
    <cellStyle name="_20061103Holux_WorldBankCMSScope_CMS_Web_Design_Phase_Deliverables_MLP_0627_FairPoint_FP comTechOps_ProgramWorkbook_sachin_v1_Steps of Doneness" xfId="9259" xr:uid="{00000000-0005-0000-0000-0000D1230000}"/>
    <cellStyle name="_20061103Holux_WorldBankCMSScope_CMS_Web_Design_Phase_Deliverables_MLP_0627_FairPoint_FP comTechOps_ProgramWorkbook_Steps of Doneness" xfId="9260" xr:uid="{00000000-0005-0000-0000-0000D2230000}"/>
    <cellStyle name="_20061103Holux_WorldBankCMSScope_CMS_Web_Design_Phase_Deliverables_MLP_0627_FP_CAMP&amp;ITReporting_Maintenance_Dashboard" xfId="9261" xr:uid="{00000000-0005-0000-0000-0000D3230000}"/>
    <cellStyle name="_20061103Holux_WorldBankCMSScope_CMS_Web_Design_Phase_Deliverables_MLP_0627_FP_CAMP&amp;ITReporting_Maintenance_Dashboard 2" xfId="9262" xr:uid="{00000000-0005-0000-0000-0000D4230000}"/>
    <cellStyle name="_20061103Holux_WorldBankCMSScope_CMS_Web_Design_Phase_Deliverables_MLP_0627_FP_CAMP&amp;ITReporting_Maintenance_Dashboard 2_Steps of Doneness" xfId="9263" xr:uid="{00000000-0005-0000-0000-0000D5230000}"/>
    <cellStyle name="_20061103Holux_WorldBankCMSScope_CMS_Web_Design_Phase_Deliverables_MLP_0627_FP_CAMP&amp;ITReporting_Maintenance_Dashboard 3" xfId="9264" xr:uid="{00000000-0005-0000-0000-0000D6230000}"/>
    <cellStyle name="_20061103Holux_WorldBankCMSScope_CMS_Web_Design_Phase_Deliverables_MLP_0627_FP_CAMP&amp;ITReporting_Maintenance_Dashboard_Steps of Doneness" xfId="9265" xr:uid="{00000000-0005-0000-0000-0000D7230000}"/>
    <cellStyle name="_20061103Holux_WorldBankCMSScope_CMS_Web_Design_Phase_Deliverables_MLP_0627_FP_CAMPITReporting_Maintenance_Dashboard" xfId="9266" xr:uid="{00000000-0005-0000-0000-0000D8230000}"/>
    <cellStyle name="_20061103Holux_WorldBankCMSScope_CMS_Web_Design_Phase_Deliverables_MLP_0627_FP_CAMPITReporting_Maintenance_Dashboard 2" xfId="9267" xr:uid="{00000000-0005-0000-0000-0000D9230000}"/>
    <cellStyle name="_20061103Holux_WorldBankCMSScope_CMS_Web_Design_Phase_Deliverables_MLP_0627_FP_CAMPITReporting_Maintenance_Dashboard 2_Steps of Doneness" xfId="9268" xr:uid="{00000000-0005-0000-0000-0000DA230000}"/>
    <cellStyle name="_20061103Holux_WorldBankCMSScope_CMS_Web_Design_Phase_Deliverables_MLP_0627_FP_CAMPITReporting_Maintenance_Dashboard 3" xfId="9269" xr:uid="{00000000-0005-0000-0000-0000DB230000}"/>
    <cellStyle name="_20061103Holux_WorldBankCMSScope_CMS_Web_Design_Phase_Deliverables_MLP_0627_FP_CAMPITReporting_Maintenance_Dashboard_Steps of Doneness" xfId="9270" xr:uid="{00000000-0005-0000-0000-0000DC230000}"/>
    <cellStyle name="_20061103Holux_WorldBankCMSScope_CMS_Web_Design_Phase_Deliverables_MLP_0627_FP_Commissions_Req_Dn_ProgramWorkBook_10-Dec-2010" xfId="9271" xr:uid="{00000000-0005-0000-0000-0000DD230000}"/>
    <cellStyle name="_20061103Holux_WorldBankCMSScope_CMS_Web_Design_Phase_Deliverables_MLP_0627_FP_Commissions_Req_Dn_ProgramWorkBook_10-Dec-2010 2" xfId="9272" xr:uid="{00000000-0005-0000-0000-0000DE230000}"/>
    <cellStyle name="_20061103Holux_WorldBankCMSScope_CMS_Web_Design_Phase_Deliverables_MLP_0627_FP_Commissions_Req_Dn_ProgramWorkBook_10-Dec-2010 2_Steps of Doneness" xfId="9273" xr:uid="{00000000-0005-0000-0000-0000DF230000}"/>
    <cellStyle name="_20061103Holux_WorldBankCMSScope_CMS_Web_Design_Phase_Deliverables_MLP_0627_FP_Commissions_Req_Dn_ProgramWorkBook_10-Dec-2010 3" xfId="9274" xr:uid="{00000000-0005-0000-0000-0000E0230000}"/>
    <cellStyle name="_20061103Holux_WorldBankCMSScope_CMS_Web_Design_Phase_Deliverables_MLP_0627_FP_Commissions_Req_Dn_ProgramWorkBook_10-Dec-2010_Steps of Doneness" xfId="9275" xr:uid="{00000000-0005-0000-0000-0000E1230000}"/>
    <cellStyle name="_20061103Holux_WorldBankCMSScope_CMS_Web_Design_Phase_Deliverables_MLP_0627_FP_DW_Impl_ProgramWorkBook_07-Jan-2011" xfId="9276" xr:uid="{00000000-0005-0000-0000-0000E2230000}"/>
    <cellStyle name="_20061103Holux_WorldBankCMSScope_CMS_Web_Design_Phase_Deliverables_MLP_0627_FP_DW_Impl_ProgramWorkBook_07-Jan-2011 2" xfId="9277" xr:uid="{00000000-0005-0000-0000-0000E3230000}"/>
    <cellStyle name="_20061103Holux_WorldBankCMSScope_CMS_Web_Design_Phase_Deliverables_MLP_0627_FP_DW_Impl_ProgramWorkBook_07-Jan-2011 2 2" xfId="9278" xr:uid="{00000000-0005-0000-0000-0000E4230000}"/>
    <cellStyle name="_20061103Holux_WorldBankCMSScope_CMS_Web_Design_Phase_Deliverables_MLP_0627_FP_DW_Impl_ProgramWorkBook_07-Jan-2011 2 2_Steps of Doneness" xfId="9279" xr:uid="{00000000-0005-0000-0000-0000E5230000}"/>
    <cellStyle name="_20061103Holux_WorldBankCMSScope_CMS_Web_Design_Phase_Deliverables_MLP_0627_FP_DW_Impl_ProgramWorkBook_07-Jan-2011 2 3" xfId="9280" xr:uid="{00000000-0005-0000-0000-0000E6230000}"/>
    <cellStyle name="_20061103Holux_WorldBankCMSScope_CMS_Web_Design_Phase_Deliverables_MLP_0627_FP_DW_Impl_ProgramWorkBook_07-Jan-2011 2_Steps of Doneness" xfId="9281" xr:uid="{00000000-0005-0000-0000-0000E7230000}"/>
    <cellStyle name="_20061103Holux_WorldBankCMSScope_CMS_Web_Design_Phase_Deliverables_MLP_0627_FP_DW_Impl_ProgramWorkBook_07-Jan-2011 3" xfId="9282" xr:uid="{00000000-0005-0000-0000-0000E8230000}"/>
    <cellStyle name="_20061103Holux_WorldBankCMSScope_CMS_Web_Design_Phase_Deliverables_MLP_0627_FP_DW_Impl_ProgramWorkBook_07-Jan-2011 3_Steps of Doneness" xfId="9283" xr:uid="{00000000-0005-0000-0000-0000E9230000}"/>
    <cellStyle name="_20061103Holux_WorldBankCMSScope_CMS_Web_Design_Phase_Deliverables_MLP_0627_FP_DW_Impl_ProgramWorkBook_07-Jan-2011 4" xfId="9284" xr:uid="{00000000-0005-0000-0000-0000EA230000}"/>
    <cellStyle name="_20061103Holux_WorldBankCMSScope_CMS_Web_Design_Phase_Deliverables_MLP_0627_FP_DW_Impl_ProgramWorkBook_07-Jan-2011_Steps of Doneness" xfId="9285" xr:uid="{00000000-0005-0000-0000-0000EB230000}"/>
    <cellStyle name="_20061103Holux_WorldBankCMSScope_CMS_Web_Design_Phase_Deliverables_MLP_0627_FP_DW_Impl_ProgramWorkBook_11-Feb-2011" xfId="9286" xr:uid="{00000000-0005-0000-0000-0000EC230000}"/>
    <cellStyle name="_20061103Holux_WorldBankCMSScope_CMS_Web_Design_Phase_Deliverables_MLP_0627_FP_DW_Impl_ProgramWorkBook_11-Feb-2011 2" xfId="9287" xr:uid="{00000000-0005-0000-0000-0000ED230000}"/>
    <cellStyle name="_20061103Holux_WorldBankCMSScope_CMS_Web_Design_Phase_Deliverables_MLP_0627_FP_DW_Impl_ProgramWorkBook_11-Feb-2011 2_Steps of Doneness" xfId="9288" xr:uid="{00000000-0005-0000-0000-0000EE230000}"/>
    <cellStyle name="_20061103Holux_WorldBankCMSScope_CMS_Web_Design_Phase_Deliverables_MLP_0627_FP_DW_Impl_ProgramWorkBook_11-Feb-2011 3" xfId="9289" xr:uid="{00000000-0005-0000-0000-0000EF230000}"/>
    <cellStyle name="_20061103Holux_WorldBankCMSScope_CMS_Web_Design_Phase_Deliverables_MLP_0627_FP_DW_Impl_ProgramWorkBook_11-Feb-2011_Steps of Doneness" xfId="9290" xr:uid="{00000000-0005-0000-0000-0000F0230000}"/>
    <cellStyle name="_20061103Holux_WorldBankCMSScope_CMS_Web_Design_Phase_Deliverables_MLP_0627_FP_DW_Impl_ProgramWorkBook_18-Feb-2011 - Working" xfId="9291" xr:uid="{00000000-0005-0000-0000-0000F1230000}"/>
    <cellStyle name="_20061103Holux_WorldBankCMSScope_CMS_Web_Design_Phase_Deliverables_MLP_0627_FP_DW_Impl_ProgramWorkBook_18-Feb-2011 - Working 2" xfId="9292" xr:uid="{00000000-0005-0000-0000-0000F2230000}"/>
    <cellStyle name="_20061103Holux_WorldBankCMSScope_CMS_Web_Design_Phase_Deliverables_MLP_0627_FP_DW_Impl_ProgramWorkBook_18-Feb-2011 - Working 2_Steps of Doneness" xfId="9293" xr:uid="{00000000-0005-0000-0000-0000F3230000}"/>
    <cellStyle name="_20061103Holux_WorldBankCMSScope_CMS_Web_Design_Phase_Deliverables_MLP_0627_FP_DW_Impl_ProgramWorkBook_18-Feb-2011 - Working 3" xfId="9294" xr:uid="{00000000-0005-0000-0000-0000F4230000}"/>
    <cellStyle name="_20061103Holux_WorldBankCMSScope_CMS_Web_Design_Phase_Deliverables_MLP_0627_FP_DW_Impl_ProgramWorkBook_18-Feb-2011 - Working_Steps of Doneness" xfId="9295" xr:uid="{00000000-0005-0000-0000-0000F5230000}"/>
    <cellStyle name="_20061103Holux_WorldBankCMSScope_CMS_Web_Design_Phase_Deliverables_MLP_0627_FP_EnterprisePortal_ProgramWorkbook" xfId="9296" xr:uid="{00000000-0005-0000-0000-0000F6230000}"/>
    <cellStyle name="_20061103Holux_WorldBankCMSScope_CMS_Web_Design_Phase_Deliverables_MLP_0627_FP_EnterprisePortal_ProgramWorkbook 2" xfId="9297" xr:uid="{00000000-0005-0000-0000-0000F7230000}"/>
    <cellStyle name="_20061103Holux_WorldBankCMSScope_CMS_Web_Design_Phase_Deliverables_MLP_0627_FP_EnterprisePortal_ProgramWorkbook 2_Steps of Doneness" xfId="9298" xr:uid="{00000000-0005-0000-0000-0000F8230000}"/>
    <cellStyle name="_20061103Holux_WorldBankCMSScope_CMS_Web_Design_Phase_Deliverables_MLP_0627_FP_EnterprisePortal_ProgramWorkbook 3" xfId="9299" xr:uid="{00000000-0005-0000-0000-0000F9230000}"/>
    <cellStyle name="_20061103Holux_WorldBankCMSScope_CMS_Web_Design_Phase_Deliverables_MLP_0627_FP_EnterprisePortal_ProgramWorkbook_Steps of Doneness" xfId="9300" xr:uid="{00000000-0005-0000-0000-0000FA230000}"/>
    <cellStyle name="_20061103Holux_WorldBankCMSScope_CMS_Web_Design_Phase_Deliverables_MLP_0627_FP_SAP_MLP v2" xfId="9301" xr:uid="{00000000-0005-0000-0000-0000FB230000}"/>
    <cellStyle name="_20061103Holux_WorldBankCMSScope_CMS_Web_Design_Phase_Deliverables_MLP_0627_FP_SAP_MLP v2 2" xfId="9302" xr:uid="{00000000-0005-0000-0000-0000FC230000}"/>
    <cellStyle name="_20061103Holux_WorldBankCMSScope_CMS_Web_Design_Phase_Deliverables_MLP_0627_FP_SAP_MLP v2 2_Steps of Doneness" xfId="9303" xr:uid="{00000000-0005-0000-0000-0000FD230000}"/>
    <cellStyle name="_20061103Holux_WorldBankCMSScope_CMS_Web_Design_Phase_Deliverables_MLP_0627_FP_SAP_MLP v2 3" xfId="9304" xr:uid="{00000000-0005-0000-0000-0000FE230000}"/>
    <cellStyle name="_20061103Holux_WorldBankCMSScope_CMS_Web_Design_Phase_Deliverables_MLP_0627_FP_SAP_MLP v2_Steps of Doneness" xfId="9305" xr:uid="{00000000-0005-0000-0000-0000FF230000}"/>
    <cellStyle name="_20061103Holux_WorldBankCMSScope_CMS_Web_Design_Phase_Deliverables_MLP_0627_KeyDecisions" xfId="9306" xr:uid="{00000000-0005-0000-0000-000000240000}"/>
    <cellStyle name="_20061103Holux_WorldBankCMSScope_CMS_Web_Design_Phase_Deliverables_MLP_0627_KeyDecisions 2" xfId="9307" xr:uid="{00000000-0005-0000-0000-000001240000}"/>
    <cellStyle name="_20061103Holux_WorldBankCMSScope_CMS_Web_Design_Phase_Deliverables_MLP_0627_KeyDecisions 2_Steps of Doneness" xfId="9308" xr:uid="{00000000-0005-0000-0000-000002240000}"/>
    <cellStyle name="_20061103Holux_WorldBankCMSScope_CMS_Web_Design_Phase_Deliverables_MLP_0627_KeyDecisions 3" xfId="9309" xr:uid="{00000000-0005-0000-0000-000003240000}"/>
    <cellStyle name="_20061103Holux_WorldBankCMSScope_CMS_Web_Design_Phase_Deliverables_MLP_0627_KeyDecisions_Steps of Doneness" xfId="9310" xr:uid="{00000000-0005-0000-0000-000004240000}"/>
    <cellStyle name="_20061103Holux_WorldBankCMSScope_CMS_Web_Design_Phase_Deliverables_MLP_0627_Sophia_Imp_ProjectWorkBook_02_18_2011" xfId="9311" xr:uid="{00000000-0005-0000-0000-000005240000}"/>
    <cellStyle name="_20061103Holux_WorldBankCMSScope_CMS_Web_Design_Phase_Deliverables_MLP_0627_Sophia_Imp_ProjectWorkBook_02_18_2011 2" xfId="9312" xr:uid="{00000000-0005-0000-0000-000006240000}"/>
    <cellStyle name="_20061103Holux_WorldBankCMSScope_CMS_Web_Design_Phase_Deliverables_MLP_0627_Sophia_Imp_ProjectWorkBook_02_18_2011 2_Steps of Doneness" xfId="9313" xr:uid="{00000000-0005-0000-0000-000007240000}"/>
    <cellStyle name="_20061103Holux_WorldBankCMSScope_CMS_Web_Design_Phase_Deliverables_MLP_0627_Sophia_Imp_ProjectWorkBook_02_18_2011 3" xfId="9314" xr:uid="{00000000-0005-0000-0000-000008240000}"/>
    <cellStyle name="_20061103Holux_WorldBankCMSScope_CMS_Web_Design_Phase_Deliverables_MLP_0627_Sophia_Imp_ProjectWorkBook_02_18_2011_Steps of Doneness" xfId="9315" xr:uid="{00000000-0005-0000-0000-000009240000}"/>
    <cellStyle name="_20061103Holux_WorldBankCMSScope_CMS_Web_Design_Phase_Deliverables_MLP_0627_Steps of Doneness" xfId="9316" xr:uid="{00000000-0005-0000-0000-00000A240000}"/>
    <cellStyle name="_20061103Holux_WorldBankCMSScope_CMS_Web_Design_Phase_Deliverables_MLP_0627_t" xfId="9317" xr:uid="{00000000-0005-0000-0000-00000B240000}"/>
    <cellStyle name="_20061103Holux_WorldBankCMSScope_CMS_Web_Design_Phase_Deliverables_MLP_0627_t 2" xfId="9318" xr:uid="{00000000-0005-0000-0000-00000C240000}"/>
    <cellStyle name="_20061103Holux_WorldBankCMSScope_CMS_Web_Design_Phase_Deliverables_MLP_0627_t 2_Steps of Doneness" xfId="9319" xr:uid="{00000000-0005-0000-0000-00000D240000}"/>
    <cellStyle name="_20061103Holux_WorldBankCMSScope_CMS_Web_Design_Phase_Deliverables_MLP_0627_t 3" xfId="9320" xr:uid="{00000000-0005-0000-0000-00000E240000}"/>
    <cellStyle name="_20061103Holux_WorldBankCMSScope_CMS_Web_Design_Phase_Deliverables_MLP_0627_t_Steps of Doneness" xfId="9321" xr:uid="{00000000-0005-0000-0000-00000F240000}"/>
    <cellStyle name="_20061103Holux_WorldBankCMSScope_CMS_Web_Design_Phase_Deliverables_MLP_LLP_7-12-2010_Combined" xfId="9322" xr:uid="{00000000-0005-0000-0000-000010240000}"/>
    <cellStyle name="_20061103Holux_WorldBankCMSScope_CMS_Web_Design_Phase_Deliverables_MLP_LLP_7-12-2010_Combined 2" xfId="9323" xr:uid="{00000000-0005-0000-0000-000011240000}"/>
    <cellStyle name="_20061103Holux_WorldBankCMSScope_CMS_Web_Design_Phase_Deliverables_MLP_LLP_7-12-2010_Combined 2 2" xfId="9324" xr:uid="{00000000-0005-0000-0000-000012240000}"/>
    <cellStyle name="_20061103Holux_WorldBankCMSScope_CMS_Web_Design_Phase_Deliverables_MLP_LLP_7-12-2010_Combined 2 2_Steps of Doneness" xfId="9325" xr:uid="{00000000-0005-0000-0000-000013240000}"/>
    <cellStyle name="_20061103Holux_WorldBankCMSScope_CMS_Web_Design_Phase_Deliverables_MLP_LLP_7-12-2010_Combined 2 3" xfId="9326" xr:uid="{00000000-0005-0000-0000-000014240000}"/>
    <cellStyle name="_20061103Holux_WorldBankCMSScope_CMS_Web_Design_Phase_Deliverables_MLP_LLP_7-12-2010_Combined 2_Steps of Doneness" xfId="9327" xr:uid="{00000000-0005-0000-0000-000015240000}"/>
    <cellStyle name="_20061103Holux_WorldBankCMSScope_CMS_Web_Design_Phase_Deliverables_MLP_LLP_7-12-2010_Combined 3" xfId="9328" xr:uid="{00000000-0005-0000-0000-000016240000}"/>
    <cellStyle name="_20061103Holux_WorldBankCMSScope_CMS_Web_Design_Phase_Deliverables_MLP_LLP_7-12-2010_Combined 3_Steps of Doneness" xfId="9329" xr:uid="{00000000-0005-0000-0000-000017240000}"/>
    <cellStyle name="_20061103Holux_WorldBankCMSScope_CMS_Web_Design_Phase_Deliverables_MLP_LLP_7-12-2010_Combined 4" xfId="9330" xr:uid="{00000000-0005-0000-0000-000018240000}"/>
    <cellStyle name="_20061103Holux_WorldBankCMSScope_CMS_Web_Design_Phase_Deliverables_MLP_LLP_7-12-2010_Combined_Commissioning System Implementation_Project Workbook_06_10_2011" xfId="9331" xr:uid="{00000000-0005-0000-0000-000019240000}"/>
    <cellStyle name="_20061103Holux_WorldBankCMSScope_CMS_Web_Design_Phase_Deliverables_MLP_LLP_7-12-2010_Combined_Commissioning System Implementation_Project Workbook_06_10_2011 2" xfId="9332" xr:uid="{00000000-0005-0000-0000-00001A240000}"/>
    <cellStyle name="_20061103Holux_WorldBankCMSScope_CMS_Web_Design_Phase_Deliverables_MLP_LLP_7-12-2010_Combined_Commissioning System Implementation_Project Workbook_06_10_2011 2_Steps of Doneness" xfId="9333" xr:uid="{00000000-0005-0000-0000-00001B240000}"/>
    <cellStyle name="_20061103Holux_WorldBankCMSScope_CMS_Web_Design_Phase_Deliverables_MLP_LLP_7-12-2010_Combined_Commissioning System Implementation_Project Workbook_06_10_2011 3" xfId="9334" xr:uid="{00000000-0005-0000-0000-00001C240000}"/>
    <cellStyle name="_20061103Holux_WorldBankCMSScope_CMS_Web_Design_Phase_Deliverables_MLP_LLP_7-12-2010_Combined_Commissioning System Implementation_Project Workbook_06_10_2011_Steps of Doneness" xfId="9335" xr:uid="{00000000-0005-0000-0000-00001D240000}"/>
    <cellStyle name="_20061103Holux_WorldBankCMSScope_CMS_Web_Design_Phase_Deliverables_MLP_LLP_7-12-2010_Combined_FairPoint_CampReport" xfId="9336" xr:uid="{00000000-0005-0000-0000-00001E240000}"/>
    <cellStyle name="_20061103Holux_WorldBankCMSScope_CMS_Web_Design_Phase_Deliverables_MLP_LLP_7-12-2010_Combined_FairPoint_CampReport 2" xfId="9337" xr:uid="{00000000-0005-0000-0000-00001F240000}"/>
    <cellStyle name="_20061103Holux_WorldBankCMSScope_CMS_Web_Design_Phase_Deliverables_MLP_LLP_7-12-2010_Combined_FairPoint_CampReport 2_Steps of Doneness" xfId="9338" xr:uid="{00000000-0005-0000-0000-000020240000}"/>
    <cellStyle name="_20061103Holux_WorldBankCMSScope_CMS_Web_Design_Phase_Deliverables_MLP_LLP_7-12-2010_Combined_FairPoint_CampReport 3" xfId="9339" xr:uid="{00000000-0005-0000-0000-000021240000}"/>
    <cellStyle name="_20061103Holux_WorldBankCMSScope_CMS_Web_Design_Phase_Deliverables_MLP_LLP_7-12-2010_Combined_FairPoint_CampReport_Steps of Doneness" xfId="9340" xr:uid="{00000000-0005-0000-0000-000022240000}"/>
    <cellStyle name="_20061103Holux_WorldBankCMSScope_CMS_Web_Design_Phase_Deliverables_MLP_LLP_7-12-2010_Combined_FairPoint_FP comTechOps_ProgramWorkbook" xfId="9341" xr:uid="{00000000-0005-0000-0000-000023240000}"/>
    <cellStyle name="_20061103Holux_WorldBankCMSScope_CMS_Web_Design_Phase_Deliverables_MLP_LLP_7-12-2010_Combined_FairPoint_FP comTechOps_ProgramWorkbook 2" xfId="9342" xr:uid="{00000000-0005-0000-0000-000024240000}"/>
    <cellStyle name="_20061103Holux_WorldBankCMSScope_CMS_Web_Design_Phase_Deliverables_MLP_LLP_7-12-2010_Combined_FairPoint_FP comTechOps_ProgramWorkbook 2_Steps of Doneness" xfId="9343" xr:uid="{00000000-0005-0000-0000-000025240000}"/>
    <cellStyle name="_20061103Holux_WorldBankCMSScope_CMS_Web_Design_Phase_Deliverables_MLP_LLP_7-12-2010_Combined_FairPoint_FP comTechOps_ProgramWorkbook 3" xfId="9344" xr:uid="{00000000-0005-0000-0000-000026240000}"/>
    <cellStyle name="_20061103Holux_WorldBankCMSScope_CMS_Web_Design_Phase_Deliverables_MLP_LLP_7-12-2010_Combined_FairPoint_FP comTechOps_ProgramWorkbook_sachin" xfId="9345" xr:uid="{00000000-0005-0000-0000-000027240000}"/>
    <cellStyle name="_20061103Holux_WorldBankCMSScope_CMS_Web_Design_Phase_Deliverables_MLP_LLP_7-12-2010_Combined_FairPoint_FP comTechOps_ProgramWorkbook_sachin 2" xfId="9346" xr:uid="{00000000-0005-0000-0000-000028240000}"/>
    <cellStyle name="_20061103Holux_WorldBankCMSScope_CMS_Web_Design_Phase_Deliverables_MLP_LLP_7-12-2010_Combined_FairPoint_FP comTechOps_ProgramWorkbook_sachin 2_Steps of Doneness" xfId="9347" xr:uid="{00000000-0005-0000-0000-000029240000}"/>
    <cellStyle name="_20061103Holux_WorldBankCMSScope_CMS_Web_Design_Phase_Deliverables_MLP_LLP_7-12-2010_Combined_FairPoint_FP comTechOps_ProgramWorkbook_sachin 3" xfId="9348" xr:uid="{00000000-0005-0000-0000-00002A240000}"/>
    <cellStyle name="_20061103Holux_WorldBankCMSScope_CMS_Web_Design_Phase_Deliverables_MLP_LLP_7-12-2010_Combined_FairPoint_FP comTechOps_ProgramWorkbook_sachin_Steps of Doneness" xfId="9349" xr:uid="{00000000-0005-0000-0000-00002B240000}"/>
    <cellStyle name="_20061103Holux_WorldBankCMSScope_CMS_Web_Design_Phase_Deliverables_MLP_LLP_7-12-2010_Combined_FairPoint_FP comTechOps_ProgramWorkbook_sachin_v1" xfId="9350" xr:uid="{00000000-0005-0000-0000-00002C240000}"/>
    <cellStyle name="_20061103Holux_WorldBankCMSScope_CMS_Web_Design_Phase_Deliverables_MLP_LLP_7-12-2010_Combined_FairPoint_FP comTechOps_ProgramWorkbook_sachin_v1 2" xfId="9351" xr:uid="{00000000-0005-0000-0000-00002D240000}"/>
    <cellStyle name="_20061103Holux_WorldBankCMSScope_CMS_Web_Design_Phase_Deliverables_MLP_LLP_7-12-2010_Combined_FairPoint_FP comTechOps_ProgramWorkbook_sachin_v1 2_Steps of Doneness" xfId="9352" xr:uid="{00000000-0005-0000-0000-00002E240000}"/>
    <cellStyle name="_20061103Holux_WorldBankCMSScope_CMS_Web_Design_Phase_Deliverables_MLP_LLP_7-12-2010_Combined_FairPoint_FP comTechOps_ProgramWorkbook_sachin_v1 3" xfId="9353" xr:uid="{00000000-0005-0000-0000-00002F240000}"/>
    <cellStyle name="_20061103Holux_WorldBankCMSScope_CMS_Web_Design_Phase_Deliverables_MLP_LLP_7-12-2010_Combined_FairPoint_FP comTechOps_ProgramWorkbook_sachin_v1_Steps of Doneness" xfId="9354" xr:uid="{00000000-0005-0000-0000-000030240000}"/>
    <cellStyle name="_20061103Holux_WorldBankCMSScope_CMS_Web_Design_Phase_Deliverables_MLP_LLP_7-12-2010_Combined_FairPoint_FP comTechOps_ProgramWorkbook_Steps of Doneness" xfId="9355" xr:uid="{00000000-0005-0000-0000-000031240000}"/>
    <cellStyle name="_20061103Holux_WorldBankCMSScope_CMS_Web_Design_Phase_Deliverables_MLP_LLP_7-12-2010_Combined_FP_CAMP&amp;ITReporting_Maintenance_Dashboard" xfId="9356" xr:uid="{00000000-0005-0000-0000-000032240000}"/>
    <cellStyle name="_20061103Holux_WorldBankCMSScope_CMS_Web_Design_Phase_Deliverables_MLP_LLP_7-12-2010_Combined_FP_CAMP&amp;ITReporting_Maintenance_Dashboard 2" xfId="9357" xr:uid="{00000000-0005-0000-0000-000033240000}"/>
    <cellStyle name="_20061103Holux_WorldBankCMSScope_CMS_Web_Design_Phase_Deliverables_MLP_LLP_7-12-2010_Combined_FP_CAMP&amp;ITReporting_Maintenance_Dashboard 2_Steps of Doneness" xfId="9358" xr:uid="{00000000-0005-0000-0000-000034240000}"/>
    <cellStyle name="_20061103Holux_WorldBankCMSScope_CMS_Web_Design_Phase_Deliverables_MLP_LLP_7-12-2010_Combined_FP_CAMP&amp;ITReporting_Maintenance_Dashboard 3" xfId="9359" xr:uid="{00000000-0005-0000-0000-000035240000}"/>
    <cellStyle name="_20061103Holux_WorldBankCMSScope_CMS_Web_Design_Phase_Deliverables_MLP_LLP_7-12-2010_Combined_FP_CAMP&amp;ITReporting_Maintenance_Dashboard_Steps of Doneness" xfId="9360" xr:uid="{00000000-0005-0000-0000-000036240000}"/>
    <cellStyle name="_20061103Holux_WorldBankCMSScope_CMS_Web_Design_Phase_Deliverables_MLP_LLP_7-12-2010_Combined_FP_CAMPITReporting_Maintenance_Dashboard" xfId="9361" xr:uid="{00000000-0005-0000-0000-000037240000}"/>
    <cellStyle name="_20061103Holux_WorldBankCMSScope_CMS_Web_Design_Phase_Deliverables_MLP_LLP_7-12-2010_Combined_FP_CAMPITReporting_Maintenance_Dashboard 2" xfId="9362" xr:uid="{00000000-0005-0000-0000-000038240000}"/>
    <cellStyle name="_20061103Holux_WorldBankCMSScope_CMS_Web_Design_Phase_Deliverables_MLP_LLP_7-12-2010_Combined_FP_CAMPITReporting_Maintenance_Dashboard 2_Steps of Doneness" xfId="9363" xr:uid="{00000000-0005-0000-0000-000039240000}"/>
    <cellStyle name="_20061103Holux_WorldBankCMSScope_CMS_Web_Design_Phase_Deliverables_MLP_LLP_7-12-2010_Combined_FP_CAMPITReporting_Maintenance_Dashboard 3" xfId="9364" xr:uid="{00000000-0005-0000-0000-00003A240000}"/>
    <cellStyle name="_20061103Holux_WorldBankCMSScope_CMS_Web_Design_Phase_Deliverables_MLP_LLP_7-12-2010_Combined_FP_CAMPITReporting_Maintenance_Dashboard_Steps of Doneness" xfId="9365" xr:uid="{00000000-0005-0000-0000-00003B240000}"/>
    <cellStyle name="_20061103Holux_WorldBankCMSScope_CMS_Web_Design_Phase_Deliverables_MLP_LLP_7-12-2010_Combined_FP_Commissions_Req_Dn_ProgramWorkBook_10-Dec-2010" xfId="9366" xr:uid="{00000000-0005-0000-0000-00003C240000}"/>
    <cellStyle name="_20061103Holux_WorldBankCMSScope_CMS_Web_Design_Phase_Deliverables_MLP_LLP_7-12-2010_Combined_FP_Commissions_Req_Dn_ProgramWorkBook_10-Dec-2010 2" xfId="9367" xr:uid="{00000000-0005-0000-0000-00003D240000}"/>
    <cellStyle name="_20061103Holux_WorldBankCMSScope_CMS_Web_Design_Phase_Deliverables_MLP_LLP_7-12-2010_Combined_FP_Commissions_Req_Dn_ProgramWorkBook_10-Dec-2010 2_Steps of Doneness" xfId="9368" xr:uid="{00000000-0005-0000-0000-00003E240000}"/>
    <cellStyle name="_20061103Holux_WorldBankCMSScope_CMS_Web_Design_Phase_Deliverables_MLP_LLP_7-12-2010_Combined_FP_Commissions_Req_Dn_ProgramWorkBook_10-Dec-2010 3" xfId="9369" xr:uid="{00000000-0005-0000-0000-00003F240000}"/>
    <cellStyle name="_20061103Holux_WorldBankCMSScope_CMS_Web_Design_Phase_Deliverables_MLP_LLP_7-12-2010_Combined_FP_Commissions_Req_Dn_ProgramWorkBook_10-Dec-2010_Steps of Doneness" xfId="9370" xr:uid="{00000000-0005-0000-0000-000040240000}"/>
    <cellStyle name="_20061103Holux_WorldBankCMSScope_CMS_Web_Design_Phase_Deliverables_MLP_LLP_7-12-2010_Combined_FP_DW_Impl_ProgramWorkBook_07-Jan-2011" xfId="9371" xr:uid="{00000000-0005-0000-0000-000041240000}"/>
    <cellStyle name="_20061103Holux_WorldBankCMSScope_CMS_Web_Design_Phase_Deliverables_MLP_LLP_7-12-2010_Combined_FP_DW_Impl_ProgramWorkBook_07-Jan-2011 2" xfId="9372" xr:uid="{00000000-0005-0000-0000-000042240000}"/>
    <cellStyle name="_20061103Holux_WorldBankCMSScope_CMS_Web_Design_Phase_Deliverables_MLP_LLP_7-12-2010_Combined_FP_DW_Impl_ProgramWorkBook_07-Jan-2011 2 2" xfId="9373" xr:uid="{00000000-0005-0000-0000-000043240000}"/>
    <cellStyle name="_20061103Holux_WorldBankCMSScope_CMS_Web_Design_Phase_Deliverables_MLP_LLP_7-12-2010_Combined_FP_DW_Impl_ProgramWorkBook_07-Jan-2011 2 2_Steps of Doneness" xfId="9374" xr:uid="{00000000-0005-0000-0000-000044240000}"/>
    <cellStyle name="_20061103Holux_WorldBankCMSScope_CMS_Web_Design_Phase_Deliverables_MLP_LLP_7-12-2010_Combined_FP_DW_Impl_ProgramWorkBook_07-Jan-2011 2 3" xfId="9375" xr:uid="{00000000-0005-0000-0000-000045240000}"/>
    <cellStyle name="_20061103Holux_WorldBankCMSScope_CMS_Web_Design_Phase_Deliverables_MLP_LLP_7-12-2010_Combined_FP_DW_Impl_ProgramWorkBook_07-Jan-2011 2_Steps of Doneness" xfId="9376" xr:uid="{00000000-0005-0000-0000-000046240000}"/>
    <cellStyle name="_20061103Holux_WorldBankCMSScope_CMS_Web_Design_Phase_Deliverables_MLP_LLP_7-12-2010_Combined_FP_DW_Impl_ProgramWorkBook_07-Jan-2011 3" xfId="9377" xr:uid="{00000000-0005-0000-0000-000047240000}"/>
    <cellStyle name="_20061103Holux_WorldBankCMSScope_CMS_Web_Design_Phase_Deliverables_MLP_LLP_7-12-2010_Combined_FP_DW_Impl_ProgramWorkBook_07-Jan-2011 3_Steps of Doneness" xfId="9378" xr:uid="{00000000-0005-0000-0000-000048240000}"/>
    <cellStyle name="_20061103Holux_WorldBankCMSScope_CMS_Web_Design_Phase_Deliverables_MLP_LLP_7-12-2010_Combined_FP_DW_Impl_ProgramWorkBook_07-Jan-2011 4" xfId="9379" xr:uid="{00000000-0005-0000-0000-000049240000}"/>
    <cellStyle name="_20061103Holux_WorldBankCMSScope_CMS_Web_Design_Phase_Deliverables_MLP_LLP_7-12-2010_Combined_FP_DW_Impl_ProgramWorkBook_07-Jan-2011_Steps of Doneness" xfId="9380" xr:uid="{00000000-0005-0000-0000-00004A240000}"/>
    <cellStyle name="_20061103Holux_WorldBankCMSScope_CMS_Web_Design_Phase_Deliverables_MLP_LLP_7-12-2010_Combined_FP_DW_Impl_ProgramWorkBook_11-Feb-2011" xfId="9381" xr:uid="{00000000-0005-0000-0000-00004B240000}"/>
    <cellStyle name="_20061103Holux_WorldBankCMSScope_CMS_Web_Design_Phase_Deliverables_MLP_LLP_7-12-2010_Combined_FP_DW_Impl_ProgramWorkBook_11-Feb-2011 2" xfId="9382" xr:uid="{00000000-0005-0000-0000-00004C240000}"/>
    <cellStyle name="_20061103Holux_WorldBankCMSScope_CMS_Web_Design_Phase_Deliverables_MLP_LLP_7-12-2010_Combined_FP_DW_Impl_ProgramWorkBook_11-Feb-2011 2_Steps of Doneness" xfId="9383" xr:uid="{00000000-0005-0000-0000-00004D240000}"/>
    <cellStyle name="_20061103Holux_WorldBankCMSScope_CMS_Web_Design_Phase_Deliverables_MLP_LLP_7-12-2010_Combined_FP_DW_Impl_ProgramWorkBook_11-Feb-2011 3" xfId="9384" xr:uid="{00000000-0005-0000-0000-00004E240000}"/>
    <cellStyle name="_20061103Holux_WorldBankCMSScope_CMS_Web_Design_Phase_Deliverables_MLP_LLP_7-12-2010_Combined_FP_DW_Impl_ProgramWorkBook_11-Feb-2011_Steps of Doneness" xfId="9385" xr:uid="{00000000-0005-0000-0000-00004F240000}"/>
    <cellStyle name="_20061103Holux_WorldBankCMSScope_CMS_Web_Design_Phase_Deliverables_MLP_LLP_7-12-2010_Combined_FP_DW_Impl_ProgramWorkBook_18-Feb-2011 - Working" xfId="9386" xr:uid="{00000000-0005-0000-0000-000050240000}"/>
    <cellStyle name="_20061103Holux_WorldBankCMSScope_CMS_Web_Design_Phase_Deliverables_MLP_LLP_7-12-2010_Combined_FP_DW_Impl_ProgramWorkBook_18-Feb-2011 - Working 2" xfId="9387" xr:uid="{00000000-0005-0000-0000-000051240000}"/>
    <cellStyle name="_20061103Holux_WorldBankCMSScope_CMS_Web_Design_Phase_Deliverables_MLP_LLP_7-12-2010_Combined_FP_DW_Impl_ProgramWorkBook_18-Feb-2011 - Working 2_Steps of Doneness" xfId="9388" xr:uid="{00000000-0005-0000-0000-000052240000}"/>
    <cellStyle name="_20061103Holux_WorldBankCMSScope_CMS_Web_Design_Phase_Deliverables_MLP_LLP_7-12-2010_Combined_FP_DW_Impl_ProgramWorkBook_18-Feb-2011 - Working 3" xfId="9389" xr:uid="{00000000-0005-0000-0000-000053240000}"/>
    <cellStyle name="_20061103Holux_WorldBankCMSScope_CMS_Web_Design_Phase_Deliverables_MLP_LLP_7-12-2010_Combined_FP_DW_Impl_ProgramWorkBook_18-Feb-2011 - Working_Steps of Doneness" xfId="9390" xr:uid="{00000000-0005-0000-0000-000054240000}"/>
    <cellStyle name="_20061103Holux_WorldBankCMSScope_CMS_Web_Design_Phase_Deliverables_MLP_LLP_7-12-2010_Combined_FP_EnterprisePortal_ProgramWorkbook" xfId="9391" xr:uid="{00000000-0005-0000-0000-000055240000}"/>
    <cellStyle name="_20061103Holux_WorldBankCMSScope_CMS_Web_Design_Phase_Deliverables_MLP_LLP_7-12-2010_Combined_FP_EnterprisePortal_ProgramWorkbook 2" xfId="9392" xr:uid="{00000000-0005-0000-0000-000056240000}"/>
    <cellStyle name="_20061103Holux_WorldBankCMSScope_CMS_Web_Design_Phase_Deliverables_MLP_LLP_7-12-2010_Combined_FP_EnterprisePortal_ProgramWorkbook 2_Steps of Doneness" xfId="9393" xr:uid="{00000000-0005-0000-0000-000057240000}"/>
    <cellStyle name="_20061103Holux_WorldBankCMSScope_CMS_Web_Design_Phase_Deliverables_MLP_LLP_7-12-2010_Combined_FP_EnterprisePortal_ProgramWorkbook 3" xfId="9394" xr:uid="{00000000-0005-0000-0000-000058240000}"/>
    <cellStyle name="_20061103Holux_WorldBankCMSScope_CMS_Web_Design_Phase_Deliverables_MLP_LLP_7-12-2010_Combined_FP_EnterprisePortal_ProgramWorkbook_Steps of Doneness" xfId="9395" xr:uid="{00000000-0005-0000-0000-000059240000}"/>
    <cellStyle name="_20061103Holux_WorldBankCMSScope_CMS_Web_Design_Phase_Deliverables_MLP_LLP_7-12-2010_Combined_FP_SAP_MLP v2" xfId="9396" xr:uid="{00000000-0005-0000-0000-00005A240000}"/>
    <cellStyle name="_20061103Holux_WorldBankCMSScope_CMS_Web_Design_Phase_Deliverables_MLP_LLP_7-12-2010_Combined_FP_SAP_MLP v2 2" xfId="9397" xr:uid="{00000000-0005-0000-0000-00005B240000}"/>
    <cellStyle name="_20061103Holux_WorldBankCMSScope_CMS_Web_Design_Phase_Deliverables_MLP_LLP_7-12-2010_Combined_FP_SAP_MLP v2 2_Steps of Doneness" xfId="9398" xr:uid="{00000000-0005-0000-0000-00005C240000}"/>
    <cellStyle name="_20061103Holux_WorldBankCMSScope_CMS_Web_Design_Phase_Deliverables_MLP_LLP_7-12-2010_Combined_FP_SAP_MLP v2 3" xfId="9399" xr:uid="{00000000-0005-0000-0000-00005D240000}"/>
    <cellStyle name="_20061103Holux_WorldBankCMSScope_CMS_Web_Design_Phase_Deliverables_MLP_LLP_7-12-2010_Combined_FP_SAP_MLP v2_Steps of Doneness" xfId="9400" xr:uid="{00000000-0005-0000-0000-00005E240000}"/>
    <cellStyle name="_20061103Holux_WorldBankCMSScope_CMS_Web_Design_Phase_Deliverables_MLP_LLP_7-12-2010_Combined_KeyDecisions" xfId="9401" xr:uid="{00000000-0005-0000-0000-00005F240000}"/>
    <cellStyle name="_20061103Holux_WorldBankCMSScope_CMS_Web_Design_Phase_Deliverables_MLP_LLP_7-12-2010_Combined_KeyDecisions 2" xfId="9402" xr:uid="{00000000-0005-0000-0000-000060240000}"/>
    <cellStyle name="_20061103Holux_WorldBankCMSScope_CMS_Web_Design_Phase_Deliverables_MLP_LLP_7-12-2010_Combined_KeyDecisions 2_Steps of Doneness" xfId="9403" xr:uid="{00000000-0005-0000-0000-000061240000}"/>
    <cellStyle name="_20061103Holux_WorldBankCMSScope_CMS_Web_Design_Phase_Deliverables_MLP_LLP_7-12-2010_Combined_KeyDecisions 3" xfId="9404" xr:uid="{00000000-0005-0000-0000-000062240000}"/>
    <cellStyle name="_20061103Holux_WorldBankCMSScope_CMS_Web_Design_Phase_Deliverables_MLP_LLP_7-12-2010_Combined_KeyDecisions_Steps of Doneness" xfId="9405" xr:uid="{00000000-0005-0000-0000-000063240000}"/>
    <cellStyle name="_20061103Holux_WorldBankCMSScope_CMS_Web_Design_Phase_Deliverables_MLP_LLP_7-12-2010_Combined_Sophia_Imp_ProjectWorkBook_02_18_2011" xfId="9406" xr:uid="{00000000-0005-0000-0000-000064240000}"/>
    <cellStyle name="_20061103Holux_WorldBankCMSScope_CMS_Web_Design_Phase_Deliverables_MLP_LLP_7-12-2010_Combined_Sophia_Imp_ProjectWorkBook_02_18_2011 2" xfId="9407" xr:uid="{00000000-0005-0000-0000-000065240000}"/>
    <cellStyle name="_20061103Holux_WorldBankCMSScope_CMS_Web_Design_Phase_Deliverables_MLP_LLP_7-12-2010_Combined_Sophia_Imp_ProjectWorkBook_02_18_2011 2_Steps of Doneness" xfId="9408" xr:uid="{00000000-0005-0000-0000-000066240000}"/>
    <cellStyle name="_20061103Holux_WorldBankCMSScope_CMS_Web_Design_Phase_Deliverables_MLP_LLP_7-12-2010_Combined_Sophia_Imp_ProjectWorkBook_02_18_2011 3" xfId="9409" xr:uid="{00000000-0005-0000-0000-000067240000}"/>
    <cellStyle name="_20061103Holux_WorldBankCMSScope_CMS_Web_Design_Phase_Deliverables_MLP_LLP_7-12-2010_Combined_Sophia_Imp_ProjectWorkBook_02_18_2011_Steps of Doneness" xfId="9410" xr:uid="{00000000-0005-0000-0000-000068240000}"/>
    <cellStyle name="_20061103Holux_WorldBankCMSScope_CMS_Web_Design_Phase_Deliverables_MLP_LLP_7-12-2010_Combined_Steps of Doneness" xfId="9411" xr:uid="{00000000-0005-0000-0000-000069240000}"/>
    <cellStyle name="_20061103Holux_WorldBankCMSScope_CMS_Web_Design_Phase_Deliverables_MLP_LLP_7-12-2010_Combined_t" xfId="9412" xr:uid="{00000000-0005-0000-0000-00006A240000}"/>
    <cellStyle name="_20061103Holux_WorldBankCMSScope_CMS_Web_Design_Phase_Deliverables_MLP_LLP_7-12-2010_Combined_t 2" xfId="9413" xr:uid="{00000000-0005-0000-0000-00006B240000}"/>
    <cellStyle name="_20061103Holux_WorldBankCMSScope_CMS_Web_Design_Phase_Deliverables_MLP_LLP_7-12-2010_Combined_t 2_Steps of Doneness" xfId="9414" xr:uid="{00000000-0005-0000-0000-00006C240000}"/>
    <cellStyle name="_20061103Holux_WorldBankCMSScope_CMS_Web_Design_Phase_Deliverables_MLP_LLP_7-12-2010_Combined_t 3" xfId="9415" xr:uid="{00000000-0005-0000-0000-00006D240000}"/>
    <cellStyle name="_20061103Holux_WorldBankCMSScope_CMS_Web_Design_Phase_Deliverables_MLP_LLP_7-12-2010_Combined_t_Steps of Doneness" xfId="9416" xr:uid="{00000000-0005-0000-0000-00006E240000}"/>
    <cellStyle name="_20061103Holux_WorldBankCMSScope_CMS_Web_Design_Phase_Deliverables_MLP_LLP_7-14-2010_Combined" xfId="9417" xr:uid="{00000000-0005-0000-0000-00006F240000}"/>
    <cellStyle name="_20061103Holux_WorldBankCMSScope_CMS_Web_Design_Phase_Deliverables_MLP_LLP_7-14-2010_Combined 2" xfId="9418" xr:uid="{00000000-0005-0000-0000-000070240000}"/>
    <cellStyle name="_20061103Holux_WorldBankCMSScope_CMS_Web_Design_Phase_Deliverables_MLP_LLP_7-14-2010_Combined 2 2" xfId="9419" xr:uid="{00000000-0005-0000-0000-000071240000}"/>
    <cellStyle name="_20061103Holux_WorldBankCMSScope_CMS_Web_Design_Phase_Deliverables_MLP_LLP_7-14-2010_Combined 2 2_Steps of Doneness" xfId="9420" xr:uid="{00000000-0005-0000-0000-000072240000}"/>
    <cellStyle name="_20061103Holux_WorldBankCMSScope_CMS_Web_Design_Phase_Deliverables_MLP_LLP_7-14-2010_Combined 2 3" xfId="9421" xr:uid="{00000000-0005-0000-0000-000073240000}"/>
    <cellStyle name="_20061103Holux_WorldBankCMSScope_CMS_Web_Design_Phase_Deliverables_MLP_LLP_7-14-2010_Combined 2_Steps of Doneness" xfId="9422" xr:uid="{00000000-0005-0000-0000-000074240000}"/>
    <cellStyle name="_20061103Holux_WorldBankCMSScope_CMS_Web_Design_Phase_Deliverables_MLP_LLP_7-14-2010_Combined 3" xfId="9423" xr:uid="{00000000-0005-0000-0000-000075240000}"/>
    <cellStyle name="_20061103Holux_WorldBankCMSScope_CMS_Web_Design_Phase_Deliverables_MLP_LLP_7-14-2010_Combined 3_Steps of Doneness" xfId="9424" xr:uid="{00000000-0005-0000-0000-000076240000}"/>
    <cellStyle name="_20061103Holux_WorldBankCMSScope_CMS_Web_Design_Phase_Deliverables_MLP_LLP_7-14-2010_Combined 4" xfId="9425" xr:uid="{00000000-0005-0000-0000-000077240000}"/>
    <cellStyle name="_20061103Holux_WorldBankCMSScope_CMS_Web_Design_Phase_Deliverables_MLP_LLP_7-14-2010_Combined_Commissioning System Implementation_Project Workbook_06_10_2011" xfId="9426" xr:uid="{00000000-0005-0000-0000-000078240000}"/>
    <cellStyle name="_20061103Holux_WorldBankCMSScope_CMS_Web_Design_Phase_Deliverables_MLP_LLP_7-14-2010_Combined_Commissioning System Implementation_Project Workbook_06_10_2011 2" xfId="9427" xr:uid="{00000000-0005-0000-0000-000079240000}"/>
    <cellStyle name="_20061103Holux_WorldBankCMSScope_CMS_Web_Design_Phase_Deliverables_MLP_LLP_7-14-2010_Combined_Commissioning System Implementation_Project Workbook_06_10_2011 2_Steps of Doneness" xfId="9428" xr:uid="{00000000-0005-0000-0000-00007A240000}"/>
    <cellStyle name="_20061103Holux_WorldBankCMSScope_CMS_Web_Design_Phase_Deliverables_MLP_LLP_7-14-2010_Combined_Commissioning System Implementation_Project Workbook_06_10_2011 3" xfId="9429" xr:uid="{00000000-0005-0000-0000-00007B240000}"/>
    <cellStyle name="_20061103Holux_WorldBankCMSScope_CMS_Web_Design_Phase_Deliverables_MLP_LLP_7-14-2010_Combined_Commissioning System Implementation_Project Workbook_06_10_2011_Steps of Doneness" xfId="9430" xr:uid="{00000000-0005-0000-0000-00007C240000}"/>
    <cellStyle name="_20061103Holux_WorldBankCMSScope_CMS_Web_Design_Phase_Deliverables_MLP_LLP_7-14-2010_Combined_FairPoint_CampReport" xfId="9431" xr:uid="{00000000-0005-0000-0000-00007D240000}"/>
    <cellStyle name="_20061103Holux_WorldBankCMSScope_CMS_Web_Design_Phase_Deliverables_MLP_LLP_7-14-2010_Combined_FairPoint_CampReport 2" xfId="9432" xr:uid="{00000000-0005-0000-0000-00007E240000}"/>
    <cellStyle name="_20061103Holux_WorldBankCMSScope_CMS_Web_Design_Phase_Deliverables_MLP_LLP_7-14-2010_Combined_FairPoint_CampReport 2_Steps of Doneness" xfId="9433" xr:uid="{00000000-0005-0000-0000-00007F240000}"/>
    <cellStyle name="_20061103Holux_WorldBankCMSScope_CMS_Web_Design_Phase_Deliverables_MLP_LLP_7-14-2010_Combined_FairPoint_CampReport 3" xfId="9434" xr:uid="{00000000-0005-0000-0000-000080240000}"/>
    <cellStyle name="_20061103Holux_WorldBankCMSScope_CMS_Web_Design_Phase_Deliverables_MLP_LLP_7-14-2010_Combined_FairPoint_CampReport_Steps of Doneness" xfId="9435" xr:uid="{00000000-0005-0000-0000-000081240000}"/>
    <cellStyle name="_20061103Holux_WorldBankCMSScope_CMS_Web_Design_Phase_Deliverables_MLP_LLP_7-14-2010_Combined_FairPoint_FP comTechOps_ProgramWorkbook" xfId="9436" xr:uid="{00000000-0005-0000-0000-000082240000}"/>
    <cellStyle name="_20061103Holux_WorldBankCMSScope_CMS_Web_Design_Phase_Deliverables_MLP_LLP_7-14-2010_Combined_FairPoint_FP comTechOps_ProgramWorkbook 2" xfId="9437" xr:uid="{00000000-0005-0000-0000-000083240000}"/>
    <cellStyle name="_20061103Holux_WorldBankCMSScope_CMS_Web_Design_Phase_Deliverables_MLP_LLP_7-14-2010_Combined_FairPoint_FP comTechOps_ProgramWorkbook 2_Steps of Doneness" xfId="9438" xr:uid="{00000000-0005-0000-0000-000084240000}"/>
    <cellStyle name="_20061103Holux_WorldBankCMSScope_CMS_Web_Design_Phase_Deliverables_MLP_LLP_7-14-2010_Combined_FairPoint_FP comTechOps_ProgramWorkbook 3" xfId="9439" xr:uid="{00000000-0005-0000-0000-000085240000}"/>
    <cellStyle name="_20061103Holux_WorldBankCMSScope_CMS_Web_Design_Phase_Deliverables_MLP_LLP_7-14-2010_Combined_FairPoint_FP comTechOps_ProgramWorkbook_sachin" xfId="9440" xr:uid="{00000000-0005-0000-0000-000086240000}"/>
    <cellStyle name="_20061103Holux_WorldBankCMSScope_CMS_Web_Design_Phase_Deliverables_MLP_LLP_7-14-2010_Combined_FairPoint_FP comTechOps_ProgramWorkbook_sachin 2" xfId="9441" xr:uid="{00000000-0005-0000-0000-000087240000}"/>
    <cellStyle name="_20061103Holux_WorldBankCMSScope_CMS_Web_Design_Phase_Deliverables_MLP_LLP_7-14-2010_Combined_FairPoint_FP comTechOps_ProgramWorkbook_sachin 2_Steps of Doneness" xfId="9442" xr:uid="{00000000-0005-0000-0000-000088240000}"/>
    <cellStyle name="_20061103Holux_WorldBankCMSScope_CMS_Web_Design_Phase_Deliverables_MLP_LLP_7-14-2010_Combined_FairPoint_FP comTechOps_ProgramWorkbook_sachin 3" xfId="9443" xr:uid="{00000000-0005-0000-0000-000089240000}"/>
    <cellStyle name="_20061103Holux_WorldBankCMSScope_CMS_Web_Design_Phase_Deliverables_MLP_LLP_7-14-2010_Combined_FairPoint_FP comTechOps_ProgramWorkbook_sachin_Steps of Doneness" xfId="9444" xr:uid="{00000000-0005-0000-0000-00008A240000}"/>
    <cellStyle name="_20061103Holux_WorldBankCMSScope_CMS_Web_Design_Phase_Deliverables_MLP_LLP_7-14-2010_Combined_FairPoint_FP comTechOps_ProgramWorkbook_sachin_v1" xfId="9445" xr:uid="{00000000-0005-0000-0000-00008B240000}"/>
    <cellStyle name="_20061103Holux_WorldBankCMSScope_CMS_Web_Design_Phase_Deliverables_MLP_LLP_7-14-2010_Combined_FairPoint_FP comTechOps_ProgramWorkbook_sachin_v1 2" xfId="9446" xr:uid="{00000000-0005-0000-0000-00008C240000}"/>
    <cellStyle name="_20061103Holux_WorldBankCMSScope_CMS_Web_Design_Phase_Deliverables_MLP_LLP_7-14-2010_Combined_FairPoint_FP comTechOps_ProgramWorkbook_sachin_v1 2_Steps of Doneness" xfId="9447" xr:uid="{00000000-0005-0000-0000-00008D240000}"/>
    <cellStyle name="_20061103Holux_WorldBankCMSScope_CMS_Web_Design_Phase_Deliverables_MLP_LLP_7-14-2010_Combined_FairPoint_FP comTechOps_ProgramWorkbook_sachin_v1 3" xfId="9448" xr:uid="{00000000-0005-0000-0000-00008E240000}"/>
    <cellStyle name="_20061103Holux_WorldBankCMSScope_CMS_Web_Design_Phase_Deliverables_MLP_LLP_7-14-2010_Combined_FairPoint_FP comTechOps_ProgramWorkbook_sachin_v1_Steps of Doneness" xfId="9449" xr:uid="{00000000-0005-0000-0000-00008F240000}"/>
    <cellStyle name="_20061103Holux_WorldBankCMSScope_CMS_Web_Design_Phase_Deliverables_MLP_LLP_7-14-2010_Combined_FairPoint_FP comTechOps_ProgramWorkbook_Steps of Doneness" xfId="9450" xr:uid="{00000000-0005-0000-0000-000090240000}"/>
    <cellStyle name="_20061103Holux_WorldBankCMSScope_CMS_Web_Design_Phase_Deliverables_MLP_LLP_7-14-2010_Combined_FP_CAMP&amp;ITReporting_Maintenance_Dashboard" xfId="9451" xr:uid="{00000000-0005-0000-0000-000091240000}"/>
    <cellStyle name="_20061103Holux_WorldBankCMSScope_CMS_Web_Design_Phase_Deliverables_MLP_LLP_7-14-2010_Combined_FP_CAMP&amp;ITReporting_Maintenance_Dashboard 2" xfId="9452" xr:uid="{00000000-0005-0000-0000-000092240000}"/>
    <cellStyle name="_20061103Holux_WorldBankCMSScope_CMS_Web_Design_Phase_Deliverables_MLP_LLP_7-14-2010_Combined_FP_CAMP&amp;ITReporting_Maintenance_Dashboard 2_Steps of Doneness" xfId="9453" xr:uid="{00000000-0005-0000-0000-000093240000}"/>
    <cellStyle name="_20061103Holux_WorldBankCMSScope_CMS_Web_Design_Phase_Deliverables_MLP_LLP_7-14-2010_Combined_FP_CAMP&amp;ITReporting_Maintenance_Dashboard 3" xfId="9454" xr:uid="{00000000-0005-0000-0000-000094240000}"/>
    <cellStyle name="_20061103Holux_WorldBankCMSScope_CMS_Web_Design_Phase_Deliverables_MLP_LLP_7-14-2010_Combined_FP_CAMP&amp;ITReporting_Maintenance_Dashboard_Steps of Doneness" xfId="9455" xr:uid="{00000000-0005-0000-0000-000095240000}"/>
    <cellStyle name="_20061103Holux_WorldBankCMSScope_CMS_Web_Design_Phase_Deliverables_MLP_LLP_7-14-2010_Combined_FP_CAMPITReporting_Maintenance_Dashboard" xfId="9456" xr:uid="{00000000-0005-0000-0000-000096240000}"/>
    <cellStyle name="_20061103Holux_WorldBankCMSScope_CMS_Web_Design_Phase_Deliverables_MLP_LLP_7-14-2010_Combined_FP_CAMPITReporting_Maintenance_Dashboard 2" xfId="9457" xr:uid="{00000000-0005-0000-0000-000097240000}"/>
    <cellStyle name="_20061103Holux_WorldBankCMSScope_CMS_Web_Design_Phase_Deliverables_MLP_LLP_7-14-2010_Combined_FP_CAMPITReporting_Maintenance_Dashboard 2_Steps of Doneness" xfId="9458" xr:uid="{00000000-0005-0000-0000-000098240000}"/>
    <cellStyle name="_20061103Holux_WorldBankCMSScope_CMS_Web_Design_Phase_Deliverables_MLP_LLP_7-14-2010_Combined_FP_CAMPITReporting_Maintenance_Dashboard 3" xfId="9459" xr:uid="{00000000-0005-0000-0000-000099240000}"/>
    <cellStyle name="_20061103Holux_WorldBankCMSScope_CMS_Web_Design_Phase_Deliverables_MLP_LLP_7-14-2010_Combined_FP_CAMPITReporting_Maintenance_Dashboard_Steps of Doneness" xfId="9460" xr:uid="{00000000-0005-0000-0000-00009A240000}"/>
    <cellStyle name="_20061103Holux_WorldBankCMSScope_CMS_Web_Design_Phase_Deliverables_MLP_LLP_7-14-2010_Combined_FP_Commissions_Req_Dn_ProgramWorkBook_10-Dec-2010" xfId="9461" xr:uid="{00000000-0005-0000-0000-00009B240000}"/>
    <cellStyle name="_20061103Holux_WorldBankCMSScope_CMS_Web_Design_Phase_Deliverables_MLP_LLP_7-14-2010_Combined_FP_Commissions_Req_Dn_ProgramWorkBook_10-Dec-2010 2" xfId="9462" xr:uid="{00000000-0005-0000-0000-00009C240000}"/>
    <cellStyle name="_20061103Holux_WorldBankCMSScope_CMS_Web_Design_Phase_Deliverables_MLP_LLP_7-14-2010_Combined_FP_Commissions_Req_Dn_ProgramWorkBook_10-Dec-2010 2_Steps of Doneness" xfId="9463" xr:uid="{00000000-0005-0000-0000-00009D240000}"/>
    <cellStyle name="_20061103Holux_WorldBankCMSScope_CMS_Web_Design_Phase_Deliverables_MLP_LLP_7-14-2010_Combined_FP_Commissions_Req_Dn_ProgramWorkBook_10-Dec-2010 3" xfId="9464" xr:uid="{00000000-0005-0000-0000-00009E240000}"/>
    <cellStyle name="_20061103Holux_WorldBankCMSScope_CMS_Web_Design_Phase_Deliverables_MLP_LLP_7-14-2010_Combined_FP_Commissions_Req_Dn_ProgramWorkBook_10-Dec-2010_Steps of Doneness" xfId="9465" xr:uid="{00000000-0005-0000-0000-00009F240000}"/>
    <cellStyle name="_20061103Holux_WorldBankCMSScope_CMS_Web_Design_Phase_Deliverables_MLP_LLP_7-14-2010_Combined_FP_DW_Impl_ProgramWorkBook_07-Jan-2011" xfId="9466" xr:uid="{00000000-0005-0000-0000-0000A0240000}"/>
    <cellStyle name="_20061103Holux_WorldBankCMSScope_CMS_Web_Design_Phase_Deliverables_MLP_LLP_7-14-2010_Combined_FP_DW_Impl_ProgramWorkBook_07-Jan-2011 2" xfId="9467" xr:uid="{00000000-0005-0000-0000-0000A1240000}"/>
    <cellStyle name="_20061103Holux_WorldBankCMSScope_CMS_Web_Design_Phase_Deliverables_MLP_LLP_7-14-2010_Combined_FP_DW_Impl_ProgramWorkBook_07-Jan-2011 2 2" xfId="9468" xr:uid="{00000000-0005-0000-0000-0000A2240000}"/>
    <cellStyle name="_20061103Holux_WorldBankCMSScope_CMS_Web_Design_Phase_Deliverables_MLP_LLP_7-14-2010_Combined_FP_DW_Impl_ProgramWorkBook_07-Jan-2011 2 2_Steps of Doneness" xfId="9469" xr:uid="{00000000-0005-0000-0000-0000A3240000}"/>
    <cellStyle name="_20061103Holux_WorldBankCMSScope_CMS_Web_Design_Phase_Deliverables_MLP_LLP_7-14-2010_Combined_FP_DW_Impl_ProgramWorkBook_07-Jan-2011 2 3" xfId="9470" xr:uid="{00000000-0005-0000-0000-0000A4240000}"/>
    <cellStyle name="_20061103Holux_WorldBankCMSScope_CMS_Web_Design_Phase_Deliverables_MLP_LLP_7-14-2010_Combined_FP_DW_Impl_ProgramWorkBook_07-Jan-2011 2_Steps of Doneness" xfId="9471" xr:uid="{00000000-0005-0000-0000-0000A5240000}"/>
    <cellStyle name="_20061103Holux_WorldBankCMSScope_CMS_Web_Design_Phase_Deliverables_MLP_LLP_7-14-2010_Combined_FP_DW_Impl_ProgramWorkBook_07-Jan-2011 3" xfId="9472" xr:uid="{00000000-0005-0000-0000-0000A6240000}"/>
    <cellStyle name="_20061103Holux_WorldBankCMSScope_CMS_Web_Design_Phase_Deliverables_MLP_LLP_7-14-2010_Combined_FP_DW_Impl_ProgramWorkBook_07-Jan-2011 3_Steps of Doneness" xfId="9473" xr:uid="{00000000-0005-0000-0000-0000A7240000}"/>
    <cellStyle name="_20061103Holux_WorldBankCMSScope_CMS_Web_Design_Phase_Deliverables_MLP_LLP_7-14-2010_Combined_FP_DW_Impl_ProgramWorkBook_07-Jan-2011 4" xfId="9474" xr:uid="{00000000-0005-0000-0000-0000A8240000}"/>
    <cellStyle name="_20061103Holux_WorldBankCMSScope_CMS_Web_Design_Phase_Deliverables_MLP_LLP_7-14-2010_Combined_FP_DW_Impl_ProgramWorkBook_07-Jan-2011_Steps of Doneness" xfId="9475" xr:uid="{00000000-0005-0000-0000-0000A9240000}"/>
    <cellStyle name="_20061103Holux_WorldBankCMSScope_CMS_Web_Design_Phase_Deliverables_MLP_LLP_7-14-2010_Combined_FP_DW_Impl_ProgramWorkBook_11-Feb-2011" xfId="9476" xr:uid="{00000000-0005-0000-0000-0000AA240000}"/>
    <cellStyle name="_20061103Holux_WorldBankCMSScope_CMS_Web_Design_Phase_Deliverables_MLP_LLP_7-14-2010_Combined_FP_DW_Impl_ProgramWorkBook_11-Feb-2011 2" xfId="9477" xr:uid="{00000000-0005-0000-0000-0000AB240000}"/>
    <cellStyle name="_20061103Holux_WorldBankCMSScope_CMS_Web_Design_Phase_Deliverables_MLP_LLP_7-14-2010_Combined_FP_DW_Impl_ProgramWorkBook_11-Feb-2011 2_Steps of Doneness" xfId="9478" xr:uid="{00000000-0005-0000-0000-0000AC240000}"/>
    <cellStyle name="_20061103Holux_WorldBankCMSScope_CMS_Web_Design_Phase_Deliverables_MLP_LLP_7-14-2010_Combined_FP_DW_Impl_ProgramWorkBook_11-Feb-2011 3" xfId="9479" xr:uid="{00000000-0005-0000-0000-0000AD240000}"/>
    <cellStyle name="_20061103Holux_WorldBankCMSScope_CMS_Web_Design_Phase_Deliverables_MLP_LLP_7-14-2010_Combined_FP_DW_Impl_ProgramWorkBook_11-Feb-2011_Steps of Doneness" xfId="9480" xr:uid="{00000000-0005-0000-0000-0000AE240000}"/>
    <cellStyle name="_20061103Holux_WorldBankCMSScope_CMS_Web_Design_Phase_Deliverables_MLP_LLP_7-14-2010_Combined_FP_DW_Impl_ProgramWorkBook_18-Feb-2011 - Working" xfId="9481" xr:uid="{00000000-0005-0000-0000-0000AF240000}"/>
    <cellStyle name="_20061103Holux_WorldBankCMSScope_CMS_Web_Design_Phase_Deliverables_MLP_LLP_7-14-2010_Combined_FP_DW_Impl_ProgramWorkBook_18-Feb-2011 - Working 2" xfId="9482" xr:uid="{00000000-0005-0000-0000-0000B0240000}"/>
    <cellStyle name="_20061103Holux_WorldBankCMSScope_CMS_Web_Design_Phase_Deliverables_MLP_LLP_7-14-2010_Combined_FP_DW_Impl_ProgramWorkBook_18-Feb-2011 - Working 2_Steps of Doneness" xfId="9483" xr:uid="{00000000-0005-0000-0000-0000B1240000}"/>
    <cellStyle name="_20061103Holux_WorldBankCMSScope_CMS_Web_Design_Phase_Deliverables_MLP_LLP_7-14-2010_Combined_FP_DW_Impl_ProgramWorkBook_18-Feb-2011 - Working 3" xfId="9484" xr:uid="{00000000-0005-0000-0000-0000B2240000}"/>
    <cellStyle name="_20061103Holux_WorldBankCMSScope_CMS_Web_Design_Phase_Deliverables_MLP_LLP_7-14-2010_Combined_FP_DW_Impl_ProgramWorkBook_18-Feb-2011 - Working_Steps of Doneness" xfId="9485" xr:uid="{00000000-0005-0000-0000-0000B3240000}"/>
    <cellStyle name="_20061103Holux_WorldBankCMSScope_CMS_Web_Design_Phase_Deliverables_MLP_LLP_7-14-2010_Combined_FP_EnterprisePortal_ProgramWorkbook" xfId="9486" xr:uid="{00000000-0005-0000-0000-0000B4240000}"/>
    <cellStyle name="_20061103Holux_WorldBankCMSScope_CMS_Web_Design_Phase_Deliverables_MLP_LLP_7-14-2010_Combined_FP_EnterprisePortal_ProgramWorkbook 2" xfId="9487" xr:uid="{00000000-0005-0000-0000-0000B5240000}"/>
    <cellStyle name="_20061103Holux_WorldBankCMSScope_CMS_Web_Design_Phase_Deliverables_MLP_LLP_7-14-2010_Combined_FP_EnterprisePortal_ProgramWorkbook 2_Steps of Doneness" xfId="9488" xr:uid="{00000000-0005-0000-0000-0000B6240000}"/>
    <cellStyle name="_20061103Holux_WorldBankCMSScope_CMS_Web_Design_Phase_Deliverables_MLP_LLP_7-14-2010_Combined_FP_EnterprisePortal_ProgramWorkbook 3" xfId="9489" xr:uid="{00000000-0005-0000-0000-0000B7240000}"/>
    <cellStyle name="_20061103Holux_WorldBankCMSScope_CMS_Web_Design_Phase_Deliverables_MLP_LLP_7-14-2010_Combined_FP_EnterprisePortal_ProgramWorkbook_Steps of Doneness" xfId="9490" xr:uid="{00000000-0005-0000-0000-0000B8240000}"/>
    <cellStyle name="_20061103Holux_WorldBankCMSScope_CMS_Web_Design_Phase_Deliverables_MLP_LLP_7-14-2010_Combined_FP_SAP_MLP v2" xfId="9491" xr:uid="{00000000-0005-0000-0000-0000B9240000}"/>
    <cellStyle name="_20061103Holux_WorldBankCMSScope_CMS_Web_Design_Phase_Deliverables_MLP_LLP_7-14-2010_Combined_FP_SAP_MLP v2 2" xfId="9492" xr:uid="{00000000-0005-0000-0000-0000BA240000}"/>
    <cellStyle name="_20061103Holux_WorldBankCMSScope_CMS_Web_Design_Phase_Deliverables_MLP_LLP_7-14-2010_Combined_FP_SAP_MLP v2 2_Steps of Doneness" xfId="9493" xr:uid="{00000000-0005-0000-0000-0000BB240000}"/>
    <cellStyle name="_20061103Holux_WorldBankCMSScope_CMS_Web_Design_Phase_Deliverables_MLP_LLP_7-14-2010_Combined_FP_SAP_MLP v2 3" xfId="9494" xr:uid="{00000000-0005-0000-0000-0000BC240000}"/>
    <cellStyle name="_20061103Holux_WorldBankCMSScope_CMS_Web_Design_Phase_Deliverables_MLP_LLP_7-14-2010_Combined_FP_SAP_MLP v2_Steps of Doneness" xfId="9495" xr:uid="{00000000-0005-0000-0000-0000BD240000}"/>
    <cellStyle name="_20061103Holux_WorldBankCMSScope_CMS_Web_Design_Phase_Deliverables_MLP_LLP_7-14-2010_Combined_KeyDecisions" xfId="9496" xr:uid="{00000000-0005-0000-0000-0000BE240000}"/>
    <cellStyle name="_20061103Holux_WorldBankCMSScope_CMS_Web_Design_Phase_Deliverables_MLP_LLP_7-14-2010_Combined_KeyDecisions 2" xfId="9497" xr:uid="{00000000-0005-0000-0000-0000BF240000}"/>
    <cellStyle name="_20061103Holux_WorldBankCMSScope_CMS_Web_Design_Phase_Deliverables_MLP_LLP_7-14-2010_Combined_KeyDecisions 2_Steps of Doneness" xfId="9498" xr:uid="{00000000-0005-0000-0000-0000C0240000}"/>
    <cellStyle name="_20061103Holux_WorldBankCMSScope_CMS_Web_Design_Phase_Deliverables_MLP_LLP_7-14-2010_Combined_KeyDecisions 3" xfId="9499" xr:uid="{00000000-0005-0000-0000-0000C1240000}"/>
    <cellStyle name="_20061103Holux_WorldBankCMSScope_CMS_Web_Design_Phase_Deliverables_MLP_LLP_7-14-2010_Combined_KeyDecisions_Steps of Doneness" xfId="9500" xr:uid="{00000000-0005-0000-0000-0000C2240000}"/>
    <cellStyle name="_20061103Holux_WorldBankCMSScope_CMS_Web_Design_Phase_Deliverables_MLP_LLP_7-14-2010_Combined_Sophia_Imp_ProjectWorkBook_02_18_2011" xfId="9501" xr:uid="{00000000-0005-0000-0000-0000C3240000}"/>
    <cellStyle name="_20061103Holux_WorldBankCMSScope_CMS_Web_Design_Phase_Deliverables_MLP_LLP_7-14-2010_Combined_Sophia_Imp_ProjectWorkBook_02_18_2011 2" xfId="9502" xr:uid="{00000000-0005-0000-0000-0000C4240000}"/>
    <cellStyle name="_20061103Holux_WorldBankCMSScope_CMS_Web_Design_Phase_Deliverables_MLP_LLP_7-14-2010_Combined_Sophia_Imp_ProjectWorkBook_02_18_2011 2_Steps of Doneness" xfId="9503" xr:uid="{00000000-0005-0000-0000-0000C5240000}"/>
    <cellStyle name="_20061103Holux_WorldBankCMSScope_CMS_Web_Design_Phase_Deliverables_MLP_LLP_7-14-2010_Combined_Sophia_Imp_ProjectWorkBook_02_18_2011 3" xfId="9504" xr:uid="{00000000-0005-0000-0000-0000C6240000}"/>
    <cellStyle name="_20061103Holux_WorldBankCMSScope_CMS_Web_Design_Phase_Deliverables_MLP_LLP_7-14-2010_Combined_Sophia_Imp_ProjectWorkBook_02_18_2011_Steps of Doneness" xfId="9505" xr:uid="{00000000-0005-0000-0000-0000C7240000}"/>
    <cellStyle name="_20061103Holux_WorldBankCMSScope_CMS_Web_Design_Phase_Deliverables_MLP_LLP_7-14-2010_Combined_Steps of Doneness" xfId="9506" xr:uid="{00000000-0005-0000-0000-0000C8240000}"/>
    <cellStyle name="_20061103Holux_WorldBankCMSScope_CMS_Web_Design_Phase_Deliverables_MLP_LLP_7-14-2010_Combined_t" xfId="9507" xr:uid="{00000000-0005-0000-0000-0000C9240000}"/>
    <cellStyle name="_20061103Holux_WorldBankCMSScope_CMS_Web_Design_Phase_Deliverables_MLP_LLP_7-14-2010_Combined_t 2" xfId="9508" xr:uid="{00000000-0005-0000-0000-0000CA240000}"/>
    <cellStyle name="_20061103Holux_WorldBankCMSScope_CMS_Web_Design_Phase_Deliverables_MLP_LLP_7-14-2010_Combined_t 2_Steps of Doneness" xfId="9509" xr:uid="{00000000-0005-0000-0000-0000CB240000}"/>
    <cellStyle name="_20061103Holux_WorldBankCMSScope_CMS_Web_Design_Phase_Deliverables_MLP_LLP_7-14-2010_Combined_t 3" xfId="9510" xr:uid="{00000000-0005-0000-0000-0000CC240000}"/>
    <cellStyle name="_20061103Holux_WorldBankCMSScope_CMS_Web_Design_Phase_Deliverables_MLP_LLP_7-14-2010_Combined_t_Steps of Doneness" xfId="9511" xr:uid="{00000000-0005-0000-0000-0000CD240000}"/>
    <cellStyle name="_20061103Holux_WorldBankCMSScope_Commissioning System Implementation_Project Workbook_06_10_2011" xfId="9512" xr:uid="{00000000-0005-0000-0000-0000CE240000}"/>
    <cellStyle name="_20061103Holux_WorldBankCMSScope_Commissioning System Implementation_Project Workbook_06_10_2011 2" xfId="9513" xr:uid="{00000000-0005-0000-0000-0000CF240000}"/>
    <cellStyle name="_20061103Holux_WorldBankCMSScope_Commissioning System Implementation_Project Workbook_06_10_2011 2_Steps of Doneness" xfId="9514" xr:uid="{00000000-0005-0000-0000-0000D0240000}"/>
    <cellStyle name="_20061103Holux_WorldBankCMSScope_Commissioning System Implementation_Project Workbook_06_10_2011 3" xfId="9515" xr:uid="{00000000-0005-0000-0000-0000D1240000}"/>
    <cellStyle name="_20061103Holux_WorldBankCMSScope_Commissioning System Implementation_Project Workbook_06_10_2011_Steps of Doneness" xfId="9516" xr:uid="{00000000-0005-0000-0000-0000D2240000}"/>
    <cellStyle name="_20061103Holux_WorldBankCMSScope_Detailed_Requirements_Plan" xfId="9517" xr:uid="{00000000-0005-0000-0000-0000D3240000}"/>
    <cellStyle name="_20061103Holux_WorldBankCMSScope_Detailed_Requirements_Plan 2" xfId="9518" xr:uid="{00000000-0005-0000-0000-0000D4240000}"/>
    <cellStyle name="_20061103Holux_WorldBankCMSScope_Detailed_Requirements_Plan 2_Steps of Doneness" xfId="9519" xr:uid="{00000000-0005-0000-0000-0000D5240000}"/>
    <cellStyle name="_20061103Holux_WorldBankCMSScope_Detailed_Requirements_Plan 3" xfId="9520" xr:uid="{00000000-0005-0000-0000-0000D6240000}"/>
    <cellStyle name="_20061103Holux_WorldBankCMSScope_Detailed_Requirements_Plan_Steps of Doneness" xfId="9521" xr:uid="{00000000-0005-0000-0000-0000D7240000}"/>
    <cellStyle name="_20061103Holux_WorldBankCMSScope_Doneness Matrix v2" xfId="9522" xr:uid="{00000000-0005-0000-0000-0000D8240000}"/>
    <cellStyle name="_20061103Holux_WorldBankCMSScope_Doneness Matrix v2 2" xfId="9523" xr:uid="{00000000-0005-0000-0000-0000D9240000}"/>
    <cellStyle name="_20061103Holux_WorldBankCMSScope_Doneness Matrix v2 2 2" xfId="9524" xr:uid="{00000000-0005-0000-0000-0000DA240000}"/>
    <cellStyle name="_20061103Holux_WorldBankCMSScope_Doneness Matrix v2 2 2_Steps of Doneness" xfId="9525" xr:uid="{00000000-0005-0000-0000-0000DB240000}"/>
    <cellStyle name="_20061103Holux_WorldBankCMSScope_Doneness Matrix v2 2 3" xfId="9526" xr:uid="{00000000-0005-0000-0000-0000DC240000}"/>
    <cellStyle name="_20061103Holux_WorldBankCMSScope_Doneness Matrix v2 2_Steps of Doneness" xfId="9527" xr:uid="{00000000-0005-0000-0000-0000DD240000}"/>
    <cellStyle name="_20061103Holux_WorldBankCMSScope_Doneness Matrix v2 3" xfId="9528" xr:uid="{00000000-0005-0000-0000-0000DE240000}"/>
    <cellStyle name="_20061103Holux_WorldBankCMSScope_Doneness Matrix v2 3_Steps of Doneness" xfId="9529" xr:uid="{00000000-0005-0000-0000-0000DF240000}"/>
    <cellStyle name="_20061103Holux_WorldBankCMSScope_Doneness Matrix v2 4" xfId="9530" xr:uid="{00000000-0005-0000-0000-0000E0240000}"/>
    <cellStyle name="_20061103Holux_WorldBankCMSScope_Doneness Matrix v2_Commissioning System Implementation_Project Workbook_06_10_2011" xfId="9531" xr:uid="{00000000-0005-0000-0000-0000E1240000}"/>
    <cellStyle name="_20061103Holux_WorldBankCMSScope_Doneness Matrix v2_Commissioning System Implementation_Project Workbook_06_10_2011 2" xfId="9532" xr:uid="{00000000-0005-0000-0000-0000E2240000}"/>
    <cellStyle name="_20061103Holux_WorldBankCMSScope_Doneness Matrix v2_Commissioning System Implementation_Project Workbook_06_10_2011 2_Steps of Doneness" xfId="9533" xr:uid="{00000000-0005-0000-0000-0000E3240000}"/>
    <cellStyle name="_20061103Holux_WorldBankCMSScope_Doneness Matrix v2_Commissioning System Implementation_Project Workbook_06_10_2011 3" xfId="9534" xr:uid="{00000000-0005-0000-0000-0000E4240000}"/>
    <cellStyle name="_20061103Holux_WorldBankCMSScope_Doneness Matrix v2_Commissioning System Implementation_Project Workbook_06_10_2011_Steps of Doneness" xfId="9535" xr:uid="{00000000-0005-0000-0000-0000E5240000}"/>
    <cellStyle name="_20061103Holux_WorldBankCMSScope_Doneness Matrix v2_FairPoint_CampReport" xfId="9536" xr:uid="{00000000-0005-0000-0000-0000E6240000}"/>
    <cellStyle name="_20061103Holux_WorldBankCMSScope_Doneness Matrix v2_FairPoint_CampReport 2" xfId="9537" xr:uid="{00000000-0005-0000-0000-0000E7240000}"/>
    <cellStyle name="_20061103Holux_WorldBankCMSScope_Doneness Matrix v2_FairPoint_CampReport 2_Steps of Doneness" xfId="9538" xr:uid="{00000000-0005-0000-0000-0000E8240000}"/>
    <cellStyle name="_20061103Holux_WorldBankCMSScope_Doneness Matrix v2_FairPoint_CampReport 3" xfId="9539" xr:uid="{00000000-0005-0000-0000-0000E9240000}"/>
    <cellStyle name="_20061103Holux_WorldBankCMSScope_Doneness Matrix v2_FairPoint_CampReport_Steps of Doneness" xfId="9540" xr:uid="{00000000-0005-0000-0000-0000EA240000}"/>
    <cellStyle name="_20061103Holux_WorldBankCMSScope_Doneness Matrix v2_FairPoint_FP comTechOps_ProgramWorkbook" xfId="9541" xr:uid="{00000000-0005-0000-0000-0000EB240000}"/>
    <cellStyle name="_20061103Holux_WorldBankCMSScope_Doneness Matrix v2_FairPoint_FP comTechOps_ProgramWorkbook 2" xfId="9542" xr:uid="{00000000-0005-0000-0000-0000EC240000}"/>
    <cellStyle name="_20061103Holux_WorldBankCMSScope_Doneness Matrix v2_FairPoint_FP comTechOps_ProgramWorkbook 2_Steps of Doneness" xfId="9543" xr:uid="{00000000-0005-0000-0000-0000ED240000}"/>
    <cellStyle name="_20061103Holux_WorldBankCMSScope_Doneness Matrix v2_FairPoint_FP comTechOps_ProgramWorkbook 3" xfId="9544" xr:uid="{00000000-0005-0000-0000-0000EE240000}"/>
    <cellStyle name="_20061103Holux_WorldBankCMSScope_Doneness Matrix v2_FairPoint_FP comTechOps_ProgramWorkbook_sachin" xfId="9545" xr:uid="{00000000-0005-0000-0000-0000EF240000}"/>
    <cellStyle name="_20061103Holux_WorldBankCMSScope_Doneness Matrix v2_FairPoint_FP comTechOps_ProgramWorkbook_sachin 2" xfId="9546" xr:uid="{00000000-0005-0000-0000-0000F0240000}"/>
    <cellStyle name="_20061103Holux_WorldBankCMSScope_Doneness Matrix v2_FairPoint_FP comTechOps_ProgramWorkbook_sachin 2_Steps of Doneness" xfId="9547" xr:uid="{00000000-0005-0000-0000-0000F1240000}"/>
    <cellStyle name="_20061103Holux_WorldBankCMSScope_Doneness Matrix v2_FairPoint_FP comTechOps_ProgramWorkbook_sachin 3" xfId="9548" xr:uid="{00000000-0005-0000-0000-0000F2240000}"/>
    <cellStyle name="_20061103Holux_WorldBankCMSScope_Doneness Matrix v2_FairPoint_FP comTechOps_ProgramWorkbook_sachin_Steps of Doneness" xfId="9549" xr:uid="{00000000-0005-0000-0000-0000F3240000}"/>
    <cellStyle name="_20061103Holux_WorldBankCMSScope_Doneness Matrix v2_FairPoint_FP comTechOps_ProgramWorkbook_sachin_v1" xfId="9550" xr:uid="{00000000-0005-0000-0000-0000F4240000}"/>
    <cellStyle name="_20061103Holux_WorldBankCMSScope_Doneness Matrix v2_FairPoint_FP comTechOps_ProgramWorkbook_sachin_v1 2" xfId="9551" xr:uid="{00000000-0005-0000-0000-0000F5240000}"/>
    <cellStyle name="_20061103Holux_WorldBankCMSScope_Doneness Matrix v2_FairPoint_FP comTechOps_ProgramWorkbook_sachin_v1 2_Steps of Doneness" xfId="9552" xr:uid="{00000000-0005-0000-0000-0000F6240000}"/>
    <cellStyle name="_20061103Holux_WorldBankCMSScope_Doneness Matrix v2_FairPoint_FP comTechOps_ProgramWorkbook_sachin_v1 3" xfId="9553" xr:uid="{00000000-0005-0000-0000-0000F7240000}"/>
    <cellStyle name="_20061103Holux_WorldBankCMSScope_Doneness Matrix v2_FairPoint_FP comTechOps_ProgramWorkbook_sachin_v1_Steps of Doneness" xfId="9554" xr:uid="{00000000-0005-0000-0000-0000F8240000}"/>
    <cellStyle name="_20061103Holux_WorldBankCMSScope_Doneness Matrix v2_FairPoint_FP comTechOps_ProgramWorkbook_Steps of Doneness" xfId="9555" xr:uid="{00000000-0005-0000-0000-0000F9240000}"/>
    <cellStyle name="_20061103Holux_WorldBankCMSScope_Doneness Matrix v2_FP_CAMP&amp;ITReporting_Maintenance_Dashboard" xfId="9556" xr:uid="{00000000-0005-0000-0000-0000FA240000}"/>
    <cellStyle name="_20061103Holux_WorldBankCMSScope_Doneness Matrix v2_FP_CAMP&amp;ITReporting_Maintenance_Dashboard 2" xfId="9557" xr:uid="{00000000-0005-0000-0000-0000FB240000}"/>
    <cellStyle name="_20061103Holux_WorldBankCMSScope_Doneness Matrix v2_FP_CAMP&amp;ITReporting_Maintenance_Dashboard 2_Steps of Doneness" xfId="9558" xr:uid="{00000000-0005-0000-0000-0000FC240000}"/>
    <cellStyle name="_20061103Holux_WorldBankCMSScope_Doneness Matrix v2_FP_CAMP&amp;ITReporting_Maintenance_Dashboard 3" xfId="9559" xr:uid="{00000000-0005-0000-0000-0000FD240000}"/>
    <cellStyle name="_20061103Holux_WorldBankCMSScope_Doneness Matrix v2_FP_CAMP&amp;ITReporting_Maintenance_Dashboard_Steps of Doneness" xfId="9560" xr:uid="{00000000-0005-0000-0000-0000FE240000}"/>
    <cellStyle name="_20061103Holux_WorldBankCMSScope_Doneness Matrix v2_FP_CAMPITReporting_Maintenance_Dashboard" xfId="9561" xr:uid="{00000000-0005-0000-0000-0000FF240000}"/>
    <cellStyle name="_20061103Holux_WorldBankCMSScope_Doneness Matrix v2_FP_CAMPITReporting_Maintenance_Dashboard 2" xfId="9562" xr:uid="{00000000-0005-0000-0000-000000250000}"/>
    <cellStyle name="_20061103Holux_WorldBankCMSScope_Doneness Matrix v2_FP_CAMPITReporting_Maintenance_Dashboard 2_Steps of Doneness" xfId="9563" xr:uid="{00000000-0005-0000-0000-000001250000}"/>
    <cellStyle name="_20061103Holux_WorldBankCMSScope_Doneness Matrix v2_FP_CAMPITReporting_Maintenance_Dashboard 3" xfId="9564" xr:uid="{00000000-0005-0000-0000-000002250000}"/>
    <cellStyle name="_20061103Holux_WorldBankCMSScope_Doneness Matrix v2_FP_CAMPITReporting_Maintenance_Dashboard_Steps of Doneness" xfId="9565" xr:uid="{00000000-0005-0000-0000-000003250000}"/>
    <cellStyle name="_20061103Holux_WorldBankCMSScope_Doneness Matrix v2_FP_Commissions_Req_Dn_ProgramWorkBook_10-Dec-2010" xfId="9566" xr:uid="{00000000-0005-0000-0000-000004250000}"/>
    <cellStyle name="_20061103Holux_WorldBankCMSScope_Doneness Matrix v2_FP_Commissions_Req_Dn_ProgramWorkBook_10-Dec-2010 2" xfId="9567" xr:uid="{00000000-0005-0000-0000-000005250000}"/>
    <cellStyle name="_20061103Holux_WorldBankCMSScope_Doneness Matrix v2_FP_Commissions_Req_Dn_ProgramWorkBook_10-Dec-2010 2_Steps of Doneness" xfId="9568" xr:uid="{00000000-0005-0000-0000-000006250000}"/>
    <cellStyle name="_20061103Holux_WorldBankCMSScope_Doneness Matrix v2_FP_Commissions_Req_Dn_ProgramWorkBook_10-Dec-2010 3" xfId="9569" xr:uid="{00000000-0005-0000-0000-000007250000}"/>
    <cellStyle name="_20061103Holux_WorldBankCMSScope_Doneness Matrix v2_FP_Commissions_Req_Dn_ProgramWorkBook_10-Dec-2010_Steps of Doneness" xfId="9570" xr:uid="{00000000-0005-0000-0000-000008250000}"/>
    <cellStyle name="_20061103Holux_WorldBankCMSScope_Doneness Matrix v2_FP_DW_Impl_ProgramWorkBook_07-Jan-2011" xfId="9571" xr:uid="{00000000-0005-0000-0000-000009250000}"/>
    <cellStyle name="_20061103Holux_WorldBankCMSScope_Doneness Matrix v2_FP_DW_Impl_ProgramWorkBook_07-Jan-2011 2" xfId="9572" xr:uid="{00000000-0005-0000-0000-00000A250000}"/>
    <cellStyle name="_20061103Holux_WorldBankCMSScope_Doneness Matrix v2_FP_DW_Impl_ProgramWorkBook_07-Jan-2011 2 2" xfId="9573" xr:uid="{00000000-0005-0000-0000-00000B250000}"/>
    <cellStyle name="_20061103Holux_WorldBankCMSScope_Doneness Matrix v2_FP_DW_Impl_ProgramWorkBook_07-Jan-2011 2 2_Steps of Doneness" xfId="9574" xr:uid="{00000000-0005-0000-0000-00000C250000}"/>
    <cellStyle name="_20061103Holux_WorldBankCMSScope_Doneness Matrix v2_FP_DW_Impl_ProgramWorkBook_07-Jan-2011 2 3" xfId="9575" xr:uid="{00000000-0005-0000-0000-00000D250000}"/>
    <cellStyle name="_20061103Holux_WorldBankCMSScope_Doneness Matrix v2_FP_DW_Impl_ProgramWorkBook_07-Jan-2011 2_Steps of Doneness" xfId="9576" xr:uid="{00000000-0005-0000-0000-00000E250000}"/>
    <cellStyle name="_20061103Holux_WorldBankCMSScope_Doneness Matrix v2_FP_DW_Impl_ProgramWorkBook_07-Jan-2011 3" xfId="9577" xr:uid="{00000000-0005-0000-0000-00000F250000}"/>
    <cellStyle name="_20061103Holux_WorldBankCMSScope_Doneness Matrix v2_FP_DW_Impl_ProgramWorkBook_07-Jan-2011 3_Steps of Doneness" xfId="9578" xr:uid="{00000000-0005-0000-0000-000010250000}"/>
    <cellStyle name="_20061103Holux_WorldBankCMSScope_Doneness Matrix v2_FP_DW_Impl_ProgramWorkBook_07-Jan-2011 4" xfId="9579" xr:uid="{00000000-0005-0000-0000-000011250000}"/>
    <cellStyle name="_20061103Holux_WorldBankCMSScope_Doneness Matrix v2_FP_DW_Impl_ProgramWorkBook_07-Jan-2011_Steps of Doneness" xfId="9580" xr:uid="{00000000-0005-0000-0000-000012250000}"/>
    <cellStyle name="_20061103Holux_WorldBankCMSScope_Doneness Matrix v2_FP_DW_Impl_ProgramWorkBook_11-Feb-2011" xfId="9581" xr:uid="{00000000-0005-0000-0000-000013250000}"/>
    <cellStyle name="_20061103Holux_WorldBankCMSScope_Doneness Matrix v2_FP_DW_Impl_ProgramWorkBook_11-Feb-2011 2" xfId="9582" xr:uid="{00000000-0005-0000-0000-000014250000}"/>
    <cellStyle name="_20061103Holux_WorldBankCMSScope_Doneness Matrix v2_FP_DW_Impl_ProgramWorkBook_11-Feb-2011 2_Steps of Doneness" xfId="9583" xr:uid="{00000000-0005-0000-0000-000015250000}"/>
    <cellStyle name="_20061103Holux_WorldBankCMSScope_Doneness Matrix v2_FP_DW_Impl_ProgramWorkBook_11-Feb-2011 3" xfId="9584" xr:uid="{00000000-0005-0000-0000-000016250000}"/>
    <cellStyle name="_20061103Holux_WorldBankCMSScope_Doneness Matrix v2_FP_DW_Impl_ProgramWorkBook_11-Feb-2011_Steps of Doneness" xfId="9585" xr:uid="{00000000-0005-0000-0000-000017250000}"/>
    <cellStyle name="_20061103Holux_WorldBankCMSScope_Doneness Matrix v2_FP_DW_Impl_ProgramWorkBook_18-Feb-2011 - Working" xfId="9586" xr:uid="{00000000-0005-0000-0000-000018250000}"/>
    <cellStyle name="_20061103Holux_WorldBankCMSScope_Doneness Matrix v2_FP_DW_Impl_ProgramWorkBook_18-Feb-2011 - Working 2" xfId="9587" xr:uid="{00000000-0005-0000-0000-000019250000}"/>
    <cellStyle name="_20061103Holux_WorldBankCMSScope_Doneness Matrix v2_FP_DW_Impl_ProgramWorkBook_18-Feb-2011 - Working 2_Steps of Doneness" xfId="9588" xr:uid="{00000000-0005-0000-0000-00001A250000}"/>
    <cellStyle name="_20061103Holux_WorldBankCMSScope_Doneness Matrix v2_FP_DW_Impl_ProgramWorkBook_18-Feb-2011 - Working 3" xfId="9589" xr:uid="{00000000-0005-0000-0000-00001B250000}"/>
    <cellStyle name="_20061103Holux_WorldBankCMSScope_Doneness Matrix v2_FP_DW_Impl_ProgramWorkBook_18-Feb-2011 - Working_Steps of Doneness" xfId="9590" xr:uid="{00000000-0005-0000-0000-00001C250000}"/>
    <cellStyle name="_20061103Holux_WorldBankCMSScope_Doneness Matrix v2_FP_EnterprisePortal_ProgramWorkbook" xfId="9591" xr:uid="{00000000-0005-0000-0000-00001D250000}"/>
    <cellStyle name="_20061103Holux_WorldBankCMSScope_Doneness Matrix v2_FP_EnterprisePortal_ProgramWorkbook 2" xfId="9592" xr:uid="{00000000-0005-0000-0000-00001E250000}"/>
    <cellStyle name="_20061103Holux_WorldBankCMSScope_Doneness Matrix v2_FP_EnterprisePortal_ProgramWorkbook 2_Steps of Doneness" xfId="9593" xr:uid="{00000000-0005-0000-0000-00001F250000}"/>
    <cellStyle name="_20061103Holux_WorldBankCMSScope_Doneness Matrix v2_FP_EnterprisePortal_ProgramWorkbook 3" xfId="9594" xr:uid="{00000000-0005-0000-0000-000020250000}"/>
    <cellStyle name="_20061103Holux_WorldBankCMSScope_Doneness Matrix v2_FP_EnterprisePortal_ProgramWorkbook_Steps of Doneness" xfId="9595" xr:uid="{00000000-0005-0000-0000-000021250000}"/>
    <cellStyle name="_20061103Holux_WorldBankCMSScope_Doneness Matrix v2_FP_SAP_MLP v2" xfId="9596" xr:uid="{00000000-0005-0000-0000-000022250000}"/>
    <cellStyle name="_20061103Holux_WorldBankCMSScope_Doneness Matrix v2_FP_SAP_MLP v2 2" xfId="9597" xr:uid="{00000000-0005-0000-0000-000023250000}"/>
    <cellStyle name="_20061103Holux_WorldBankCMSScope_Doneness Matrix v2_FP_SAP_MLP v2 2_Steps of Doneness" xfId="9598" xr:uid="{00000000-0005-0000-0000-000024250000}"/>
    <cellStyle name="_20061103Holux_WorldBankCMSScope_Doneness Matrix v2_FP_SAP_MLP v2 3" xfId="9599" xr:uid="{00000000-0005-0000-0000-000025250000}"/>
    <cellStyle name="_20061103Holux_WorldBankCMSScope_Doneness Matrix v2_FP_SAP_MLP v2_Steps of Doneness" xfId="9600" xr:uid="{00000000-0005-0000-0000-000026250000}"/>
    <cellStyle name="_20061103Holux_WorldBankCMSScope_Doneness Matrix v2_KeyDecisions" xfId="9601" xr:uid="{00000000-0005-0000-0000-000027250000}"/>
    <cellStyle name="_20061103Holux_WorldBankCMSScope_Doneness Matrix v2_KeyDecisions 2" xfId="9602" xr:uid="{00000000-0005-0000-0000-000028250000}"/>
    <cellStyle name="_20061103Holux_WorldBankCMSScope_Doneness Matrix v2_KeyDecisions 2_Steps of Doneness" xfId="9603" xr:uid="{00000000-0005-0000-0000-000029250000}"/>
    <cellStyle name="_20061103Holux_WorldBankCMSScope_Doneness Matrix v2_KeyDecisions 3" xfId="9604" xr:uid="{00000000-0005-0000-0000-00002A250000}"/>
    <cellStyle name="_20061103Holux_WorldBankCMSScope_Doneness Matrix v2_KeyDecisions_Steps of Doneness" xfId="9605" xr:uid="{00000000-0005-0000-0000-00002B250000}"/>
    <cellStyle name="_20061103Holux_WorldBankCMSScope_Doneness Matrix v2_Sophia_Imp_ProjectWorkBook_02_18_2011" xfId="9606" xr:uid="{00000000-0005-0000-0000-00002C250000}"/>
    <cellStyle name="_20061103Holux_WorldBankCMSScope_Doneness Matrix v2_Sophia_Imp_ProjectWorkBook_02_18_2011 2" xfId="9607" xr:uid="{00000000-0005-0000-0000-00002D250000}"/>
    <cellStyle name="_20061103Holux_WorldBankCMSScope_Doneness Matrix v2_Sophia_Imp_ProjectWorkBook_02_18_2011 2_Steps of Doneness" xfId="9608" xr:uid="{00000000-0005-0000-0000-00002E250000}"/>
    <cellStyle name="_20061103Holux_WorldBankCMSScope_Doneness Matrix v2_Sophia_Imp_ProjectWorkBook_02_18_2011 3" xfId="9609" xr:uid="{00000000-0005-0000-0000-00002F250000}"/>
    <cellStyle name="_20061103Holux_WorldBankCMSScope_Doneness Matrix v2_Sophia_Imp_ProjectWorkBook_02_18_2011_Steps of Doneness" xfId="9610" xr:uid="{00000000-0005-0000-0000-000030250000}"/>
    <cellStyle name="_20061103Holux_WorldBankCMSScope_Doneness Matrix v2_Steps of Doneness" xfId="9611" xr:uid="{00000000-0005-0000-0000-000031250000}"/>
    <cellStyle name="_20061103Holux_WorldBankCMSScope_Doneness Matrix v2_t" xfId="9612" xr:uid="{00000000-0005-0000-0000-000032250000}"/>
    <cellStyle name="_20061103Holux_WorldBankCMSScope_Doneness Matrix v2_t 2" xfId="9613" xr:uid="{00000000-0005-0000-0000-000033250000}"/>
    <cellStyle name="_20061103Holux_WorldBankCMSScope_Doneness Matrix v2_t 2_Steps of Doneness" xfId="9614" xr:uid="{00000000-0005-0000-0000-000034250000}"/>
    <cellStyle name="_20061103Holux_WorldBankCMSScope_Doneness Matrix v2_t 3" xfId="9615" xr:uid="{00000000-0005-0000-0000-000035250000}"/>
    <cellStyle name="_20061103Holux_WorldBankCMSScope_Doneness Matrix v2_t_Steps of Doneness" xfId="9616" xr:uid="{00000000-0005-0000-0000-000036250000}"/>
    <cellStyle name="_20061103Holux_WorldBankCMSScope_EnterprisePortalRequirements_PMWorkbook" xfId="9617" xr:uid="{00000000-0005-0000-0000-000037250000}"/>
    <cellStyle name="_20061103Holux_WorldBankCMSScope_EnterprisePortalRequirements_PMWorkbook (2)" xfId="9618" xr:uid="{00000000-0005-0000-0000-000038250000}"/>
    <cellStyle name="_20061103Holux_WorldBankCMSScope_EnterprisePortalRequirements_PMWorkbook (2) 2" xfId="9619" xr:uid="{00000000-0005-0000-0000-000039250000}"/>
    <cellStyle name="_20061103Holux_WorldBankCMSScope_EnterprisePortalRequirements_PMWorkbook (2) 2_Steps of Doneness" xfId="9620" xr:uid="{00000000-0005-0000-0000-00003A250000}"/>
    <cellStyle name="_20061103Holux_WorldBankCMSScope_EnterprisePortalRequirements_PMWorkbook (2) 3" xfId="9621" xr:uid="{00000000-0005-0000-0000-00003B250000}"/>
    <cellStyle name="_20061103Holux_WorldBankCMSScope_EnterprisePortalRequirements_PMWorkbook (2)_Steps of Doneness" xfId="9622" xr:uid="{00000000-0005-0000-0000-00003C250000}"/>
    <cellStyle name="_20061103Holux_WorldBankCMSScope_EnterprisePortalRequirements_PMWorkbook 10" xfId="9623" xr:uid="{00000000-0005-0000-0000-00003D250000}"/>
    <cellStyle name="_20061103Holux_WorldBankCMSScope_EnterprisePortalRequirements_PMWorkbook 2" xfId="9624" xr:uid="{00000000-0005-0000-0000-00003E250000}"/>
    <cellStyle name="_20061103Holux_WorldBankCMSScope_EnterprisePortalRequirements_PMWorkbook 2_Steps of Doneness" xfId="9625" xr:uid="{00000000-0005-0000-0000-00003F250000}"/>
    <cellStyle name="_20061103Holux_WorldBankCMSScope_EnterprisePortalRequirements_PMWorkbook 3" xfId="9626" xr:uid="{00000000-0005-0000-0000-000040250000}"/>
    <cellStyle name="_20061103Holux_WorldBankCMSScope_EnterprisePortalRequirements_PMWorkbook 3_Steps of Doneness" xfId="9627" xr:uid="{00000000-0005-0000-0000-000041250000}"/>
    <cellStyle name="_20061103Holux_WorldBankCMSScope_EnterprisePortalRequirements_PMWorkbook 4" xfId="9628" xr:uid="{00000000-0005-0000-0000-000042250000}"/>
    <cellStyle name="_20061103Holux_WorldBankCMSScope_EnterprisePortalRequirements_PMWorkbook 4_Steps of Doneness" xfId="9629" xr:uid="{00000000-0005-0000-0000-000043250000}"/>
    <cellStyle name="_20061103Holux_WorldBankCMSScope_EnterprisePortalRequirements_PMWorkbook 5" xfId="9630" xr:uid="{00000000-0005-0000-0000-000044250000}"/>
    <cellStyle name="_20061103Holux_WorldBankCMSScope_EnterprisePortalRequirements_PMWorkbook 6" xfId="9631" xr:uid="{00000000-0005-0000-0000-000045250000}"/>
    <cellStyle name="_20061103Holux_WorldBankCMSScope_EnterprisePortalRequirements_PMWorkbook 7" xfId="9632" xr:uid="{00000000-0005-0000-0000-000046250000}"/>
    <cellStyle name="_20061103Holux_WorldBankCMSScope_EnterprisePortalRequirements_PMWorkbook 8" xfId="9633" xr:uid="{00000000-0005-0000-0000-000047250000}"/>
    <cellStyle name="_20061103Holux_WorldBankCMSScope_EnterprisePortalRequirements_PMWorkbook 9" xfId="9634" xr:uid="{00000000-0005-0000-0000-000048250000}"/>
    <cellStyle name="_20061103Holux_WorldBankCMSScope_EnterprisePortalRequirements_PMWorkbook_Steps of Doneness" xfId="9635" xr:uid="{00000000-0005-0000-0000-000049250000}"/>
    <cellStyle name="_20061103Holux_WorldBankCMSScope_FairPoint_CampReport" xfId="9636" xr:uid="{00000000-0005-0000-0000-00004A250000}"/>
    <cellStyle name="_20061103Holux_WorldBankCMSScope_FairPoint_CampReport 2" xfId="9637" xr:uid="{00000000-0005-0000-0000-00004B250000}"/>
    <cellStyle name="_20061103Holux_WorldBankCMSScope_FairPoint_CampReport 2_Steps of Doneness" xfId="9638" xr:uid="{00000000-0005-0000-0000-00004C250000}"/>
    <cellStyle name="_20061103Holux_WorldBankCMSScope_FairPoint_CampReport 3" xfId="9639" xr:uid="{00000000-0005-0000-0000-00004D250000}"/>
    <cellStyle name="_20061103Holux_WorldBankCMSScope_FairPoint_CampReport_Steps of Doneness" xfId="9640" xr:uid="{00000000-0005-0000-0000-00004E250000}"/>
    <cellStyle name="_20061103Holux_WorldBankCMSScope_FairPoint_FP comTechOps_ProgramWorkbook" xfId="9641" xr:uid="{00000000-0005-0000-0000-00004F250000}"/>
    <cellStyle name="_20061103Holux_WorldBankCMSScope_FairPoint_FP comTechOps_ProgramWorkbook 2" xfId="9642" xr:uid="{00000000-0005-0000-0000-000050250000}"/>
    <cellStyle name="_20061103Holux_WorldBankCMSScope_FairPoint_FP comTechOps_ProgramWorkbook 2_Steps of Doneness" xfId="9643" xr:uid="{00000000-0005-0000-0000-000051250000}"/>
    <cellStyle name="_20061103Holux_WorldBankCMSScope_FairPoint_FP comTechOps_ProgramWorkbook 3" xfId="9644" xr:uid="{00000000-0005-0000-0000-000052250000}"/>
    <cellStyle name="_20061103Holux_WorldBankCMSScope_FairPoint_FP comTechOps_ProgramWorkbook_sachin" xfId="9645" xr:uid="{00000000-0005-0000-0000-000053250000}"/>
    <cellStyle name="_20061103Holux_WorldBankCMSScope_FairPoint_FP comTechOps_ProgramWorkbook_sachin 2" xfId="9646" xr:uid="{00000000-0005-0000-0000-000054250000}"/>
    <cellStyle name="_20061103Holux_WorldBankCMSScope_FairPoint_FP comTechOps_ProgramWorkbook_sachin 2_Steps of Doneness" xfId="9647" xr:uid="{00000000-0005-0000-0000-000055250000}"/>
    <cellStyle name="_20061103Holux_WorldBankCMSScope_FairPoint_FP comTechOps_ProgramWorkbook_sachin 3" xfId="9648" xr:uid="{00000000-0005-0000-0000-000056250000}"/>
    <cellStyle name="_20061103Holux_WorldBankCMSScope_FairPoint_FP comTechOps_ProgramWorkbook_sachin_Steps of Doneness" xfId="9649" xr:uid="{00000000-0005-0000-0000-000057250000}"/>
    <cellStyle name="_20061103Holux_WorldBankCMSScope_FairPoint_FP comTechOps_ProgramWorkbook_sachin_v1" xfId="9650" xr:uid="{00000000-0005-0000-0000-000058250000}"/>
    <cellStyle name="_20061103Holux_WorldBankCMSScope_FairPoint_FP comTechOps_ProgramWorkbook_sachin_v1 2" xfId="9651" xr:uid="{00000000-0005-0000-0000-000059250000}"/>
    <cellStyle name="_20061103Holux_WorldBankCMSScope_FairPoint_FP comTechOps_ProgramWorkbook_sachin_v1 2_Steps of Doneness" xfId="9652" xr:uid="{00000000-0005-0000-0000-00005A250000}"/>
    <cellStyle name="_20061103Holux_WorldBankCMSScope_FairPoint_FP comTechOps_ProgramWorkbook_sachin_v1 3" xfId="9653" xr:uid="{00000000-0005-0000-0000-00005B250000}"/>
    <cellStyle name="_20061103Holux_WorldBankCMSScope_FairPoint_FP comTechOps_ProgramWorkbook_sachin_v1_Steps of Doneness" xfId="9654" xr:uid="{00000000-0005-0000-0000-00005C250000}"/>
    <cellStyle name="_20061103Holux_WorldBankCMSScope_FairPoint_FP comTechOps_ProgramWorkbook_Steps of Doneness" xfId="9655" xr:uid="{00000000-0005-0000-0000-00005D250000}"/>
    <cellStyle name="_20061103Holux_WorldBankCMSScope_FairPoint_IntialSetup_Focus" xfId="9656" xr:uid="{00000000-0005-0000-0000-00005E250000}"/>
    <cellStyle name="_20061103Holux_WorldBankCMSScope_FairPoint_IntialSetup_Focus 2" xfId="9657" xr:uid="{00000000-0005-0000-0000-00005F250000}"/>
    <cellStyle name="_20061103Holux_WorldBankCMSScope_FairPoint_IntialSetup_Focus 2 2" xfId="9658" xr:uid="{00000000-0005-0000-0000-000060250000}"/>
    <cellStyle name="_20061103Holux_WorldBankCMSScope_FairPoint_IntialSetup_Focus 2 2_Steps of Doneness" xfId="9659" xr:uid="{00000000-0005-0000-0000-000061250000}"/>
    <cellStyle name="_20061103Holux_WorldBankCMSScope_FairPoint_IntialSetup_Focus 2 3" xfId="9660" xr:uid="{00000000-0005-0000-0000-000062250000}"/>
    <cellStyle name="_20061103Holux_WorldBankCMSScope_FairPoint_IntialSetup_Focus 2_Steps of Doneness" xfId="9661" xr:uid="{00000000-0005-0000-0000-000063250000}"/>
    <cellStyle name="_20061103Holux_WorldBankCMSScope_FairPoint_IntialSetup_Focus 3" xfId="9662" xr:uid="{00000000-0005-0000-0000-000064250000}"/>
    <cellStyle name="_20061103Holux_WorldBankCMSScope_FairPoint_IntialSetup_Focus 3_Steps of Doneness" xfId="9663" xr:uid="{00000000-0005-0000-0000-000065250000}"/>
    <cellStyle name="_20061103Holux_WorldBankCMSScope_FairPoint_IntialSetup_Focus 4" xfId="9664" xr:uid="{00000000-0005-0000-0000-000066250000}"/>
    <cellStyle name="_20061103Holux_WorldBankCMSScope_FairPoint_IntialSetup_Focus_Commissioning System Implementation_Project Workbook_06_10_2011" xfId="9665" xr:uid="{00000000-0005-0000-0000-000067250000}"/>
    <cellStyle name="_20061103Holux_WorldBankCMSScope_FairPoint_IntialSetup_Focus_Commissioning System Implementation_Project Workbook_06_10_2011 2" xfId="9666" xr:uid="{00000000-0005-0000-0000-000068250000}"/>
    <cellStyle name="_20061103Holux_WorldBankCMSScope_FairPoint_IntialSetup_Focus_Commissioning System Implementation_Project Workbook_06_10_2011 2_Steps of Doneness" xfId="9667" xr:uid="{00000000-0005-0000-0000-000069250000}"/>
    <cellStyle name="_20061103Holux_WorldBankCMSScope_FairPoint_IntialSetup_Focus_Commissioning System Implementation_Project Workbook_06_10_2011 3" xfId="9668" xr:uid="{00000000-0005-0000-0000-00006A250000}"/>
    <cellStyle name="_20061103Holux_WorldBankCMSScope_FairPoint_IntialSetup_Focus_Commissioning System Implementation_Project Workbook_06_10_2011_Steps of Doneness" xfId="9669" xr:uid="{00000000-0005-0000-0000-00006B250000}"/>
    <cellStyle name="_20061103Holux_WorldBankCMSScope_FairPoint_IntialSetup_Focus_FairPoint_CampReport" xfId="9670" xr:uid="{00000000-0005-0000-0000-00006C250000}"/>
    <cellStyle name="_20061103Holux_WorldBankCMSScope_FairPoint_IntialSetup_Focus_FairPoint_CampReport 2" xfId="9671" xr:uid="{00000000-0005-0000-0000-00006D250000}"/>
    <cellStyle name="_20061103Holux_WorldBankCMSScope_FairPoint_IntialSetup_Focus_FairPoint_CampReport 2_Steps of Doneness" xfId="9672" xr:uid="{00000000-0005-0000-0000-00006E250000}"/>
    <cellStyle name="_20061103Holux_WorldBankCMSScope_FairPoint_IntialSetup_Focus_FairPoint_CampReport 3" xfId="9673" xr:uid="{00000000-0005-0000-0000-00006F250000}"/>
    <cellStyle name="_20061103Holux_WorldBankCMSScope_FairPoint_IntialSetup_Focus_FairPoint_CampReport_Steps of Doneness" xfId="9674" xr:uid="{00000000-0005-0000-0000-000070250000}"/>
    <cellStyle name="_20061103Holux_WorldBankCMSScope_FairPoint_IntialSetup_Focus_FairPoint_FP comTechOps_ProgramWorkbook" xfId="9675" xr:uid="{00000000-0005-0000-0000-000071250000}"/>
    <cellStyle name="_20061103Holux_WorldBankCMSScope_FairPoint_IntialSetup_Focus_FairPoint_FP comTechOps_ProgramWorkbook 2" xfId="9676" xr:uid="{00000000-0005-0000-0000-000072250000}"/>
    <cellStyle name="_20061103Holux_WorldBankCMSScope_FairPoint_IntialSetup_Focus_FairPoint_FP comTechOps_ProgramWorkbook 2_Steps of Doneness" xfId="9677" xr:uid="{00000000-0005-0000-0000-000073250000}"/>
    <cellStyle name="_20061103Holux_WorldBankCMSScope_FairPoint_IntialSetup_Focus_FairPoint_FP comTechOps_ProgramWorkbook 3" xfId="9678" xr:uid="{00000000-0005-0000-0000-000074250000}"/>
    <cellStyle name="_20061103Holux_WorldBankCMSScope_FairPoint_IntialSetup_Focus_FairPoint_FP comTechOps_ProgramWorkbook_sachin" xfId="9679" xr:uid="{00000000-0005-0000-0000-000075250000}"/>
    <cellStyle name="_20061103Holux_WorldBankCMSScope_FairPoint_IntialSetup_Focus_FairPoint_FP comTechOps_ProgramWorkbook_sachin 2" xfId="9680" xr:uid="{00000000-0005-0000-0000-000076250000}"/>
    <cellStyle name="_20061103Holux_WorldBankCMSScope_FairPoint_IntialSetup_Focus_FairPoint_FP comTechOps_ProgramWorkbook_sachin 2_Steps of Doneness" xfId="9681" xr:uid="{00000000-0005-0000-0000-000077250000}"/>
    <cellStyle name="_20061103Holux_WorldBankCMSScope_FairPoint_IntialSetup_Focus_FairPoint_FP comTechOps_ProgramWorkbook_sachin 3" xfId="9682" xr:uid="{00000000-0005-0000-0000-000078250000}"/>
    <cellStyle name="_20061103Holux_WorldBankCMSScope_FairPoint_IntialSetup_Focus_FairPoint_FP comTechOps_ProgramWorkbook_sachin_Steps of Doneness" xfId="9683" xr:uid="{00000000-0005-0000-0000-000079250000}"/>
    <cellStyle name="_20061103Holux_WorldBankCMSScope_FairPoint_IntialSetup_Focus_FairPoint_FP comTechOps_ProgramWorkbook_sachin_v1" xfId="9684" xr:uid="{00000000-0005-0000-0000-00007A250000}"/>
    <cellStyle name="_20061103Holux_WorldBankCMSScope_FairPoint_IntialSetup_Focus_FairPoint_FP comTechOps_ProgramWorkbook_sachin_v1 2" xfId="9685" xr:uid="{00000000-0005-0000-0000-00007B250000}"/>
    <cellStyle name="_20061103Holux_WorldBankCMSScope_FairPoint_IntialSetup_Focus_FairPoint_FP comTechOps_ProgramWorkbook_sachin_v1 2_Steps of Doneness" xfId="9686" xr:uid="{00000000-0005-0000-0000-00007C250000}"/>
    <cellStyle name="_20061103Holux_WorldBankCMSScope_FairPoint_IntialSetup_Focus_FairPoint_FP comTechOps_ProgramWorkbook_sachin_v1 3" xfId="9687" xr:uid="{00000000-0005-0000-0000-00007D250000}"/>
    <cellStyle name="_20061103Holux_WorldBankCMSScope_FairPoint_IntialSetup_Focus_FairPoint_FP comTechOps_ProgramWorkbook_sachin_v1_Steps of Doneness" xfId="9688" xr:uid="{00000000-0005-0000-0000-00007E250000}"/>
    <cellStyle name="_20061103Holux_WorldBankCMSScope_FairPoint_IntialSetup_Focus_FairPoint_FP comTechOps_ProgramWorkbook_Steps of Doneness" xfId="9689" xr:uid="{00000000-0005-0000-0000-00007F250000}"/>
    <cellStyle name="_20061103Holux_WorldBankCMSScope_FairPoint_IntialSetup_Focus_FP_CAMP&amp;ITReporting_Maintenance_Dashboard" xfId="9690" xr:uid="{00000000-0005-0000-0000-000080250000}"/>
    <cellStyle name="_20061103Holux_WorldBankCMSScope_FairPoint_IntialSetup_Focus_FP_CAMP&amp;ITReporting_Maintenance_Dashboard 2" xfId="9691" xr:uid="{00000000-0005-0000-0000-000081250000}"/>
    <cellStyle name="_20061103Holux_WorldBankCMSScope_FairPoint_IntialSetup_Focus_FP_CAMP&amp;ITReporting_Maintenance_Dashboard 2_Steps of Doneness" xfId="9692" xr:uid="{00000000-0005-0000-0000-000082250000}"/>
    <cellStyle name="_20061103Holux_WorldBankCMSScope_FairPoint_IntialSetup_Focus_FP_CAMP&amp;ITReporting_Maintenance_Dashboard 3" xfId="9693" xr:uid="{00000000-0005-0000-0000-000083250000}"/>
    <cellStyle name="_20061103Holux_WorldBankCMSScope_FairPoint_IntialSetup_Focus_FP_CAMP&amp;ITReporting_Maintenance_Dashboard_Steps of Doneness" xfId="9694" xr:uid="{00000000-0005-0000-0000-000084250000}"/>
    <cellStyle name="_20061103Holux_WorldBankCMSScope_FairPoint_IntialSetup_Focus_FP_CAMPITReporting_Maintenance_Dashboard" xfId="9695" xr:uid="{00000000-0005-0000-0000-000085250000}"/>
    <cellStyle name="_20061103Holux_WorldBankCMSScope_FairPoint_IntialSetup_Focus_FP_CAMPITReporting_Maintenance_Dashboard 2" xfId="9696" xr:uid="{00000000-0005-0000-0000-000086250000}"/>
    <cellStyle name="_20061103Holux_WorldBankCMSScope_FairPoint_IntialSetup_Focus_FP_CAMPITReporting_Maintenance_Dashboard 2_Steps of Doneness" xfId="9697" xr:uid="{00000000-0005-0000-0000-000087250000}"/>
    <cellStyle name="_20061103Holux_WorldBankCMSScope_FairPoint_IntialSetup_Focus_FP_CAMPITReporting_Maintenance_Dashboard 3" xfId="9698" xr:uid="{00000000-0005-0000-0000-000088250000}"/>
    <cellStyle name="_20061103Holux_WorldBankCMSScope_FairPoint_IntialSetup_Focus_FP_CAMPITReporting_Maintenance_Dashboard_Steps of Doneness" xfId="9699" xr:uid="{00000000-0005-0000-0000-000089250000}"/>
    <cellStyle name="_20061103Holux_WorldBankCMSScope_FairPoint_IntialSetup_Focus_FP_Commissions_Req_Dn_ProgramWorkBook_10-Dec-2010" xfId="9700" xr:uid="{00000000-0005-0000-0000-00008A250000}"/>
    <cellStyle name="_20061103Holux_WorldBankCMSScope_FairPoint_IntialSetup_Focus_FP_Commissions_Req_Dn_ProgramWorkBook_10-Dec-2010 2" xfId="9701" xr:uid="{00000000-0005-0000-0000-00008B250000}"/>
    <cellStyle name="_20061103Holux_WorldBankCMSScope_FairPoint_IntialSetup_Focus_FP_Commissions_Req_Dn_ProgramWorkBook_10-Dec-2010 2_Steps of Doneness" xfId="9702" xr:uid="{00000000-0005-0000-0000-00008C250000}"/>
    <cellStyle name="_20061103Holux_WorldBankCMSScope_FairPoint_IntialSetup_Focus_FP_Commissions_Req_Dn_ProgramWorkBook_10-Dec-2010 3" xfId="9703" xr:uid="{00000000-0005-0000-0000-00008D250000}"/>
    <cellStyle name="_20061103Holux_WorldBankCMSScope_FairPoint_IntialSetup_Focus_FP_Commissions_Req_Dn_ProgramWorkBook_10-Dec-2010_Steps of Doneness" xfId="9704" xr:uid="{00000000-0005-0000-0000-00008E250000}"/>
    <cellStyle name="_20061103Holux_WorldBankCMSScope_FairPoint_IntialSetup_Focus_FP_DW_Impl_ProgramWorkBook_07-Jan-2011" xfId="9705" xr:uid="{00000000-0005-0000-0000-00008F250000}"/>
    <cellStyle name="_20061103Holux_WorldBankCMSScope_FairPoint_IntialSetup_Focus_FP_DW_Impl_ProgramWorkBook_07-Jan-2011 2" xfId="9706" xr:uid="{00000000-0005-0000-0000-000090250000}"/>
    <cellStyle name="_20061103Holux_WorldBankCMSScope_FairPoint_IntialSetup_Focus_FP_DW_Impl_ProgramWorkBook_07-Jan-2011 2 2" xfId="9707" xr:uid="{00000000-0005-0000-0000-000091250000}"/>
    <cellStyle name="_20061103Holux_WorldBankCMSScope_FairPoint_IntialSetup_Focus_FP_DW_Impl_ProgramWorkBook_07-Jan-2011 2 2_Steps of Doneness" xfId="9708" xr:uid="{00000000-0005-0000-0000-000092250000}"/>
    <cellStyle name="_20061103Holux_WorldBankCMSScope_FairPoint_IntialSetup_Focus_FP_DW_Impl_ProgramWorkBook_07-Jan-2011 2 3" xfId="9709" xr:uid="{00000000-0005-0000-0000-000093250000}"/>
    <cellStyle name="_20061103Holux_WorldBankCMSScope_FairPoint_IntialSetup_Focus_FP_DW_Impl_ProgramWorkBook_07-Jan-2011 2_Steps of Doneness" xfId="9710" xr:uid="{00000000-0005-0000-0000-000094250000}"/>
    <cellStyle name="_20061103Holux_WorldBankCMSScope_FairPoint_IntialSetup_Focus_FP_DW_Impl_ProgramWorkBook_07-Jan-2011 3" xfId="9711" xr:uid="{00000000-0005-0000-0000-000095250000}"/>
    <cellStyle name="_20061103Holux_WorldBankCMSScope_FairPoint_IntialSetup_Focus_FP_DW_Impl_ProgramWorkBook_07-Jan-2011 3_Steps of Doneness" xfId="9712" xr:uid="{00000000-0005-0000-0000-000096250000}"/>
    <cellStyle name="_20061103Holux_WorldBankCMSScope_FairPoint_IntialSetup_Focus_FP_DW_Impl_ProgramWorkBook_07-Jan-2011 4" xfId="9713" xr:uid="{00000000-0005-0000-0000-000097250000}"/>
    <cellStyle name="_20061103Holux_WorldBankCMSScope_FairPoint_IntialSetup_Focus_FP_DW_Impl_ProgramWorkBook_07-Jan-2011_Steps of Doneness" xfId="9714" xr:uid="{00000000-0005-0000-0000-000098250000}"/>
    <cellStyle name="_20061103Holux_WorldBankCMSScope_FairPoint_IntialSetup_Focus_FP_DW_Impl_ProgramWorkBook_11-Feb-2011" xfId="9715" xr:uid="{00000000-0005-0000-0000-000099250000}"/>
    <cellStyle name="_20061103Holux_WorldBankCMSScope_FairPoint_IntialSetup_Focus_FP_DW_Impl_ProgramWorkBook_11-Feb-2011 2" xfId="9716" xr:uid="{00000000-0005-0000-0000-00009A250000}"/>
    <cellStyle name="_20061103Holux_WorldBankCMSScope_FairPoint_IntialSetup_Focus_FP_DW_Impl_ProgramWorkBook_11-Feb-2011 2_Steps of Doneness" xfId="9717" xr:uid="{00000000-0005-0000-0000-00009B250000}"/>
    <cellStyle name="_20061103Holux_WorldBankCMSScope_FairPoint_IntialSetup_Focus_FP_DW_Impl_ProgramWorkBook_11-Feb-2011 3" xfId="9718" xr:uid="{00000000-0005-0000-0000-00009C250000}"/>
    <cellStyle name="_20061103Holux_WorldBankCMSScope_FairPoint_IntialSetup_Focus_FP_DW_Impl_ProgramWorkBook_11-Feb-2011_Steps of Doneness" xfId="9719" xr:uid="{00000000-0005-0000-0000-00009D250000}"/>
    <cellStyle name="_20061103Holux_WorldBankCMSScope_FairPoint_IntialSetup_Focus_FP_DW_Impl_ProgramWorkBook_18-Feb-2011 - Working" xfId="9720" xr:uid="{00000000-0005-0000-0000-00009E250000}"/>
    <cellStyle name="_20061103Holux_WorldBankCMSScope_FairPoint_IntialSetup_Focus_FP_DW_Impl_ProgramWorkBook_18-Feb-2011 - Working 2" xfId="9721" xr:uid="{00000000-0005-0000-0000-00009F250000}"/>
    <cellStyle name="_20061103Holux_WorldBankCMSScope_FairPoint_IntialSetup_Focus_FP_DW_Impl_ProgramWorkBook_18-Feb-2011 - Working 2_Steps of Doneness" xfId="9722" xr:uid="{00000000-0005-0000-0000-0000A0250000}"/>
    <cellStyle name="_20061103Holux_WorldBankCMSScope_FairPoint_IntialSetup_Focus_FP_DW_Impl_ProgramWorkBook_18-Feb-2011 - Working 3" xfId="9723" xr:uid="{00000000-0005-0000-0000-0000A1250000}"/>
    <cellStyle name="_20061103Holux_WorldBankCMSScope_FairPoint_IntialSetup_Focus_FP_DW_Impl_ProgramWorkBook_18-Feb-2011 - Working_Steps of Doneness" xfId="9724" xr:uid="{00000000-0005-0000-0000-0000A2250000}"/>
    <cellStyle name="_20061103Holux_WorldBankCMSScope_FairPoint_IntialSetup_Focus_FP_EnterprisePortal_ProgramWorkbook" xfId="9725" xr:uid="{00000000-0005-0000-0000-0000A3250000}"/>
    <cellStyle name="_20061103Holux_WorldBankCMSScope_FairPoint_IntialSetup_Focus_FP_EnterprisePortal_ProgramWorkbook 2" xfId="9726" xr:uid="{00000000-0005-0000-0000-0000A4250000}"/>
    <cellStyle name="_20061103Holux_WorldBankCMSScope_FairPoint_IntialSetup_Focus_FP_EnterprisePortal_ProgramWorkbook 2_Steps of Doneness" xfId="9727" xr:uid="{00000000-0005-0000-0000-0000A5250000}"/>
    <cellStyle name="_20061103Holux_WorldBankCMSScope_FairPoint_IntialSetup_Focus_FP_EnterprisePortal_ProgramWorkbook 3" xfId="9728" xr:uid="{00000000-0005-0000-0000-0000A6250000}"/>
    <cellStyle name="_20061103Holux_WorldBankCMSScope_FairPoint_IntialSetup_Focus_FP_EnterprisePortal_ProgramWorkbook_Steps of Doneness" xfId="9729" xr:uid="{00000000-0005-0000-0000-0000A7250000}"/>
    <cellStyle name="_20061103Holux_WorldBankCMSScope_FairPoint_IntialSetup_Focus_FP_SAP_MLP v2" xfId="9730" xr:uid="{00000000-0005-0000-0000-0000A8250000}"/>
    <cellStyle name="_20061103Holux_WorldBankCMSScope_FairPoint_IntialSetup_Focus_FP_SAP_MLP v2 2" xfId="9731" xr:uid="{00000000-0005-0000-0000-0000A9250000}"/>
    <cellStyle name="_20061103Holux_WorldBankCMSScope_FairPoint_IntialSetup_Focus_FP_SAP_MLP v2 2_Steps of Doneness" xfId="9732" xr:uid="{00000000-0005-0000-0000-0000AA250000}"/>
    <cellStyle name="_20061103Holux_WorldBankCMSScope_FairPoint_IntialSetup_Focus_FP_SAP_MLP v2 3" xfId="9733" xr:uid="{00000000-0005-0000-0000-0000AB250000}"/>
    <cellStyle name="_20061103Holux_WorldBankCMSScope_FairPoint_IntialSetup_Focus_FP_SAP_MLP v2_Steps of Doneness" xfId="9734" xr:uid="{00000000-0005-0000-0000-0000AC250000}"/>
    <cellStyle name="_20061103Holux_WorldBankCMSScope_FairPoint_IntialSetup_Focus_KeyDecisions" xfId="9735" xr:uid="{00000000-0005-0000-0000-0000AD250000}"/>
    <cellStyle name="_20061103Holux_WorldBankCMSScope_FairPoint_IntialSetup_Focus_KeyDecisions 2" xfId="9736" xr:uid="{00000000-0005-0000-0000-0000AE250000}"/>
    <cellStyle name="_20061103Holux_WorldBankCMSScope_FairPoint_IntialSetup_Focus_KeyDecisions 2_Steps of Doneness" xfId="9737" xr:uid="{00000000-0005-0000-0000-0000AF250000}"/>
    <cellStyle name="_20061103Holux_WorldBankCMSScope_FairPoint_IntialSetup_Focus_KeyDecisions 3" xfId="9738" xr:uid="{00000000-0005-0000-0000-0000B0250000}"/>
    <cellStyle name="_20061103Holux_WorldBankCMSScope_FairPoint_IntialSetup_Focus_KeyDecisions_Steps of Doneness" xfId="9739" xr:uid="{00000000-0005-0000-0000-0000B1250000}"/>
    <cellStyle name="_20061103Holux_WorldBankCMSScope_FairPoint_IntialSetup_Focus_Sophia_Imp_ProjectWorkBook_02_18_2011" xfId="9740" xr:uid="{00000000-0005-0000-0000-0000B2250000}"/>
    <cellStyle name="_20061103Holux_WorldBankCMSScope_FairPoint_IntialSetup_Focus_Sophia_Imp_ProjectWorkBook_02_18_2011 2" xfId="9741" xr:uid="{00000000-0005-0000-0000-0000B3250000}"/>
    <cellStyle name="_20061103Holux_WorldBankCMSScope_FairPoint_IntialSetup_Focus_Sophia_Imp_ProjectWorkBook_02_18_2011 2_Steps of Doneness" xfId="9742" xr:uid="{00000000-0005-0000-0000-0000B4250000}"/>
    <cellStyle name="_20061103Holux_WorldBankCMSScope_FairPoint_IntialSetup_Focus_Sophia_Imp_ProjectWorkBook_02_18_2011 3" xfId="9743" xr:uid="{00000000-0005-0000-0000-0000B5250000}"/>
    <cellStyle name="_20061103Holux_WorldBankCMSScope_FairPoint_IntialSetup_Focus_Sophia_Imp_ProjectWorkBook_02_18_2011_Steps of Doneness" xfId="9744" xr:uid="{00000000-0005-0000-0000-0000B6250000}"/>
    <cellStyle name="_20061103Holux_WorldBankCMSScope_FairPoint_IntialSetup_Focus_Steps of Doneness" xfId="9745" xr:uid="{00000000-0005-0000-0000-0000B7250000}"/>
    <cellStyle name="_20061103Holux_WorldBankCMSScope_FairPoint_IntialSetup_Focus_t" xfId="9746" xr:uid="{00000000-0005-0000-0000-0000B8250000}"/>
    <cellStyle name="_20061103Holux_WorldBankCMSScope_FairPoint_IntialSetup_Focus_t 2" xfId="9747" xr:uid="{00000000-0005-0000-0000-0000B9250000}"/>
    <cellStyle name="_20061103Holux_WorldBankCMSScope_FairPoint_IntialSetup_Focus_t 2_Steps of Doneness" xfId="9748" xr:uid="{00000000-0005-0000-0000-0000BA250000}"/>
    <cellStyle name="_20061103Holux_WorldBankCMSScope_FairPoint_IntialSetup_Focus_t 3" xfId="9749" xr:uid="{00000000-0005-0000-0000-0000BB250000}"/>
    <cellStyle name="_20061103Holux_WorldBankCMSScope_FairPoint_IntialSetup_Focus_t_Steps of Doneness" xfId="9750" xr:uid="{00000000-0005-0000-0000-0000BC250000}"/>
    <cellStyle name="_20061103Holux_WorldBankCMSScope_FairPoint_TechnicalImplementation_Plan" xfId="9751" xr:uid="{00000000-0005-0000-0000-0000BD250000}"/>
    <cellStyle name="_20061103Holux_WorldBankCMSScope_FairPoint_TechnicalImplementation_Plan 2" xfId="9752" xr:uid="{00000000-0005-0000-0000-0000BE250000}"/>
    <cellStyle name="_20061103Holux_WorldBankCMSScope_FairPoint_TechnicalImplementation_Plan 2 2" xfId="9753" xr:uid="{00000000-0005-0000-0000-0000BF250000}"/>
    <cellStyle name="_20061103Holux_WorldBankCMSScope_FairPoint_TechnicalImplementation_Plan 2 2_Steps of Doneness" xfId="9754" xr:uid="{00000000-0005-0000-0000-0000C0250000}"/>
    <cellStyle name="_20061103Holux_WorldBankCMSScope_FairPoint_TechnicalImplementation_Plan 2 3" xfId="9755" xr:uid="{00000000-0005-0000-0000-0000C1250000}"/>
    <cellStyle name="_20061103Holux_WorldBankCMSScope_FairPoint_TechnicalImplementation_Plan 2_Steps of Doneness" xfId="9756" xr:uid="{00000000-0005-0000-0000-0000C2250000}"/>
    <cellStyle name="_20061103Holux_WorldBankCMSScope_FairPoint_TechnicalImplementation_Plan 3" xfId="9757" xr:uid="{00000000-0005-0000-0000-0000C3250000}"/>
    <cellStyle name="_20061103Holux_WorldBankCMSScope_FairPoint_TechnicalImplementation_Plan 3_Steps of Doneness" xfId="9758" xr:uid="{00000000-0005-0000-0000-0000C4250000}"/>
    <cellStyle name="_20061103Holux_WorldBankCMSScope_FairPoint_TechnicalImplementation_Plan 4" xfId="9759" xr:uid="{00000000-0005-0000-0000-0000C5250000}"/>
    <cellStyle name="_20061103Holux_WorldBankCMSScope_FairPoint_TechnicalImplementation_Plan_Commissioning System Implementation_Project Workbook_06_10_2011" xfId="9760" xr:uid="{00000000-0005-0000-0000-0000C6250000}"/>
    <cellStyle name="_20061103Holux_WorldBankCMSScope_FairPoint_TechnicalImplementation_Plan_Commissioning System Implementation_Project Workbook_06_10_2011 2" xfId="9761" xr:uid="{00000000-0005-0000-0000-0000C7250000}"/>
    <cellStyle name="_20061103Holux_WorldBankCMSScope_FairPoint_TechnicalImplementation_Plan_Commissioning System Implementation_Project Workbook_06_10_2011 2_Steps of Doneness" xfId="9762" xr:uid="{00000000-0005-0000-0000-0000C8250000}"/>
    <cellStyle name="_20061103Holux_WorldBankCMSScope_FairPoint_TechnicalImplementation_Plan_Commissioning System Implementation_Project Workbook_06_10_2011 3" xfId="9763" xr:uid="{00000000-0005-0000-0000-0000C9250000}"/>
    <cellStyle name="_20061103Holux_WorldBankCMSScope_FairPoint_TechnicalImplementation_Plan_Commissioning System Implementation_Project Workbook_06_10_2011_Steps of Doneness" xfId="9764" xr:uid="{00000000-0005-0000-0000-0000CA250000}"/>
    <cellStyle name="_20061103Holux_WorldBankCMSScope_FairPoint_TechnicalImplementation_Plan_FairPoint_CampReport" xfId="9765" xr:uid="{00000000-0005-0000-0000-0000CB250000}"/>
    <cellStyle name="_20061103Holux_WorldBankCMSScope_FairPoint_TechnicalImplementation_Plan_FairPoint_CampReport 2" xfId="9766" xr:uid="{00000000-0005-0000-0000-0000CC250000}"/>
    <cellStyle name="_20061103Holux_WorldBankCMSScope_FairPoint_TechnicalImplementation_Plan_FairPoint_CampReport 2_Steps of Doneness" xfId="9767" xr:uid="{00000000-0005-0000-0000-0000CD250000}"/>
    <cellStyle name="_20061103Holux_WorldBankCMSScope_FairPoint_TechnicalImplementation_Plan_FairPoint_CampReport 3" xfId="9768" xr:uid="{00000000-0005-0000-0000-0000CE250000}"/>
    <cellStyle name="_20061103Holux_WorldBankCMSScope_FairPoint_TechnicalImplementation_Plan_FairPoint_CampReport_Steps of Doneness" xfId="9769" xr:uid="{00000000-0005-0000-0000-0000CF250000}"/>
    <cellStyle name="_20061103Holux_WorldBankCMSScope_FairPoint_TechnicalImplementation_Plan_FairPoint_FP comTechOps_ProgramWorkbook" xfId="9770" xr:uid="{00000000-0005-0000-0000-0000D0250000}"/>
    <cellStyle name="_20061103Holux_WorldBankCMSScope_FairPoint_TechnicalImplementation_Plan_FairPoint_FP comTechOps_ProgramWorkbook 2" xfId="9771" xr:uid="{00000000-0005-0000-0000-0000D1250000}"/>
    <cellStyle name="_20061103Holux_WorldBankCMSScope_FairPoint_TechnicalImplementation_Plan_FairPoint_FP comTechOps_ProgramWorkbook 2_Steps of Doneness" xfId="9772" xr:uid="{00000000-0005-0000-0000-0000D2250000}"/>
    <cellStyle name="_20061103Holux_WorldBankCMSScope_FairPoint_TechnicalImplementation_Plan_FairPoint_FP comTechOps_ProgramWorkbook 3" xfId="9773" xr:uid="{00000000-0005-0000-0000-0000D3250000}"/>
    <cellStyle name="_20061103Holux_WorldBankCMSScope_FairPoint_TechnicalImplementation_Plan_FairPoint_FP comTechOps_ProgramWorkbook_sachin" xfId="9774" xr:uid="{00000000-0005-0000-0000-0000D4250000}"/>
    <cellStyle name="_20061103Holux_WorldBankCMSScope_FairPoint_TechnicalImplementation_Plan_FairPoint_FP comTechOps_ProgramWorkbook_sachin 2" xfId="9775" xr:uid="{00000000-0005-0000-0000-0000D5250000}"/>
    <cellStyle name="_20061103Holux_WorldBankCMSScope_FairPoint_TechnicalImplementation_Plan_FairPoint_FP comTechOps_ProgramWorkbook_sachin 2_Steps of Doneness" xfId="9776" xr:uid="{00000000-0005-0000-0000-0000D6250000}"/>
    <cellStyle name="_20061103Holux_WorldBankCMSScope_FairPoint_TechnicalImplementation_Plan_FairPoint_FP comTechOps_ProgramWorkbook_sachin 3" xfId="9777" xr:uid="{00000000-0005-0000-0000-0000D7250000}"/>
    <cellStyle name="_20061103Holux_WorldBankCMSScope_FairPoint_TechnicalImplementation_Plan_FairPoint_FP comTechOps_ProgramWorkbook_sachin_Steps of Doneness" xfId="9778" xr:uid="{00000000-0005-0000-0000-0000D8250000}"/>
    <cellStyle name="_20061103Holux_WorldBankCMSScope_FairPoint_TechnicalImplementation_Plan_FairPoint_FP comTechOps_ProgramWorkbook_sachin_v1" xfId="9779" xr:uid="{00000000-0005-0000-0000-0000D9250000}"/>
    <cellStyle name="_20061103Holux_WorldBankCMSScope_FairPoint_TechnicalImplementation_Plan_FairPoint_FP comTechOps_ProgramWorkbook_sachin_v1 2" xfId="9780" xr:uid="{00000000-0005-0000-0000-0000DA250000}"/>
    <cellStyle name="_20061103Holux_WorldBankCMSScope_FairPoint_TechnicalImplementation_Plan_FairPoint_FP comTechOps_ProgramWorkbook_sachin_v1 2_Steps of Doneness" xfId="9781" xr:uid="{00000000-0005-0000-0000-0000DB250000}"/>
    <cellStyle name="_20061103Holux_WorldBankCMSScope_FairPoint_TechnicalImplementation_Plan_FairPoint_FP comTechOps_ProgramWorkbook_sachin_v1 3" xfId="9782" xr:uid="{00000000-0005-0000-0000-0000DC250000}"/>
    <cellStyle name="_20061103Holux_WorldBankCMSScope_FairPoint_TechnicalImplementation_Plan_FairPoint_FP comTechOps_ProgramWorkbook_sachin_v1_Steps of Doneness" xfId="9783" xr:uid="{00000000-0005-0000-0000-0000DD250000}"/>
    <cellStyle name="_20061103Holux_WorldBankCMSScope_FairPoint_TechnicalImplementation_Plan_FairPoint_FP comTechOps_ProgramWorkbook_Steps of Doneness" xfId="9784" xr:uid="{00000000-0005-0000-0000-0000DE250000}"/>
    <cellStyle name="_20061103Holux_WorldBankCMSScope_FairPoint_TechnicalImplementation_Plan_FP_CAMP&amp;ITReporting_Maintenance_Dashboard" xfId="9785" xr:uid="{00000000-0005-0000-0000-0000DF250000}"/>
    <cellStyle name="_20061103Holux_WorldBankCMSScope_FairPoint_TechnicalImplementation_Plan_FP_CAMP&amp;ITReporting_Maintenance_Dashboard 2" xfId="9786" xr:uid="{00000000-0005-0000-0000-0000E0250000}"/>
    <cellStyle name="_20061103Holux_WorldBankCMSScope_FairPoint_TechnicalImplementation_Plan_FP_CAMP&amp;ITReporting_Maintenance_Dashboard 2_Steps of Doneness" xfId="9787" xr:uid="{00000000-0005-0000-0000-0000E1250000}"/>
    <cellStyle name="_20061103Holux_WorldBankCMSScope_FairPoint_TechnicalImplementation_Plan_FP_CAMP&amp;ITReporting_Maintenance_Dashboard 3" xfId="9788" xr:uid="{00000000-0005-0000-0000-0000E2250000}"/>
    <cellStyle name="_20061103Holux_WorldBankCMSScope_FairPoint_TechnicalImplementation_Plan_FP_CAMP&amp;ITReporting_Maintenance_Dashboard_Steps of Doneness" xfId="9789" xr:uid="{00000000-0005-0000-0000-0000E3250000}"/>
    <cellStyle name="_20061103Holux_WorldBankCMSScope_FairPoint_TechnicalImplementation_Plan_FP_CAMPITReporting_Maintenance_Dashboard" xfId="9790" xr:uid="{00000000-0005-0000-0000-0000E4250000}"/>
    <cellStyle name="_20061103Holux_WorldBankCMSScope_FairPoint_TechnicalImplementation_Plan_FP_CAMPITReporting_Maintenance_Dashboard 2" xfId="9791" xr:uid="{00000000-0005-0000-0000-0000E5250000}"/>
    <cellStyle name="_20061103Holux_WorldBankCMSScope_FairPoint_TechnicalImplementation_Plan_FP_CAMPITReporting_Maintenance_Dashboard 2_Steps of Doneness" xfId="9792" xr:uid="{00000000-0005-0000-0000-0000E6250000}"/>
    <cellStyle name="_20061103Holux_WorldBankCMSScope_FairPoint_TechnicalImplementation_Plan_FP_CAMPITReporting_Maintenance_Dashboard 3" xfId="9793" xr:uid="{00000000-0005-0000-0000-0000E7250000}"/>
    <cellStyle name="_20061103Holux_WorldBankCMSScope_FairPoint_TechnicalImplementation_Plan_FP_CAMPITReporting_Maintenance_Dashboard_Steps of Doneness" xfId="9794" xr:uid="{00000000-0005-0000-0000-0000E8250000}"/>
    <cellStyle name="_20061103Holux_WorldBankCMSScope_FairPoint_TechnicalImplementation_Plan_FP_Commissions_Req_Dn_ProgramWorkBook_10-Dec-2010" xfId="9795" xr:uid="{00000000-0005-0000-0000-0000E9250000}"/>
    <cellStyle name="_20061103Holux_WorldBankCMSScope_FairPoint_TechnicalImplementation_Plan_FP_Commissions_Req_Dn_ProgramWorkBook_10-Dec-2010 2" xfId="9796" xr:uid="{00000000-0005-0000-0000-0000EA250000}"/>
    <cellStyle name="_20061103Holux_WorldBankCMSScope_FairPoint_TechnicalImplementation_Plan_FP_Commissions_Req_Dn_ProgramWorkBook_10-Dec-2010 2_Steps of Doneness" xfId="9797" xr:uid="{00000000-0005-0000-0000-0000EB250000}"/>
    <cellStyle name="_20061103Holux_WorldBankCMSScope_FairPoint_TechnicalImplementation_Plan_FP_Commissions_Req_Dn_ProgramWorkBook_10-Dec-2010 3" xfId="9798" xr:uid="{00000000-0005-0000-0000-0000EC250000}"/>
    <cellStyle name="_20061103Holux_WorldBankCMSScope_FairPoint_TechnicalImplementation_Plan_FP_Commissions_Req_Dn_ProgramWorkBook_10-Dec-2010_Steps of Doneness" xfId="9799" xr:uid="{00000000-0005-0000-0000-0000ED250000}"/>
    <cellStyle name="_20061103Holux_WorldBankCMSScope_FairPoint_TechnicalImplementation_Plan_FP_DW_Impl_ProgramWorkBook_07-Jan-2011" xfId="9800" xr:uid="{00000000-0005-0000-0000-0000EE250000}"/>
    <cellStyle name="_20061103Holux_WorldBankCMSScope_FairPoint_TechnicalImplementation_Plan_FP_DW_Impl_ProgramWorkBook_07-Jan-2011 2" xfId="9801" xr:uid="{00000000-0005-0000-0000-0000EF250000}"/>
    <cellStyle name="_20061103Holux_WorldBankCMSScope_FairPoint_TechnicalImplementation_Plan_FP_DW_Impl_ProgramWorkBook_07-Jan-2011 2 2" xfId="9802" xr:uid="{00000000-0005-0000-0000-0000F0250000}"/>
    <cellStyle name="_20061103Holux_WorldBankCMSScope_FairPoint_TechnicalImplementation_Plan_FP_DW_Impl_ProgramWorkBook_07-Jan-2011 2 2_Steps of Doneness" xfId="9803" xr:uid="{00000000-0005-0000-0000-0000F1250000}"/>
    <cellStyle name="_20061103Holux_WorldBankCMSScope_FairPoint_TechnicalImplementation_Plan_FP_DW_Impl_ProgramWorkBook_07-Jan-2011 2 3" xfId="9804" xr:uid="{00000000-0005-0000-0000-0000F2250000}"/>
    <cellStyle name="_20061103Holux_WorldBankCMSScope_FairPoint_TechnicalImplementation_Plan_FP_DW_Impl_ProgramWorkBook_07-Jan-2011 2_Steps of Doneness" xfId="9805" xr:uid="{00000000-0005-0000-0000-0000F3250000}"/>
    <cellStyle name="_20061103Holux_WorldBankCMSScope_FairPoint_TechnicalImplementation_Plan_FP_DW_Impl_ProgramWorkBook_07-Jan-2011 3" xfId="9806" xr:uid="{00000000-0005-0000-0000-0000F4250000}"/>
    <cellStyle name="_20061103Holux_WorldBankCMSScope_FairPoint_TechnicalImplementation_Plan_FP_DW_Impl_ProgramWorkBook_07-Jan-2011 3_Steps of Doneness" xfId="9807" xr:uid="{00000000-0005-0000-0000-0000F5250000}"/>
    <cellStyle name="_20061103Holux_WorldBankCMSScope_FairPoint_TechnicalImplementation_Plan_FP_DW_Impl_ProgramWorkBook_07-Jan-2011 4" xfId="9808" xr:uid="{00000000-0005-0000-0000-0000F6250000}"/>
    <cellStyle name="_20061103Holux_WorldBankCMSScope_FairPoint_TechnicalImplementation_Plan_FP_DW_Impl_ProgramWorkBook_07-Jan-2011_Steps of Doneness" xfId="9809" xr:uid="{00000000-0005-0000-0000-0000F7250000}"/>
    <cellStyle name="_20061103Holux_WorldBankCMSScope_FairPoint_TechnicalImplementation_Plan_FP_DW_Impl_ProgramWorkBook_11-Feb-2011" xfId="9810" xr:uid="{00000000-0005-0000-0000-0000F8250000}"/>
    <cellStyle name="_20061103Holux_WorldBankCMSScope_FairPoint_TechnicalImplementation_Plan_FP_DW_Impl_ProgramWorkBook_11-Feb-2011 2" xfId="9811" xr:uid="{00000000-0005-0000-0000-0000F9250000}"/>
    <cellStyle name="_20061103Holux_WorldBankCMSScope_FairPoint_TechnicalImplementation_Plan_FP_DW_Impl_ProgramWorkBook_11-Feb-2011 2_Steps of Doneness" xfId="9812" xr:uid="{00000000-0005-0000-0000-0000FA250000}"/>
    <cellStyle name="_20061103Holux_WorldBankCMSScope_FairPoint_TechnicalImplementation_Plan_FP_DW_Impl_ProgramWorkBook_11-Feb-2011 3" xfId="9813" xr:uid="{00000000-0005-0000-0000-0000FB250000}"/>
    <cellStyle name="_20061103Holux_WorldBankCMSScope_FairPoint_TechnicalImplementation_Plan_FP_DW_Impl_ProgramWorkBook_11-Feb-2011_Steps of Doneness" xfId="9814" xr:uid="{00000000-0005-0000-0000-0000FC250000}"/>
    <cellStyle name="_20061103Holux_WorldBankCMSScope_FairPoint_TechnicalImplementation_Plan_FP_DW_Impl_ProgramWorkBook_18-Feb-2011 - Working" xfId="9815" xr:uid="{00000000-0005-0000-0000-0000FD250000}"/>
    <cellStyle name="_20061103Holux_WorldBankCMSScope_FairPoint_TechnicalImplementation_Plan_FP_DW_Impl_ProgramWorkBook_18-Feb-2011 - Working 2" xfId="9816" xr:uid="{00000000-0005-0000-0000-0000FE250000}"/>
    <cellStyle name="_20061103Holux_WorldBankCMSScope_FairPoint_TechnicalImplementation_Plan_FP_DW_Impl_ProgramWorkBook_18-Feb-2011 - Working 2_Steps of Doneness" xfId="9817" xr:uid="{00000000-0005-0000-0000-0000FF250000}"/>
    <cellStyle name="_20061103Holux_WorldBankCMSScope_FairPoint_TechnicalImplementation_Plan_FP_DW_Impl_ProgramWorkBook_18-Feb-2011 - Working 3" xfId="9818" xr:uid="{00000000-0005-0000-0000-000000260000}"/>
    <cellStyle name="_20061103Holux_WorldBankCMSScope_FairPoint_TechnicalImplementation_Plan_FP_DW_Impl_ProgramWorkBook_18-Feb-2011 - Working_Steps of Doneness" xfId="9819" xr:uid="{00000000-0005-0000-0000-000001260000}"/>
    <cellStyle name="_20061103Holux_WorldBankCMSScope_FairPoint_TechnicalImplementation_Plan_FP_EnterprisePortal_ProgramWorkbook" xfId="9820" xr:uid="{00000000-0005-0000-0000-000002260000}"/>
    <cellStyle name="_20061103Holux_WorldBankCMSScope_FairPoint_TechnicalImplementation_Plan_FP_EnterprisePortal_ProgramWorkbook 2" xfId="9821" xr:uid="{00000000-0005-0000-0000-000003260000}"/>
    <cellStyle name="_20061103Holux_WorldBankCMSScope_FairPoint_TechnicalImplementation_Plan_FP_EnterprisePortal_ProgramWorkbook 2_Steps of Doneness" xfId="9822" xr:uid="{00000000-0005-0000-0000-000004260000}"/>
    <cellStyle name="_20061103Holux_WorldBankCMSScope_FairPoint_TechnicalImplementation_Plan_FP_EnterprisePortal_ProgramWorkbook 3" xfId="9823" xr:uid="{00000000-0005-0000-0000-000005260000}"/>
    <cellStyle name="_20061103Holux_WorldBankCMSScope_FairPoint_TechnicalImplementation_Plan_FP_EnterprisePortal_ProgramWorkbook_Steps of Doneness" xfId="9824" xr:uid="{00000000-0005-0000-0000-000006260000}"/>
    <cellStyle name="_20061103Holux_WorldBankCMSScope_FairPoint_TechnicalImplementation_Plan_FP_SAP_MLP v2" xfId="9825" xr:uid="{00000000-0005-0000-0000-000007260000}"/>
    <cellStyle name="_20061103Holux_WorldBankCMSScope_FairPoint_TechnicalImplementation_Plan_FP_SAP_MLP v2 2" xfId="9826" xr:uid="{00000000-0005-0000-0000-000008260000}"/>
    <cellStyle name="_20061103Holux_WorldBankCMSScope_FairPoint_TechnicalImplementation_Plan_FP_SAP_MLP v2 2_Steps of Doneness" xfId="9827" xr:uid="{00000000-0005-0000-0000-000009260000}"/>
    <cellStyle name="_20061103Holux_WorldBankCMSScope_FairPoint_TechnicalImplementation_Plan_FP_SAP_MLP v2 3" xfId="9828" xr:uid="{00000000-0005-0000-0000-00000A260000}"/>
    <cellStyle name="_20061103Holux_WorldBankCMSScope_FairPoint_TechnicalImplementation_Plan_FP_SAP_MLP v2_Steps of Doneness" xfId="9829" xr:uid="{00000000-0005-0000-0000-00000B260000}"/>
    <cellStyle name="_20061103Holux_WorldBankCMSScope_FairPoint_TechnicalImplementation_Plan_KeyDecisions" xfId="9830" xr:uid="{00000000-0005-0000-0000-00000C260000}"/>
    <cellStyle name="_20061103Holux_WorldBankCMSScope_FairPoint_TechnicalImplementation_Plan_KeyDecisions 2" xfId="9831" xr:uid="{00000000-0005-0000-0000-00000D260000}"/>
    <cellStyle name="_20061103Holux_WorldBankCMSScope_FairPoint_TechnicalImplementation_Plan_KeyDecisions 2_Steps of Doneness" xfId="9832" xr:uid="{00000000-0005-0000-0000-00000E260000}"/>
    <cellStyle name="_20061103Holux_WorldBankCMSScope_FairPoint_TechnicalImplementation_Plan_KeyDecisions 3" xfId="9833" xr:uid="{00000000-0005-0000-0000-00000F260000}"/>
    <cellStyle name="_20061103Holux_WorldBankCMSScope_FairPoint_TechnicalImplementation_Plan_KeyDecisions_Steps of Doneness" xfId="9834" xr:uid="{00000000-0005-0000-0000-000010260000}"/>
    <cellStyle name="_20061103Holux_WorldBankCMSScope_FairPoint_TechnicalImplementation_Plan_Sophia_Imp_ProjectWorkBook_02_18_2011" xfId="9835" xr:uid="{00000000-0005-0000-0000-000011260000}"/>
    <cellStyle name="_20061103Holux_WorldBankCMSScope_FairPoint_TechnicalImplementation_Plan_Sophia_Imp_ProjectWorkBook_02_18_2011 2" xfId="9836" xr:uid="{00000000-0005-0000-0000-000012260000}"/>
    <cellStyle name="_20061103Holux_WorldBankCMSScope_FairPoint_TechnicalImplementation_Plan_Sophia_Imp_ProjectWorkBook_02_18_2011 2_Steps of Doneness" xfId="9837" xr:uid="{00000000-0005-0000-0000-000013260000}"/>
    <cellStyle name="_20061103Holux_WorldBankCMSScope_FairPoint_TechnicalImplementation_Plan_Sophia_Imp_ProjectWorkBook_02_18_2011 3" xfId="9838" xr:uid="{00000000-0005-0000-0000-000014260000}"/>
    <cellStyle name="_20061103Holux_WorldBankCMSScope_FairPoint_TechnicalImplementation_Plan_Sophia_Imp_ProjectWorkBook_02_18_2011_Steps of Doneness" xfId="9839" xr:uid="{00000000-0005-0000-0000-000015260000}"/>
    <cellStyle name="_20061103Holux_WorldBankCMSScope_FairPoint_TechnicalImplementation_Plan_Steps of Doneness" xfId="9840" xr:uid="{00000000-0005-0000-0000-000016260000}"/>
    <cellStyle name="_20061103Holux_WorldBankCMSScope_FairPoint_TechnicalImplementation_Plan_t" xfId="9841" xr:uid="{00000000-0005-0000-0000-000017260000}"/>
    <cellStyle name="_20061103Holux_WorldBankCMSScope_FairPoint_TechnicalImplementation_Plan_t 2" xfId="9842" xr:uid="{00000000-0005-0000-0000-000018260000}"/>
    <cellStyle name="_20061103Holux_WorldBankCMSScope_FairPoint_TechnicalImplementation_Plan_t 2_Steps of Doneness" xfId="9843" xr:uid="{00000000-0005-0000-0000-000019260000}"/>
    <cellStyle name="_20061103Holux_WorldBankCMSScope_FairPoint_TechnicalImplementation_Plan_t 3" xfId="9844" xr:uid="{00000000-0005-0000-0000-00001A260000}"/>
    <cellStyle name="_20061103Holux_WorldBankCMSScope_FairPoint_TechnicalImplementation_Plan_t_Steps of Doneness" xfId="9845" xr:uid="{00000000-0005-0000-0000-00001B260000}"/>
    <cellStyle name="_20061103Holux_WorldBankCMSScope_FP_CAMP&amp;ITReporting_Maintenance_Dashboard" xfId="9846" xr:uid="{00000000-0005-0000-0000-00001C260000}"/>
    <cellStyle name="_20061103Holux_WorldBankCMSScope_FP_CAMP&amp;ITReporting_Maintenance_Dashboard 2" xfId="9847" xr:uid="{00000000-0005-0000-0000-00001D260000}"/>
    <cellStyle name="_20061103Holux_WorldBankCMSScope_FP_CAMP&amp;ITReporting_Maintenance_Dashboard 2_Steps of Doneness" xfId="9848" xr:uid="{00000000-0005-0000-0000-00001E260000}"/>
    <cellStyle name="_20061103Holux_WorldBankCMSScope_FP_CAMP&amp;ITReporting_Maintenance_Dashboard 3" xfId="9849" xr:uid="{00000000-0005-0000-0000-00001F260000}"/>
    <cellStyle name="_20061103Holux_WorldBankCMSScope_FP_CAMP&amp;ITReporting_Maintenance_Dashboard_Steps of Doneness" xfId="9850" xr:uid="{00000000-0005-0000-0000-000020260000}"/>
    <cellStyle name="_20061103Holux_WorldBankCMSScope_FP_CAMPITReporting_Maintenance_Dashboard" xfId="9851" xr:uid="{00000000-0005-0000-0000-000021260000}"/>
    <cellStyle name="_20061103Holux_WorldBankCMSScope_FP_CAMPITReporting_Maintenance_Dashboard 2" xfId="9852" xr:uid="{00000000-0005-0000-0000-000022260000}"/>
    <cellStyle name="_20061103Holux_WorldBankCMSScope_FP_CAMPITReporting_Maintenance_Dashboard 2_Steps of Doneness" xfId="9853" xr:uid="{00000000-0005-0000-0000-000023260000}"/>
    <cellStyle name="_20061103Holux_WorldBankCMSScope_FP_CAMPITReporting_Maintenance_Dashboard 3" xfId="9854" xr:uid="{00000000-0005-0000-0000-000024260000}"/>
    <cellStyle name="_20061103Holux_WorldBankCMSScope_FP_CAMPITReporting_Maintenance_Dashboard_Steps of Doneness" xfId="9855" xr:uid="{00000000-0005-0000-0000-000025260000}"/>
    <cellStyle name="_20061103Holux_WorldBankCMSScope_FP_Commissions_Req_Dn_ProgramWorkBook_10-Dec-2010" xfId="9856" xr:uid="{00000000-0005-0000-0000-000026260000}"/>
    <cellStyle name="_20061103Holux_WorldBankCMSScope_FP_Commissions_Req_Dn_ProgramWorkBook_10-Dec-2010 2" xfId="9857" xr:uid="{00000000-0005-0000-0000-000027260000}"/>
    <cellStyle name="_20061103Holux_WorldBankCMSScope_FP_Commissions_Req_Dn_ProgramWorkBook_10-Dec-2010 2_Steps of Doneness" xfId="9858" xr:uid="{00000000-0005-0000-0000-000028260000}"/>
    <cellStyle name="_20061103Holux_WorldBankCMSScope_FP_Commissions_Req_Dn_ProgramWorkBook_10-Dec-2010 3" xfId="9859" xr:uid="{00000000-0005-0000-0000-000029260000}"/>
    <cellStyle name="_20061103Holux_WorldBankCMSScope_FP_Commissions_Req_Dn_ProgramWorkBook_10-Dec-2010_Steps of Doneness" xfId="9860" xr:uid="{00000000-0005-0000-0000-00002A260000}"/>
    <cellStyle name="_20061103Holux_WorldBankCMSScope_FP_DW_Impl_ProgramWorkBook_03-Dec-2010111" xfId="9861" xr:uid="{00000000-0005-0000-0000-00002B260000}"/>
    <cellStyle name="_20061103Holux_WorldBankCMSScope_FP_DW_Impl_ProgramWorkBook_03-Dec-2010111 2" xfId="9862" xr:uid="{00000000-0005-0000-0000-00002C260000}"/>
    <cellStyle name="_20061103Holux_WorldBankCMSScope_FP_DW_Impl_ProgramWorkBook_03-Dec-2010111 2_Steps of Doneness" xfId="9863" xr:uid="{00000000-0005-0000-0000-00002D260000}"/>
    <cellStyle name="_20061103Holux_WorldBankCMSScope_FP_DW_Impl_ProgramWorkBook_03-Dec-2010111 3" xfId="9864" xr:uid="{00000000-0005-0000-0000-00002E260000}"/>
    <cellStyle name="_20061103Holux_WorldBankCMSScope_FP_DW_Impl_ProgramWorkBook_03-Dec-2010111_Steps of Doneness" xfId="9865" xr:uid="{00000000-0005-0000-0000-00002F260000}"/>
    <cellStyle name="_20061103Holux_WorldBankCMSScope_FP_DW_Impl_ProgramWorkBook_07-Jan-2011" xfId="9866" xr:uid="{00000000-0005-0000-0000-000030260000}"/>
    <cellStyle name="_20061103Holux_WorldBankCMSScope_FP_DW_Impl_ProgramWorkBook_07-Jan-2011 2" xfId="9867" xr:uid="{00000000-0005-0000-0000-000031260000}"/>
    <cellStyle name="_20061103Holux_WorldBankCMSScope_FP_DW_Impl_ProgramWorkBook_07-Jan-2011 2_Steps of Doneness" xfId="9868" xr:uid="{00000000-0005-0000-0000-000032260000}"/>
    <cellStyle name="_20061103Holux_WorldBankCMSScope_FP_DW_Impl_ProgramWorkBook_07-Jan-2011 3" xfId="9869" xr:uid="{00000000-0005-0000-0000-000033260000}"/>
    <cellStyle name="_20061103Holux_WorldBankCMSScope_FP_DW_Impl_ProgramWorkBook_07-Jan-2011_Steps of Doneness" xfId="9870" xr:uid="{00000000-0005-0000-0000-000034260000}"/>
    <cellStyle name="_20061103Holux_WorldBankCMSScope_FP_DW_Impl_ProgramWorkBook_11-Feb-2011" xfId="9871" xr:uid="{00000000-0005-0000-0000-000035260000}"/>
    <cellStyle name="_20061103Holux_WorldBankCMSScope_FP_DW_Impl_ProgramWorkBook_11-Feb-2011 2" xfId="9872" xr:uid="{00000000-0005-0000-0000-000036260000}"/>
    <cellStyle name="_20061103Holux_WorldBankCMSScope_FP_DW_Impl_ProgramWorkBook_11-Feb-2011 2_Steps of Doneness" xfId="9873" xr:uid="{00000000-0005-0000-0000-000037260000}"/>
    <cellStyle name="_20061103Holux_WorldBankCMSScope_FP_DW_Impl_ProgramWorkBook_11-Feb-2011 3" xfId="9874" xr:uid="{00000000-0005-0000-0000-000038260000}"/>
    <cellStyle name="_20061103Holux_WorldBankCMSScope_FP_DW_Impl_ProgramWorkBook_11-Feb-2011_Steps of Doneness" xfId="9875" xr:uid="{00000000-0005-0000-0000-000039260000}"/>
    <cellStyle name="_20061103Holux_WorldBankCMSScope_FP_DW_Impl_ProgramWorkBook_18-Feb-2011 - Working" xfId="9876" xr:uid="{00000000-0005-0000-0000-00003A260000}"/>
    <cellStyle name="_20061103Holux_WorldBankCMSScope_FP_DW_Impl_ProgramWorkBook_18-Feb-2011 - Working 2" xfId="9877" xr:uid="{00000000-0005-0000-0000-00003B260000}"/>
    <cellStyle name="_20061103Holux_WorldBankCMSScope_FP_DW_Impl_ProgramWorkBook_18-Feb-2011 - Working 2_Steps of Doneness" xfId="9878" xr:uid="{00000000-0005-0000-0000-00003C260000}"/>
    <cellStyle name="_20061103Holux_WorldBankCMSScope_FP_DW_Impl_ProgramWorkBook_18-Feb-2011 - Working 3" xfId="9879" xr:uid="{00000000-0005-0000-0000-00003D260000}"/>
    <cellStyle name="_20061103Holux_WorldBankCMSScope_FP_DW_Impl_ProgramWorkBook_18-Feb-2011 - Working_Steps of Doneness" xfId="9880" xr:uid="{00000000-0005-0000-0000-00003E260000}"/>
    <cellStyle name="_20061103Holux_WorldBankCMSScope_FP_EnterprisePortal_ProgramWorkbook" xfId="9881" xr:uid="{00000000-0005-0000-0000-00003F260000}"/>
    <cellStyle name="_20061103Holux_WorldBankCMSScope_FP_EnterprisePortal_ProgramWorkbook 2" xfId="9882" xr:uid="{00000000-0005-0000-0000-000040260000}"/>
    <cellStyle name="_20061103Holux_WorldBankCMSScope_FP_EnterprisePortal_ProgramWorkbook 2_Steps of Doneness" xfId="9883" xr:uid="{00000000-0005-0000-0000-000041260000}"/>
    <cellStyle name="_20061103Holux_WorldBankCMSScope_FP_EnterprisePortal_ProgramWorkbook 3" xfId="9884" xr:uid="{00000000-0005-0000-0000-000042260000}"/>
    <cellStyle name="_20061103Holux_WorldBankCMSScope_FP_EnterprisePortal_ProgramWorkbook_Steps of Doneness" xfId="9885" xr:uid="{00000000-0005-0000-0000-000043260000}"/>
    <cellStyle name="_20061103Holux_WorldBankCMSScope_FP_SAP_MLP v2" xfId="9886" xr:uid="{00000000-0005-0000-0000-000044260000}"/>
    <cellStyle name="_20061103Holux_WorldBankCMSScope_FP_SAP_MLP v2 2" xfId="9887" xr:uid="{00000000-0005-0000-0000-000045260000}"/>
    <cellStyle name="_20061103Holux_WorldBankCMSScope_FP_SAP_MLP v2 2_Steps of Doneness" xfId="9888" xr:uid="{00000000-0005-0000-0000-000046260000}"/>
    <cellStyle name="_20061103Holux_WorldBankCMSScope_FP_SAP_MLP v2 3" xfId="9889" xr:uid="{00000000-0005-0000-0000-000047260000}"/>
    <cellStyle name="_20061103Holux_WorldBankCMSScope_FP_SAP_MLP v2_Steps of Doneness" xfId="9890" xr:uid="{00000000-0005-0000-0000-000048260000}"/>
    <cellStyle name="_20061103Holux_WorldBankCMSScope_KeyDecisions" xfId="9891" xr:uid="{00000000-0005-0000-0000-000049260000}"/>
    <cellStyle name="_20061103Holux_WorldBankCMSScope_KeyDecisions 2" xfId="9892" xr:uid="{00000000-0005-0000-0000-00004A260000}"/>
    <cellStyle name="_20061103Holux_WorldBankCMSScope_KeyDecisions 2_Steps of Doneness" xfId="9893" xr:uid="{00000000-0005-0000-0000-00004B260000}"/>
    <cellStyle name="_20061103Holux_WorldBankCMSScope_KeyDecisions 3" xfId="9894" xr:uid="{00000000-0005-0000-0000-00004C260000}"/>
    <cellStyle name="_20061103Holux_WorldBankCMSScope_KeyDecisions_Steps of Doneness" xfId="9895" xr:uid="{00000000-0005-0000-0000-00004D260000}"/>
    <cellStyle name="_20061103Holux_WorldBankCMSScope_LoanOriginationPMWorkbook 23Feb2010" xfId="9896" xr:uid="{00000000-0005-0000-0000-00004E260000}"/>
    <cellStyle name="_20061103Holux_WorldBankCMSScope_LoanOriginationPMWorkbook 23Feb2010 2" xfId="9897" xr:uid="{00000000-0005-0000-0000-00004F260000}"/>
    <cellStyle name="_20061103Holux_WorldBankCMSScope_LoanOriginationPMWorkbook 23Feb2010 2_Steps of Doneness" xfId="9898" xr:uid="{00000000-0005-0000-0000-000050260000}"/>
    <cellStyle name="_20061103Holux_WorldBankCMSScope_LoanOriginationPMWorkbook 23Feb2010 3" xfId="9899" xr:uid="{00000000-0005-0000-0000-000051260000}"/>
    <cellStyle name="_20061103Holux_WorldBankCMSScope_LoanOriginationPMWorkbook 23Feb2010_slm_llp_0520" xfId="9900" xr:uid="{00000000-0005-0000-0000-000052260000}"/>
    <cellStyle name="_20061103Holux_WorldBankCMSScope_LoanOriginationPMWorkbook 23Feb2010_slm_llp_0520 2" xfId="9901" xr:uid="{00000000-0005-0000-0000-000053260000}"/>
    <cellStyle name="_20061103Holux_WorldBankCMSScope_LoanOriginationPMWorkbook 23Feb2010_slm_llp_0520 2 2" xfId="9902" xr:uid="{00000000-0005-0000-0000-000054260000}"/>
    <cellStyle name="_20061103Holux_WorldBankCMSScope_LoanOriginationPMWorkbook 23Feb2010_slm_llp_0520 2 2_Steps of Doneness" xfId="9903" xr:uid="{00000000-0005-0000-0000-000055260000}"/>
    <cellStyle name="_20061103Holux_WorldBankCMSScope_LoanOriginationPMWorkbook 23Feb2010_slm_llp_0520 2 3" xfId="9904" xr:uid="{00000000-0005-0000-0000-000056260000}"/>
    <cellStyle name="_20061103Holux_WorldBankCMSScope_LoanOriginationPMWorkbook 23Feb2010_slm_llp_0520 2_Steps of Doneness" xfId="9905" xr:uid="{00000000-0005-0000-0000-000057260000}"/>
    <cellStyle name="_20061103Holux_WorldBankCMSScope_LoanOriginationPMWorkbook 23Feb2010_slm_llp_0520 3" xfId="9906" xr:uid="{00000000-0005-0000-0000-000058260000}"/>
    <cellStyle name="_20061103Holux_WorldBankCMSScope_LoanOriginationPMWorkbook 23Feb2010_slm_llp_0520 3_Steps of Doneness" xfId="9907" xr:uid="{00000000-0005-0000-0000-000059260000}"/>
    <cellStyle name="_20061103Holux_WorldBankCMSScope_LoanOriginationPMWorkbook 23Feb2010_slm_llp_0520 4" xfId="9908" xr:uid="{00000000-0005-0000-0000-00005A260000}"/>
    <cellStyle name="_20061103Holux_WorldBankCMSScope_LoanOriginationPMWorkbook 23Feb2010_slm_llp_0520_Commissioning System Implementation_Project Workbook_06_10_2011" xfId="9909" xr:uid="{00000000-0005-0000-0000-00005B260000}"/>
    <cellStyle name="_20061103Holux_WorldBankCMSScope_LoanOriginationPMWorkbook 23Feb2010_slm_llp_0520_Commissioning System Implementation_Project Workbook_06_10_2011 2" xfId="9910" xr:uid="{00000000-0005-0000-0000-00005C260000}"/>
    <cellStyle name="_20061103Holux_WorldBankCMSScope_LoanOriginationPMWorkbook 23Feb2010_slm_llp_0520_Commissioning System Implementation_Project Workbook_06_10_2011 2_Steps of Doneness" xfId="9911" xr:uid="{00000000-0005-0000-0000-00005D260000}"/>
    <cellStyle name="_20061103Holux_WorldBankCMSScope_LoanOriginationPMWorkbook 23Feb2010_slm_llp_0520_Commissioning System Implementation_Project Workbook_06_10_2011 3" xfId="9912" xr:uid="{00000000-0005-0000-0000-00005E260000}"/>
    <cellStyle name="_20061103Holux_WorldBankCMSScope_LoanOriginationPMWorkbook 23Feb2010_slm_llp_0520_Commissioning System Implementation_Project Workbook_06_10_2011_Steps of Doneness" xfId="9913" xr:uid="{00000000-0005-0000-0000-00005F260000}"/>
    <cellStyle name="_20061103Holux_WorldBankCMSScope_LoanOriginationPMWorkbook 23Feb2010_slm_llp_0520_FairPoint_CampReport" xfId="9914" xr:uid="{00000000-0005-0000-0000-000060260000}"/>
    <cellStyle name="_20061103Holux_WorldBankCMSScope_LoanOriginationPMWorkbook 23Feb2010_slm_llp_0520_FairPoint_CampReport 2" xfId="9915" xr:uid="{00000000-0005-0000-0000-000061260000}"/>
    <cellStyle name="_20061103Holux_WorldBankCMSScope_LoanOriginationPMWorkbook 23Feb2010_slm_llp_0520_FairPoint_CampReport 2_Steps of Doneness" xfId="9916" xr:uid="{00000000-0005-0000-0000-000062260000}"/>
    <cellStyle name="_20061103Holux_WorldBankCMSScope_LoanOriginationPMWorkbook 23Feb2010_slm_llp_0520_FairPoint_CampReport 3" xfId="9917" xr:uid="{00000000-0005-0000-0000-000063260000}"/>
    <cellStyle name="_20061103Holux_WorldBankCMSScope_LoanOriginationPMWorkbook 23Feb2010_slm_llp_0520_FairPoint_CampReport_Steps of Doneness" xfId="9918" xr:uid="{00000000-0005-0000-0000-000064260000}"/>
    <cellStyle name="_20061103Holux_WorldBankCMSScope_LoanOriginationPMWorkbook 23Feb2010_slm_llp_0520_FairPoint_FP comTechOps_ProgramWorkbook" xfId="9919" xr:uid="{00000000-0005-0000-0000-000065260000}"/>
    <cellStyle name="_20061103Holux_WorldBankCMSScope_LoanOriginationPMWorkbook 23Feb2010_slm_llp_0520_FairPoint_FP comTechOps_ProgramWorkbook 2" xfId="9920" xr:uid="{00000000-0005-0000-0000-000066260000}"/>
    <cellStyle name="_20061103Holux_WorldBankCMSScope_LoanOriginationPMWorkbook 23Feb2010_slm_llp_0520_FairPoint_FP comTechOps_ProgramWorkbook 2_Steps of Doneness" xfId="9921" xr:uid="{00000000-0005-0000-0000-000067260000}"/>
    <cellStyle name="_20061103Holux_WorldBankCMSScope_LoanOriginationPMWorkbook 23Feb2010_slm_llp_0520_FairPoint_FP comTechOps_ProgramWorkbook 3" xfId="9922" xr:uid="{00000000-0005-0000-0000-000068260000}"/>
    <cellStyle name="_20061103Holux_WorldBankCMSScope_LoanOriginationPMWorkbook 23Feb2010_slm_llp_0520_FairPoint_FP comTechOps_ProgramWorkbook_sachin" xfId="9923" xr:uid="{00000000-0005-0000-0000-000069260000}"/>
    <cellStyle name="_20061103Holux_WorldBankCMSScope_LoanOriginationPMWorkbook 23Feb2010_slm_llp_0520_FairPoint_FP comTechOps_ProgramWorkbook_sachin 2" xfId="9924" xr:uid="{00000000-0005-0000-0000-00006A260000}"/>
    <cellStyle name="_20061103Holux_WorldBankCMSScope_LoanOriginationPMWorkbook 23Feb2010_slm_llp_0520_FairPoint_FP comTechOps_ProgramWorkbook_sachin 2_Steps of Doneness" xfId="9925" xr:uid="{00000000-0005-0000-0000-00006B260000}"/>
    <cellStyle name="_20061103Holux_WorldBankCMSScope_LoanOriginationPMWorkbook 23Feb2010_slm_llp_0520_FairPoint_FP comTechOps_ProgramWorkbook_sachin 3" xfId="9926" xr:uid="{00000000-0005-0000-0000-00006C260000}"/>
    <cellStyle name="_20061103Holux_WorldBankCMSScope_LoanOriginationPMWorkbook 23Feb2010_slm_llp_0520_FairPoint_FP comTechOps_ProgramWorkbook_sachin_Steps of Doneness" xfId="9927" xr:uid="{00000000-0005-0000-0000-00006D260000}"/>
    <cellStyle name="_20061103Holux_WorldBankCMSScope_LoanOriginationPMWorkbook 23Feb2010_slm_llp_0520_FairPoint_FP comTechOps_ProgramWorkbook_sachin_v1" xfId="9928" xr:uid="{00000000-0005-0000-0000-00006E260000}"/>
    <cellStyle name="_20061103Holux_WorldBankCMSScope_LoanOriginationPMWorkbook 23Feb2010_slm_llp_0520_FairPoint_FP comTechOps_ProgramWorkbook_sachin_v1 2" xfId="9929" xr:uid="{00000000-0005-0000-0000-00006F260000}"/>
    <cellStyle name="_20061103Holux_WorldBankCMSScope_LoanOriginationPMWorkbook 23Feb2010_slm_llp_0520_FairPoint_FP comTechOps_ProgramWorkbook_sachin_v1 2_Steps of Doneness" xfId="9930" xr:uid="{00000000-0005-0000-0000-000070260000}"/>
    <cellStyle name="_20061103Holux_WorldBankCMSScope_LoanOriginationPMWorkbook 23Feb2010_slm_llp_0520_FairPoint_FP comTechOps_ProgramWorkbook_sachin_v1 3" xfId="9931" xr:uid="{00000000-0005-0000-0000-000071260000}"/>
    <cellStyle name="_20061103Holux_WorldBankCMSScope_LoanOriginationPMWorkbook 23Feb2010_slm_llp_0520_FairPoint_FP comTechOps_ProgramWorkbook_sachin_v1_Steps of Doneness" xfId="9932" xr:uid="{00000000-0005-0000-0000-000072260000}"/>
    <cellStyle name="_20061103Holux_WorldBankCMSScope_LoanOriginationPMWorkbook 23Feb2010_slm_llp_0520_FairPoint_FP comTechOps_ProgramWorkbook_Steps of Doneness" xfId="9933" xr:uid="{00000000-0005-0000-0000-000073260000}"/>
    <cellStyle name="_20061103Holux_WorldBankCMSScope_LoanOriginationPMWorkbook 23Feb2010_slm_llp_0520_FP_CAMP&amp;ITReporting_Maintenance_Dashboard" xfId="9934" xr:uid="{00000000-0005-0000-0000-000074260000}"/>
    <cellStyle name="_20061103Holux_WorldBankCMSScope_LoanOriginationPMWorkbook 23Feb2010_slm_llp_0520_FP_CAMP&amp;ITReporting_Maintenance_Dashboard 2" xfId="9935" xr:uid="{00000000-0005-0000-0000-000075260000}"/>
    <cellStyle name="_20061103Holux_WorldBankCMSScope_LoanOriginationPMWorkbook 23Feb2010_slm_llp_0520_FP_CAMP&amp;ITReporting_Maintenance_Dashboard 2_Steps of Doneness" xfId="9936" xr:uid="{00000000-0005-0000-0000-000076260000}"/>
    <cellStyle name="_20061103Holux_WorldBankCMSScope_LoanOriginationPMWorkbook 23Feb2010_slm_llp_0520_FP_CAMP&amp;ITReporting_Maintenance_Dashboard 3" xfId="9937" xr:uid="{00000000-0005-0000-0000-000077260000}"/>
    <cellStyle name="_20061103Holux_WorldBankCMSScope_LoanOriginationPMWorkbook 23Feb2010_slm_llp_0520_FP_CAMP&amp;ITReporting_Maintenance_Dashboard_Steps of Doneness" xfId="9938" xr:uid="{00000000-0005-0000-0000-000078260000}"/>
    <cellStyle name="_20061103Holux_WorldBankCMSScope_LoanOriginationPMWorkbook 23Feb2010_slm_llp_0520_FP_CAMPITReporting_Maintenance_Dashboard" xfId="9939" xr:uid="{00000000-0005-0000-0000-000079260000}"/>
    <cellStyle name="_20061103Holux_WorldBankCMSScope_LoanOriginationPMWorkbook 23Feb2010_slm_llp_0520_FP_CAMPITReporting_Maintenance_Dashboard 2" xfId="9940" xr:uid="{00000000-0005-0000-0000-00007A260000}"/>
    <cellStyle name="_20061103Holux_WorldBankCMSScope_LoanOriginationPMWorkbook 23Feb2010_slm_llp_0520_FP_CAMPITReporting_Maintenance_Dashboard 2_Steps of Doneness" xfId="9941" xr:uid="{00000000-0005-0000-0000-00007B260000}"/>
    <cellStyle name="_20061103Holux_WorldBankCMSScope_LoanOriginationPMWorkbook 23Feb2010_slm_llp_0520_FP_CAMPITReporting_Maintenance_Dashboard 3" xfId="9942" xr:uid="{00000000-0005-0000-0000-00007C260000}"/>
    <cellStyle name="_20061103Holux_WorldBankCMSScope_LoanOriginationPMWorkbook 23Feb2010_slm_llp_0520_FP_CAMPITReporting_Maintenance_Dashboard_Steps of Doneness" xfId="9943" xr:uid="{00000000-0005-0000-0000-00007D260000}"/>
    <cellStyle name="_20061103Holux_WorldBankCMSScope_LoanOriginationPMWorkbook 23Feb2010_slm_llp_0520_FP_Commissions_Req_Dn_ProgramWorkBook_10-Dec-2010" xfId="9944" xr:uid="{00000000-0005-0000-0000-00007E260000}"/>
    <cellStyle name="_20061103Holux_WorldBankCMSScope_LoanOriginationPMWorkbook 23Feb2010_slm_llp_0520_FP_Commissions_Req_Dn_ProgramWorkBook_10-Dec-2010 2" xfId="9945" xr:uid="{00000000-0005-0000-0000-00007F260000}"/>
    <cellStyle name="_20061103Holux_WorldBankCMSScope_LoanOriginationPMWorkbook 23Feb2010_slm_llp_0520_FP_Commissions_Req_Dn_ProgramWorkBook_10-Dec-2010 2_Steps of Doneness" xfId="9946" xr:uid="{00000000-0005-0000-0000-000080260000}"/>
    <cellStyle name="_20061103Holux_WorldBankCMSScope_LoanOriginationPMWorkbook 23Feb2010_slm_llp_0520_FP_Commissions_Req_Dn_ProgramWorkBook_10-Dec-2010 3" xfId="9947" xr:uid="{00000000-0005-0000-0000-000081260000}"/>
    <cellStyle name="_20061103Holux_WorldBankCMSScope_LoanOriginationPMWorkbook 23Feb2010_slm_llp_0520_FP_Commissions_Req_Dn_ProgramWorkBook_10-Dec-2010_Steps of Doneness" xfId="9948" xr:uid="{00000000-0005-0000-0000-000082260000}"/>
    <cellStyle name="_20061103Holux_WorldBankCMSScope_LoanOriginationPMWorkbook 23Feb2010_slm_llp_0520_FP_DW_Impl_ProgramWorkBook_07-Jan-2011" xfId="9949" xr:uid="{00000000-0005-0000-0000-000083260000}"/>
    <cellStyle name="_20061103Holux_WorldBankCMSScope_LoanOriginationPMWorkbook 23Feb2010_slm_llp_0520_FP_DW_Impl_ProgramWorkBook_07-Jan-2011 2" xfId="9950" xr:uid="{00000000-0005-0000-0000-000084260000}"/>
    <cellStyle name="_20061103Holux_WorldBankCMSScope_LoanOriginationPMWorkbook 23Feb2010_slm_llp_0520_FP_DW_Impl_ProgramWorkBook_07-Jan-2011 2 2" xfId="9951" xr:uid="{00000000-0005-0000-0000-000085260000}"/>
    <cellStyle name="_20061103Holux_WorldBankCMSScope_LoanOriginationPMWorkbook 23Feb2010_slm_llp_0520_FP_DW_Impl_ProgramWorkBook_07-Jan-2011 2 2_Steps of Doneness" xfId="9952" xr:uid="{00000000-0005-0000-0000-000086260000}"/>
    <cellStyle name="_20061103Holux_WorldBankCMSScope_LoanOriginationPMWorkbook 23Feb2010_slm_llp_0520_FP_DW_Impl_ProgramWorkBook_07-Jan-2011 2 3" xfId="9953" xr:uid="{00000000-0005-0000-0000-000087260000}"/>
    <cellStyle name="_20061103Holux_WorldBankCMSScope_LoanOriginationPMWorkbook 23Feb2010_slm_llp_0520_FP_DW_Impl_ProgramWorkBook_07-Jan-2011 2_Steps of Doneness" xfId="9954" xr:uid="{00000000-0005-0000-0000-000088260000}"/>
    <cellStyle name="_20061103Holux_WorldBankCMSScope_LoanOriginationPMWorkbook 23Feb2010_slm_llp_0520_FP_DW_Impl_ProgramWorkBook_07-Jan-2011 3" xfId="9955" xr:uid="{00000000-0005-0000-0000-000089260000}"/>
    <cellStyle name="_20061103Holux_WorldBankCMSScope_LoanOriginationPMWorkbook 23Feb2010_slm_llp_0520_FP_DW_Impl_ProgramWorkBook_07-Jan-2011 3_Steps of Doneness" xfId="9956" xr:uid="{00000000-0005-0000-0000-00008A260000}"/>
    <cellStyle name="_20061103Holux_WorldBankCMSScope_LoanOriginationPMWorkbook 23Feb2010_slm_llp_0520_FP_DW_Impl_ProgramWorkBook_07-Jan-2011 4" xfId="9957" xr:uid="{00000000-0005-0000-0000-00008B260000}"/>
    <cellStyle name="_20061103Holux_WorldBankCMSScope_LoanOriginationPMWorkbook 23Feb2010_slm_llp_0520_FP_DW_Impl_ProgramWorkBook_07-Jan-2011_Steps of Doneness" xfId="9958" xr:uid="{00000000-0005-0000-0000-00008C260000}"/>
    <cellStyle name="_20061103Holux_WorldBankCMSScope_LoanOriginationPMWorkbook 23Feb2010_slm_llp_0520_FP_DW_Impl_ProgramWorkBook_11-Feb-2011" xfId="9959" xr:uid="{00000000-0005-0000-0000-00008D260000}"/>
    <cellStyle name="_20061103Holux_WorldBankCMSScope_LoanOriginationPMWorkbook 23Feb2010_slm_llp_0520_FP_DW_Impl_ProgramWorkBook_11-Feb-2011 2" xfId="9960" xr:uid="{00000000-0005-0000-0000-00008E260000}"/>
    <cellStyle name="_20061103Holux_WorldBankCMSScope_LoanOriginationPMWorkbook 23Feb2010_slm_llp_0520_FP_DW_Impl_ProgramWorkBook_11-Feb-2011 2_Steps of Doneness" xfId="9961" xr:uid="{00000000-0005-0000-0000-00008F260000}"/>
    <cellStyle name="_20061103Holux_WorldBankCMSScope_LoanOriginationPMWorkbook 23Feb2010_slm_llp_0520_FP_DW_Impl_ProgramWorkBook_11-Feb-2011 3" xfId="9962" xr:uid="{00000000-0005-0000-0000-000090260000}"/>
    <cellStyle name="_20061103Holux_WorldBankCMSScope_LoanOriginationPMWorkbook 23Feb2010_slm_llp_0520_FP_DW_Impl_ProgramWorkBook_11-Feb-2011_Steps of Doneness" xfId="9963" xr:uid="{00000000-0005-0000-0000-000091260000}"/>
    <cellStyle name="_20061103Holux_WorldBankCMSScope_LoanOriginationPMWorkbook 23Feb2010_slm_llp_0520_FP_DW_Impl_ProgramWorkBook_18-Feb-2011 - Working" xfId="9964" xr:uid="{00000000-0005-0000-0000-000092260000}"/>
    <cellStyle name="_20061103Holux_WorldBankCMSScope_LoanOriginationPMWorkbook 23Feb2010_slm_llp_0520_FP_DW_Impl_ProgramWorkBook_18-Feb-2011 - Working 2" xfId="9965" xr:uid="{00000000-0005-0000-0000-000093260000}"/>
    <cellStyle name="_20061103Holux_WorldBankCMSScope_LoanOriginationPMWorkbook 23Feb2010_slm_llp_0520_FP_DW_Impl_ProgramWorkBook_18-Feb-2011 - Working 2_Steps of Doneness" xfId="9966" xr:uid="{00000000-0005-0000-0000-000094260000}"/>
    <cellStyle name="_20061103Holux_WorldBankCMSScope_LoanOriginationPMWorkbook 23Feb2010_slm_llp_0520_FP_DW_Impl_ProgramWorkBook_18-Feb-2011 - Working 3" xfId="9967" xr:uid="{00000000-0005-0000-0000-000095260000}"/>
    <cellStyle name="_20061103Holux_WorldBankCMSScope_LoanOriginationPMWorkbook 23Feb2010_slm_llp_0520_FP_DW_Impl_ProgramWorkBook_18-Feb-2011 - Working_Steps of Doneness" xfId="9968" xr:uid="{00000000-0005-0000-0000-000096260000}"/>
    <cellStyle name="_20061103Holux_WorldBankCMSScope_LoanOriginationPMWorkbook 23Feb2010_slm_llp_0520_FP_EnterprisePortal_ProgramWorkbook" xfId="9969" xr:uid="{00000000-0005-0000-0000-000097260000}"/>
    <cellStyle name="_20061103Holux_WorldBankCMSScope_LoanOriginationPMWorkbook 23Feb2010_slm_llp_0520_FP_EnterprisePortal_ProgramWorkbook 2" xfId="9970" xr:uid="{00000000-0005-0000-0000-000098260000}"/>
    <cellStyle name="_20061103Holux_WorldBankCMSScope_LoanOriginationPMWorkbook 23Feb2010_slm_llp_0520_FP_EnterprisePortal_ProgramWorkbook 2_Steps of Doneness" xfId="9971" xr:uid="{00000000-0005-0000-0000-000099260000}"/>
    <cellStyle name="_20061103Holux_WorldBankCMSScope_LoanOriginationPMWorkbook 23Feb2010_slm_llp_0520_FP_EnterprisePortal_ProgramWorkbook 3" xfId="9972" xr:uid="{00000000-0005-0000-0000-00009A260000}"/>
    <cellStyle name="_20061103Holux_WorldBankCMSScope_LoanOriginationPMWorkbook 23Feb2010_slm_llp_0520_FP_EnterprisePortal_ProgramWorkbook_Steps of Doneness" xfId="9973" xr:uid="{00000000-0005-0000-0000-00009B260000}"/>
    <cellStyle name="_20061103Holux_WorldBankCMSScope_LoanOriginationPMWorkbook 23Feb2010_slm_llp_0520_FP_SAP_MLP v2" xfId="9974" xr:uid="{00000000-0005-0000-0000-00009C260000}"/>
    <cellStyle name="_20061103Holux_WorldBankCMSScope_LoanOriginationPMWorkbook 23Feb2010_slm_llp_0520_FP_SAP_MLP v2 2" xfId="9975" xr:uid="{00000000-0005-0000-0000-00009D260000}"/>
    <cellStyle name="_20061103Holux_WorldBankCMSScope_LoanOriginationPMWorkbook 23Feb2010_slm_llp_0520_FP_SAP_MLP v2 2_Steps of Doneness" xfId="9976" xr:uid="{00000000-0005-0000-0000-00009E260000}"/>
    <cellStyle name="_20061103Holux_WorldBankCMSScope_LoanOriginationPMWorkbook 23Feb2010_slm_llp_0520_FP_SAP_MLP v2 3" xfId="9977" xr:uid="{00000000-0005-0000-0000-00009F260000}"/>
    <cellStyle name="_20061103Holux_WorldBankCMSScope_LoanOriginationPMWorkbook 23Feb2010_slm_llp_0520_FP_SAP_MLP v2_Steps of Doneness" xfId="9978" xr:uid="{00000000-0005-0000-0000-0000A0260000}"/>
    <cellStyle name="_20061103Holux_WorldBankCMSScope_LoanOriginationPMWorkbook 23Feb2010_slm_llp_0520_KeyDecisions" xfId="9979" xr:uid="{00000000-0005-0000-0000-0000A1260000}"/>
    <cellStyle name="_20061103Holux_WorldBankCMSScope_LoanOriginationPMWorkbook 23Feb2010_slm_llp_0520_KeyDecisions 2" xfId="9980" xr:uid="{00000000-0005-0000-0000-0000A2260000}"/>
    <cellStyle name="_20061103Holux_WorldBankCMSScope_LoanOriginationPMWorkbook 23Feb2010_slm_llp_0520_KeyDecisions 2_Steps of Doneness" xfId="9981" xr:uid="{00000000-0005-0000-0000-0000A3260000}"/>
    <cellStyle name="_20061103Holux_WorldBankCMSScope_LoanOriginationPMWorkbook 23Feb2010_slm_llp_0520_KeyDecisions 3" xfId="9982" xr:uid="{00000000-0005-0000-0000-0000A4260000}"/>
    <cellStyle name="_20061103Holux_WorldBankCMSScope_LoanOriginationPMWorkbook 23Feb2010_slm_llp_0520_KeyDecisions_Steps of Doneness" xfId="9983" xr:uid="{00000000-0005-0000-0000-0000A5260000}"/>
    <cellStyle name="_20061103Holux_WorldBankCMSScope_LoanOriginationPMWorkbook 23Feb2010_slm_llp_0520_Sophia_Imp_ProjectWorkBook_02_18_2011" xfId="9984" xr:uid="{00000000-0005-0000-0000-0000A6260000}"/>
    <cellStyle name="_20061103Holux_WorldBankCMSScope_LoanOriginationPMWorkbook 23Feb2010_slm_llp_0520_Sophia_Imp_ProjectWorkBook_02_18_2011 2" xfId="9985" xr:uid="{00000000-0005-0000-0000-0000A7260000}"/>
    <cellStyle name="_20061103Holux_WorldBankCMSScope_LoanOriginationPMWorkbook 23Feb2010_slm_llp_0520_Sophia_Imp_ProjectWorkBook_02_18_2011 2_Steps of Doneness" xfId="9986" xr:uid="{00000000-0005-0000-0000-0000A8260000}"/>
    <cellStyle name="_20061103Holux_WorldBankCMSScope_LoanOriginationPMWorkbook 23Feb2010_slm_llp_0520_Sophia_Imp_ProjectWorkBook_02_18_2011 3" xfId="9987" xr:uid="{00000000-0005-0000-0000-0000A9260000}"/>
    <cellStyle name="_20061103Holux_WorldBankCMSScope_LoanOriginationPMWorkbook 23Feb2010_slm_llp_0520_Sophia_Imp_ProjectWorkBook_02_18_2011_Steps of Doneness" xfId="9988" xr:uid="{00000000-0005-0000-0000-0000AA260000}"/>
    <cellStyle name="_20061103Holux_WorldBankCMSScope_LoanOriginationPMWorkbook 23Feb2010_slm_llp_0520_Steps of Doneness" xfId="9989" xr:uid="{00000000-0005-0000-0000-0000AB260000}"/>
    <cellStyle name="_20061103Holux_WorldBankCMSScope_LoanOriginationPMWorkbook 23Feb2010_slm_llp_0520_t" xfId="9990" xr:uid="{00000000-0005-0000-0000-0000AC260000}"/>
    <cellStyle name="_20061103Holux_WorldBankCMSScope_LoanOriginationPMWorkbook 23Feb2010_slm_llp_0520_t 2" xfId="9991" xr:uid="{00000000-0005-0000-0000-0000AD260000}"/>
    <cellStyle name="_20061103Holux_WorldBankCMSScope_LoanOriginationPMWorkbook 23Feb2010_slm_llp_0520_t 2_Steps of Doneness" xfId="9992" xr:uid="{00000000-0005-0000-0000-0000AE260000}"/>
    <cellStyle name="_20061103Holux_WorldBankCMSScope_LoanOriginationPMWorkbook 23Feb2010_slm_llp_0520_t 3" xfId="9993" xr:uid="{00000000-0005-0000-0000-0000AF260000}"/>
    <cellStyle name="_20061103Holux_WorldBankCMSScope_LoanOriginationPMWorkbook 23Feb2010_slm_llp_0520_t_Steps of Doneness" xfId="9994" xr:uid="{00000000-0005-0000-0000-0000B0260000}"/>
    <cellStyle name="_20061103Holux_WorldBankCMSScope_LoanOriginationPMWorkbook 23Feb2010_Steps of Doneness" xfId="9995" xr:uid="{00000000-0005-0000-0000-0000B1260000}"/>
    <cellStyle name="_20061103Holux_WorldBankCMSScope_Re-engineering SLM_PM_Workbook_01252010" xfId="9996" xr:uid="{00000000-0005-0000-0000-0000B2260000}"/>
    <cellStyle name="_20061103Holux_WorldBankCMSScope_Re-engineering SLM_PM_Workbook_01252010 2" xfId="9997" xr:uid="{00000000-0005-0000-0000-0000B3260000}"/>
    <cellStyle name="_20061103Holux_WorldBankCMSScope_Re-engineering SLM_PM_Workbook_01252010 2 2" xfId="9998" xr:uid="{00000000-0005-0000-0000-0000B4260000}"/>
    <cellStyle name="_20061103Holux_WorldBankCMSScope_Re-engineering SLM_PM_Workbook_01252010 2 2_Steps of Doneness" xfId="9999" xr:uid="{00000000-0005-0000-0000-0000B5260000}"/>
    <cellStyle name="_20061103Holux_WorldBankCMSScope_Re-engineering SLM_PM_Workbook_01252010 2 3" xfId="10000" xr:uid="{00000000-0005-0000-0000-0000B6260000}"/>
    <cellStyle name="_20061103Holux_WorldBankCMSScope_Re-engineering SLM_PM_Workbook_01252010 2_Steps of Doneness" xfId="10001" xr:uid="{00000000-0005-0000-0000-0000B7260000}"/>
    <cellStyle name="_20061103Holux_WorldBankCMSScope_Re-engineering SLM_PM_Workbook_01252010 3" xfId="10002" xr:uid="{00000000-0005-0000-0000-0000B8260000}"/>
    <cellStyle name="_20061103Holux_WorldBankCMSScope_Re-engineering SLM_PM_Workbook_01252010 3_Steps of Doneness" xfId="10003" xr:uid="{00000000-0005-0000-0000-0000B9260000}"/>
    <cellStyle name="_20061103Holux_WorldBankCMSScope_Re-engineering SLM_PM_Workbook_01252010 4" xfId="10004" xr:uid="{00000000-0005-0000-0000-0000BA260000}"/>
    <cellStyle name="_20061103Holux_WorldBankCMSScope_Re-engineering SLM_PM_Workbook_01252010_Commissioning System Implementation_Project Workbook_06_10_2011" xfId="10005" xr:uid="{00000000-0005-0000-0000-0000BB260000}"/>
    <cellStyle name="_20061103Holux_WorldBankCMSScope_Re-engineering SLM_PM_Workbook_01252010_Commissioning System Implementation_Project Workbook_06_10_2011 2" xfId="10006" xr:uid="{00000000-0005-0000-0000-0000BC260000}"/>
    <cellStyle name="_20061103Holux_WorldBankCMSScope_Re-engineering SLM_PM_Workbook_01252010_Commissioning System Implementation_Project Workbook_06_10_2011 2_Steps of Doneness" xfId="10007" xr:uid="{00000000-0005-0000-0000-0000BD260000}"/>
    <cellStyle name="_20061103Holux_WorldBankCMSScope_Re-engineering SLM_PM_Workbook_01252010_Commissioning System Implementation_Project Workbook_06_10_2011 3" xfId="10008" xr:uid="{00000000-0005-0000-0000-0000BE260000}"/>
    <cellStyle name="_20061103Holux_WorldBankCMSScope_Re-engineering SLM_PM_Workbook_01252010_Commissioning System Implementation_Project Workbook_06_10_2011_Steps of Doneness" xfId="10009" xr:uid="{00000000-0005-0000-0000-0000BF260000}"/>
    <cellStyle name="_20061103Holux_WorldBankCMSScope_Re-engineering SLM_PM_Workbook_01252010_FairPoint_CampReport" xfId="10010" xr:uid="{00000000-0005-0000-0000-0000C0260000}"/>
    <cellStyle name="_20061103Holux_WorldBankCMSScope_Re-engineering SLM_PM_Workbook_01252010_FairPoint_CampReport 2" xfId="10011" xr:uid="{00000000-0005-0000-0000-0000C1260000}"/>
    <cellStyle name="_20061103Holux_WorldBankCMSScope_Re-engineering SLM_PM_Workbook_01252010_FairPoint_CampReport 2_Steps of Doneness" xfId="10012" xr:uid="{00000000-0005-0000-0000-0000C2260000}"/>
    <cellStyle name="_20061103Holux_WorldBankCMSScope_Re-engineering SLM_PM_Workbook_01252010_FairPoint_CampReport 3" xfId="10013" xr:uid="{00000000-0005-0000-0000-0000C3260000}"/>
    <cellStyle name="_20061103Holux_WorldBankCMSScope_Re-engineering SLM_PM_Workbook_01252010_FairPoint_CampReport_Steps of Doneness" xfId="10014" xr:uid="{00000000-0005-0000-0000-0000C4260000}"/>
    <cellStyle name="_20061103Holux_WorldBankCMSScope_Re-engineering SLM_PM_Workbook_01252010_FairPoint_FP comTechOps_ProgramWorkbook" xfId="10015" xr:uid="{00000000-0005-0000-0000-0000C5260000}"/>
    <cellStyle name="_20061103Holux_WorldBankCMSScope_Re-engineering SLM_PM_Workbook_01252010_FairPoint_FP comTechOps_ProgramWorkbook 2" xfId="10016" xr:uid="{00000000-0005-0000-0000-0000C6260000}"/>
    <cellStyle name="_20061103Holux_WorldBankCMSScope_Re-engineering SLM_PM_Workbook_01252010_FairPoint_FP comTechOps_ProgramWorkbook 2_Steps of Doneness" xfId="10017" xr:uid="{00000000-0005-0000-0000-0000C7260000}"/>
    <cellStyle name="_20061103Holux_WorldBankCMSScope_Re-engineering SLM_PM_Workbook_01252010_FairPoint_FP comTechOps_ProgramWorkbook 3" xfId="10018" xr:uid="{00000000-0005-0000-0000-0000C8260000}"/>
    <cellStyle name="_20061103Holux_WorldBankCMSScope_Re-engineering SLM_PM_Workbook_01252010_FairPoint_FP comTechOps_ProgramWorkbook_sachin" xfId="10019" xr:uid="{00000000-0005-0000-0000-0000C9260000}"/>
    <cellStyle name="_20061103Holux_WorldBankCMSScope_Re-engineering SLM_PM_Workbook_01252010_FairPoint_FP comTechOps_ProgramWorkbook_sachin 2" xfId="10020" xr:uid="{00000000-0005-0000-0000-0000CA260000}"/>
    <cellStyle name="_20061103Holux_WorldBankCMSScope_Re-engineering SLM_PM_Workbook_01252010_FairPoint_FP comTechOps_ProgramWorkbook_sachin 2_Steps of Doneness" xfId="10021" xr:uid="{00000000-0005-0000-0000-0000CB260000}"/>
    <cellStyle name="_20061103Holux_WorldBankCMSScope_Re-engineering SLM_PM_Workbook_01252010_FairPoint_FP comTechOps_ProgramWorkbook_sachin 3" xfId="10022" xr:uid="{00000000-0005-0000-0000-0000CC260000}"/>
    <cellStyle name="_20061103Holux_WorldBankCMSScope_Re-engineering SLM_PM_Workbook_01252010_FairPoint_FP comTechOps_ProgramWorkbook_sachin_Steps of Doneness" xfId="10023" xr:uid="{00000000-0005-0000-0000-0000CD260000}"/>
    <cellStyle name="_20061103Holux_WorldBankCMSScope_Re-engineering SLM_PM_Workbook_01252010_FairPoint_FP comTechOps_ProgramWorkbook_sachin_v1" xfId="10024" xr:uid="{00000000-0005-0000-0000-0000CE260000}"/>
    <cellStyle name="_20061103Holux_WorldBankCMSScope_Re-engineering SLM_PM_Workbook_01252010_FairPoint_FP comTechOps_ProgramWorkbook_sachin_v1 2" xfId="10025" xr:uid="{00000000-0005-0000-0000-0000CF260000}"/>
    <cellStyle name="_20061103Holux_WorldBankCMSScope_Re-engineering SLM_PM_Workbook_01252010_FairPoint_FP comTechOps_ProgramWorkbook_sachin_v1 2_Steps of Doneness" xfId="10026" xr:uid="{00000000-0005-0000-0000-0000D0260000}"/>
    <cellStyle name="_20061103Holux_WorldBankCMSScope_Re-engineering SLM_PM_Workbook_01252010_FairPoint_FP comTechOps_ProgramWorkbook_sachin_v1 3" xfId="10027" xr:uid="{00000000-0005-0000-0000-0000D1260000}"/>
    <cellStyle name="_20061103Holux_WorldBankCMSScope_Re-engineering SLM_PM_Workbook_01252010_FairPoint_FP comTechOps_ProgramWorkbook_sachin_v1_Steps of Doneness" xfId="10028" xr:uid="{00000000-0005-0000-0000-0000D2260000}"/>
    <cellStyle name="_20061103Holux_WorldBankCMSScope_Re-engineering SLM_PM_Workbook_01252010_FairPoint_FP comTechOps_ProgramWorkbook_Steps of Doneness" xfId="10029" xr:uid="{00000000-0005-0000-0000-0000D3260000}"/>
    <cellStyle name="_20061103Holux_WorldBankCMSScope_Re-engineering SLM_PM_Workbook_01252010_FP_CAMP&amp;ITReporting_Maintenance_Dashboard" xfId="10030" xr:uid="{00000000-0005-0000-0000-0000D4260000}"/>
    <cellStyle name="_20061103Holux_WorldBankCMSScope_Re-engineering SLM_PM_Workbook_01252010_FP_CAMP&amp;ITReporting_Maintenance_Dashboard 2" xfId="10031" xr:uid="{00000000-0005-0000-0000-0000D5260000}"/>
    <cellStyle name="_20061103Holux_WorldBankCMSScope_Re-engineering SLM_PM_Workbook_01252010_FP_CAMP&amp;ITReporting_Maintenance_Dashboard 2_Steps of Doneness" xfId="10032" xr:uid="{00000000-0005-0000-0000-0000D6260000}"/>
    <cellStyle name="_20061103Holux_WorldBankCMSScope_Re-engineering SLM_PM_Workbook_01252010_FP_CAMP&amp;ITReporting_Maintenance_Dashboard 3" xfId="10033" xr:uid="{00000000-0005-0000-0000-0000D7260000}"/>
    <cellStyle name="_20061103Holux_WorldBankCMSScope_Re-engineering SLM_PM_Workbook_01252010_FP_CAMP&amp;ITReporting_Maintenance_Dashboard_Steps of Doneness" xfId="10034" xr:uid="{00000000-0005-0000-0000-0000D8260000}"/>
    <cellStyle name="_20061103Holux_WorldBankCMSScope_Re-engineering SLM_PM_Workbook_01252010_FP_CAMPITReporting_Maintenance_Dashboard" xfId="10035" xr:uid="{00000000-0005-0000-0000-0000D9260000}"/>
    <cellStyle name="_20061103Holux_WorldBankCMSScope_Re-engineering SLM_PM_Workbook_01252010_FP_CAMPITReporting_Maintenance_Dashboard 2" xfId="10036" xr:uid="{00000000-0005-0000-0000-0000DA260000}"/>
    <cellStyle name="_20061103Holux_WorldBankCMSScope_Re-engineering SLM_PM_Workbook_01252010_FP_CAMPITReporting_Maintenance_Dashboard 2_Steps of Doneness" xfId="10037" xr:uid="{00000000-0005-0000-0000-0000DB260000}"/>
    <cellStyle name="_20061103Holux_WorldBankCMSScope_Re-engineering SLM_PM_Workbook_01252010_FP_CAMPITReporting_Maintenance_Dashboard 3" xfId="10038" xr:uid="{00000000-0005-0000-0000-0000DC260000}"/>
    <cellStyle name="_20061103Holux_WorldBankCMSScope_Re-engineering SLM_PM_Workbook_01252010_FP_CAMPITReporting_Maintenance_Dashboard_Steps of Doneness" xfId="10039" xr:uid="{00000000-0005-0000-0000-0000DD260000}"/>
    <cellStyle name="_20061103Holux_WorldBankCMSScope_Re-engineering SLM_PM_Workbook_01252010_FP_Commissions_Req_Dn_ProgramWorkBook_10-Dec-2010" xfId="10040" xr:uid="{00000000-0005-0000-0000-0000DE260000}"/>
    <cellStyle name="_20061103Holux_WorldBankCMSScope_Re-engineering SLM_PM_Workbook_01252010_FP_Commissions_Req_Dn_ProgramWorkBook_10-Dec-2010 2" xfId="10041" xr:uid="{00000000-0005-0000-0000-0000DF260000}"/>
    <cellStyle name="_20061103Holux_WorldBankCMSScope_Re-engineering SLM_PM_Workbook_01252010_FP_Commissions_Req_Dn_ProgramWorkBook_10-Dec-2010 2_Steps of Doneness" xfId="10042" xr:uid="{00000000-0005-0000-0000-0000E0260000}"/>
    <cellStyle name="_20061103Holux_WorldBankCMSScope_Re-engineering SLM_PM_Workbook_01252010_FP_Commissions_Req_Dn_ProgramWorkBook_10-Dec-2010 3" xfId="10043" xr:uid="{00000000-0005-0000-0000-0000E1260000}"/>
    <cellStyle name="_20061103Holux_WorldBankCMSScope_Re-engineering SLM_PM_Workbook_01252010_FP_Commissions_Req_Dn_ProgramWorkBook_10-Dec-2010_Steps of Doneness" xfId="10044" xr:uid="{00000000-0005-0000-0000-0000E2260000}"/>
    <cellStyle name="_20061103Holux_WorldBankCMSScope_Re-engineering SLM_PM_Workbook_01252010_FP_DW_Impl_ProgramWorkBook_07-Jan-2011" xfId="10045" xr:uid="{00000000-0005-0000-0000-0000E3260000}"/>
    <cellStyle name="_20061103Holux_WorldBankCMSScope_Re-engineering SLM_PM_Workbook_01252010_FP_DW_Impl_ProgramWorkBook_07-Jan-2011 2" xfId="10046" xr:uid="{00000000-0005-0000-0000-0000E4260000}"/>
    <cellStyle name="_20061103Holux_WorldBankCMSScope_Re-engineering SLM_PM_Workbook_01252010_FP_DW_Impl_ProgramWorkBook_07-Jan-2011 2 2" xfId="10047" xr:uid="{00000000-0005-0000-0000-0000E5260000}"/>
    <cellStyle name="_20061103Holux_WorldBankCMSScope_Re-engineering SLM_PM_Workbook_01252010_FP_DW_Impl_ProgramWorkBook_07-Jan-2011 2 2_Steps of Doneness" xfId="10048" xr:uid="{00000000-0005-0000-0000-0000E6260000}"/>
    <cellStyle name="_20061103Holux_WorldBankCMSScope_Re-engineering SLM_PM_Workbook_01252010_FP_DW_Impl_ProgramWorkBook_07-Jan-2011 2 3" xfId="10049" xr:uid="{00000000-0005-0000-0000-0000E7260000}"/>
    <cellStyle name="_20061103Holux_WorldBankCMSScope_Re-engineering SLM_PM_Workbook_01252010_FP_DW_Impl_ProgramWorkBook_07-Jan-2011 2_Steps of Doneness" xfId="10050" xr:uid="{00000000-0005-0000-0000-0000E8260000}"/>
    <cellStyle name="_20061103Holux_WorldBankCMSScope_Re-engineering SLM_PM_Workbook_01252010_FP_DW_Impl_ProgramWorkBook_07-Jan-2011 3" xfId="10051" xr:uid="{00000000-0005-0000-0000-0000E9260000}"/>
    <cellStyle name="_20061103Holux_WorldBankCMSScope_Re-engineering SLM_PM_Workbook_01252010_FP_DW_Impl_ProgramWorkBook_07-Jan-2011 3_Steps of Doneness" xfId="10052" xr:uid="{00000000-0005-0000-0000-0000EA260000}"/>
    <cellStyle name="_20061103Holux_WorldBankCMSScope_Re-engineering SLM_PM_Workbook_01252010_FP_DW_Impl_ProgramWorkBook_07-Jan-2011 4" xfId="10053" xr:uid="{00000000-0005-0000-0000-0000EB260000}"/>
    <cellStyle name="_20061103Holux_WorldBankCMSScope_Re-engineering SLM_PM_Workbook_01252010_FP_DW_Impl_ProgramWorkBook_07-Jan-2011_Steps of Doneness" xfId="10054" xr:uid="{00000000-0005-0000-0000-0000EC260000}"/>
    <cellStyle name="_20061103Holux_WorldBankCMSScope_Re-engineering SLM_PM_Workbook_01252010_FP_DW_Impl_ProgramWorkBook_11-Feb-2011" xfId="10055" xr:uid="{00000000-0005-0000-0000-0000ED260000}"/>
    <cellStyle name="_20061103Holux_WorldBankCMSScope_Re-engineering SLM_PM_Workbook_01252010_FP_DW_Impl_ProgramWorkBook_11-Feb-2011 2" xfId="10056" xr:uid="{00000000-0005-0000-0000-0000EE260000}"/>
    <cellStyle name="_20061103Holux_WorldBankCMSScope_Re-engineering SLM_PM_Workbook_01252010_FP_DW_Impl_ProgramWorkBook_11-Feb-2011 2_Steps of Doneness" xfId="10057" xr:uid="{00000000-0005-0000-0000-0000EF260000}"/>
    <cellStyle name="_20061103Holux_WorldBankCMSScope_Re-engineering SLM_PM_Workbook_01252010_FP_DW_Impl_ProgramWorkBook_11-Feb-2011 3" xfId="10058" xr:uid="{00000000-0005-0000-0000-0000F0260000}"/>
    <cellStyle name="_20061103Holux_WorldBankCMSScope_Re-engineering SLM_PM_Workbook_01252010_FP_DW_Impl_ProgramWorkBook_11-Feb-2011_Steps of Doneness" xfId="10059" xr:uid="{00000000-0005-0000-0000-0000F1260000}"/>
    <cellStyle name="_20061103Holux_WorldBankCMSScope_Re-engineering SLM_PM_Workbook_01252010_FP_DW_Impl_ProgramWorkBook_18-Feb-2011 - Working" xfId="10060" xr:uid="{00000000-0005-0000-0000-0000F2260000}"/>
    <cellStyle name="_20061103Holux_WorldBankCMSScope_Re-engineering SLM_PM_Workbook_01252010_FP_DW_Impl_ProgramWorkBook_18-Feb-2011 - Working 2" xfId="10061" xr:uid="{00000000-0005-0000-0000-0000F3260000}"/>
    <cellStyle name="_20061103Holux_WorldBankCMSScope_Re-engineering SLM_PM_Workbook_01252010_FP_DW_Impl_ProgramWorkBook_18-Feb-2011 - Working 2_Steps of Doneness" xfId="10062" xr:uid="{00000000-0005-0000-0000-0000F4260000}"/>
    <cellStyle name="_20061103Holux_WorldBankCMSScope_Re-engineering SLM_PM_Workbook_01252010_FP_DW_Impl_ProgramWorkBook_18-Feb-2011 - Working 3" xfId="10063" xr:uid="{00000000-0005-0000-0000-0000F5260000}"/>
    <cellStyle name="_20061103Holux_WorldBankCMSScope_Re-engineering SLM_PM_Workbook_01252010_FP_DW_Impl_ProgramWorkBook_18-Feb-2011 - Working_Steps of Doneness" xfId="10064" xr:uid="{00000000-0005-0000-0000-0000F6260000}"/>
    <cellStyle name="_20061103Holux_WorldBankCMSScope_Re-engineering SLM_PM_Workbook_01252010_FP_EnterprisePortal_ProgramWorkbook" xfId="10065" xr:uid="{00000000-0005-0000-0000-0000F7260000}"/>
    <cellStyle name="_20061103Holux_WorldBankCMSScope_Re-engineering SLM_PM_Workbook_01252010_FP_EnterprisePortal_ProgramWorkbook 2" xfId="10066" xr:uid="{00000000-0005-0000-0000-0000F8260000}"/>
    <cellStyle name="_20061103Holux_WorldBankCMSScope_Re-engineering SLM_PM_Workbook_01252010_FP_EnterprisePortal_ProgramWorkbook 2_Steps of Doneness" xfId="10067" xr:uid="{00000000-0005-0000-0000-0000F9260000}"/>
    <cellStyle name="_20061103Holux_WorldBankCMSScope_Re-engineering SLM_PM_Workbook_01252010_FP_EnterprisePortal_ProgramWorkbook 3" xfId="10068" xr:uid="{00000000-0005-0000-0000-0000FA260000}"/>
    <cellStyle name="_20061103Holux_WorldBankCMSScope_Re-engineering SLM_PM_Workbook_01252010_FP_EnterprisePortal_ProgramWorkbook_Steps of Doneness" xfId="10069" xr:uid="{00000000-0005-0000-0000-0000FB260000}"/>
    <cellStyle name="_20061103Holux_WorldBankCMSScope_Re-engineering SLM_PM_Workbook_01252010_FP_SAP_MLP v2" xfId="10070" xr:uid="{00000000-0005-0000-0000-0000FC260000}"/>
    <cellStyle name="_20061103Holux_WorldBankCMSScope_Re-engineering SLM_PM_Workbook_01252010_FP_SAP_MLP v2 2" xfId="10071" xr:uid="{00000000-0005-0000-0000-0000FD260000}"/>
    <cellStyle name="_20061103Holux_WorldBankCMSScope_Re-engineering SLM_PM_Workbook_01252010_FP_SAP_MLP v2 2_Steps of Doneness" xfId="10072" xr:uid="{00000000-0005-0000-0000-0000FE260000}"/>
    <cellStyle name="_20061103Holux_WorldBankCMSScope_Re-engineering SLM_PM_Workbook_01252010_FP_SAP_MLP v2 3" xfId="10073" xr:uid="{00000000-0005-0000-0000-0000FF260000}"/>
    <cellStyle name="_20061103Holux_WorldBankCMSScope_Re-engineering SLM_PM_Workbook_01252010_FP_SAP_MLP v2_Steps of Doneness" xfId="10074" xr:uid="{00000000-0005-0000-0000-000000270000}"/>
    <cellStyle name="_20061103Holux_WorldBankCMSScope_Re-engineering SLM_PM_Workbook_01252010_KeyDecisions" xfId="10075" xr:uid="{00000000-0005-0000-0000-000001270000}"/>
    <cellStyle name="_20061103Holux_WorldBankCMSScope_Re-engineering SLM_PM_Workbook_01252010_KeyDecisions 2" xfId="10076" xr:uid="{00000000-0005-0000-0000-000002270000}"/>
    <cellStyle name="_20061103Holux_WorldBankCMSScope_Re-engineering SLM_PM_Workbook_01252010_KeyDecisions 2_Steps of Doneness" xfId="10077" xr:uid="{00000000-0005-0000-0000-000003270000}"/>
    <cellStyle name="_20061103Holux_WorldBankCMSScope_Re-engineering SLM_PM_Workbook_01252010_KeyDecisions 3" xfId="10078" xr:uid="{00000000-0005-0000-0000-000004270000}"/>
    <cellStyle name="_20061103Holux_WorldBankCMSScope_Re-engineering SLM_PM_Workbook_01252010_KeyDecisions_Steps of Doneness" xfId="10079" xr:uid="{00000000-0005-0000-0000-000005270000}"/>
    <cellStyle name="_20061103Holux_WorldBankCMSScope_Re-engineering SLM_PM_Workbook_01252010_Sophia_Imp_ProjectWorkBook_02_18_2011" xfId="10080" xr:uid="{00000000-0005-0000-0000-000006270000}"/>
    <cellStyle name="_20061103Holux_WorldBankCMSScope_Re-engineering SLM_PM_Workbook_01252010_Sophia_Imp_ProjectWorkBook_02_18_2011 2" xfId="10081" xr:uid="{00000000-0005-0000-0000-000007270000}"/>
    <cellStyle name="_20061103Holux_WorldBankCMSScope_Re-engineering SLM_PM_Workbook_01252010_Sophia_Imp_ProjectWorkBook_02_18_2011 2_Steps of Doneness" xfId="10082" xr:uid="{00000000-0005-0000-0000-000008270000}"/>
    <cellStyle name="_20061103Holux_WorldBankCMSScope_Re-engineering SLM_PM_Workbook_01252010_Sophia_Imp_ProjectWorkBook_02_18_2011 3" xfId="10083" xr:uid="{00000000-0005-0000-0000-000009270000}"/>
    <cellStyle name="_20061103Holux_WorldBankCMSScope_Re-engineering SLM_PM_Workbook_01252010_Sophia_Imp_ProjectWorkBook_02_18_2011_Steps of Doneness" xfId="10084" xr:uid="{00000000-0005-0000-0000-00000A270000}"/>
    <cellStyle name="_20061103Holux_WorldBankCMSScope_Re-engineering SLM_PM_Workbook_01252010_Steps of Doneness" xfId="10085" xr:uid="{00000000-0005-0000-0000-00000B270000}"/>
    <cellStyle name="_20061103Holux_WorldBankCMSScope_Re-engineering SLM_PM_Workbook_01252010_t" xfId="10086" xr:uid="{00000000-0005-0000-0000-00000C270000}"/>
    <cellStyle name="_20061103Holux_WorldBankCMSScope_Re-engineering SLM_PM_Workbook_01252010_t 2" xfId="10087" xr:uid="{00000000-0005-0000-0000-00000D270000}"/>
    <cellStyle name="_20061103Holux_WorldBankCMSScope_Re-engineering SLM_PM_Workbook_01252010_t 2_Steps of Doneness" xfId="10088" xr:uid="{00000000-0005-0000-0000-00000E270000}"/>
    <cellStyle name="_20061103Holux_WorldBankCMSScope_Re-engineering SLM_PM_Workbook_01252010_t 3" xfId="10089" xr:uid="{00000000-0005-0000-0000-00000F270000}"/>
    <cellStyle name="_20061103Holux_WorldBankCMSScope_Re-engineering SLM_PM_Workbook_01252010_t_Steps of Doneness" xfId="10090" xr:uid="{00000000-0005-0000-0000-000010270000}"/>
    <cellStyle name="_20061103Holux_WorldBankCMSScope_Re-engineering SLM_PM_Workbook_021510" xfId="10091" xr:uid="{00000000-0005-0000-0000-000011270000}"/>
    <cellStyle name="_20061103Holux_WorldBankCMSScope_Re-engineering SLM_PM_Workbook_021510 2" xfId="10092" xr:uid="{00000000-0005-0000-0000-000012270000}"/>
    <cellStyle name="_20061103Holux_WorldBankCMSScope_Re-engineering SLM_PM_Workbook_021510 2 2" xfId="10093" xr:uid="{00000000-0005-0000-0000-000013270000}"/>
    <cellStyle name="_20061103Holux_WorldBankCMSScope_Re-engineering SLM_PM_Workbook_021510 2 2_Steps of Doneness" xfId="10094" xr:uid="{00000000-0005-0000-0000-000014270000}"/>
    <cellStyle name="_20061103Holux_WorldBankCMSScope_Re-engineering SLM_PM_Workbook_021510 2 3" xfId="10095" xr:uid="{00000000-0005-0000-0000-000015270000}"/>
    <cellStyle name="_20061103Holux_WorldBankCMSScope_Re-engineering SLM_PM_Workbook_021510 2_Steps of Doneness" xfId="10096" xr:uid="{00000000-0005-0000-0000-000016270000}"/>
    <cellStyle name="_20061103Holux_WorldBankCMSScope_Re-engineering SLM_PM_Workbook_021510 3" xfId="10097" xr:uid="{00000000-0005-0000-0000-000017270000}"/>
    <cellStyle name="_20061103Holux_WorldBankCMSScope_Re-engineering SLM_PM_Workbook_021510 3_Steps of Doneness" xfId="10098" xr:uid="{00000000-0005-0000-0000-000018270000}"/>
    <cellStyle name="_20061103Holux_WorldBankCMSScope_Re-engineering SLM_PM_Workbook_021510 4" xfId="10099" xr:uid="{00000000-0005-0000-0000-000019270000}"/>
    <cellStyle name="_20061103Holux_WorldBankCMSScope_Re-engineering SLM_PM_Workbook_021510_Commissioning System Implementation_Project Workbook_06_10_2011" xfId="10100" xr:uid="{00000000-0005-0000-0000-00001A270000}"/>
    <cellStyle name="_20061103Holux_WorldBankCMSScope_Re-engineering SLM_PM_Workbook_021510_Commissioning System Implementation_Project Workbook_06_10_2011 2" xfId="10101" xr:uid="{00000000-0005-0000-0000-00001B270000}"/>
    <cellStyle name="_20061103Holux_WorldBankCMSScope_Re-engineering SLM_PM_Workbook_021510_Commissioning System Implementation_Project Workbook_06_10_2011 2_Steps of Doneness" xfId="10102" xr:uid="{00000000-0005-0000-0000-00001C270000}"/>
    <cellStyle name="_20061103Holux_WorldBankCMSScope_Re-engineering SLM_PM_Workbook_021510_Commissioning System Implementation_Project Workbook_06_10_2011 3" xfId="10103" xr:uid="{00000000-0005-0000-0000-00001D270000}"/>
    <cellStyle name="_20061103Holux_WorldBankCMSScope_Re-engineering SLM_PM_Workbook_021510_Commissioning System Implementation_Project Workbook_06_10_2011_Steps of Doneness" xfId="10104" xr:uid="{00000000-0005-0000-0000-00001E270000}"/>
    <cellStyle name="_20061103Holux_WorldBankCMSScope_Re-engineering SLM_PM_Workbook_021510_FairPoint_CampReport" xfId="10105" xr:uid="{00000000-0005-0000-0000-00001F270000}"/>
    <cellStyle name="_20061103Holux_WorldBankCMSScope_Re-engineering SLM_PM_Workbook_021510_FairPoint_CampReport 2" xfId="10106" xr:uid="{00000000-0005-0000-0000-000020270000}"/>
    <cellStyle name="_20061103Holux_WorldBankCMSScope_Re-engineering SLM_PM_Workbook_021510_FairPoint_CampReport 2_Steps of Doneness" xfId="10107" xr:uid="{00000000-0005-0000-0000-000021270000}"/>
    <cellStyle name="_20061103Holux_WorldBankCMSScope_Re-engineering SLM_PM_Workbook_021510_FairPoint_CampReport 3" xfId="10108" xr:uid="{00000000-0005-0000-0000-000022270000}"/>
    <cellStyle name="_20061103Holux_WorldBankCMSScope_Re-engineering SLM_PM_Workbook_021510_FairPoint_CampReport_Steps of Doneness" xfId="10109" xr:uid="{00000000-0005-0000-0000-000023270000}"/>
    <cellStyle name="_20061103Holux_WorldBankCMSScope_Re-engineering SLM_PM_Workbook_021510_FairPoint_FP comTechOps_ProgramWorkbook" xfId="10110" xr:uid="{00000000-0005-0000-0000-000024270000}"/>
    <cellStyle name="_20061103Holux_WorldBankCMSScope_Re-engineering SLM_PM_Workbook_021510_FairPoint_FP comTechOps_ProgramWorkbook 2" xfId="10111" xr:uid="{00000000-0005-0000-0000-000025270000}"/>
    <cellStyle name="_20061103Holux_WorldBankCMSScope_Re-engineering SLM_PM_Workbook_021510_FairPoint_FP comTechOps_ProgramWorkbook 2_Steps of Doneness" xfId="10112" xr:uid="{00000000-0005-0000-0000-000026270000}"/>
    <cellStyle name="_20061103Holux_WorldBankCMSScope_Re-engineering SLM_PM_Workbook_021510_FairPoint_FP comTechOps_ProgramWorkbook 3" xfId="10113" xr:uid="{00000000-0005-0000-0000-000027270000}"/>
    <cellStyle name="_20061103Holux_WorldBankCMSScope_Re-engineering SLM_PM_Workbook_021510_FairPoint_FP comTechOps_ProgramWorkbook_sachin" xfId="10114" xr:uid="{00000000-0005-0000-0000-000028270000}"/>
    <cellStyle name="_20061103Holux_WorldBankCMSScope_Re-engineering SLM_PM_Workbook_021510_FairPoint_FP comTechOps_ProgramWorkbook_sachin 2" xfId="10115" xr:uid="{00000000-0005-0000-0000-000029270000}"/>
    <cellStyle name="_20061103Holux_WorldBankCMSScope_Re-engineering SLM_PM_Workbook_021510_FairPoint_FP comTechOps_ProgramWorkbook_sachin 2_Steps of Doneness" xfId="10116" xr:uid="{00000000-0005-0000-0000-00002A270000}"/>
    <cellStyle name="_20061103Holux_WorldBankCMSScope_Re-engineering SLM_PM_Workbook_021510_FairPoint_FP comTechOps_ProgramWorkbook_sachin 3" xfId="10117" xr:uid="{00000000-0005-0000-0000-00002B270000}"/>
    <cellStyle name="_20061103Holux_WorldBankCMSScope_Re-engineering SLM_PM_Workbook_021510_FairPoint_FP comTechOps_ProgramWorkbook_sachin_Steps of Doneness" xfId="10118" xr:uid="{00000000-0005-0000-0000-00002C270000}"/>
    <cellStyle name="_20061103Holux_WorldBankCMSScope_Re-engineering SLM_PM_Workbook_021510_FairPoint_FP comTechOps_ProgramWorkbook_sachin_v1" xfId="10119" xr:uid="{00000000-0005-0000-0000-00002D270000}"/>
    <cellStyle name="_20061103Holux_WorldBankCMSScope_Re-engineering SLM_PM_Workbook_021510_FairPoint_FP comTechOps_ProgramWorkbook_sachin_v1 2" xfId="10120" xr:uid="{00000000-0005-0000-0000-00002E270000}"/>
    <cellStyle name="_20061103Holux_WorldBankCMSScope_Re-engineering SLM_PM_Workbook_021510_FairPoint_FP comTechOps_ProgramWorkbook_sachin_v1 2_Steps of Doneness" xfId="10121" xr:uid="{00000000-0005-0000-0000-00002F270000}"/>
    <cellStyle name="_20061103Holux_WorldBankCMSScope_Re-engineering SLM_PM_Workbook_021510_FairPoint_FP comTechOps_ProgramWorkbook_sachin_v1 3" xfId="10122" xr:uid="{00000000-0005-0000-0000-000030270000}"/>
    <cellStyle name="_20061103Holux_WorldBankCMSScope_Re-engineering SLM_PM_Workbook_021510_FairPoint_FP comTechOps_ProgramWorkbook_sachin_v1_Steps of Doneness" xfId="10123" xr:uid="{00000000-0005-0000-0000-000031270000}"/>
    <cellStyle name="_20061103Holux_WorldBankCMSScope_Re-engineering SLM_PM_Workbook_021510_FairPoint_FP comTechOps_ProgramWorkbook_Steps of Doneness" xfId="10124" xr:uid="{00000000-0005-0000-0000-000032270000}"/>
    <cellStyle name="_20061103Holux_WorldBankCMSScope_Re-engineering SLM_PM_Workbook_021510_FP_CAMP&amp;ITReporting_Maintenance_Dashboard" xfId="10125" xr:uid="{00000000-0005-0000-0000-000033270000}"/>
    <cellStyle name="_20061103Holux_WorldBankCMSScope_Re-engineering SLM_PM_Workbook_021510_FP_CAMP&amp;ITReporting_Maintenance_Dashboard 2" xfId="10126" xr:uid="{00000000-0005-0000-0000-000034270000}"/>
    <cellStyle name="_20061103Holux_WorldBankCMSScope_Re-engineering SLM_PM_Workbook_021510_FP_CAMP&amp;ITReporting_Maintenance_Dashboard 2_Steps of Doneness" xfId="10127" xr:uid="{00000000-0005-0000-0000-000035270000}"/>
    <cellStyle name="_20061103Holux_WorldBankCMSScope_Re-engineering SLM_PM_Workbook_021510_FP_CAMP&amp;ITReporting_Maintenance_Dashboard 3" xfId="10128" xr:uid="{00000000-0005-0000-0000-000036270000}"/>
    <cellStyle name="_20061103Holux_WorldBankCMSScope_Re-engineering SLM_PM_Workbook_021510_FP_CAMP&amp;ITReporting_Maintenance_Dashboard_Steps of Doneness" xfId="10129" xr:uid="{00000000-0005-0000-0000-000037270000}"/>
    <cellStyle name="_20061103Holux_WorldBankCMSScope_Re-engineering SLM_PM_Workbook_021510_FP_CAMPITReporting_Maintenance_Dashboard" xfId="10130" xr:uid="{00000000-0005-0000-0000-000038270000}"/>
    <cellStyle name="_20061103Holux_WorldBankCMSScope_Re-engineering SLM_PM_Workbook_021510_FP_CAMPITReporting_Maintenance_Dashboard 2" xfId="10131" xr:uid="{00000000-0005-0000-0000-000039270000}"/>
    <cellStyle name="_20061103Holux_WorldBankCMSScope_Re-engineering SLM_PM_Workbook_021510_FP_CAMPITReporting_Maintenance_Dashboard 2_Steps of Doneness" xfId="10132" xr:uid="{00000000-0005-0000-0000-00003A270000}"/>
    <cellStyle name="_20061103Holux_WorldBankCMSScope_Re-engineering SLM_PM_Workbook_021510_FP_CAMPITReporting_Maintenance_Dashboard 3" xfId="10133" xr:uid="{00000000-0005-0000-0000-00003B270000}"/>
    <cellStyle name="_20061103Holux_WorldBankCMSScope_Re-engineering SLM_PM_Workbook_021510_FP_CAMPITReporting_Maintenance_Dashboard_Steps of Doneness" xfId="10134" xr:uid="{00000000-0005-0000-0000-00003C270000}"/>
    <cellStyle name="_20061103Holux_WorldBankCMSScope_Re-engineering SLM_PM_Workbook_021510_FP_Commissions_Req_Dn_ProgramWorkBook_10-Dec-2010" xfId="10135" xr:uid="{00000000-0005-0000-0000-00003D270000}"/>
    <cellStyle name="_20061103Holux_WorldBankCMSScope_Re-engineering SLM_PM_Workbook_021510_FP_Commissions_Req_Dn_ProgramWorkBook_10-Dec-2010 2" xfId="10136" xr:uid="{00000000-0005-0000-0000-00003E270000}"/>
    <cellStyle name="_20061103Holux_WorldBankCMSScope_Re-engineering SLM_PM_Workbook_021510_FP_Commissions_Req_Dn_ProgramWorkBook_10-Dec-2010 2_Steps of Doneness" xfId="10137" xr:uid="{00000000-0005-0000-0000-00003F270000}"/>
    <cellStyle name="_20061103Holux_WorldBankCMSScope_Re-engineering SLM_PM_Workbook_021510_FP_Commissions_Req_Dn_ProgramWorkBook_10-Dec-2010 3" xfId="10138" xr:uid="{00000000-0005-0000-0000-000040270000}"/>
    <cellStyle name="_20061103Holux_WorldBankCMSScope_Re-engineering SLM_PM_Workbook_021510_FP_Commissions_Req_Dn_ProgramWorkBook_10-Dec-2010_Steps of Doneness" xfId="10139" xr:uid="{00000000-0005-0000-0000-000041270000}"/>
    <cellStyle name="_20061103Holux_WorldBankCMSScope_Re-engineering SLM_PM_Workbook_021510_FP_DW_Impl_ProgramWorkBook_07-Jan-2011" xfId="10140" xr:uid="{00000000-0005-0000-0000-000042270000}"/>
    <cellStyle name="_20061103Holux_WorldBankCMSScope_Re-engineering SLM_PM_Workbook_021510_FP_DW_Impl_ProgramWorkBook_07-Jan-2011 2" xfId="10141" xr:uid="{00000000-0005-0000-0000-000043270000}"/>
    <cellStyle name="_20061103Holux_WorldBankCMSScope_Re-engineering SLM_PM_Workbook_021510_FP_DW_Impl_ProgramWorkBook_07-Jan-2011 2 2" xfId="10142" xr:uid="{00000000-0005-0000-0000-000044270000}"/>
    <cellStyle name="_20061103Holux_WorldBankCMSScope_Re-engineering SLM_PM_Workbook_021510_FP_DW_Impl_ProgramWorkBook_07-Jan-2011 2 2_Steps of Doneness" xfId="10143" xr:uid="{00000000-0005-0000-0000-000045270000}"/>
    <cellStyle name="_20061103Holux_WorldBankCMSScope_Re-engineering SLM_PM_Workbook_021510_FP_DW_Impl_ProgramWorkBook_07-Jan-2011 2 3" xfId="10144" xr:uid="{00000000-0005-0000-0000-000046270000}"/>
    <cellStyle name="_20061103Holux_WorldBankCMSScope_Re-engineering SLM_PM_Workbook_021510_FP_DW_Impl_ProgramWorkBook_07-Jan-2011 2_Steps of Doneness" xfId="10145" xr:uid="{00000000-0005-0000-0000-000047270000}"/>
    <cellStyle name="_20061103Holux_WorldBankCMSScope_Re-engineering SLM_PM_Workbook_021510_FP_DW_Impl_ProgramWorkBook_07-Jan-2011 3" xfId="10146" xr:uid="{00000000-0005-0000-0000-000048270000}"/>
    <cellStyle name="_20061103Holux_WorldBankCMSScope_Re-engineering SLM_PM_Workbook_021510_FP_DW_Impl_ProgramWorkBook_07-Jan-2011 3_Steps of Doneness" xfId="10147" xr:uid="{00000000-0005-0000-0000-000049270000}"/>
    <cellStyle name="_20061103Holux_WorldBankCMSScope_Re-engineering SLM_PM_Workbook_021510_FP_DW_Impl_ProgramWorkBook_07-Jan-2011 4" xfId="10148" xr:uid="{00000000-0005-0000-0000-00004A270000}"/>
    <cellStyle name="_20061103Holux_WorldBankCMSScope_Re-engineering SLM_PM_Workbook_021510_FP_DW_Impl_ProgramWorkBook_07-Jan-2011_Steps of Doneness" xfId="10149" xr:uid="{00000000-0005-0000-0000-00004B270000}"/>
    <cellStyle name="_20061103Holux_WorldBankCMSScope_Re-engineering SLM_PM_Workbook_021510_FP_DW_Impl_ProgramWorkBook_11-Feb-2011" xfId="10150" xr:uid="{00000000-0005-0000-0000-00004C270000}"/>
    <cellStyle name="_20061103Holux_WorldBankCMSScope_Re-engineering SLM_PM_Workbook_021510_FP_DW_Impl_ProgramWorkBook_11-Feb-2011 2" xfId="10151" xr:uid="{00000000-0005-0000-0000-00004D270000}"/>
    <cellStyle name="_20061103Holux_WorldBankCMSScope_Re-engineering SLM_PM_Workbook_021510_FP_DW_Impl_ProgramWorkBook_11-Feb-2011 2_Steps of Doneness" xfId="10152" xr:uid="{00000000-0005-0000-0000-00004E270000}"/>
    <cellStyle name="_20061103Holux_WorldBankCMSScope_Re-engineering SLM_PM_Workbook_021510_FP_DW_Impl_ProgramWorkBook_11-Feb-2011 3" xfId="10153" xr:uid="{00000000-0005-0000-0000-00004F270000}"/>
    <cellStyle name="_20061103Holux_WorldBankCMSScope_Re-engineering SLM_PM_Workbook_021510_FP_DW_Impl_ProgramWorkBook_11-Feb-2011_Steps of Doneness" xfId="10154" xr:uid="{00000000-0005-0000-0000-000050270000}"/>
    <cellStyle name="_20061103Holux_WorldBankCMSScope_Re-engineering SLM_PM_Workbook_021510_FP_DW_Impl_ProgramWorkBook_18-Feb-2011 - Working" xfId="10155" xr:uid="{00000000-0005-0000-0000-000051270000}"/>
    <cellStyle name="_20061103Holux_WorldBankCMSScope_Re-engineering SLM_PM_Workbook_021510_FP_DW_Impl_ProgramWorkBook_18-Feb-2011 - Working 2" xfId="10156" xr:uid="{00000000-0005-0000-0000-000052270000}"/>
    <cellStyle name="_20061103Holux_WorldBankCMSScope_Re-engineering SLM_PM_Workbook_021510_FP_DW_Impl_ProgramWorkBook_18-Feb-2011 - Working 2_Steps of Doneness" xfId="10157" xr:uid="{00000000-0005-0000-0000-000053270000}"/>
    <cellStyle name="_20061103Holux_WorldBankCMSScope_Re-engineering SLM_PM_Workbook_021510_FP_DW_Impl_ProgramWorkBook_18-Feb-2011 - Working 3" xfId="10158" xr:uid="{00000000-0005-0000-0000-000054270000}"/>
    <cellStyle name="_20061103Holux_WorldBankCMSScope_Re-engineering SLM_PM_Workbook_021510_FP_DW_Impl_ProgramWorkBook_18-Feb-2011 - Working_Steps of Doneness" xfId="10159" xr:uid="{00000000-0005-0000-0000-000055270000}"/>
    <cellStyle name="_20061103Holux_WorldBankCMSScope_Re-engineering SLM_PM_Workbook_021510_FP_EnterprisePortal_ProgramWorkbook" xfId="10160" xr:uid="{00000000-0005-0000-0000-000056270000}"/>
    <cellStyle name="_20061103Holux_WorldBankCMSScope_Re-engineering SLM_PM_Workbook_021510_FP_EnterprisePortal_ProgramWorkbook 2" xfId="10161" xr:uid="{00000000-0005-0000-0000-000057270000}"/>
    <cellStyle name="_20061103Holux_WorldBankCMSScope_Re-engineering SLM_PM_Workbook_021510_FP_EnterprisePortal_ProgramWorkbook 2_Steps of Doneness" xfId="10162" xr:uid="{00000000-0005-0000-0000-000058270000}"/>
    <cellStyle name="_20061103Holux_WorldBankCMSScope_Re-engineering SLM_PM_Workbook_021510_FP_EnterprisePortal_ProgramWorkbook 3" xfId="10163" xr:uid="{00000000-0005-0000-0000-000059270000}"/>
    <cellStyle name="_20061103Holux_WorldBankCMSScope_Re-engineering SLM_PM_Workbook_021510_FP_EnterprisePortal_ProgramWorkbook_Steps of Doneness" xfId="10164" xr:uid="{00000000-0005-0000-0000-00005A270000}"/>
    <cellStyle name="_20061103Holux_WorldBankCMSScope_Re-engineering SLM_PM_Workbook_021510_FP_SAP_MLP v2" xfId="10165" xr:uid="{00000000-0005-0000-0000-00005B270000}"/>
    <cellStyle name="_20061103Holux_WorldBankCMSScope_Re-engineering SLM_PM_Workbook_021510_FP_SAP_MLP v2 2" xfId="10166" xr:uid="{00000000-0005-0000-0000-00005C270000}"/>
    <cellStyle name="_20061103Holux_WorldBankCMSScope_Re-engineering SLM_PM_Workbook_021510_FP_SAP_MLP v2 2_Steps of Doneness" xfId="10167" xr:uid="{00000000-0005-0000-0000-00005D270000}"/>
    <cellStyle name="_20061103Holux_WorldBankCMSScope_Re-engineering SLM_PM_Workbook_021510_FP_SAP_MLP v2 3" xfId="10168" xr:uid="{00000000-0005-0000-0000-00005E270000}"/>
    <cellStyle name="_20061103Holux_WorldBankCMSScope_Re-engineering SLM_PM_Workbook_021510_FP_SAP_MLP v2_Steps of Doneness" xfId="10169" xr:uid="{00000000-0005-0000-0000-00005F270000}"/>
    <cellStyle name="_20061103Holux_WorldBankCMSScope_Re-engineering SLM_PM_Workbook_021510_KeyDecisions" xfId="10170" xr:uid="{00000000-0005-0000-0000-000060270000}"/>
    <cellStyle name="_20061103Holux_WorldBankCMSScope_Re-engineering SLM_PM_Workbook_021510_KeyDecisions 2" xfId="10171" xr:uid="{00000000-0005-0000-0000-000061270000}"/>
    <cellStyle name="_20061103Holux_WorldBankCMSScope_Re-engineering SLM_PM_Workbook_021510_KeyDecisions 2_Steps of Doneness" xfId="10172" xr:uid="{00000000-0005-0000-0000-000062270000}"/>
    <cellStyle name="_20061103Holux_WorldBankCMSScope_Re-engineering SLM_PM_Workbook_021510_KeyDecisions 3" xfId="10173" xr:uid="{00000000-0005-0000-0000-000063270000}"/>
    <cellStyle name="_20061103Holux_WorldBankCMSScope_Re-engineering SLM_PM_Workbook_021510_KeyDecisions_Steps of Doneness" xfId="10174" xr:uid="{00000000-0005-0000-0000-000064270000}"/>
    <cellStyle name="_20061103Holux_WorldBankCMSScope_Re-engineering SLM_PM_Workbook_021510_Sophia_Imp_ProjectWorkBook_02_18_2011" xfId="10175" xr:uid="{00000000-0005-0000-0000-000065270000}"/>
    <cellStyle name="_20061103Holux_WorldBankCMSScope_Re-engineering SLM_PM_Workbook_021510_Sophia_Imp_ProjectWorkBook_02_18_2011 2" xfId="10176" xr:uid="{00000000-0005-0000-0000-000066270000}"/>
    <cellStyle name="_20061103Holux_WorldBankCMSScope_Re-engineering SLM_PM_Workbook_021510_Sophia_Imp_ProjectWorkBook_02_18_2011 2_Steps of Doneness" xfId="10177" xr:uid="{00000000-0005-0000-0000-000067270000}"/>
    <cellStyle name="_20061103Holux_WorldBankCMSScope_Re-engineering SLM_PM_Workbook_021510_Sophia_Imp_ProjectWorkBook_02_18_2011 3" xfId="10178" xr:uid="{00000000-0005-0000-0000-000068270000}"/>
    <cellStyle name="_20061103Holux_WorldBankCMSScope_Re-engineering SLM_PM_Workbook_021510_Sophia_Imp_ProjectWorkBook_02_18_2011_Steps of Doneness" xfId="10179" xr:uid="{00000000-0005-0000-0000-000069270000}"/>
    <cellStyle name="_20061103Holux_WorldBankCMSScope_Re-engineering SLM_PM_Workbook_021510_Steps of Doneness" xfId="10180" xr:uid="{00000000-0005-0000-0000-00006A270000}"/>
    <cellStyle name="_20061103Holux_WorldBankCMSScope_Re-engineering SLM_PM_Workbook_021510_t" xfId="10181" xr:uid="{00000000-0005-0000-0000-00006B270000}"/>
    <cellStyle name="_20061103Holux_WorldBankCMSScope_Re-engineering SLM_PM_Workbook_021510_t 2" xfId="10182" xr:uid="{00000000-0005-0000-0000-00006C270000}"/>
    <cellStyle name="_20061103Holux_WorldBankCMSScope_Re-engineering SLM_PM_Workbook_021510_t 2_Steps of Doneness" xfId="10183" xr:uid="{00000000-0005-0000-0000-00006D270000}"/>
    <cellStyle name="_20061103Holux_WorldBankCMSScope_Re-engineering SLM_PM_Workbook_021510_t 3" xfId="10184" xr:uid="{00000000-0005-0000-0000-00006E270000}"/>
    <cellStyle name="_20061103Holux_WorldBankCMSScope_Re-engineering SLM_PM_Workbook_021510_t_Steps of Doneness" xfId="10185" xr:uid="{00000000-0005-0000-0000-00006F270000}"/>
    <cellStyle name="_20061103Holux_WorldBankCMSScope_Re-engineering SLM_PM_Workbook_030810" xfId="10186" xr:uid="{00000000-0005-0000-0000-000070270000}"/>
    <cellStyle name="_20061103Holux_WorldBankCMSScope_Re-engineering SLM_PM_Workbook_030810 2" xfId="10187" xr:uid="{00000000-0005-0000-0000-000071270000}"/>
    <cellStyle name="_20061103Holux_WorldBankCMSScope_Re-engineering SLM_PM_Workbook_030810 2 2" xfId="10188" xr:uid="{00000000-0005-0000-0000-000072270000}"/>
    <cellStyle name="_20061103Holux_WorldBankCMSScope_Re-engineering SLM_PM_Workbook_030810 2 2_Steps of Doneness" xfId="10189" xr:uid="{00000000-0005-0000-0000-000073270000}"/>
    <cellStyle name="_20061103Holux_WorldBankCMSScope_Re-engineering SLM_PM_Workbook_030810 2 3" xfId="10190" xr:uid="{00000000-0005-0000-0000-000074270000}"/>
    <cellStyle name="_20061103Holux_WorldBankCMSScope_Re-engineering SLM_PM_Workbook_030810 2_Steps of Doneness" xfId="10191" xr:uid="{00000000-0005-0000-0000-000075270000}"/>
    <cellStyle name="_20061103Holux_WorldBankCMSScope_Re-engineering SLM_PM_Workbook_030810 3" xfId="10192" xr:uid="{00000000-0005-0000-0000-000076270000}"/>
    <cellStyle name="_20061103Holux_WorldBankCMSScope_Re-engineering SLM_PM_Workbook_030810 3_Steps of Doneness" xfId="10193" xr:uid="{00000000-0005-0000-0000-000077270000}"/>
    <cellStyle name="_20061103Holux_WorldBankCMSScope_Re-engineering SLM_PM_Workbook_030810 4" xfId="10194" xr:uid="{00000000-0005-0000-0000-000078270000}"/>
    <cellStyle name="_20061103Holux_WorldBankCMSScope_Re-engineering SLM_PM_Workbook_030810_Commissioning System Implementation_Project Workbook_06_10_2011" xfId="10195" xr:uid="{00000000-0005-0000-0000-000079270000}"/>
    <cellStyle name="_20061103Holux_WorldBankCMSScope_Re-engineering SLM_PM_Workbook_030810_Commissioning System Implementation_Project Workbook_06_10_2011 2" xfId="10196" xr:uid="{00000000-0005-0000-0000-00007A270000}"/>
    <cellStyle name="_20061103Holux_WorldBankCMSScope_Re-engineering SLM_PM_Workbook_030810_Commissioning System Implementation_Project Workbook_06_10_2011 2_Steps of Doneness" xfId="10197" xr:uid="{00000000-0005-0000-0000-00007B270000}"/>
    <cellStyle name="_20061103Holux_WorldBankCMSScope_Re-engineering SLM_PM_Workbook_030810_Commissioning System Implementation_Project Workbook_06_10_2011 3" xfId="10198" xr:uid="{00000000-0005-0000-0000-00007C270000}"/>
    <cellStyle name="_20061103Holux_WorldBankCMSScope_Re-engineering SLM_PM_Workbook_030810_Commissioning System Implementation_Project Workbook_06_10_2011_Steps of Doneness" xfId="10199" xr:uid="{00000000-0005-0000-0000-00007D270000}"/>
    <cellStyle name="_20061103Holux_WorldBankCMSScope_Re-engineering SLM_PM_Workbook_030810_FairPoint_CampReport" xfId="10200" xr:uid="{00000000-0005-0000-0000-00007E270000}"/>
    <cellStyle name="_20061103Holux_WorldBankCMSScope_Re-engineering SLM_PM_Workbook_030810_FairPoint_CampReport 2" xfId="10201" xr:uid="{00000000-0005-0000-0000-00007F270000}"/>
    <cellStyle name="_20061103Holux_WorldBankCMSScope_Re-engineering SLM_PM_Workbook_030810_FairPoint_CampReport 2_Steps of Doneness" xfId="10202" xr:uid="{00000000-0005-0000-0000-000080270000}"/>
    <cellStyle name="_20061103Holux_WorldBankCMSScope_Re-engineering SLM_PM_Workbook_030810_FairPoint_CampReport 3" xfId="10203" xr:uid="{00000000-0005-0000-0000-000081270000}"/>
    <cellStyle name="_20061103Holux_WorldBankCMSScope_Re-engineering SLM_PM_Workbook_030810_FairPoint_CampReport_Steps of Doneness" xfId="10204" xr:uid="{00000000-0005-0000-0000-000082270000}"/>
    <cellStyle name="_20061103Holux_WorldBankCMSScope_Re-engineering SLM_PM_Workbook_030810_FairPoint_FP comTechOps_ProgramWorkbook" xfId="10205" xr:uid="{00000000-0005-0000-0000-000083270000}"/>
    <cellStyle name="_20061103Holux_WorldBankCMSScope_Re-engineering SLM_PM_Workbook_030810_FairPoint_FP comTechOps_ProgramWorkbook 2" xfId="10206" xr:uid="{00000000-0005-0000-0000-000084270000}"/>
    <cellStyle name="_20061103Holux_WorldBankCMSScope_Re-engineering SLM_PM_Workbook_030810_FairPoint_FP comTechOps_ProgramWorkbook 2_Steps of Doneness" xfId="10207" xr:uid="{00000000-0005-0000-0000-000085270000}"/>
    <cellStyle name="_20061103Holux_WorldBankCMSScope_Re-engineering SLM_PM_Workbook_030810_FairPoint_FP comTechOps_ProgramWorkbook 3" xfId="10208" xr:uid="{00000000-0005-0000-0000-000086270000}"/>
    <cellStyle name="_20061103Holux_WorldBankCMSScope_Re-engineering SLM_PM_Workbook_030810_FairPoint_FP comTechOps_ProgramWorkbook_sachin" xfId="10209" xr:uid="{00000000-0005-0000-0000-000087270000}"/>
    <cellStyle name="_20061103Holux_WorldBankCMSScope_Re-engineering SLM_PM_Workbook_030810_FairPoint_FP comTechOps_ProgramWorkbook_sachin 2" xfId="10210" xr:uid="{00000000-0005-0000-0000-000088270000}"/>
    <cellStyle name="_20061103Holux_WorldBankCMSScope_Re-engineering SLM_PM_Workbook_030810_FairPoint_FP comTechOps_ProgramWorkbook_sachin 2_Steps of Doneness" xfId="10211" xr:uid="{00000000-0005-0000-0000-000089270000}"/>
    <cellStyle name="_20061103Holux_WorldBankCMSScope_Re-engineering SLM_PM_Workbook_030810_FairPoint_FP comTechOps_ProgramWorkbook_sachin 3" xfId="10212" xr:uid="{00000000-0005-0000-0000-00008A270000}"/>
    <cellStyle name="_20061103Holux_WorldBankCMSScope_Re-engineering SLM_PM_Workbook_030810_FairPoint_FP comTechOps_ProgramWorkbook_sachin_Steps of Doneness" xfId="10213" xr:uid="{00000000-0005-0000-0000-00008B270000}"/>
    <cellStyle name="_20061103Holux_WorldBankCMSScope_Re-engineering SLM_PM_Workbook_030810_FairPoint_FP comTechOps_ProgramWorkbook_sachin_v1" xfId="10214" xr:uid="{00000000-0005-0000-0000-00008C270000}"/>
    <cellStyle name="_20061103Holux_WorldBankCMSScope_Re-engineering SLM_PM_Workbook_030810_FairPoint_FP comTechOps_ProgramWorkbook_sachin_v1 2" xfId="10215" xr:uid="{00000000-0005-0000-0000-00008D270000}"/>
    <cellStyle name="_20061103Holux_WorldBankCMSScope_Re-engineering SLM_PM_Workbook_030810_FairPoint_FP comTechOps_ProgramWorkbook_sachin_v1 2_Steps of Doneness" xfId="10216" xr:uid="{00000000-0005-0000-0000-00008E270000}"/>
    <cellStyle name="_20061103Holux_WorldBankCMSScope_Re-engineering SLM_PM_Workbook_030810_FairPoint_FP comTechOps_ProgramWorkbook_sachin_v1 3" xfId="10217" xr:uid="{00000000-0005-0000-0000-00008F270000}"/>
    <cellStyle name="_20061103Holux_WorldBankCMSScope_Re-engineering SLM_PM_Workbook_030810_FairPoint_FP comTechOps_ProgramWorkbook_sachin_v1_Steps of Doneness" xfId="10218" xr:uid="{00000000-0005-0000-0000-000090270000}"/>
    <cellStyle name="_20061103Holux_WorldBankCMSScope_Re-engineering SLM_PM_Workbook_030810_FairPoint_FP comTechOps_ProgramWorkbook_Steps of Doneness" xfId="10219" xr:uid="{00000000-0005-0000-0000-000091270000}"/>
    <cellStyle name="_20061103Holux_WorldBankCMSScope_Re-engineering SLM_PM_Workbook_030810_FP_CAMP&amp;ITReporting_Maintenance_Dashboard" xfId="10220" xr:uid="{00000000-0005-0000-0000-000092270000}"/>
    <cellStyle name="_20061103Holux_WorldBankCMSScope_Re-engineering SLM_PM_Workbook_030810_FP_CAMP&amp;ITReporting_Maintenance_Dashboard 2" xfId="10221" xr:uid="{00000000-0005-0000-0000-000093270000}"/>
    <cellStyle name="_20061103Holux_WorldBankCMSScope_Re-engineering SLM_PM_Workbook_030810_FP_CAMP&amp;ITReporting_Maintenance_Dashboard 2_Steps of Doneness" xfId="10222" xr:uid="{00000000-0005-0000-0000-000094270000}"/>
    <cellStyle name="_20061103Holux_WorldBankCMSScope_Re-engineering SLM_PM_Workbook_030810_FP_CAMP&amp;ITReporting_Maintenance_Dashboard 3" xfId="10223" xr:uid="{00000000-0005-0000-0000-000095270000}"/>
    <cellStyle name="_20061103Holux_WorldBankCMSScope_Re-engineering SLM_PM_Workbook_030810_FP_CAMP&amp;ITReporting_Maintenance_Dashboard_Steps of Doneness" xfId="10224" xr:uid="{00000000-0005-0000-0000-000096270000}"/>
    <cellStyle name="_20061103Holux_WorldBankCMSScope_Re-engineering SLM_PM_Workbook_030810_FP_CAMPITReporting_Maintenance_Dashboard" xfId="10225" xr:uid="{00000000-0005-0000-0000-000097270000}"/>
    <cellStyle name="_20061103Holux_WorldBankCMSScope_Re-engineering SLM_PM_Workbook_030810_FP_CAMPITReporting_Maintenance_Dashboard 2" xfId="10226" xr:uid="{00000000-0005-0000-0000-000098270000}"/>
    <cellStyle name="_20061103Holux_WorldBankCMSScope_Re-engineering SLM_PM_Workbook_030810_FP_CAMPITReporting_Maintenance_Dashboard 2_Steps of Doneness" xfId="10227" xr:uid="{00000000-0005-0000-0000-000099270000}"/>
    <cellStyle name="_20061103Holux_WorldBankCMSScope_Re-engineering SLM_PM_Workbook_030810_FP_CAMPITReporting_Maintenance_Dashboard 3" xfId="10228" xr:uid="{00000000-0005-0000-0000-00009A270000}"/>
    <cellStyle name="_20061103Holux_WorldBankCMSScope_Re-engineering SLM_PM_Workbook_030810_FP_CAMPITReporting_Maintenance_Dashboard_Steps of Doneness" xfId="10229" xr:uid="{00000000-0005-0000-0000-00009B270000}"/>
    <cellStyle name="_20061103Holux_WorldBankCMSScope_Re-engineering SLM_PM_Workbook_030810_FP_Commissions_Req_Dn_ProgramWorkBook_10-Dec-2010" xfId="10230" xr:uid="{00000000-0005-0000-0000-00009C270000}"/>
    <cellStyle name="_20061103Holux_WorldBankCMSScope_Re-engineering SLM_PM_Workbook_030810_FP_Commissions_Req_Dn_ProgramWorkBook_10-Dec-2010 2" xfId="10231" xr:uid="{00000000-0005-0000-0000-00009D270000}"/>
    <cellStyle name="_20061103Holux_WorldBankCMSScope_Re-engineering SLM_PM_Workbook_030810_FP_Commissions_Req_Dn_ProgramWorkBook_10-Dec-2010 2_Steps of Doneness" xfId="10232" xr:uid="{00000000-0005-0000-0000-00009E270000}"/>
    <cellStyle name="_20061103Holux_WorldBankCMSScope_Re-engineering SLM_PM_Workbook_030810_FP_Commissions_Req_Dn_ProgramWorkBook_10-Dec-2010 3" xfId="10233" xr:uid="{00000000-0005-0000-0000-00009F270000}"/>
    <cellStyle name="_20061103Holux_WorldBankCMSScope_Re-engineering SLM_PM_Workbook_030810_FP_Commissions_Req_Dn_ProgramWorkBook_10-Dec-2010_Steps of Doneness" xfId="10234" xr:uid="{00000000-0005-0000-0000-0000A0270000}"/>
    <cellStyle name="_20061103Holux_WorldBankCMSScope_Re-engineering SLM_PM_Workbook_030810_FP_DW_Impl_ProgramWorkBook_07-Jan-2011" xfId="10235" xr:uid="{00000000-0005-0000-0000-0000A1270000}"/>
    <cellStyle name="_20061103Holux_WorldBankCMSScope_Re-engineering SLM_PM_Workbook_030810_FP_DW_Impl_ProgramWorkBook_07-Jan-2011 2" xfId="10236" xr:uid="{00000000-0005-0000-0000-0000A2270000}"/>
    <cellStyle name="_20061103Holux_WorldBankCMSScope_Re-engineering SLM_PM_Workbook_030810_FP_DW_Impl_ProgramWorkBook_07-Jan-2011 2 2" xfId="10237" xr:uid="{00000000-0005-0000-0000-0000A3270000}"/>
    <cellStyle name="_20061103Holux_WorldBankCMSScope_Re-engineering SLM_PM_Workbook_030810_FP_DW_Impl_ProgramWorkBook_07-Jan-2011 2 2_Steps of Doneness" xfId="10238" xr:uid="{00000000-0005-0000-0000-0000A4270000}"/>
    <cellStyle name="_20061103Holux_WorldBankCMSScope_Re-engineering SLM_PM_Workbook_030810_FP_DW_Impl_ProgramWorkBook_07-Jan-2011 2 3" xfId="10239" xr:uid="{00000000-0005-0000-0000-0000A5270000}"/>
    <cellStyle name="_20061103Holux_WorldBankCMSScope_Re-engineering SLM_PM_Workbook_030810_FP_DW_Impl_ProgramWorkBook_07-Jan-2011 2_Steps of Doneness" xfId="10240" xr:uid="{00000000-0005-0000-0000-0000A6270000}"/>
    <cellStyle name="_20061103Holux_WorldBankCMSScope_Re-engineering SLM_PM_Workbook_030810_FP_DW_Impl_ProgramWorkBook_07-Jan-2011 3" xfId="10241" xr:uid="{00000000-0005-0000-0000-0000A7270000}"/>
    <cellStyle name="_20061103Holux_WorldBankCMSScope_Re-engineering SLM_PM_Workbook_030810_FP_DW_Impl_ProgramWorkBook_07-Jan-2011 3_Steps of Doneness" xfId="10242" xr:uid="{00000000-0005-0000-0000-0000A8270000}"/>
    <cellStyle name="_20061103Holux_WorldBankCMSScope_Re-engineering SLM_PM_Workbook_030810_FP_DW_Impl_ProgramWorkBook_07-Jan-2011 4" xfId="10243" xr:uid="{00000000-0005-0000-0000-0000A9270000}"/>
    <cellStyle name="_20061103Holux_WorldBankCMSScope_Re-engineering SLM_PM_Workbook_030810_FP_DW_Impl_ProgramWorkBook_07-Jan-2011_Steps of Doneness" xfId="10244" xr:uid="{00000000-0005-0000-0000-0000AA270000}"/>
    <cellStyle name="_20061103Holux_WorldBankCMSScope_Re-engineering SLM_PM_Workbook_030810_FP_DW_Impl_ProgramWorkBook_11-Feb-2011" xfId="10245" xr:uid="{00000000-0005-0000-0000-0000AB270000}"/>
    <cellStyle name="_20061103Holux_WorldBankCMSScope_Re-engineering SLM_PM_Workbook_030810_FP_DW_Impl_ProgramWorkBook_11-Feb-2011 2" xfId="10246" xr:uid="{00000000-0005-0000-0000-0000AC270000}"/>
    <cellStyle name="_20061103Holux_WorldBankCMSScope_Re-engineering SLM_PM_Workbook_030810_FP_DW_Impl_ProgramWorkBook_11-Feb-2011 2_Steps of Doneness" xfId="10247" xr:uid="{00000000-0005-0000-0000-0000AD270000}"/>
    <cellStyle name="_20061103Holux_WorldBankCMSScope_Re-engineering SLM_PM_Workbook_030810_FP_DW_Impl_ProgramWorkBook_11-Feb-2011 3" xfId="10248" xr:uid="{00000000-0005-0000-0000-0000AE270000}"/>
    <cellStyle name="_20061103Holux_WorldBankCMSScope_Re-engineering SLM_PM_Workbook_030810_FP_DW_Impl_ProgramWorkBook_11-Feb-2011_Steps of Doneness" xfId="10249" xr:uid="{00000000-0005-0000-0000-0000AF270000}"/>
    <cellStyle name="_20061103Holux_WorldBankCMSScope_Re-engineering SLM_PM_Workbook_030810_FP_DW_Impl_ProgramWorkBook_18-Feb-2011 - Working" xfId="10250" xr:uid="{00000000-0005-0000-0000-0000B0270000}"/>
    <cellStyle name="_20061103Holux_WorldBankCMSScope_Re-engineering SLM_PM_Workbook_030810_FP_DW_Impl_ProgramWorkBook_18-Feb-2011 - Working 2" xfId="10251" xr:uid="{00000000-0005-0000-0000-0000B1270000}"/>
    <cellStyle name="_20061103Holux_WorldBankCMSScope_Re-engineering SLM_PM_Workbook_030810_FP_DW_Impl_ProgramWorkBook_18-Feb-2011 - Working 2_Steps of Doneness" xfId="10252" xr:uid="{00000000-0005-0000-0000-0000B2270000}"/>
    <cellStyle name="_20061103Holux_WorldBankCMSScope_Re-engineering SLM_PM_Workbook_030810_FP_DW_Impl_ProgramWorkBook_18-Feb-2011 - Working 3" xfId="10253" xr:uid="{00000000-0005-0000-0000-0000B3270000}"/>
    <cellStyle name="_20061103Holux_WorldBankCMSScope_Re-engineering SLM_PM_Workbook_030810_FP_DW_Impl_ProgramWorkBook_18-Feb-2011 - Working_Steps of Doneness" xfId="10254" xr:uid="{00000000-0005-0000-0000-0000B4270000}"/>
    <cellStyle name="_20061103Holux_WorldBankCMSScope_Re-engineering SLM_PM_Workbook_030810_FP_EnterprisePortal_ProgramWorkbook" xfId="10255" xr:uid="{00000000-0005-0000-0000-0000B5270000}"/>
    <cellStyle name="_20061103Holux_WorldBankCMSScope_Re-engineering SLM_PM_Workbook_030810_FP_EnterprisePortal_ProgramWorkbook 2" xfId="10256" xr:uid="{00000000-0005-0000-0000-0000B6270000}"/>
    <cellStyle name="_20061103Holux_WorldBankCMSScope_Re-engineering SLM_PM_Workbook_030810_FP_EnterprisePortal_ProgramWorkbook 2_Steps of Doneness" xfId="10257" xr:uid="{00000000-0005-0000-0000-0000B7270000}"/>
    <cellStyle name="_20061103Holux_WorldBankCMSScope_Re-engineering SLM_PM_Workbook_030810_FP_EnterprisePortal_ProgramWorkbook 3" xfId="10258" xr:uid="{00000000-0005-0000-0000-0000B8270000}"/>
    <cellStyle name="_20061103Holux_WorldBankCMSScope_Re-engineering SLM_PM_Workbook_030810_FP_EnterprisePortal_ProgramWorkbook_Steps of Doneness" xfId="10259" xr:uid="{00000000-0005-0000-0000-0000B9270000}"/>
    <cellStyle name="_20061103Holux_WorldBankCMSScope_Re-engineering SLM_PM_Workbook_030810_FP_SAP_MLP v2" xfId="10260" xr:uid="{00000000-0005-0000-0000-0000BA270000}"/>
    <cellStyle name="_20061103Holux_WorldBankCMSScope_Re-engineering SLM_PM_Workbook_030810_FP_SAP_MLP v2 2" xfId="10261" xr:uid="{00000000-0005-0000-0000-0000BB270000}"/>
    <cellStyle name="_20061103Holux_WorldBankCMSScope_Re-engineering SLM_PM_Workbook_030810_FP_SAP_MLP v2 2_Steps of Doneness" xfId="10262" xr:uid="{00000000-0005-0000-0000-0000BC270000}"/>
    <cellStyle name="_20061103Holux_WorldBankCMSScope_Re-engineering SLM_PM_Workbook_030810_FP_SAP_MLP v2 3" xfId="10263" xr:uid="{00000000-0005-0000-0000-0000BD270000}"/>
    <cellStyle name="_20061103Holux_WorldBankCMSScope_Re-engineering SLM_PM_Workbook_030810_FP_SAP_MLP v2_Steps of Doneness" xfId="10264" xr:uid="{00000000-0005-0000-0000-0000BE270000}"/>
    <cellStyle name="_20061103Holux_WorldBankCMSScope_Re-engineering SLM_PM_Workbook_030810_KeyDecisions" xfId="10265" xr:uid="{00000000-0005-0000-0000-0000BF270000}"/>
    <cellStyle name="_20061103Holux_WorldBankCMSScope_Re-engineering SLM_PM_Workbook_030810_KeyDecisions 2" xfId="10266" xr:uid="{00000000-0005-0000-0000-0000C0270000}"/>
    <cellStyle name="_20061103Holux_WorldBankCMSScope_Re-engineering SLM_PM_Workbook_030810_KeyDecisions 2_Steps of Doneness" xfId="10267" xr:uid="{00000000-0005-0000-0000-0000C1270000}"/>
    <cellStyle name="_20061103Holux_WorldBankCMSScope_Re-engineering SLM_PM_Workbook_030810_KeyDecisions 3" xfId="10268" xr:uid="{00000000-0005-0000-0000-0000C2270000}"/>
    <cellStyle name="_20061103Holux_WorldBankCMSScope_Re-engineering SLM_PM_Workbook_030810_KeyDecisions_Steps of Doneness" xfId="10269" xr:uid="{00000000-0005-0000-0000-0000C3270000}"/>
    <cellStyle name="_20061103Holux_WorldBankCMSScope_Re-engineering SLM_PM_Workbook_030810_Sophia_Imp_ProjectWorkBook_02_18_2011" xfId="10270" xr:uid="{00000000-0005-0000-0000-0000C4270000}"/>
    <cellStyle name="_20061103Holux_WorldBankCMSScope_Re-engineering SLM_PM_Workbook_030810_Sophia_Imp_ProjectWorkBook_02_18_2011 2" xfId="10271" xr:uid="{00000000-0005-0000-0000-0000C5270000}"/>
    <cellStyle name="_20061103Holux_WorldBankCMSScope_Re-engineering SLM_PM_Workbook_030810_Sophia_Imp_ProjectWorkBook_02_18_2011 2_Steps of Doneness" xfId="10272" xr:uid="{00000000-0005-0000-0000-0000C6270000}"/>
    <cellStyle name="_20061103Holux_WorldBankCMSScope_Re-engineering SLM_PM_Workbook_030810_Sophia_Imp_ProjectWorkBook_02_18_2011 3" xfId="10273" xr:uid="{00000000-0005-0000-0000-0000C7270000}"/>
    <cellStyle name="_20061103Holux_WorldBankCMSScope_Re-engineering SLM_PM_Workbook_030810_Sophia_Imp_ProjectWorkBook_02_18_2011_Steps of Doneness" xfId="10274" xr:uid="{00000000-0005-0000-0000-0000C8270000}"/>
    <cellStyle name="_20061103Holux_WorldBankCMSScope_Re-engineering SLM_PM_Workbook_030810_Steps of Doneness" xfId="10275" xr:uid="{00000000-0005-0000-0000-0000C9270000}"/>
    <cellStyle name="_20061103Holux_WorldBankCMSScope_Re-engineering SLM_PM_Workbook_030810_t" xfId="10276" xr:uid="{00000000-0005-0000-0000-0000CA270000}"/>
    <cellStyle name="_20061103Holux_WorldBankCMSScope_Re-engineering SLM_PM_Workbook_030810_t 2" xfId="10277" xr:uid="{00000000-0005-0000-0000-0000CB270000}"/>
    <cellStyle name="_20061103Holux_WorldBankCMSScope_Re-engineering SLM_PM_Workbook_030810_t 2_Steps of Doneness" xfId="10278" xr:uid="{00000000-0005-0000-0000-0000CC270000}"/>
    <cellStyle name="_20061103Holux_WorldBankCMSScope_Re-engineering SLM_PM_Workbook_030810_t 3" xfId="10279" xr:uid="{00000000-0005-0000-0000-0000CD270000}"/>
    <cellStyle name="_20061103Holux_WorldBankCMSScope_Re-engineering SLM_PM_Workbook_030810_t_Steps of Doneness" xfId="10280" xr:uid="{00000000-0005-0000-0000-0000CE270000}"/>
    <cellStyle name="_20061103Holux_WorldBankCMSScope_Scope and Deliverable Summary" xfId="10281" xr:uid="{00000000-0005-0000-0000-0000CF270000}"/>
    <cellStyle name="_20061103Holux_WorldBankCMSScope_Scope and Deliverable Summary 2" xfId="10282" xr:uid="{00000000-0005-0000-0000-0000D0270000}"/>
    <cellStyle name="_20061103Holux_WorldBankCMSScope_Scope and Deliverable Summary 2 2" xfId="10283" xr:uid="{00000000-0005-0000-0000-0000D1270000}"/>
    <cellStyle name="_20061103Holux_WorldBankCMSScope_Scope and Deliverable Summary 2 2_Steps of Doneness" xfId="10284" xr:uid="{00000000-0005-0000-0000-0000D2270000}"/>
    <cellStyle name="_20061103Holux_WorldBankCMSScope_Scope and Deliverable Summary 2 3" xfId="10285" xr:uid="{00000000-0005-0000-0000-0000D3270000}"/>
    <cellStyle name="_20061103Holux_WorldBankCMSScope_Scope and Deliverable Summary 2_Steps of Doneness" xfId="10286" xr:uid="{00000000-0005-0000-0000-0000D4270000}"/>
    <cellStyle name="_20061103Holux_WorldBankCMSScope_Scope and Deliverable Summary 3" xfId="10287" xr:uid="{00000000-0005-0000-0000-0000D5270000}"/>
    <cellStyle name="_20061103Holux_WorldBankCMSScope_Scope and Deliverable Summary 3_Steps of Doneness" xfId="10288" xr:uid="{00000000-0005-0000-0000-0000D6270000}"/>
    <cellStyle name="_20061103Holux_WorldBankCMSScope_Scope and Deliverable Summary 4" xfId="10289" xr:uid="{00000000-0005-0000-0000-0000D7270000}"/>
    <cellStyle name="_20061103Holux_WorldBankCMSScope_Scope and Deliverable Summary_Commissioning System Implementation_Project Workbook_06_10_2011" xfId="10290" xr:uid="{00000000-0005-0000-0000-0000D8270000}"/>
    <cellStyle name="_20061103Holux_WorldBankCMSScope_Scope and Deliverable Summary_Commissioning System Implementation_Project Workbook_06_10_2011 2" xfId="10291" xr:uid="{00000000-0005-0000-0000-0000D9270000}"/>
    <cellStyle name="_20061103Holux_WorldBankCMSScope_Scope and Deliverable Summary_Commissioning System Implementation_Project Workbook_06_10_2011 2_Steps of Doneness" xfId="10292" xr:uid="{00000000-0005-0000-0000-0000DA270000}"/>
    <cellStyle name="_20061103Holux_WorldBankCMSScope_Scope and Deliverable Summary_Commissioning System Implementation_Project Workbook_06_10_2011 3" xfId="10293" xr:uid="{00000000-0005-0000-0000-0000DB270000}"/>
    <cellStyle name="_20061103Holux_WorldBankCMSScope_Scope and Deliverable Summary_Commissioning System Implementation_Project Workbook_06_10_2011_Steps of Doneness" xfId="10294" xr:uid="{00000000-0005-0000-0000-0000DC270000}"/>
    <cellStyle name="_20061103Holux_WorldBankCMSScope_Scope and Deliverable Summary_FairPoint_CampReport" xfId="10295" xr:uid="{00000000-0005-0000-0000-0000DD270000}"/>
    <cellStyle name="_20061103Holux_WorldBankCMSScope_Scope and Deliverable Summary_FairPoint_CampReport 2" xfId="10296" xr:uid="{00000000-0005-0000-0000-0000DE270000}"/>
    <cellStyle name="_20061103Holux_WorldBankCMSScope_Scope and Deliverable Summary_FairPoint_CampReport 2_Steps of Doneness" xfId="10297" xr:uid="{00000000-0005-0000-0000-0000DF270000}"/>
    <cellStyle name="_20061103Holux_WorldBankCMSScope_Scope and Deliverable Summary_FairPoint_CampReport 3" xfId="10298" xr:uid="{00000000-0005-0000-0000-0000E0270000}"/>
    <cellStyle name="_20061103Holux_WorldBankCMSScope_Scope and Deliverable Summary_FairPoint_CampReport_Steps of Doneness" xfId="10299" xr:uid="{00000000-0005-0000-0000-0000E1270000}"/>
    <cellStyle name="_20061103Holux_WorldBankCMSScope_Scope and Deliverable Summary_FairPoint_FP comTechOps_ProgramWorkbook" xfId="10300" xr:uid="{00000000-0005-0000-0000-0000E2270000}"/>
    <cellStyle name="_20061103Holux_WorldBankCMSScope_Scope and Deliverable Summary_FairPoint_FP comTechOps_ProgramWorkbook 2" xfId="10301" xr:uid="{00000000-0005-0000-0000-0000E3270000}"/>
    <cellStyle name="_20061103Holux_WorldBankCMSScope_Scope and Deliverable Summary_FairPoint_FP comTechOps_ProgramWorkbook 2_Steps of Doneness" xfId="10302" xr:uid="{00000000-0005-0000-0000-0000E4270000}"/>
    <cellStyle name="_20061103Holux_WorldBankCMSScope_Scope and Deliverable Summary_FairPoint_FP comTechOps_ProgramWorkbook 3" xfId="10303" xr:uid="{00000000-0005-0000-0000-0000E5270000}"/>
    <cellStyle name="_20061103Holux_WorldBankCMSScope_Scope and Deliverable Summary_FairPoint_FP comTechOps_ProgramWorkbook_sachin" xfId="10304" xr:uid="{00000000-0005-0000-0000-0000E6270000}"/>
    <cellStyle name="_20061103Holux_WorldBankCMSScope_Scope and Deliverable Summary_FairPoint_FP comTechOps_ProgramWorkbook_sachin 2" xfId="10305" xr:uid="{00000000-0005-0000-0000-0000E7270000}"/>
    <cellStyle name="_20061103Holux_WorldBankCMSScope_Scope and Deliverable Summary_FairPoint_FP comTechOps_ProgramWorkbook_sachin 2_Steps of Doneness" xfId="10306" xr:uid="{00000000-0005-0000-0000-0000E8270000}"/>
    <cellStyle name="_20061103Holux_WorldBankCMSScope_Scope and Deliverable Summary_FairPoint_FP comTechOps_ProgramWorkbook_sachin 3" xfId="10307" xr:uid="{00000000-0005-0000-0000-0000E9270000}"/>
    <cellStyle name="_20061103Holux_WorldBankCMSScope_Scope and Deliverable Summary_FairPoint_FP comTechOps_ProgramWorkbook_sachin_Steps of Doneness" xfId="10308" xr:uid="{00000000-0005-0000-0000-0000EA270000}"/>
    <cellStyle name="_20061103Holux_WorldBankCMSScope_Scope and Deliverable Summary_FairPoint_FP comTechOps_ProgramWorkbook_sachin_v1" xfId="10309" xr:uid="{00000000-0005-0000-0000-0000EB270000}"/>
    <cellStyle name="_20061103Holux_WorldBankCMSScope_Scope and Deliverable Summary_FairPoint_FP comTechOps_ProgramWorkbook_sachin_v1 2" xfId="10310" xr:uid="{00000000-0005-0000-0000-0000EC270000}"/>
    <cellStyle name="_20061103Holux_WorldBankCMSScope_Scope and Deliverable Summary_FairPoint_FP comTechOps_ProgramWorkbook_sachin_v1 2_Steps of Doneness" xfId="10311" xr:uid="{00000000-0005-0000-0000-0000ED270000}"/>
    <cellStyle name="_20061103Holux_WorldBankCMSScope_Scope and Deliverable Summary_FairPoint_FP comTechOps_ProgramWorkbook_sachin_v1 3" xfId="10312" xr:uid="{00000000-0005-0000-0000-0000EE270000}"/>
    <cellStyle name="_20061103Holux_WorldBankCMSScope_Scope and Deliverable Summary_FairPoint_FP comTechOps_ProgramWorkbook_sachin_v1_Steps of Doneness" xfId="10313" xr:uid="{00000000-0005-0000-0000-0000EF270000}"/>
    <cellStyle name="_20061103Holux_WorldBankCMSScope_Scope and Deliverable Summary_FairPoint_FP comTechOps_ProgramWorkbook_Steps of Doneness" xfId="10314" xr:uid="{00000000-0005-0000-0000-0000F0270000}"/>
    <cellStyle name="_20061103Holux_WorldBankCMSScope_Scope and Deliverable Summary_FP_CAMP&amp;ITReporting_Maintenance_Dashboard" xfId="10315" xr:uid="{00000000-0005-0000-0000-0000F1270000}"/>
    <cellStyle name="_20061103Holux_WorldBankCMSScope_Scope and Deliverable Summary_FP_CAMP&amp;ITReporting_Maintenance_Dashboard 2" xfId="10316" xr:uid="{00000000-0005-0000-0000-0000F2270000}"/>
    <cellStyle name="_20061103Holux_WorldBankCMSScope_Scope and Deliverable Summary_FP_CAMP&amp;ITReporting_Maintenance_Dashboard 2_Steps of Doneness" xfId="10317" xr:uid="{00000000-0005-0000-0000-0000F3270000}"/>
    <cellStyle name="_20061103Holux_WorldBankCMSScope_Scope and Deliverable Summary_FP_CAMP&amp;ITReporting_Maintenance_Dashboard 3" xfId="10318" xr:uid="{00000000-0005-0000-0000-0000F4270000}"/>
    <cellStyle name="_20061103Holux_WorldBankCMSScope_Scope and Deliverable Summary_FP_CAMP&amp;ITReporting_Maintenance_Dashboard_Steps of Doneness" xfId="10319" xr:uid="{00000000-0005-0000-0000-0000F5270000}"/>
    <cellStyle name="_20061103Holux_WorldBankCMSScope_Scope and Deliverable Summary_FP_CAMPITReporting_Maintenance_Dashboard" xfId="10320" xr:uid="{00000000-0005-0000-0000-0000F6270000}"/>
    <cellStyle name="_20061103Holux_WorldBankCMSScope_Scope and Deliverable Summary_FP_CAMPITReporting_Maintenance_Dashboard 2" xfId="10321" xr:uid="{00000000-0005-0000-0000-0000F7270000}"/>
    <cellStyle name="_20061103Holux_WorldBankCMSScope_Scope and Deliverable Summary_FP_CAMPITReporting_Maintenance_Dashboard 2_Steps of Doneness" xfId="10322" xr:uid="{00000000-0005-0000-0000-0000F8270000}"/>
    <cellStyle name="_20061103Holux_WorldBankCMSScope_Scope and Deliverable Summary_FP_CAMPITReporting_Maintenance_Dashboard 3" xfId="10323" xr:uid="{00000000-0005-0000-0000-0000F9270000}"/>
    <cellStyle name="_20061103Holux_WorldBankCMSScope_Scope and Deliverable Summary_FP_CAMPITReporting_Maintenance_Dashboard_Steps of Doneness" xfId="10324" xr:uid="{00000000-0005-0000-0000-0000FA270000}"/>
    <cellStyle name="_20061103Holux_WorldBankCMSScope_Scope and Deliverable Summary_FP_Commissions_Req_Dn_ProgramWorkBook_10-Dec-2010" xfId="10325" xr:uid="{00000000-0005-0000-0000-0000FB270000}"/>
    <cellStyle name="_20061103Holux_WorldBankCMSScope_Scope and Deliverable Summary_FP_Commissions_Req_Dn_ProgramWorkBook_10-Dec-2010 2" xfId="10326" xr:uid="{00000000-0005-0000-0000-0000FC270000}"/>
    <cellStyle name="_20061103Holux_WorldBankCMSScope_Scope and Deliverable Summary_FP_Commissions_Req_Dn_ProgramWorkBook_10-Dec-2010 2_Steps of Doneness" xfId="10327" xr:uid="{00000000-0005-0000-0000-0000FD270000}"/>
    <cellStyle name="_20061103Holux_WorldBankCMSScope_Scope and Deliverable Summary_FP_Commissions_Req_Dn_ProgramWorkBook_10-Dec-2010 3" xfId="10328" xr:uid="{00000000-0005-0000-0000-0000FE270000}"/>
    <cellStyle name="_20061103Holux_WorldBankCMSScope_Scope and Deliverable Summary_FP_Commissions_Req_Dn_ProgramWorkBook_10-Dec-2010_Steps of Doneness" xfId="10329" xr:uid="{00000000-0005-0000-0000-0000FF270000}"/>
    <cellStyle name="_20061103Holux_WorldBankCMSScope_Scope and Deliverable Summary_FP_DW_Impl_ProgramWorkBook_07-Jan-2011" xfId="10330" xr:uid="{00000000-0005-0000-0000-000000280000}"/>
    <cellStyle name="_20061103Holux_WorldBankCMSScope_Scope and Deliverable Summary_FP_DW_Impl_ProgramWorkBook_07-Jan-2011 2" xfId="10331" xr:uid="{00000000-0005-0000-0000-000001280000}"/>
    <cellStyle name="_20061103Holux_WorldBankCMSScope_Scope and Deliverable Summary_FP_DW_Impl_ProgramWorkBook_07-Jan-2011 2 2" xfId="10332" xr:uid="{00000000-0005-0000-0000-000002280000}"/>
    <cellStyle name="_20061103Holux_WorldBankCMSScope_Scope and Deliverable Summary_FP_DW_Impl_ProgramWorkBook_07-Jan-2011 2 2_Steps of Doneness" xfId="10333" xr:uid="{00000000-0005-0000-0000-000003280000}"/>
    <cellStyle name="_20061103Holux_WorldBankCMSScope_Scope and Deliverable Summary_FP_DW_Impl_ProgramWorkBook_07-Jan-2011 2 3" xfId="10334" xr:uid="{00000000-0005-0000-0000-000004280000}"/>
    <cellStyle name="_20061103Holux_WorldBankCMSScope_Scope and Deliverable Summary_FP_DW_Impl_ProgramWorkBook_07-Jan-2011 2_Steps of Doneness" xfId="10335" xr:uid="{00000000-0005-0000-0000-000005280000}"/>
    <cellStyle name="_20061103Holux_WorldBankCMSScope_Scope and Deliverable Summary_FP_DW_Impl_ProgramWorkBook_07-Jan-2011 3" xfId="10336" xr:uid="{00000000-0005-0000-0000-000006280000}"/>
    <cellStyle name="_20061103Holux_WorldBankCMSScope_Scope and Deliverable Summary_FP_DW_Impl_ProgramWorkBook_07-Jan-2011 3_Steps of Doneness" xfId="10337" xr:uid="{00000000-0005-0000-0000-000007280000}"/>
    <cellStyle name="_20061103Holux_WorldBankCMSScope_Scope and Deliverable Summary_FP_DW_Impl_ProgramWorkBook_07-Jan-2011 4" xfId="10338" xr:uid="{00000000-0005-0000-0000-000008280000}"/>
    <cellStyle name="_20061103Holux_WorldBankCMSScope_Scope and Deliverable Summary_FP_DW_Impl_ProgramWorkBook_07-Jan-2011_Steps of Doneness" xfId="10339" xr:uid="{00000000-0005-0000-0000-000009280000}"/>
    <cellStyle name="_20061103Holux_WorldBankCMSScope_Scope and Deliverable Summary_FP_DW_Impl_ProgramWorkBook_11-Feb-2011" xfId="10340" xr:uid="{00000000-0005-0000-0000-00000A280000}"/>
    <cellStyle name="_20061103Holux_WorldBankCMSScope_Scope and Deliverable Summary_FP_DW_Impl_ProgramWorkBook_11-Feb-2011 2" xfId="10341" xr:uid="{00000000-0005-0000-0000-00000B280000}"/>
    <cellStyle name="_20061103Holux_WorldBankCMSScope_Scope and Deliverable Summary_FP_DW_Impl_ProgramWorkBook_11-Feb-2011 2_Steps of Doneness" xfId="10342" xr:uid="{00000000-0005-0000-0000-00000C280000}"/>
    <cellStyle name="_20061103Holux_WorldBankCMSScope_Scope and Deliverable Summary_FP_DW_Impl_ProgramWorkBook_11-Feb-2011 3" xfId="10343" xr:uid="{00000000-0005-0000-0000-00000D280000}"/>
    <cellStyle name="_20061103Holux_WorldBankCMSScope_Scope and Deliverable Summary_FP_DW_Impl_ProgramWorkBook_11-Feb-2011_Steps of Doneness" xfId="10344" xr:uid="{00000000-0005-0000-0000-00000E280000}"/>
    <cellStyle name="_20061103Holux_WorldBankCMSScope_Scope and Deliverable Summary_FP_DW_Impl_ProgramWorkBook_18-Feb-2011 - Working" xfId="10345" xr:uid="{00000000-0005-0000-0000-00000F280000}"/>
    <cellStyle name="_20061103Holux_WorldBankCMSScope_Scope and Deliverable Summary_FP_DW_Impl_ProgramWorkBook_18-Feb-2011 - Working 2" xfId="10346" xr:uid="{00000000-0005-0000-0000-000010280000}"/>
    <cellStyle name="_20061103Holux_WorldBankCMSScope_Scope and Deliverable Summary_FP_DW_Impl_ProgramWorkBook_18-Feb-2011 - Working 2_Steps of Doneness" xfId="10347" xr:uid="{00000000-0005-0000-0000-000011280000}"/>
    <cellStyle name="_20061103Holux_WorldBankCMSScope_Scope and Deliverable Summary_FP_DW_Impl_ProgramWorkBook_18-Feb-2011 - Working 3" xfId="10348" xr:uid="{00000000-0005-0000-0000-000012280000}"/>
    <cellStyle name="_20061103Holux_WorldBankCMSScope_Scope and Deliverable Summary_FP_DW_Impl_ProgramWorkBook_18-Feb-2011 - Working_Steps of Doneness" xfId="10349" xr:uid="{00000000-0005-0000-0000-000013280000}"/>
    <cellStyle name="_20061103Holux_WorldBankCMSScope_Scope and Deliverable Summary_FP_EnterprisePortal_ProgramWorkbook" xfId="10350" xr:uid="{00000000-0005-0000-0000-000014280000}"/>
    <cellStyle name="_20061103Holux_WorldBankCMSScope_Scope and Deliverable Summary_FP_EnterprisePortal_ProgramWorkbook 2" xfId="10351" xr:uid="{00000000-0005-0000-0000-000015280000}"/>
    <cellStyle name="_20061103Holux_WorldBankCMSScope_Scope and Deliverable Summary_FP_EnterprisePortal_ProgramWorkbook 2_Steps of Doneness" xfId="10352" xr:uid="{00000000-0005-0000-0000-000016280000}"/>
    <cellStyle name="_20061103Holux_WorldBankCMSScope_Scope and Deliverable Summary_FP_EnterprisePortal_ProgramWorkbook 3" xfId="10353" xr:uid="{00000000-0005-0000-0000-000017280000}"/>
    <cellStyle name="_20061103Holux_WorldBankCMSScope_Scope and Deliverable Summary_FP_EnterprisePortal_ProgramWorkbook_Steps of Doneness" xfId="10354" xr:uid="{00000000-0005-0000-0000-000018280000}"/>
    <cellStyle name="_20061103Holux_WorldBankCMSScope_Scope and Deliverable Summary_FP_SAP_MLP v2" xfId="10355" xr:uid="{00000000-0005-0000-0000-000019280000}"/>
    <cellStyle name="_20061103Holux_WorldBankCMSScope_Scope and Deliverable Summary_FP_SAP_MLP v2 2" xfId="10356" xr:uid="{00000000-0005-0000-0000-00001A280000}"/>
    <cellStyle name="_20061103Holux_WorldBankCMSScope_Scope and Deliverable Summary_FP_SAP_MLP v2 2_Steps of Doneness" xfId="10357" xr:uid="{00000000-0005-0000-0000-00001B280000}"/>
    <cellStyle name="_20061103Holux_WorldBankCMSScope_Scope and Deliverable Summary_FP_SAP_MLP v2 3" xfId="10358" xr:uid="{00000000-0005-0000-0000-00001C280000}"/>
    <cellStyle name="_20061103Holux_WorldBankCMSScope_Scope and Deliverable Summary_FP_SAP_MLP v2_Steps of Doneness" xfId="10359" xr:uid="{00000000-0005-0000-0000-00001D280000}"/>
    <cellStyle name="_20061103Holux_WorldBankCMSScope_Scope and Deliverable Summary_KeyDecisions" xfId="10360" xr:uid="{00000000-0005-0000-0000-00001E280000}"/>
    <cellStyle name="_20061103Holux_WorldBankCMSScope_Scope and Deliverable Summary_KeyDecisions 2" xfId="10361" xr:uid="{00000000-0005-0000-0000-00001F280000}"/>
    <cellStyle name="_20061103Holux_WorldBankCMSScope_Scope and Deliverable Summary_KeyDecisions 2_Steps of Doneness" xfId="10362" xr:uid="{00000000-0005-0000-0000-000020280000}"/>
    <cellStyle name="_20061103Holux_WorldBankCMSScope_Scope and Deliverable Summary_KeyDecisions 3" xfId="10363" xr:uid="{00000000-0005-0000-0000-000021280000}"/>
    <cellStyle name="_20061103Holux_WorldBankCMSScope_Scope and Deliverable Summary_KeyDecisions_Steps of Doneness" xfId="10364" xr:uid="{00000000-0005-0000-0000-000022280000}"/>
    <cellStyle name="_20061103Holux_WorldBankCMSScope_Scope and Deliverable Summary_Sophia_Imp_ProjectWorkBook_02_18_2011" xfId="10365" xr:uid="{00000000-0005-0000-0000-000023280000}"/>
    <cellStyle name="_20061103Holux_WorldBankCMSScope_Scope and Deliverable Summary_Sophia_Imp_ProjectWorkBook_02_18_2011 2" xfId="10366" xr:uid="{00000000-0005-0000-0000-000024280000}"/>
    <cellStyle name="_20061103Holux_WorldBankCMSScope_Scope and Deliverable Summary_Sophia_Imp_ProjectWorkBook_02_18_2011 2_Steps of Doneness" xfId="10367" xr:uid="{00000000-0005-0000-0000-000025280000}"/>
    <cellStyle name="_20061103Holux_WorldBankCMSScope_Scope and Deliverable Summary_Sophia_Imp_ProjectWorkBook_02_18_2011 3" xfId="10368" xr:uid="{00000000-0005-0000-0000-000026280000}"/>
    <cellStyle name="_20061103Holux_WorldBankCMSScope_Scope and Deliverable Summary_Sophia_Imp_ProjectWorkBook_02_18_2011_Steps of Doneness" xfId="10369" xr:uid="{00000000-0005-0000-0000-000027280000}"/>
    <cellStyle name="_20061103Holux_WorldBankCMSScope_Scope and Deliverable Summary_Steps of Doneness" xfId="10370" xr:uid="{00000000-0005-0000-0000-000028280000}"/>
    <cellStyle name="_20061103Holux_WorldBankCMSScope_Scope and Deliverable Summary_t" xfId="10371" xr:uid="{00000000-0005-0000-0000-000029280000}"/>
    <cellStyle name="_20061103Holux_WorldBankCMSScope_Scope and Deliverable Summary_t 2" xfId="10372" xr:uid="{00000000-0005-0000-0000-00002A280000}"/>
    <cellStyle name="_20061103Holux_WorldBankCMSScope_Scope and Deliverable Summary_t 2_Steps of Doneness" xfId="10373" xr:uid="{00000000-0005-0000-0000-00002B280000}"/>
    <cellStyle name="_20061103Holux_WorldBankCMSScope_Scope and Deliverable Summary_t 3" xfId="10374" xr:uid="{00000000-0005-0000-0000-00002C280000}"/>
    <cellStyle name="_20061103Holux_WorldBankCMSScope_Scope and Deliverable Summary_t_Steps of Doneness" xfId="10375" xr:uid="{00000000-0005-0000-0000-00002D280000}"/>
    <cellStyle name="_20061103Holux_WorldBankCMSScope_Scope and Deliverables Summary_0320" xfId="10376" xr:uid="{00000000-0005-0000-0000-00002E280000}"/>
    <cellStyle name="_20061103Holux_WorldBankCMSScope_Scope and Deliverables Summary_0320 2" xfId="10377" xr:uid="{00000000-0005-0000-0000-00002F280000}"/>
    <cellStyle name="_20061103Holux_WorldBankCMSScope_Scope and Deliverables Summary_0320 2 2" xfId="10378" xr:uid="{00000000-0005-0000-0000-000030280000}"/>
    <cellStyle name="_20061103Holux_WorldBankCMSScope_Scope and Deliverables Summary_0320 2 2_Steps of Doneness" xfId="10379" xr:uid="{00000000-0005-0000-0000-000031280000}"/>
    <cellStyle name="_20061103Holux_WorldBankCMSScope_Scope and Deliverables Summary_0320 2 3" xfId="10380" xr:uid="{00000000-0005-0000-0000-000032280000}"/>
    <cellStyle name="_20061103Holux_WorldBankCMSScope_Scope and Deliverables Summary_0320 2_Steps of Doneness" xfId="10381" xr:uid="{00000000-0005-0000-0000-000033280000}"/>
    <cellStyle name="_20061103Holux_WorldBankCMSScope_Scope and Deliverables Summary_0320 3" xfId="10382" xr:uid="{00000000-0005-0000-0000-000034280000}"/>
    <cellStyle name="_20061103Holux_WorldBankCMSScope_Scope and Deliverables Summary_0320 3_Steps of Doneness" xfId="10383" xr:uid="{00000000-0005-0000-0000-000035280000}"/>
    <cellStyle name="_20061103Holux_WorldBankCMSScope_Scope and Deliverables Summary_0320 4" xfId="10384" xr:uid="{00000000-0005-0000-0000-000036280000}"/>
    <cellStyle name="_20061103Holux_WorldBankCMSScope_Scope and Deliverables Summary_0320_Commissioning System Implementation_Project Workbook_06_10_2011" xfId="10385" xr:uid="{00000000-0005-0000-0000-000037280000}"/>
    <cellStyle name="_20061103Holux_WorldBankCMSScope_Scope and Deliverables Summary_0320_Commissioning System Implementation_Project Workbook_06_10_2011 2" xfId="10386" xr:uid="{00000000-0005-0000-0000-000038280000}"/>
    <cellStyle name="_20061103Holux_WorldBankCMSScope_Scope and Deliverables Summary_0320_Commissioning System Implementation_Project Workbook_06_10_2011 2_Steps of Doneness" xfId="10387" xr:uid="{00000000-0005-0000-0000-000039280000}"/>
    <cellStyle name="_20061103Holux_WorldBankCMSScope_Scope and Deliverables Summary_0320_Commissioning System Implementation_Project Workbook_06_10_2011 3" xfId="10388" xr:uid="{00000000-0005-0000-0000-00003A280000}"/>
    <cellStyle name="_20061103Holux_WorldBankCMSScope_Scope and Deliverables Summary_0320_Commissioning System Implementation_Project Workbook_06_10_2011_Steps of Doneness" xfId="10389" xr:uid="{00000000-0005-0000-0000-00003B280000}"/>
    <cellStyle name="_20061103Holux_WorldBankCMSScope_Scope and Deliverables Summary_0320_FairPoint_CampReport" xfId="10390" xr:uid="{00000000-0005-0000-0000-00003C280000}"/>
    <cellStyle name="_20061103Holux_WorldBankCMSScope_Scope and Deliverables Summary_0320_FairPoint_CampReport 2" xfId="10391" xr:uid="{00000000-0005-0000-0000-00003D280000}"/>
    <cellStyle name="_20061103Holux_WorldBankCMSScope_Scope and Deliverables Summary_0320_FairPoint_CampReport 2_Steps of Doneness" xfId="10392" xr:uid="{00000000-0005-0000-0000-00003E280000}"/>
    <cellStyle name="_20061103Holux_WorldBankCMSScope_Scope and Deliverables Summary_0320_FairPoint_CampReport 3" xfId="10393" xr:uid="{00000000-0005-0000-0000-00003F280000}"/>
    <cellStyle name="_20061103Holux_WorldBankCMSScope_Scope and Deliverables Summary_0320_FairPoint_CampReport_Steps of Doneness" xfId="10394" xr:uid="{00000000-0005-0000-0000-000040280000}"/>
    <cellStyle name="_20061103Holux_WorldBankCMSScope_Scope and Deliverables Summary_0320_FairPoint_FP comTechOps_ProgramWorkbook" xfId="10395" xr:uid="{00000000-0005-0000-0000-000041280000}"/>
    <cellStyle name="_20061103Holux_WorldBankCMSScope_Scope and Deliverables Summary_0320_FairPoint_FP comTechOps_ProgramWorkbook 2" xfId="10396" xr:uid="{00000000-0005-0000-0000-000042280000}"/>
    <cellStyle name="_20061103Holux_WorldBankCMSScope_Scope and Deliverables Summary_0320_FairPoint_FP comTechOps_ProgramWorkbook 2_Steps of Doneness" xfId="10397" xr:uid="{00000000-0005-0000-0000-000043280000}"/>
    <cellStyle name="_20061103Holux_WorldBankCMSScope_Scope and Deliverables Summary_0320_FairPoint_FP comTechOps_ProgramWorkbook 3" xfId="10398" xr:uid="{00000000-0005-0000-0000-000044280000}"/>
    <cellStyle name="_20061103Holux_WorldBankCMSScope_Scope and Deliverables Summary_0320_FairPoint_FP comTechOps_ProgramWorkbook_sachin" xfId="10399" xr:uid="{00000000-0005-0000-0000-000045280000}"/>
    <cellStyle name="_20061103Holux_WorldBankCMSScope_Scope and Deliverables Summary_0320_FairPoint_FP comTechOps_ProgramWorkbook_sachin 2" xfId="10400" xr:uid="{00000000-0005-0000-0000-000046280000}"/>
    <cellStyle name="_20061103Holux_WorldBankCMSScope_Scope and Deliverables Summary_0320_FairPoint_FP comTechOps_ProgramWorkbook_sachin 2_Steps of Doneness" xfId="10401" xr:uid="{00000000-0005-0000-0000-000047280000}"/>
    <cellStyle name="_20061103Holux_WorldBankCMSScope_Scope and Deliverables Summary_0320_FairPoint_FP comTechOps_ProgramWorkbook_sachin 3" xfId="10402" xr:uid="{00000000-0005-0000-0000-000048280000}"/>
    <cellStyle name="_20061103Holux_WorldBankCMSScope_Scope and Deliverables Summary_0320_FairPoint_FP comTechOps_ProgramWorkbook_sachin_Steps of Doneness" xfId="10403" xr:uid="{00000000-0005-0000-0000-000049280000}"/>
    <cellStyle name="_20061103Holux_WorldBankCMSScope_Scope and Deliverables Summary_0320_FairPoint_FP comTechOps_ProgramWorkbook_sachin_v1" xfId="10404" xr:uid="{00000000-0005-0000-0000-00004A280000}"/>
    <cellStyle name="_20061103Holux_WorldBankCMSScope_Scope and Deliverables Summary_0320_FairPoint_FP comTechOps_ProgramWorkbook_sachin_v1 2" xfId="10405" xr:uid="{00000000-0005-0000-0000-00004B280000}"/>
    <cellStyle name="_20061103Holux_WorldBankCMSScope_Scope and Deliverables Summary_0320_FairPoint_FP comTechOps_ProgramWorkbook_sachin_v1 2_Steps of Doneness" xfId="10406" xr:uid="{00000000-0005-0000-0000-00004C280000}"/>
    <cellStyle name="_20061103Holux_WorldBankCMSScope_Scope and Deliverables Summary_0320_FairPoint_FP comTechOps_ProgramWorkbook_sachin_v1 3" xfId="10407" xr:uid="{00000000-0005-0000-0000-00004D280000}"/>
    <cellStyle name="_20061103Holux_WorldBankCMSScope_Scope and Deliverables Summary_0320_FairPoint_FP comTechOps_ProgramWorkbook_sachin_v1_Steps of Doneness" xfId="10408" xr:uid="{00000000-0005-0000-0000-00004E280000}"/>
    <cellStyle name="_20061103Holux_WorldBankCMSScope_Scope and Deliverables Summary_0320_FairPoint_FP comTechOps_ProgramWorkbook_Steps of Doneness" xfId="10409" xr:uid="{00000000-0005-0000-0000-00004F280000}"/>
    <cellStyle name="_20061103Holux_WorldBankCMSScope_Scope and Deliverables Summary_0320_FP_CAMP&amp;ITReporting_Maintenance_Dashboard" xfId="10410" xr:uid="{00000000-0005-0000-0000-000050280000}"/>
    <cellStyle name="_20061103Holux_WorldBankCMSScope_Scope and Deliverables Summary_0320_FP_CAMP&amp;ITReporting_Maintenance_Dashboard 2" xfId="10411" xr:uid="{00000000-0005-0000-0000-000051280000}"/>
    <cellStyle name="_20061103Holux_WorldBankCMSScope_Scope and Deliverables Summary_0320_FP_CAMP&amp;ITReporting_Maintenance_Dashboard 2_Steps of Doneness" xfId="10412" xr:uid="{00000000-0005-0000-0000-000052280000}"/>
    <cellStyle name="_20061103Holux_WorldBankCMSScope_Scope and Deliverables Summary_0320_FP_CAMP&amp;ITReporting_Maintenance_Dashboard 3" xfId="10413" xr:uid="{00000000-0005-0000-0000-000053280000}"/>
    <cellStyle name="_20061103Holux_WorldBankCMSScope_Scope and Deliverables Summary_0320_FP_CAMP&amp;ITReporting_Maintenance_Dashboard_Steps of Doneness" xfId="10414" xr:uid="{00000000-0005-0000-0000-000054280000}"/>
    <cellStyle name="_20061103Holux_WorldBankCMSScope_Scope and Deliverables Summary_0320_FP_CAMPITReporting_Maintenance_Dashboard" xfId="10415" xr:uid="{00000000-0005-0000-0000-000055280000}"/>
    <cellStyle name="_20061103Holux_WorldBankCMSScope_Scope and Deliverables Summary_0320_FP_CAMPITReporting_Maintenance_Dashboard 2" xfId="10416" xr:uid="{00000000-0005-0000-0000-000056280000}"/>
    <cellStyle name="_20061103Holux_WorldBankCMSScope_Scope and Deliverables Summary_0320_FP_CAMPITReporting_Maintenance_Dashboard 2_Steps of Doneness" xfId="10417" xr:uid="{00000000-0005-0000-0000-000057280000}"/>
    <cellStyle name="_20061103Holux_WorldBankCMSScope_Scope and Deliverables Summary_0320_FP_CAMPITReporting_Maintenance_Dashboard 3" xfId="10418" xr:uid="{00000000-0005-0000-0000-000058280000}"/>
    <cellStyle name="_20061103Holux_WorldBankCMSScope_Scope and Deliverables Summary_0320_FP_CAMPITReporting_Maintenance_Dashboard_Steps of Doneness" xfId="10419" xr:uid="{00000000-0005-0000-0000-000059280000}"/>
    <cellStyle name="_20061103Holux_WorldBankCMSScope_Scope and Deliverables Summary_0320_FP_Commissions_Req_Dn_ProgramWorkBook_10-Dec-2010" xfId="10420" xr:uid="{00000000-0005-0000-0000-00005A280000}"/>
    <cellStyle name="_20061103Holux_WorldBankCMSScope_Scope and Deliverables Summary_0320_FP_Commissions_Req_Dn_ProgramWorkBook_10-Dec-2010 2" xfId="10421" xr:uid="{00000000-0005-0000-0000-00005B280000}"/>
    <cellStyle name="_20061103Holux_WorldBankCMSScope_Scope and Deliverables Summary_0320_FP_Commissions_Req_Dn_ProgramWorkBook_10-Dec-2010 2_Steps of Doneness" xfId="10422" xr:uid="{00000000-0005-0000-0000-00005C280000}"/>
    <cellStyle name="_20061103Holux_WorldBankCMSScope_Scope and Deliverables Summary_0320_FP_Commissions_Req_Dn_ProgramWorkBook_10-Dec-2010 3" xfId="10423" xr:uid="{00000000-0005-0000-0000-00005D280000}"/>
    <cellStyle name="_20061103Holux_WorldBankCMSScope_Scope and Deliverables Summary_0320_FP_Commissions_Req_Dn_ProgramWorkBook_10-Dec-2010_Steps of Doneness" xfId="10424" xr:uid="{00000000-0005-0000-0000-00005E280000}"/>
    <cellStyle name="_20061103Holux_WorldBankCMSScope_Scope and Deliverables Summary_0320_FP_DW_Impl_ProgramWorkBook_07-Jan-2011" xfId="10425" xr:uid="{00000000-0005-0000-0000-00005F280000}"/>
    <cellStyle name="_20061103Holux_WorldBankCMSScope_Scope and Deliverables Summary_0320_FP_DW_Impl_ProgramWorkBook_07-Jan-2011 2" xfId="10426" xr:uid="{00000000-0005-0000-0000-000060280000}"/>
    <cellStyle name="_20061103Holux_WorldBankCMSScope_Scope and Deliverables Summary_0320_FP_DW_Impl_ProgramWorkBook_07-Jan-2011 2 2" xfId="10427" xr:uid="{00000000-0005-0000-0000-000061280000}"/>
    <cellStyle name="_20061103Holux_WorldBankCMSScope_Scope and Deliverables Summary_0320_FP_DW_Impl_ProgramWorkBook_07-Jan-2011 2 2_Steps of Doneness" xfId="10428" xr:uid="{00000000-0005-0000-0000-000062280000}"/>
    <cellStyle name="_20061103Holux_WorldBankCMSScope_Scope and Deliverables Summary_0320_FP_DW_Impl_ProgramWorkBook_07-Jan-2011 2 3" xfId="10429" xr:uid="{00000000-0005-0000-0000-000063280000}"/>
    <cellStyle name="_20061103Holux_WorldBankCMSScope_Scope and Deliverables Summary_0320_FP_DW_Impl_ProgramWorkBook_07-Jan-2011 2_Steps of Doneness" xfId="10430" xr:uid="{00000000-0005-0000-0000-000064280000}"/>
    <cellStyle name="_20061103Holux_WorldBankCMSScope_Scope and Deliverables Summary_0320_FP_DW_Impl_ProgramWorkBook_07-Jan-2011 3" xfId="10431" xr:uid="{00000000-0005-0000-0000-000065280000}"/>
    <cellStyle name="_20061103Holux_WorldBankCMSScope_Scope and Deliverables Summary_0320_FP_DW_Impl_ProgramWorkBook_07-Jan-2011 3_Steps of Doneness" xfId="10432" xr:uid="{00000000-0005-0000-0000-000066280000}"/>
    <cellStyle name="_20061103Holux_WorldBankCMSScope_Scope and Deliverables Summary_0320_FP_DW_Impl_ProgramWorkBook_07-Jan-2011 4" xfId="10433" xr:uid="{00000000-0005-0000-0000-000067280000}"/>
    <cellStyle name="_20061103Holux_WorldBankCMSScope_Scope and Deliverables Summary_0320_FP_DW_Impl_ProgramWorkBook_07-Jan-2011_Steps of Doneness" xfId="10434" xr:uid="{00000000-0005-0000-0000-000068280000}"/>
    <cellStyle name="_20061103Holux_WorldBankCMSScope_Scope and Deliverables Summary_0320_FP_DW_Impl_ProgramWorkBook_11-Feb-2011" xfId="10435" xr:uid="{00000000-0005-0000-0000-000069280000}"/>
    <cellStyle name="_20061103Holux_WorldBankCMSScope_Scope and Deliverables Summary_0320_FP_DW_Impl_ProgramWorkBook_11-Feb-2011 2" xfId="10436" xr:uid="{00000000-0005-0000-0000-00006A280000}"/>
    <cellStyle name="_20061103Holux_WorldBankCMSScope_Scope and Deliverables Summary_0320_FP_DW_Impl_ProgramWorkBook_11-Feb-2011 2_Steps of Doneness" xfId="10437" xr:uid="{00000000-0005-0000-0000-00006B280000}"/>
    <cellStyle name="_20061103Holux_WorldBankCMSScope_Scope and Deliverables Summary_0320_FP_DW_Impl_ProgramWorkBook_11-Feb-2011 3" xfId="10438" xr:uid="{00000000-0005-0000-0000-00006C280000}"/>
    <cellStyle name="_20061103Holux_WorldBankCMSScope_Scope and Deliverables Summary_0320_FP_DW_Impl_ProgramWorkBook_11-Feb-2011_Steps of Doneness" xfId="10439" xr:uid="{00000000-0005-0000-0000-00006D280000}"/>
    <cellStyle name="_20061103Holux_WorldBankCMSScope_Scope and Deliverables Summary_0320_FP_DW_Impl_ProgramWorkBook_18-Feb-2011 - Working" xfId="10440" xr:uid="{00000000-0005-0000-0000-00006E280000}"/>
    <cellStyle name="_20061103Holux_WorldBankCMSScope_Scope and Deliverables Summary_0320_FP_DW_Impl_ProgramWorkBook_18-Feb-2011 - Working 2" xfId="10441" xr:uid="{00000000-0005-0000-0000-00006F280000}"/>
    <cellStyle name="_20061103Holux_WorldBankCMSScope_Scope and Deliverables Summary_0320_FP_DW_Impl_ProgramWorkBook_18-Feb-2011 - Working 2_Steps of Doneness" xfId="10442" xr:uid="{00000000-0005-0000-0000-000070280000}"/>
    <cellStyle name="_20061103Holux_WorldBankCMSScope_Scope and Deliverables Summary_0320_FP_DW_Impl_ProgramWorkBook_18-Feb-2011 - Working 3" xfId="10443" xr:uid="{00000000-0005-0000-0000-000071280000}"/>
    <cellStyle name="_20061103Holux_WorldBankCMSScope_Scope and Deliverables Summary_0320_FP_DW_Impl_ProgramWorkBook_18-Feb-2011 - Working_Steps of Doneness" xfId="10444" xr:uid="{00000000-0005-0000-0000-000072280000}"/>
    <cellStyle name="_20061103Holux_WorldBankCMSScope_Scope and Deliverables Summary_0320_FP_EnterprisePortal_ProgramWorkbook" xfId="10445" xr:uid="{00000000-0005-0000-0000-000073280000}"/>
    <cellStyle name="_20061103Holux_WorldBankCMSScope_Scope and Deliverables Summary_0320_FP_EnterprisePortal_ProgramWorkbook 2" xfId="10446" xr:uid="{00000000-0005-0000-0000-000074280000}"/>
    <cellStyle name="_20061103Holux_WorldBankCMSScope_Scope and Deliverables Summary_0320_FP_EnterprisePortal_ProgramWorkbook 2_Steps of Doneness" xfId="10447" xr:uid="{00000000-0005-0000-0000-000075280000}"/>
    <cellStyle name="_20061103Holux_WorldBankCMSScope_Scope and Deliverables Summary_0320_FP_EnterprisePortal_ProgramWorkbook 3" xfId="10448" xr:uid="{00000000-0005-0000-0000-000076280000}"/>
    <cellStyle name="_20061103Holux_WorldBankCMSScope_Scope and Deliverables Summary_0320_FP_EnterprisePortal_ProgramWorkbook_Steps of Doneness" xfId="10449" xr:uid="{00000000-0005-0000-0000-000077280000}"/>
    <cellStyle name="_20061103Holux_WorldBankCMSScope_Scope and Deliverables Summary_0320_FP_SAP_MLP v2" xfId="10450" xr:uid="{00000000-0005-0000-0000-000078280000}"/>
    <cellStyle name="_20061103Holux_WorldBankCMSScope_Scope and Deliverables Summary_0320_FP_SAP_MLP v2 2" xfId="10451" xr:uid="{00000000-0005-0000-0000-000079280000}"/>
    <cellStyle name="_20061103Holux_WorldBankCMSScope_Scope and Deliverables Summary_0320_FP_SAP_MLP v2 2_Steps of Doneness" xfId="10452" xr:uid="{00000000-0005-0000-0000-00007A280000}"/>
    <cellStyle name="_20061103Holux_WorldBankCMSScope_Scope and Deliverables Summary_0320_FP_SAP_MLP v2 3" xfId="10453" xr:uid="{00000000-0005-0000-0000-00007B280000}"/>
    <cellStyle name="_20061103Holux_WorldBankCMSScope_Scope and Deliverables Summary_0320_FP_SAP_MLP v2_Steps of Doneness" xfId="10454" xr:uid="{00000000-0005-0000-0000-00007C280000}"/>
    <cellStyle name="_20061103Holux_WorldBankCMSScope_Scope and Deliverables Summary_0320_KeyDecisions" xfId="10455" xr:uid="{00000000-0005-0000-0000-00007D280000}"/>
    <cellStyle name="_20061103Holux_WorldBankCMSScope_Scope and Deliverables Summary_0320_KeyDecisions 2" xfId="10456" xr:uid="{00000000-0005-0000-0000-00007E280000}"/>
    <cellStyle name="_20061103Holux_WorldBankCMSScope_Scope and Deliverables Summary_0320_KeyDecisions 2_Steps of Doneness" xfId="10457" xr:uid="{00000000-0005-0000-0000-00007F280000}"/>
    <cellStyle name="_20061103Holux_WorldBankCMSScope_Scope and Deliverables Summary_0320_KeyDecisions 3" xfId="10458" xr:uid="{00000000-0005-0000-0000-000080280000}"/>
    <cellStyle name="_20061103Holux_WorldBankCMSScope_Scope and Deliverables Summary_0320_KeyDecisions_Steps of Doneness" xfId="10459" xr:uid="{00000000-0005-0000-0000-000081280000}"/>
    <cellStyle name="_20061103Holux_WorldBankCMSScope_Scope and Deliverables Summary_0320_Sophia_Imp_ProjectWorkBook_02_18_2011" xfId="10460" xr:uid="{00000000-0005-0000-0000-000082280000}"/>
    <cellStyle name="_20061103Holux_WorldBankCMSScope_Scope and Deliverables Summary_0320_Sophia_Imp_ProjectWorkBook_02_18_2011 2" xfId="10461" xr:uid="{00000000-0005-0000-0000-000083280000}"/>
    <cellStyle name="_20061103Holux_WorldBankCMSScope_Scope and Deliverables Summary_0320_Sophia_Imp_ProjectWorkBook_02_18_2011 2_Steps of Doneness" xfId="10462" xr:uid="{00000000-0005-0000-0000-000084280000}"/>
    <cellStyle name="_20061103Holux_WorldBankCMSScope_Scope and Deliverables Summary_0320_Sophia_Imp_ProjectWorkBook_02_18_2011 3" xfId="10463" xr:uid="{00000000-0005-0000-0000-000085280000}"/>
    <cellStyle name="_20061103Holux_WorldBankCMSScope_Scope and Deliverables Summary_0320_Sophia_Imp_ProjectWorkBook_02_18_2011_Steps of Doneness" xfId="10464" xr:uid="{00000000-0005-0000-0000-000086280000}"/>
    <cellStyle name="_20061103Holux_WorldBankCMSScope_Scope and Deliverables Summary_0320_Steps of Doneness" xfId="10465" xr:uid="{00000000-0005-0000-0000-000087280000}"/>
    <cellStyle name="_20061103Holux_WorldBankCMSScope_Scope and Deliverables Summary_0320_t" xfId="10466" xr:uid="{00000000-0005-0000-0000-000088280000}"/>
    <cellStyle name="_20061103Holux_WorldBankCMSScope_Scope and Deliverables Summary_0320_t 2" xfId="10467" xr:uid="{00000000-0005-0000-0000-000089280000}"/>
    <cellStyle name="_20061103Holux_WorldBankCMSScope_Scope and Deliverables Summary_0320_t 2_Steps of Doneness" xfId="10468" xr:uid="{00000000-0005-0000-0000-00008A280000}"/>
    <cellStyle name="_20061103Holux_WorldBankCMSScope_Scope and Deliverables Summary_0320_t 3" xfId="10469" xr:uid="{00000000-0005-0000-0000-00008B280000}"/>
    <cellStyle name="_20061103Holux_WorldBankCMSScope_Scope and Deliverables Summary_0320_t_Steps of Doneness" xfId="10470" xr:uid="{00000000-0005-0000-0000-00008C280000}"/>
    <cellStyle name="_20061103Holux_WorldBankCMSScope_Scope and Deliverables Summary_0323" xfId="10471" xr:uid="{00000000-0005-0000-0000-00008D280000}"/>
    <cellStyle name="_20061103Holux_WorldBankCMSScope_Scope and Deliverables Summary_0323 2" xfId="10472" xr:uid="{00000000-0005-0000-0000-00008E280000}"/>
    <cellStyle name="_20061103Holux_WorldBankCMSScope_Scope and Deliverables Summary_0323 2 2" xfId="10473" xr:uid="{00000000-0005-0000-0000-00008F280000}"/>
    <cellStyle name="_20061103Holux_WorldBankCMSScope_Scope and Deliverables Summary_0323 2 2_Steps of Doneness" xfId="10474" xr:uid="{00000000-0005-0000-0000-000090280000}"/>
    <cellStyle name="_20061103Holux_WorldBankCMSScope_Scope and Deliverables Summary_0323 2 3" xfId="10475" xr:uid="{00000000-0005-0000-0000-000091280000}"/>
    <cellStyle name="_20061103Holux_WorldBankCMSScope_Scope and Deliverables Summary_0323 2_Steps of Doneness" xfId="10476" xr:uid="{00000000-0005-0000-0000-000092280000}"/>
    <cellStyle name="_20061103Holux_WorldBankCMSScope_Scope and Deliverables Summary_0323 3" xfId="10477" xr:uid="{00000000-0005-0000-0000-000093280000}"/>
    <cellStyle name="_20061103Holux_WorldBankCMSScope_Scope and Deliverables Summary_0323 3_Steps of Doneness" xfId="10478" xr:uid="{00000000-0005-0000-0000-000094280000}"/>
    <cellStyle name="_20061103Holux_WorldBankCMSScope_Scope and Deliverables Summary_0323 4" xfId="10479" xr:uid="{00000000-0005-0000-0000-000095280000}"/>
    <cellStyle name="_20061103Holux_WorldBankCMSScope_Scope and Deliverables Summary_0323_Commissioning System Implementation_Project Workbook_06_10_2011" xfId="10480" xr:uid="{00000000-0005-0000-0000-000096280000}"/>
    <cellStyle name="_20061103Holux_WorldBankCMSScope_Scope and Deliverables Summary_0323_Commissioning System Implementation_Project Workbook_06_10_2011 2" xfId="10481" xr:uid="{00000000-0005-0000-0000-000097280000}"/>
    <cellStyle name="_20061103Holux_WorldBankCMSScope_Scope and Deliverables Summary_0323_Commissioning System Implementation_Project Workbook_06_10_2011 2_Steps of Doneness" xfId="10482" xr:uid="{00000000-0005-0000-0000-000098280000}"/>
    <cellStyle name="_20061103Holux_WorldBankCMSScope_Scope and Deliverables Summary_0323_Commissioning System Implementation_Project Workbook_06_10_2011 3" xfId="10483" xr:uid="{00000000-0005-0000-0000-000099280000}"/>
    <cellStyle name="_20061103Holux_WorldBankCMSScope_Scope and Deliverables Summary_0323_Commissioning System Implementation_Project Workbook_06_10_2011_Steps of Doneness" xfId="10484" xr:uid="{00000000-0005-0000-0000-00009A280000}"/>
    <cellStyle name="_20061103Holux_WorldBankCMSScope_Scope and Deliverables Summary_0323_FairPoint_CampReport" xfId="10485" xr:uid="{00000000-0005-0000-0000-00009B280000}"/>
    <cellStyle name="_20061103Holux_WorldBankCMSScope_Scope and Deliverables Summary_0323_FairPoint_CampReport 2" xfId="10486" xr:uid="{00000000-0005-0000-0000-00009C280000}"/>
    <cellStyle name="_20061103Holux_WorldBankCMSScope_Scope and Deliverables Summary_0323_FairPoint_CampReport 2_Steps of Doneness" xfId="10487" xr:uid="{00000000-0005-0000-0000-00009D280000}"/>
    <cellStyle name="_20061103Holux_WorldBankCMSScope_Scope and Deliverables Summary_0323_FairPoint_CampReport 3" xfId="10488" xr:uid="{00000000-0005-0000-0000-00009E280000}"/>
    <cellStyle name="_20061103Holux_WorldBankCMSScope_Scope and Deliverables Summary_0323_FairPoint_CampReport_Steps of Doneness" xfId="10489" xr:uid="{00000000-0005-0000-0000-00009F280000}"/>
    <cellStyle name="_20061103Holux_WorldBankCMSScope_Scope and Deliverables Summary_0323_FairPoint_FP comTechOps_ProgramWorkbook" xfId="10490" xr:uid="{00000000-0005-0000-0000-0000A0280000}"/>
    <cellStyle name="_20061103Holux_WorldBankCMSScope_Scope and Deliverables Summary_0323_FairPoint_FP comTechOps_ProgramWorkbook 2" xfId="10491" xr:uid="{00000000-0005-0000-0000-0000A1280000}"/>
    <cellStyle name="_20061103Holux_WorldBankCMSScope_Scope and Deliverables Summary_0323_FairPoint_FP comTechOps_ProgramWorkbook 2_Steps of Doneness" xfId="10492" xr:uid="{00000000-0005-0000-0000-0000A2280000}"/>
    <cellStyle name="_20061103Holux_WorldBankCMSScope_Scope and Deliverables Summary_0323_FairPoint_FP comTechOps_ProgramWorkbook 3" xfId="10493" xr:uid="{00000000-0005-0000-0000-0000A3280000}"/>
    <cellStyle name="_20061103Holux_WorldBankCMSScope_Scope and Deliverables Summary_0323_FairPoint_FP comTechOps_ProgramWorkbook_sachin" xfId="10494" xr:uid="{00000000-0005-0000-0000-0000A4280000}"/>
    <cellStyle name="_20061103Holux_WorldBankCMSScope_Scope and Deliverables Summary_0323_FairPoint_FP comTechOps_ProgramWorkbook_sachin 2" xfId="10495" xr:uid="{00000000-0005-0000-0000-0000A5280000}"/>
    <cellStyle name="_20061103Holux_WorldBankCMSScope_Scope and Deliverables Summary_0323_FairPoint_FP comTechOps_ProgramWorkbook_sachin 2_Steps of Doneness" xfId="10496" xr:uid="{00000000-0005-0000-0000-0000A6280000}"/>
    <cellStyle name="_20061103Holux_WorldBankCMSScope_Scope and Deliverables Summary_0323_FairPoint_FP comTechOps_ProgramWorkbook_sachin 3" xfId="10497" xr:uid="{00000000-0005-0000-0000-0000A7280000}"/>
    <cellStyle name="_20061103Holux_WorldBankCMSScope_Scope and Deliverables Summary_0323_FairPoint_FP comTechOps_ProgramWorkbook_sachin_Steps of Doneness" xfId="10498" xr:uid="{00000000-0005-0000-0000-0000A8280000}"/>
    <cellStyle name="_20061103Holux_WorldBankCMSScope_Scope and Deliverables Summary_0323_FairPoint_FP comTechOps_ProgramWorkbook_sachin_v1" xfId="10499" xr:uid="{00000000-0005-0000-0000-0000A9280000}"/>
    <cellStyle name="_20061103Holux_WorldBankCMSScope_Scope and Deliverables Summary_0323_FairPoint_FP comTechOps_ProgramWorkbook_sachin_v1 2" xfId="10500" xr:uid="{00000000-0005-0000-0000-0000AA280000}"/>
    <cellStyle name="_20061103Holux_WorldBankCMSScope_Scope and Deliverables Summary_0323_FairPoint_FP comTechOps_ProgramWorkbook_sachin_v1 2_Steps of Doneness" xfId="10501" xr:uid="{00000000-0005-0000-0000-0000AB280000}"/>
    <cellStyle name="_20061103Holux_WorldBankCMSScope_Scope and Deliverables Summary_0323_FairPoint_FP comTechOps_ProgramWorkbook_sachin_v1 3" xfId="10502" xr:uid="{00000000-0005-0000-0000-0000AC280000}"/>
    <cellStyle name="_20061103Holux_WorldBankCMSScope_Scope and Deliverables Summary_0323_FairPoint_FP comTechOps_ProgramWorkbook_sachin_v1_Steps of Doneness" xfId="10503" xr:uid="{00000000-0005-0000-0000-0000AD280000}"/>
    <cellStyle name="_20061103Holux_WorldBankCMSScope_Scope and Deliverables Summary_0323_FairPoint_FP comTechOps_ProgramWorkbook_Steps of Doneness" xfId="10504" xr:uid="{00000000-0005-0000-0000-0000AE280000}"/>
    <cellStyle name="_20061103Holux_WorldBankCMSScope_Scope and Deliverables Summary_0323_FP_CAMP&amp;ITReporting_Maintenance_Dashboard" xfId="10505" xr:uid="{00000000-0005-0000-0000-0000AF280000}"/>
    <cellStyle name="_20061103Holux_WorldBankCMSScope_Scope and Deliverables Summary_0323_FP_CAMP&amp;ITReporting_Maintenance_Dashboard 2" xfId="10506" xr:uid="{00000000-0005-0000-0000-0000B0280000}"/>
    <cellStyle name="_20061103Holux_WorldBankCMSScope_Scope and Deliverables Summary_0323_FP_CAMP&amp;ITReporting_Maintenance_Dashboard 2_Steps of Doneness" xfId="10507" xr:uid="{00000000-0005-0000-0000-0000B1280000}"/>
    <cellStyle name="_20061103Holux_WorldBankCMSScope_Scope and Deliverables Summary_0323_FP_CAMP&amp;ITReporting_Maintenance_Dashboard 3" xfId="10508" xr:uid="{00000000-0005-0000-0000-0000B2280000}"/>
    <cellStyle name="_20061103Holux_WorldBankCMSScope_Scope and Deliverables Summary_0323_FP_CAMP&amp;ITReporting_Maintenance_Dashboard_Steps of Doneness" xfId="10509" xr:uid="{00000000-0005-0000-0000-0000B3280000}"/>
    <cellStyle name="_20061103Holux_WorldBankCMSScope_Scope and Deliverables Summary_0323_FP_CAMPITReporting_Maintenance_Dashboard" xfId="10510" xr:uid="{00000000-0005-0000-0000-0000B4280000}"/>
    <cellStyle name="_20061103Holux_WorldBankCMSScope_Scope and Deliverables Summary_0323_FP_CAMPITReporting_Maintenance_Dashboard 2" xfId="10511" xr:uid="{00000000-0005-0000-0000-0000B5280000}"/>
    <cellStyle name="_20061103Holux_WorldBankCMSScope_Scope and Deliverables Summary_0323_FP_CAMPITReporting_Maintenance_Dashboard 2_Steps of Doneness" xfId="10512" xr:uid="{00000000-0005-0000-0000-0000B6280000}"/>
    <cellStyle name="_20061103Holux_WorldBankCMSScope_Scope and Deliverables Summary_0323_FP_CAMPITReporting_Maintenance_Dashboard 3" xfId="10513" xr:uid="{00000000-0005-0000-0000-0000B7280000}"/>
    <cellStyle name="_20061103Holux_WorldBankCMSScope_Scope and Deliverables Summary_0323_FP_CAMPITReporting_Maintenance_Dashboard_Steps of Doneness" xfId="10514" xr:uid="{00000000-0005-0000-0000-0000B8280000}"/>
    <cellStyle name="_20061103Holux_WorldBankCMSScope_Scope and Deliverables Summary_0323_FP_Commissions_Req_Dn_ProgramWorkBook_10-Dec-2010" xfId="10515" xr:uid="{00000000-0005-0000-0000-0000B9280000}"/>
    <cellStyle name="_20061103Holux_WorldBankCMSScope_Scope and Deliverables Summary_0323_FP_Commissions_Req_Dn_ProgramWorkBook_10-Dec-2010 2" xfId="10516" xr:uid="{00000000-0005-0000-0000-0000BA280000}"/>
    <cellStyle name="_20061103Holux_WorldBankCMSScope_Scope and Deliverables Summary_0323_FP_Commissions_Req_Dn_ProgramWorkBook_10-Dec-2010 2_Steps of Doneness" xfId="10517" xr:uid="{00000000-0005-0000-0000-0000BB280000}"/>
    <cellStyle name="_20061103Holux_WorldBankCMSScope_Scope and Deliverables Summary_0323_FP_Commissions_Req_Dn_ProgramWorkBook_10-Dec-2010 3" xfId="10518" xr:uid="{00000000-0005-0000-0000-0000BC280000}"/>
    <cellStyle name="_20061103Holux_WorldBankCMSScope_Scope and Deliverables Summary_0323_FP_Commissions_Req_Dn_ProgramWorkBook_10-Dec-2010_Steps of Doneness" xfId="10519" xr:uid="{00000000-0005-0000-0000-0000BD280000}"/>
    <cellStyle name="_20061103Holux_WorldBankCMSScope_Scope and Deliverables Summary_0323_FP_DW_Impl_ProgramWorkBook_07-Jan-2011" xfId="10520" xr:uid="{00000000-0005-0000-0000-0000BE280000}"/>
    <cellStyle name="_20061103Holux_WorldBankCMSScope_Scope and Deliverables Summary_0323_FP_DW_Impl_ProgramWorkBook_07-Jan-2011 2" xfId="10521" xr:uid="{00000000-0005-0000-0000-0000BF280000}"/>
    <cellStyle name="_20061103Holux_WorldBankCMSScope_Scope and Deliverables Summary_0323_FP_DW_Impl_ProgramWorkBook_07-Jan-2011 2 2" xfId="10522" xr:uid="{00000000-0005-0000-0000-0000C0280000}"/>
    <cellStyle name="_20061103Holux_WorldBankCMSScope_Scope and Deliverables Summary_0323_FP_DW_Impl_ProgramWorkBook_07-Jan-2011 2 2_Steps of Doneness" xfId="10523" xr:uid="{00000000-0005-0000-0000-0000C1280000}"/>
    <cellStyle name="_20061103Holux_WorldBankCMSScope_Scope and Deliverables Summary_0323_FP_DW_Impl_ProgramWorkBook_07-Jan-2011 2 3" xfId="10524" xr:uid="{00000000-0005-0000-0000-0000C2280000}"/>
    <cellStyle name="_20061103Holux_WorldBankCMSScope_Scope and Deliverables Summary_0323_FP_DW_Impl_ProgramWorkBook_07-Jan-2011 2_Steps of Doneness" xfId="10525" xr:uid="{00000000-0005-0000-0000-0000C3280000}"/>
    <cellStyle name="_20061103Holux_WorldBankCMSScope_Scope and Deliverables Summary_0323_FP_DW_Impl_ProgramWorkBook_07-Jan-2011 3" xfId="10526" xr:uid="{00000000-0005-0000-0000-0000C4280000}"/>
    <cellStyle name="_20061103Holux_WorldBankCMSScope_Scope and Deliverables Summary_0323_FP_DW_Impl_ProgramWorkBook_07-Jan-2011 3_Steps of Doneness" xfId="10527" xr:uid="{00000000-0005-0000-0000-0000C5280000}"/>
    <cellStyle name="_20061103Holux_WorldBankCMSScope_Scope and Deliverables Summary_0323_FP_DW_Impl_ProgramWorkBook_07-Jan-2011 4" xfId="10528" xr:uid="{00000000-0005-0000-0000-0000C6280000}"/>
    <cellStyle name="_20061103Holux_WorldBankCMSScope_Scope and Deliverables Summary_0323_FP_DW_Impl_ProgramWorkBook_07-Jan-2011_Steps of Doneness" xfId="10529" xr:uid="{00000000-0005-0000-0000-0000C7280000}"/>
    <cellStyle name="_20061103Holux_WorldBankCMSScope_Scope and Deliverables Summary_0323_FP_DW_Impl_ProgramWorkBook_11-Feb-2011" xfId="10530" xr:uid="{00000000-0005-0000-0000-0000C8280000}"/>
    <cellStyle name="_20061103Holux_WorldBankCMSScope_Scope and Deliverables Summary_0323_FP_DW_Impl_ProgramWorkBook_11-Feb-2011 2" xfId="10531" xr:uid="{00000000-0005-0000-0000-0000C9280000}"/>
    <cellStyle name="_20061103Holux_WorldBankCMSScope_Scope and Deliverables Summary_0323_FP_DW_Impl_ProgramWorkBook_11-Feb-2011 2_Steps of Doneness" xfId="10532" xr:uid="{00000000-0005-0000-0000-0000CA280000}"/>
    <cellStyle name="_20061103Holux_WorldBankCMSScope_Scope and Deliverables Summary_0323_FP_DW_Impl_ProgramWorkBook_11-Feb-2011 3" xfId="10533" xr:uid="{00000000-0005-0000-0000-0000CB280000}"/>
    <cellStyle name="_20061103Holux_WorldBankCMSScope_Scope and Deliverables Summary_0323_FP_DW_Impl_ProgramWorkBook_11-Feb-2011_Steps of Doneness" xfId="10534" xr:uid="{00000000-0005-0000-0000-0000CC280000}"/>
    <cellStyle name="_20061103Holux_WorldBankCMSScope_Scope and Deliverables Summary_0323_FP_DW_Impl_ProgramWorkBook_18-Feb-2011 - Working" xfId="10535" xr:uid="{00000000-0005-0000-0000-0000CD280000}"/>
    <cellStyle name="_20061103Holux_WorldBankCMSScope_Scope and Deliverables Summary_0323_FP_DW_Impl_ProgramWorkBook_18-Feb-2011 - Working 2" xfId="10536" xr:uid="{00000000-0005-0000-0000-0000CE280000}"/>
    <cellStyle name="_20061103Holux_WorldBankCMSScope_Scope and Deliverables Summary_0323_FP_DW_Impl_ProgramWorkBook_18-Feb-2011 - Working 2_Steps of Doneness" xfId="10537" xr:uid="{00000000-0005-0000-0000-0000CF280000}"/>
    <cellStyle name="_20061103Holux_WorldBankCMSScope_Scope and Deliverables Summary_0323_FP_DW_Impl_ProgramWorkBook_18-Feb-2011 - Working 3" xfId="10538" xr:uid="{00000000-0005-0000-0000-0000D0280000}"/>
    <cellStyle name="_20061103Holux_WorldBankCMSScope_Scope and Deliverables Summary_0323_FP_DW_Impl_ProgramWorkBook_18-Feb-2011 - Working_Steps of Doneness" xfId="10539" xr:uid="{00000000-0005-0000-0000-0000D1280000}"/>
    <cellStyle name="_20061103Holux_WorldBankCMSScope_Scope and Deliverables Summary_0323_FP_EnterprisePortal_ProgramWorkbook" xfId="10540" xr:uid="{00000000-0005-0000-0000-0000D2280000}"/>
    <cellStyle name="_20061103Holux_WorldBankCMSScope_Scope and Deliverables Summary_0323_FP_EnterprisePortal_ProgramWorkbook 2" xfId="10541" xr:uid="{00000000-0005-0000-0000-0000D3280000}"/>
    <cellStyle name="_20061103Holux_WorldBankCMSScope_Scope and Deliverables Summary_0323_FP_EnterprisePortal_ProgramWorkbook 2_Steps of Doneness" xfId="10542" xr:uid="{00000000-0005-0000-0000-0000D4280000}"/>
    <cellStyle name="_20061103Holux_WorldBankCMSScope_Scope and Deliverables Summary_0323_FP_EnterprisePortal_ProgramWorkbook 3" xfId="10543" xr:uid="{00000000-0005-0000-0000-0000D5280000}"/>
    <cellStyle name="_20061103Holux_WorldBankCMSScope_Scope and Deliverables Summary_0323_FP_EnterprisePortal_ProgramWorkbook_Steps of Doneness" xfId="10544" xr:uid="{00000000-0005-0000-0000-0000D6280000}"/>
    <cellStyle name="_20061103Holux_WorldBankCMSScope_Scope and Deliverables Summary_0323_FP_SAP_MLP v2" xfId="10545" xr:uid="{00000000-0005-0000-0000-0000D7280000}"/>
    <cellStyle name="_20061103Holux_WorldBankCMSScope_Scope and Deliverables Summary_0323_FP_SAP_MLP v2 2" xfId="10546" xr:uid="{00000000-0005-0000-0000-0000D8280000}"/>
    <cellStyle name="_20061103Holux_WorldBankCMSScope_Scope and Deliverables Summary_0323_FP_SAP_MLP v2 2_Steps of Doneness" xfId="10547" xr:uid="{00000000-0005-0000-0000-0000D9280000}"/>
    <cellStyle name="_20061103Holux_WorldBankCMSScope_Scope and Deliverables Summary_0323_FP_SAP_MLP v2 3" xfId="10548" xr:uid="{00000000-0005-0000-0000-0000DA280000}"/>
    <cellStyle name="_20061103Holux_WorldBankCMSScope_Scope and Deliverables Summary_0323_FP_SAP_MLP v2_Steps of Doneness" xfId="10549" xr:uid="{00000000-0005-0000-0000-0000DB280000}"/>
    <cellStyle name="_20061103Holux_WorldBankCMSScope_Scope and Deliverables Summary_0323_KeyDecisions" xfId="10550" xr:uid="{00000000-0005-0000-0000-0000DC280000}"/>
    <cellStyle name="_20061103Holux_WorldBankCMSScope_Scope and Deliverables Summary_0323_KeyDecisions 2" xfId="10551" xr:uid="{00000000-0005-0000-0000-0000DD280000}"/>
    <cellStyle name="_20061103Holux_WorldBankCMSScope_Scope and Deliverables Summary_0323_KeyDecisions 2_Steps of Doneness" xfId="10552" xr:uid="{00000000-0005-0000-0000-0000DE280000}"/>
    <cellStyle name="_20061103Holux_WorldBankCMSScope_Scope and Deliverables Summary_0323_KeyDecisions 3" xfId="10553" xr:uid="{00000000-0005-0000-0000-0000DF280000}"/>
    <cellStyle name="_20061103Holux_WorldBankCMSScope_Scope and Deliverables Summary_0323_KeyDecisions_Steps of Doneness" xfId="10554" xr:uid="{00000000-0005-0000-0000-0000E0280000}"/>
    <cellStyle name="_20061103Holux_WorldBankCMSScope_Scope and Deliverables Summary_0323_Sophia_Imp_ProjectWorkBook_02_18_2011" xfId="10555" xr:uid="{00000000-0005-0000-0000-0000E1280000}"/>
    <cellStyle name="_20061103Holux_WorldBankCMSScope_Scope and Deliverables Summary_0323_Sophia_Imp_ProjectWorkBook_02_18_2011 2" xfId="10556" xr:uid="{00000000-0005-0000-0000-0000E2280000}"/>
    <cellStyle name="_20061103Holux_WorldBankCMSScope_Scope and Deliverables Summary_0323_Sophia_Imp_ProjectWorkBook_02_18_2011 2_Steps of Doneness" xfId="10557" xr:uid="{00000000-0005-0000-0000-0000E3280000}"/>
    <cellStyle name="_20061103Holux_WorldBankCMSScope_Scope and Deliverables Summary_0323_Sophia_Imp_ProjectWorkBook_02_18_2011 3" xfId="10558" xr:uid="{00000000-0005-0000-0000-0000E4280000}"/>
    <cellStyle name="_20061103Holux_WorldBankCMSScope_Scope and Deliverables Summary_0323_Sophia_Imp_ProjectWorkBook_02_18_2011_Steps of Doneness" xfId="10559" xr:uid="{00000000-0005-0000-0000-0000E5280000}"/>
    <cellStyle name="_20061103Holux_WorldBankCMSScope_Scope and Deliverables Summary_0323_Steps of Doneness" xfId="10560" xr:uid="{00000000-0005-0000-0000-0000E6280000}"/>
    <cellStyle name="_20061103Holux_WorldBankCMSScope_Scope and Deliverables Summary_0323_t" xfId="10561" xr:uid="{00000000-0005-0000-0000-0000E7280000}"/>
    <cellStyle name="_20061103Holux_WorldBankCMSScope_Scope and Deliverables Summary_0323_t 2" xfId="10562" xr:uid="{00000000-0005-0000-0000-0000E8280000}"/>
    <cellStyle name="_20061103Holux_WorldBankCMSScope_Scope and Deliverables Summary_0323_t 2_Steps of Doneness" xfId="10563" xr:uid="{00000000-0005-0000-0000-0000E9280000}"/>
    <cellStyle name="_20061103Holux_WorldBankCMSScope_Scope and Deliverables Summary_0323_t 3" xfId="10564" xr:uid="{00000000-0005-0000-0000-0000EA280000}"/>
    <cellStyle name="_20061103Holux_WorldBankCMSScope_Scope and Deliverables Summary_0323_t_Steps of Doneness" xfId="10565" xr:uid="{00000000-0005-0000-0000-0000EB280000}"/>
    <cellStyle name="_20061103Holux_WorldBankCMSScope_Scope and Deliverables Summary_CMS_0609" xfId="10566" xr:uid="{00000000-0005-0000-0000-0000EC280000}"/>
    <cellStyle name="_20061103Holux_WorldBankCMSScope_Scope and Deliverables Summary_CMS_0609 2" xfId="10567" xr:uid="{00000000-0005-0000-0000-0000ED280000}"/>
    <cellStyle name="_20061103Holux_WorldBankCMSScope_Scope and Deliverables Summary_CMS_0609 2 2" xfId="10568" xr:uid="{00000000-0005-0000-0000-0000EE280000}"/>
    <cellStyle name="_20061103Holux_WorldBankCMSScope_Scope and Deliverables Summary_CMS_0609 2 2_Steps of Doneness" xfId="10569" xr:uid="{00000000-0005-0000-0000-0000EF280000}"/>
    <cellStyle name="_20061103Holux_WorldBankCMSScope_Scope and Deliverables Summary_CMS_0609 2 3" xfId="10570" xr:uid="{00000000-0005-0000-0000-0000F0280000}"/>
    <cellStyle name="_20061103Holux_WorldBankCMSScope_Scope and Deliverables Summary_CMS_0609 2_Steps of Doneness" xfId="10571" xr:uid="{00000000-0005-0000-0000-0000F1280000}"/>
    <cellStyle name="_20061103Holux_WorldBankCMSScope_Scope and Deliverables Summary_CMS_0609 3" xfId="10572" xr:uid="{00000000-0005-0000-0000-0000F2280000}"/>
    <cellStyle name="_20061103Holux_WorldBankCMSScope_Scope and Deliverables Summary_CMS_0609 3_Steps of Doneness" xfId="10573" xr:uid="{00000000-0005-0000-0000-0000F3280000}"/>
    <cellStyle name="_20061103Holux_WorldBankCMSScope_Scope and Deliverables Summary_CMS_0609 4" xfId="10574" xr:uid="{00000000-0005-0000-0000-0000F4280000}"/>
    <cellStyle name="_20061103Holux_WorldBankCMSScope_Scope and Deliverables Summary_CMS_0609_Commissioning System Implementation_Project Workbook_06_10_2011" xfId="10575" xr:uid="{00000000-0005-0000-0000-0000F5280000}"/>
    <cellStyle name="_20061103Holux_WorldBankCMSScope_Scope and Deliverables Summary_CMS_0609_Commissioning System Implementation_Project Workbook_06_10_2011 2" xfId="10576" xr:uid="{00000000-0005-0000-0000-0000F6280000}"/>
    <cellStyle name="_20061103Holux_WorldBankCMSScope_Scope and Deliverables Summary_CMS_0609_Commissioning System Implementation_Project Workbook_06_10_2011 2_Steps of Doneness" xfId="10577" xr:uid="{00000000-0005-0000-0000-0000F7280000}"/>
    <cellStyle name="_20061103Holux_WorldBankCMSScope_Scope and Deliverables Summary_CMS_0609_Commissioning System Implementation_Project Workbook_06_10_2011 3" xfId="10578" xr:uid="{00000000-0005-0000-0000-0000F8280000}"/>
    <cellStyle name="_20061103Holux_WorldBankCMSScope_Scope and Deliverables Summary_CMS_0609_Commissioning System Implementation_Project Workbook_06_10_2011_Steps of Doneness" xfId="10579" xr:uid="{00000000-0005-0000-0000-0000F9280000}"/>
    <cellStyle name="_20061103Holux_WorldBankCMSScope_Scope and Deliverables Summary_CMS_0609_FairPoint_CampReport" xfId="10580" xr:uid="{00000000-0005-0000-0000-0000FA280000}"/>
    <cellStyle name="_20061103Holux_WorldBankCMSScope_Scope and Deliverables Summary_CMS_0609_FairPoint_CampReport 2" xfId="10581" xr:uid="{00000000-0005-0000-0000-0000FB280000}"/>
    <cellStyle name="_20061103Holux_WorldBankCMSScope_Scope and Deliverables Summary_CMS_0609_FairPoint_CampReport 2_Steps of Doneness" xfId="10582" xr:uid="{00000000-0005-0000-0000-0000FC280000}"/>
    <cellStyle name="_20061103Holux_WorldBankCMSScope_Scope and Deliverables Summary_CMS_0609_FairPoint_CampReport 3" xfId="10583" xr:uid="{00000000-0005-0000-0000-0000FD280000}"/>
    <cellStyle name="_20061103Holux_WorldBankCMSScope_Scope and Deliverables Summary_CMS_0609_FairPoint_CampReport_Steps of Doneness" xfId="10584" xr:uid="{00000000-0005-0000-0000-0000FE280000}"/>
    <cellStyle name="_20061103Holux_WorldBankCMSScope_Scope and Deliverables Summary_CMS_0609_FairPoint_FP comTechOps_ProgramWorkbook" xfId="10585" xr:uid="{00000000-0005-0000-0000-0000FF280000}"/>
    <cellStyle name="_20061103Holux_WorldBankCMSScope_Scope and Deliverables Summary_CMS_0609_FairPoint_FP comTechOps_ProgramWorkbook 2" xfId="10586" xr:uid="{00000000-0005-0000-0000-000000290000}"/>
    <cellStyle name="_20061103Holux_WorldBankCMSScope_Scope and Deliverables Summary_CMS_0609_FairPoint_FP comTechOps_ProgramWorkbook 2_Steps of Doneness" xfId="10587" xr:uid="{00000000-0005-0000-0000-000001290000}"/>
    <cellStyle name="_20061103Holux_WorldBankCMSScope_Scope and Deliverables Summary_CMS_0609_FairPoint_FP comTechOps_ProgramWorkbook 3" xfId="10588" xr:uid="{00000000-0005-0000-0000-000002290000}"/>
    <cellStyle name="_20061103Holux_WorldBankCMSScope_Scope and Deliverables Summary_CMS_0609_FairPoint_FP comTechOps_ProgramWorkbook_sachin" xfId="10589" xr:uid="{00000000-0005-0000-0000-000003290000}"/>
    <cellStyle name="_20061103Holux_WorldBankCMSScope_Scope and Deliverables Summary_CMS_0609_FairPoint_FP comTechOps_ProgramWorkbook_sachin 2" xfId="10590" xr:uid="{00000000-0005-0000-0000-000004290000}"/>
    <cellStyle name="_20061103Holux_WorldBankCMSScope_Scope and Deliverables Summary_CMS_0609_FairPoint_FP comTechOps_ProgramWorkbook_sachin 2_Steps of Doneness" xfId="10591" xr:uid="{00000000-0005-0000-0000-000005290000}"/>
    <cellStyle name="_20061103Holux_WorldBankCMSScope_Scope and Deliverables Summary_CMS_0609_FairPoint_FP comTechOps_ProgramWorkbook_sachin 3" xfId="10592" xr:uid="{00000000-0005-0000-0000-000006290000}"/>
    <cellStyle name="_20061103Holux_WorldBankCMSScope_Scope and Deliverables Summary_CMS_0609_FairPoint_FP comTechOps_ProgramWorkbook_sachin_Steps of Doneness" xfId="10593" xr:uid="{00000000-0005-0000-0000-000007290000}"/>
    <cellStyle name="_20061103Holux_WorldBankCMSScope_Scope and Deliverables Summary_CMS_0609_FairPoint_FP comTechOps_ProgramWorkbook_sachin_v1" xfId="10594" xr:uid="{00000000-0005-0000-0000-000008290000}"/>
    <cellStyle name="_20061103Holux_WorldBankCMSScope_Scope and Deliverables Summary_CMS_0609_FairPoint_FP comTechOps_ProgramWorkbook_sachin_v1 2" xfId="10595" xr:uid="{00000000-0005-0000-0000-000009290000}"/>
    <cellStyle name="_20061103Holux_WorldBankCMSScope_Scope and Deliverables Summary_CMS_0609_FairPoint_FP comTechOps_ProgramWorkbook_sachin_v1 2_Steps of Doneness" xfId="10596" xr:uid="{00000000-0005-0000-0000-00000A290000}"/>
    <cellStyle name="_20061103Holux_WorldBankCMSScope_Scope and Deliverables Summary_CMS_0609_FairPoint_FP comTechOps_ProgramWorkbook_sachin_v1 3" xfId="10597" xr:uid="{00000000-0005-0000-0000-00000B290000}"/>
    <cellStyle name="_20061103Holux_WorldBankCMSScope_Scope and Deliverables Summary_CMS_0609_FairPoint_FP comTechOps_ProgramWorkbook_sachin_v1_Steps of Doneness" xfId="10598" xr:uid="{00000000-0005-0000-0000-00000C290000}"/>
    <cellStyle name="_20061103Holux_WorldBankCMSScope_Scope and Deliverables Summary_CMS_0609_FairPoint_FP comTechOps_ProgramWorkbook_Steps of Doneness" xfId="10599" xr:uid="{00000000-0005-0000-0000-00000D290000}"/>
    <cellStyle name="_20061103Holux_WorldBankCMSScope_Scope and Deliverables Summary_CMS_0609_FP_CAMP&amp;ITReporting_Maintenance_Dashboard" xfId="10600" xr:uid="{00000000-0005-0000-0000-00000E290000}"/>
    <cellStyle name="_20061103Holux_WorldBankCMSScope_Scope and Deliverables Summary_CMS_0609_FP_CAMP&amp;ITReporting_Maintenance_Dashboard 2" xfId="10601" xr:uid="{00000000-0005-0000-0000-00000F290000}"/>
    <cellStyle name="_20061103Holux_WorldBankCMSScope_Scope and Deliverables Summary_CMS_0609_FP_CAMP&amp;ITReporting_Maintenance_Dashboard 2_Steps of Doneness" xfId="10602" xr:uid="{00000000-0005-0000-0000-000010290000}"/>
    <cellStyle name="_20061103Holux_WorldBankCMSScope_Scope and Deliverables Summary_CMS_0609_FP_CAMP&amp;ITReporting_Maintenance_Dashboard 3" xfId="10603" xr:uid="{00000000-0005-0000-0000-000011290000}"/>
    <cellStyle name="_20061103Holux_WorldBankCMSScope_Scope and Deliverables Summary_CMS_0609_FP_CAMP&amp;ITReporting_Maintenance_Dashboard_Steps of Doneness" xfId="10604" xr:uid="{00000000-0005-0000-0000-000012290000}"/>
    <cellStyle name="_20061103Holux_WorldBankCMSScope_Scope and Deliverables Summary_CMS_0609_FP_CAMPITReporting_Maintenance_Dashboard" xfId="10605" xr:uid="{00000000-0005-0000-0000-000013290000}"/>
    <cellStyle name="_20061103Holux_WorldBankCMSScope_Scope and Deliverables Summary_CMS_0609_FP_CAMPITReporting_Maintenance_Dashboard 2" xfId="10606" xr:uid="{00000000-0005-0000-0000-000014290000}"/>
    <cellStyle name="_20061103Holux_WorldBankCMSScope_Scope and Deliverables Summary_CMS_0609_FP_CAMPITReporting_Maintenance_Dashboard 2_Steps of Doneness" xfId="10607" xr:uid="{00000000-0005-0000-0000-000015290000}"/>
    <cellStyle name="_20061103Holux_WorldBankCMSScope_Scope and Deliverables Summary_CMS_0609_FP_CAMPITReporting_Maintenance_Dashboard 3" xfId="10608" xr:uid="{00000000-0005-0000-0000-000016290000}"/>
    <cellStyle name="_20061103Holux_WorldBankCMSScope_Scope and Deliverables Summary_CMS_0609_FP_CAMPITReporting_Maintenance_Dashboard_Steps of Doneness" xfId="10609" xr:uid="{00000000-0005-0000-0000-000017290000}"/>
    <cellStyle name="_20061103Holux_WorldBankCMSScope_Scope and Deliverables Summary_CMS_0609_FP_Commissions_Req_Dn_ProgramWorkBook_10-Dec-2010" xfId="10610" xr:uid="{00000000-0005-0000-0000-000018290000}"/>
    <cellStyle name="_20061103Holux_WorldBankCMSScope_Scope and Deliverables Summary_CMS_0609_FP_Commissions_Req_Dn_ProgramWorkBook_10-Dec-2010 2" xfId="10611" xr:uid="{00000000-0005-0000-0000-000019290000}"/>
    <cellStyle name="_20061103Holux_WorldBankCMSScope_Scope and Deliverables Summary_CMS_0609_FP_Commissions_Req_Dn_ProgramWorkBook_10-Dec-2010 2_Steps of Doneness" xfId="10612" xr:uid="{00000000-0005-0000-0000-00001A290000}"/>
    <cellStyle name="_20061103Holux_WorldBankCMSScope_Scope and Deliverables Summary_CMS_0609_FP_Commissions_Req_Dn_ProgramWorkBook_10-Dec-2010 3" xfId="10613" xr:uid="{00000000-0005-0000-0000-00001B290000}"/>
    <cellStyle name="_20061103Holux_WorldBankCMSScope_Scope and Deliverables Summary_CMS_0609_FP_Commissions_Req_Dn_ProgramWorkBook_10-Dec-2010_Steps of Doneness" xfId="10614" xr:uid="{00000000-0005-0000-0000-00001C290000}"/>
    <cellStyle name="_20061103Holux_WorldBankCMSScope_Scope and Deliverables Summary_CMS_0609_FP_DW_Impl_ProgramWorkBook_07-Jan-2011" xfId="10615" xr:uid="{00000000-0005-0000-0000-00001D290000}"/>
    <cellStyle name="_20061103Holux_WorldBankCMSScope_Scope and Deliverables Summary_CMS_0609_FP_DW_Impl_ProgramWorkBook_07-Jan-2011 2" xfId="10616" xr:uid="{00000000-0005-0000-0000-00001E290000}"/>
    <cellStyle name="_20061103Holux_WorldBankCMSScope_Scope and Deliverables Summary_CMS_0609_FP_DW_Impl_ProgramWorkBook_07-Jan-2011 2 2" xfId="10617" xr:uid="{00000000-0005-0000-0000-00001F290000}"/>
    <cellStyle name="_20061103Holux_WorldBankCMSScope_Scope and Deliverables Summary_CMS_0609_FP_DW_Impl_ProgramWorkBook_07-Jan-2011 2 2_Steps of Doneness" xfId="10618" xr:uid="{00000000-0005-0000-0000-000020290000}"/>
    <cellStyle name="_20061103Holux_WorldBankCMSScope_Scope and Deliverables Summary_CMS_0609_FP_DW_Impl_ProgramWorkBook_07-Jan-2011 2 3" xfId="10619" xr:uid="{00000000-0005-0000-0000-000021290000}"/>
    <cellStyle name="_20061103Holux_WorldBankCMSScope_Scope and Deliverables Summary_CMS_0609_FP_DW_Impl_ProgramWorkBook_07-Jan-2011 2_Steps of Doneness" xfId="10620" xr:uid="{00000000-0005-0000-0000-000022290000}"/>
    <cellStyle name="_20061103Holux_WorldBankCMSScope_Scope and Deliverables Summary_CMS_0609_FP_DW_Impl_ProgramWorkBook_07-Jan-2011 3" xfId="10621" xr:uid="{00000000-0005-0000-0000-000023290000}"/>
    <cellStyle name="_20061103Holux_WorldBankCMSScope_Scope and Deliverables Summary_CMS_0609_FP_DW_Impl_ProgramWorkBook_07-Jan-2011 3_Steps of Doneness" xfId="10622" xr:uid="{00000000-0005-0000-0000-000024290000}"/>
    <cellStyle name="_20061103Holux_WorldBankCMSScope_Scope and Deliverables Summary_CMS_0609_FP_DW_Impl_ProgramWorkBook_07-Jan-2011 4" xfId="10623" xr:uid="{00000000-0005-0000-0000-000025290000}"/>
    <cellStyle name="_20061103Holux_WorldBankCMSScope_Scope and Deliverables Summary_CMS_0609_FP_DW_Impl_ProgramWorkBook_07-Jan-2011_Steps of Doneness" xfId="10624" xr:uid="{00000000-0005-0000-0000-000026290000}"/>
    <cellStyle name="_20061103Holux_WorldBankCMSScope_Scope and Deliverables Summary_CMS_0609_FP_DW_Impl_ProgramWorkBook_11-Feb-2011" xfId="10625" xr:uid="{00000000-0005-0000-0000-000027290000}"/>
    <cellStyle name="_20061103Holux_WorldBankCMSScope_Scope and Deliverables Summary_CMS_0609_FP_DW_Impl_ProgramWorkBook_11-Feb-2011 2" xfId="10626" xr:uid="{00000000-0005-0000-0000-000028290000}"/>
    <cellStyle name="_20061103Holux_WorldBankCMSScope_Scope and Deliverables Summary_CMS_0609_FP_DW_Impl_ProgramWorkBook_11-Feb-2011 2_Steps of Doneness" xfId="10627" xr:uid="{00000000-0005-0000-0000-000029290000}"/>
    <cellStyle name="_20061103Holux_WorldBankCMSScope_Scope and Deliverables Summary_CMS_0609_FP_DW_Impl_ProgramWorkBook_11-Feb-2011 3" xfId="10628" xr:uid="{00000000-0005-0000-0000-00002A290000}"/>
    <cellStyle name="_20061103Holux_WorldBankCMSScope_Scope and Deliverables Summary_CMS_0609_FP_DW_Impl_ProgramWorkBook_11-Feb-2011_Steps of Doneness" xfId="10629" xr:uid="{00000000-0005-0000-0000-00002B290000}"/>
    <cellStyle name="_20061103Holux_WorldBankCMSScope_Scope and Deliverables Summary_CMS_0609_FP_DW_Impl_ProgramWorkBook_18-Feb-2011 - Working" xfId="10630" xr:uid="{00000000-0005-0000-0000-00002C290000}"/>
    <cellStyle name="_20061103Holux_WorldBankCMSScope_Scope and Deliverables Summary_CMS_0609_FP_DW_Impl_ProgramWorkBook_18-Feb-2011 - Working 2" xfId="10631" xr:uid="{00000000-0005-0000-0000-00002D290000}"/>
    <cellStyle name="_20061103Holux_WorldBankCMSScope_Scope and Deliverables Summary_CMS_0609_FP_DW_Impl_ProgramWorkBook_18-Feb-2011 - Working 2_Steps of Doneness" xfId="10632" xr:uid="{00000000-0005-0000-0000-00002E290000}"/>
    <cellStyle name="_20061103Holux_WorldBankCMSScope_Scope and Deliverables Summary_CMS_0609_FP_DW_Impl_ProgramWorkBook_18-Feb-2011 - Working 3" xfId="10633" xr:uid="{00000000-0005-0000-0000-00002F290000}"/>
    <cellStyle name="_20061103Holux_WorldBankCMSScope_Scope and Deliverables Summary_CMS_0609_FP_DW_Impl_ProgramWorkBook_18-Feb-2011 - Working_Steps of Doneness" xfId="10634" xr:uid="{00000000-0005-0000-0000-000030290000}"/>
    <cellStyle name="_20061103Holux_WorldBankCMSScope_Scope and Deliverables Summary_CMS_0609_FP_EnterprisePortal_ProgramWorkbook" xfId="10635" xr:uid="{00000000-0005-0000-0000-000031290000}"/>
    <cellStyle name="_20061103Holux_WorldBankCMSScope_Scope and Deliverables Summary_CMS_0609_FP_EnterprisePortal_ProgramWorkbook 2" xfId="10636" xr:uid="{00000000-0005-0000-0000-000032290000}"/>
    <cellStyle name="_20061103Holux_WorldBankCMSScope_Scope and Deliverables Summary_CMS_0609_FP_EnterprisePortal_ProgramWorkbook 2_Steps of Doneness" xfId="10637" xr:uid="{00000000-0005-0000-0000-000033290000}"/>
    <cellStyle name="_20061103Holux_WorldBankCMSScope_Scope and Deliverables Summary_CMS_0609_FP_EnterprisePortal_ProgramWorkbook 3" xfId="10638" xr:uid="{00000000-0005-0000-0000-000034290000}"/>
    <cellStyle name="_20061103Holux_WorldBankCMSScope_Scope and Deliverables Summary_CMS_0609_FP_EnterprisePortal_ProgramWorkbook_Steps of Doneness" xfId="10639" xr:uid="{00000000-0005-0000-0000-000035290000}"/>
    <cellStyle name="_20061103Holux_WorldBankCMSScope_Scope and Deliverables Summary_CMS_0609_FP_SAP_MLP v2" xfId="10640" xr:uid="{00000000-0005-0000-0000-000036290000}"/>
    <cellStyle name="_20061103Holux_WorldBankCMSScope_Scope and Deliverables Summary_CMS_0609_FP_SAP_MLP v2 2" xfId="10641" xr:uid="{00000000-0005-0000-0000-000037290000}"/>
    <cellStyle name="_20061103Holux_WorldBankCMSScope_Scope and Deliverables Summary_CMS_0609_FP_SAP_MLP v2 2_Steps of Doneness" xfId="10642" xr:uid="{00000000-0005-0000-0000-000038290000}"/>
    <cellStyle name="_20061103Holux_WorldBankCMSScope_Scope and Deliverables Summary_CMS_0609_FP_SAP_MLP v2 3" xfId="10643" xr:uid="{00000000-0005-0000-0000-000039290000}"/>
    <cellStyle name="_20061103Holux_WorldBankCMSScope_Scope and Deliverables Summary_CMS_0609_FP_SAP_MLP v2_Steps of Doneness" xfId="10644" xr:uid="{00000000-0005-0000-0000-00003A290000}"/>
    <cellStyle name="_20061103Holux_WorldBankCMSScope_Scope and Deliverables Summary_CMS_0609_KeyDecisions" xfId="10645" xr:uid="{00000000-0005-0000-0000-00003B290000}"/>
    <cellStyle name="_20061103Holux_WorldBankCMSScope_Scope and Deliverables Summary_CMS_0609_KeyDecisions 2" xfId="10646" xr:uid="{00000000-0005-0000-0000-00003C290000}"/>
    <cellStyle name="_20061103Holux_WorldBankCMSScope_Scope and Deliverables Summary_CMS_0609_KeyDecisions 2_Steps of Doneness" xfId="10647" xr:uid="{00000000-0005-0000-0000-00003D290000}"/>
    <cellStyle name="_20061103Holux_WorldBankCMSScope_Scope and Deliverables Summary_CMS_0609_KeyDecisions 3" xfId="10648" xr:uid="{00000000-0005-0000-0000-00003E290000}"/>
    <cellStyle name="_20061103Holux_WorldBankCMSScope_Scope and Deliverables Summary_CMS_0609_KeyDecisions_Steps of Doneness" xfId="10649" xr:uid="{00000000-0005-0000-0000-00003F290000}"/>
    <cellStyle name="_20061103Holux_WorldBankCMSScope_Scope and Deliverables Summary_CMS_0609_Sophia_Imp_ProjectWorkBook_02_18_2011" xfId="10650" xr:uid="{00000000-0005-0000-0000-000040290000}"/>
    <cellStyle name="_20061103Holux_WorldBankCMSScope_Scope and Deliverables Summary_CMS_0609_Sophia_Imp_ProjectWorkBook_02_18_2011 2" xfId="10651" xr:uid="{00000000-0005-0000-0000-000041290000}"/>
    <cellStyle name="_20061103Holux_WorldBankCMSScope_Scope and Deliverables Summary_CMS_0609_Sophia_Imp_ProjectWorkBook_02_18_2011 2_Steps of Doneness" xfId="10652" xr:uid="{00000000-0005-0000-0000-000042290000}"/>
    <cellStyle name="_20061103Holux_WorldBankCMSScope_Scope and Deliverables Summary_CMS_0609_Sophia_Imp_ProjectWorkBook_02_18_2011 3" xfId="10653" xr:uid="{00000000-0005-0000-0000-000043290000}"/>
    <cellStyle name="_20061103Holux_WorldBankCMSScope_Scope and Deliverables Summary_CMS_0609_Sophia_Imp_ProjectWorkBook_02_18_2011_Steps of Doneness" xfId="10654" xr:uid="{00000000-0005-0000-0000-000044290000}"/>
    <cellStyle name="_20061103Holux_WorldBankCMSScope_Scope and Deliverables Summary_CMS_0609_Steps of Doneness" xfId="10655" xr:uid="{00000000-0005-0000-0000-000045290000}"/>
    <cellStyle name="_20061103Holux_WorldBankCMSScope_Scope and Deliverables Summary_CMS_0609_t" xfId="10656" xr:uid="{00000000-0005-0000-0000-000046290000}"/>
    <cellStyle name="_20061103Holux_WorldBankCMSScope_Scope and Deliverables Summary_CMS_0609_t 2" xfId="10657" xr:uid="{00000000-0005-0000-0000-000047290000}"/>
    <cellStyle name="_20061103Holux_WorldBankCMSScope_Scope and Deliverables Summary_CMS_0609_t 2_Steps of Doneness" xfId="10658" xr:uid="{00000000-0005-0000-0000-000048290000}"/>
    <cellStyle name="_20061103Holux_WorldBankCMSScope_Scope and Deliverables Summary_CMS_0609_t 3" xfId="10659" xr:uid="{00000000-0005-0000-0000-000049290000}"/>
    <cellStyle name="_20061103Holux_WorldBankCMSScope_Scope and Deliverables Summary_CMS_0609_t_Steps of Doneness" xfId="10660" xr:uid="{00000000-0005-0000-0000-00004A290000}"/>
    <cellStyle name="_20061103Holux_WorldBankCMSScope_SLM -CMS &amp; Storefront PM Workbook" xfId="10661" xr:uid="{00000000-0005-0000-0000-00004B290000}"/>
    <cellStyle name="_20061103Holux_WorldBankCMSScope_SLM -CMS &amp; Storefront PM Workbook 2" xfId="10662" xr:uid="{00000000-0005-0000-0000-00004C290000}"/>
    <cellStyle name="_20061103Holux_WorldBankCMSScope_SLM -CMS &amp; Storefront PM Workbook 2 2" xfId="10663" xr:uid="{00000000-0005-0000-0000-00004D290000}"/>
    <cellStyle name="_20061103Holux_WorldBankCMSScope_SLM -CMS &amp; Storefront PM Workbook 2 2_Steps of Doneness" xfId="10664" xr:uid="{00000000-0005-0000-0000-00004E290000}"/>
    <cellStyle name="_20061103Holux_WorldBankCMSScope_SLM -CMS &amp; Storefront PM Workbook 2 3" xfId="10665" xr:uid="{00000000-0005-0000-0000-00004F290000}"/>
    <cellStyle name="_20061103Holux_WorldBankCMSScope_SLM -CMS &amp; Storefront PM Workbook 2_Steps of Doneness" xfId="10666" xr:uid="{00000000-0005-0000-0000-000050290000}"/>
    <cellStyle name="_20061103Holux_WorldBankCMSScope_SLM -CMS &amp; Storefront PM Workbook 3" xfId="10667" xr:uid="{00000000-0005-0000-0000-000051290000}"/>
    <cellStyle name="_20061103Holux_WorldBankCMSScope_SLM -CMS &amp; Storefront PM Workbook 3_Steps of Doneness" xfId="10668" xr:uid="{00000000-0005-0000-0000-000052290000}"/>
    <cellStyle name="_20061103Holux_WorldBankCMSScope_SLM -CMS &amp; Storefront PM Workbook 4" xfId="10669" xr:uid="{00000000-0005-0000-0000-000053290000}"/>
    <cellStyle name="_20061103Holux_WorldBankCMSScope_SLM -CMS &amp; Storefront PM Workbook_Commissioning System Implementation_Project Workbook_06_10_2011" xfId="10670" xr:uid="{00000000-0005-0000-0000-000054290000}"/>
    <cellStyle name="_20061103Holux_WorldBankCMSScope_SLM -CMS &amp; Storefront PM Workbook_Commissioning System Implementation_Project Workbook_06_10_2011 2" xfId="10671" xr:uid="{00000000-0005-0000-0000-000055290000}"/>
    <cellStyle name="_20061103Holux_WorldBankCMSScope_SLM -CMS &amp; Storefront PM Workbook_Commissioning System Implementation_Project Workbook_06_10_2011 2_Steps of Doneness" xfId="10672" xr:uid="{00000000-0005-0000-0000-000056290000}"/>
    <cellStyle name="_20061103Holux_WorldBankCMSScope_SLM -CMS &amp; Storefront PM Workbook_Commissioning System Implementation_Project Workbook_06_10_2011 3" xfId="10673" xr:uid="{00000000-0005-0000-0000-000057290000}"/>
    <cellStyle name="_20061103Holux_WorldBankCMSScope_SLM -CMS &amp; Storefront PM Workbook_Commissioning System Implementation_Project Workbook_06_10_2011_Steps of Doneness" xfId="10674" xr:uid="{00000000-0005-0000-0000-000058290000}"/>
    <cellStyle name="_20061103Holux_WorldBankCMSScope_SLM -CMS &amp; Storefront PM Workbook_FairPoint_CampReport" xfId="10675" xr:uid="{00000000-0005-0000-0000-000059290000}"/>
    <cellStyle name="_20061103Holux_WorldBankCMSScope_SLM -CMS &amp; Storefront PM Workbook_FairPoint_CampReport 2" xfId="10676" xr:uid="{00000000-0005-0000-0000-00005A290000}"/>
    <cellStyle name="_20061103Holux_WorldBankCMSScope_SLM -CMS &amp; Storefront PM Workbook_FairPoint_CampReport 2_Steps of Doneness" xfId="10677" xr:uid="{00000000-0005-0000-0000-00005B290000}"/>
    <cellStyle name="_20061103Holux_WorldBankCMSScope_SLM -CMS &amp; Storefront PM Workbook_FairPoint_CampReport 3" xfId="10678" xr:uid="{00000000-0005-0000-0000-00005C290000}"/>
    <cellStyle name="_20061103Holux_WorldBankCMSScope_SLM -CMS &amp; Storefront PM Workbook_FairPoint_CampReport_Steps of Doneness" xfId="10679" xr:uid="{00000000-0005-0000-0000-00005D290000}"/>
    <cellStyle name="_20061103Holux_WorldBankCMSScope_SLM -CMS &amp; Storefront PM Workbook_FairPoint_FP comTechOps_ProgramWorkbook" xfId="10680" xr:uid="{00000000-0005-0000-0000-00005E290000}"/>
    <cellStyle name="_20061103Holux_WorldBankCMSScope_SLM -CMS &amp; Storefront PM Workbook_FairPoint_FP comTechOps_ProgramWorkbook 2" xfId="10681" xr:uid="{00000000-0005-0000-0000-00005F290000}"/>
    <cellStyle name="_20061103Holux_WorldBankCMSScope_SLM -CMS &amp; Storefront PM Workbook_FairPoint_FP comTechOps_ProgramWorkbook 2_Steps of Doneness" xfId="10682" xr:uid="{00000000-0005-0000-0000-000060290000}"/>
    <cellStyle name="_20061103Holux_WorldBankCMSScope_SLM -CMS &amp; Storefront PM Workbook_FairPoint_FP comTechOps_ProgramWorkbook 3" xfId="10683" xr:uid="{00000000-0005-0000-0000-000061290000}"/>
    <cellStyle name="_20061103Holux_WorldBankCMSScope_SLM -CMS &amp; Storefront PM Workbook_FairPoint_FP comTechOps_ProgramWorkbook_sachin" xfId="10684" xr:uid="{00000000-0005-0000-0000-000062290000}"/>
    <cellStyle name="_20061103Holux_WorldBankCMSScope_SLM -CMS &amp; Storefront PM Workbook_FairPoint_FP comTechOps_ProgramWorkbook_sachin 2" xfId="10685" xr:uid="{00000000-0005-0000-0000-000063290000}"/>
    <cellStyle name="_20061103Holux_WorldBankCMSScope_SLM -CMS &amp; Storefront PM Workbook_FairPoint_FP comTechOps_ProgramWorkbook_sachin 2_Steps of Doneness" xfId="10686" xr:uid="{00000000-0005-0000-0000-000064290000}"/>
    <cellStyle name="_20061103Holux_WorldBankCMSScope_SLM -CMS &amp; Storefront PM Workbook_FairPoint_FP comTechOps_ProgramWorkbook_sachin 3" xfId="10687" xr:uid="{00000000-0005-0000-0000-000065290000}"/>
    <cellStyle name="_20061103Holux_WorldBankCMSScope_SLM -CMS &amp; Storefront PM Workbook_FairPoint_FP comTechOps_ProgramWorkbook_sachin_Steps of Doneness" xfId="10688" xr:uid="{00000000-0005-0000-0000-000066290000}"/>
    <cellStyle name="_20061103Holux_WorldBankCMSScope_SLM -CMS &amp; Storefront PM Workbook_FairPoint_FP comTechOps_ProgramWorkbook_sachin_v1" xfId="10689" xr:uid="{00000000-0005-0000-0000-000067290000}"/>
    <cellStyle name="_20061103Holux_WorldBankCMSScope_SLM -CMS &amp; Storefront PM Workbook_FairPoint_FP comTechOps_ProgramWorkbook_sachin_v1 2" xfId="10690" xr:uid="{00000000-0005-0000-0000-000068290000}"/>
    <cellStyle name="_20061103Holux_WorldBankCMSScope_SLM -CMS &amp; Storefront PM Workbook_FairPoint_FP comTechOps_ProgramWorkbook_sachin_v1 2_Steps of Doneness" xfId="10691" xr:uid="{00000000-0005-0000-0000-000069290000}"/>
    <cellStyle name="_20061103Holux_WorldBankCMSScope_SLM -CMS &amp; Storefront PM Workbook_FairPoint_FP comTechOps_ProgramWorkbook_sachin_v1 3" xfId="10692" xr:uid="{00000000-0005-0000-0000-00006A290000}"/>
    <cellStyle name="_20061103Holux_WorldBankCMSScope_SLM -CMS &amp; Storefront PM Workbook_FairPoint_FP comTechOps_ProgramWorkbook_sachin_v1_Steps of Doneness" xfId="10693" xr:uid="{00000000-0005-0000-0000-00006B290000}"/>
    <cellStyle name="_20061103Holux_WorldBankCMSScope_SLM -CMS &amp; Storefront PM Workbook_FairPoint_FP comTechOps_ProgramWorkbook_Steps of Doneness" xfId="10694" xr:uid="{00000000-0005-0000-0000-00006C290000}"/>
    <cellStyle name="_20061103Holux_WorldBankCMSScope_SLM -CMS &amp; Storefront PM Workbook_FP_CAMP&amp;ITReporting_Maintenance_Dashboard" xfId="10695" xr:uid="{00000000-0005-0000-0000-00006D290000}"/>
    <cellStyle name="_20061103Holux_WorldBankCMSScope_SLM -CMS &amp; Storefront PM Workbook_FP_CAMP&amp;ITReporting_Maintenance_Dashboard 2" xfId="10696" xr:uid="{00000000-0005-0000-0000-00006E290000}"/>
    <cellStyle name="_20061103Holux_WorldBankCMSScope_SLM -CMS &amp; Storefront PM Workbook_FP_CAMP&amp;ITReporting_Maintenance_Dashboard 2_Steps of Doneness" xfId="10697" xr:uid="{00000000-0005-0000-0000-00006F290000}"/>
    <cellStyle name="_20061103Holux_WorldBankCMSScope_SLM -CMS &amp; Storefront PM Workbook_FP_CAMP&amp;ITReporting_Maintenance_Dashboard 3" xfId="10698" xr:uid="{00000000-0005-0000-0000-000070290000}"/>
    <cellStyle name="_20061103Holux_WorldBankCMSScope_SLM -CMS &amp; Storefront PM Workbook_FP_CAMP&amp;ITReporting_Maintenance_Dashboard_Steps of Doneness" xfId="10699" xr:uid="{00000000-0005-0000-0000-000071290000}"/>
    <cellStyle name="_20061103Holux_WorldBankCMSScope_SLM -CMS &amp; Storefront PM Workbook_FP_CAMPITReporting_Maintenance_Dashboard" xfId="10700" xr:uid="{00000000-0005-0000-0000-000072290000}"/>
    <cellStyle name="_20061103Holux_WorldBankCMSScope_SLM -CMS &amp; Storefront PM Workbook_FP_CAMPITReporting_Maintenance_Dashboard 2" xfId="10701" xr:uid="{00000000-0005-0000-0000-000073290000}"/>
    <cellStyle name="_20061103Holux_WorldBankCMSScope_SLM -CMS &amp; Storefront PM Workbook_FP_CAMPITReporting_Maintenance_Dashboard 2_Steps of Doneness" xfId="10702" xr:uid="{00000000-0005-0000-0000-000074290000}"/>
    <cellStyle name="_20061103Holux_WorldBankCMSScope_SLM -CMS &amp; Storefront PM Workbook_FP_CAMPITReporting_Maintenance_Dashboard 3" xfId="10703" xr:uid="{00000000-0005-0000-0000-000075290000}"/>
    <cellStyle name="_20061103Holux_WorldBankCMSScope_SLM -CMS &amp; Storefront PM Workbook_FP_CAMPITReporting_Maintenance_Dashboard_Steps of Doneness" xfId="10704" xr:uid="{00000000-0005-0000-0000-000076290000}"/>
    <cellStyle name="_20061103Holux_WorldBankCMSScope_SLM -CMS &amp; Storefront PM Workbook_FP_Commissions_Req_Dn_ProgramWorkBook_10-Dec-2010" xfId="10705" xr:uid="{00000000-0005-0000-0000-000077290000}"/>
    <cellStyle name="_20061103Holux_WorldBankCMSScope_SLM -CMS &amp; Storefront PM Workbook_FP_Commissions_Req_Dn_ProgramWorkBook_10-Dec-2010 2" xfId="10706" xr:uid="{00000000-0005-0000-0000-000078290000}"/>
    <cellStyle name="_20061103Holux_WorldBankCMSScope_SLM -CMS &amp; Storefront PM Workbook_FP_Commissions_Req_Dn_ProgramWorkBook_10-Dec-2010 2_Steps of Doneness" xfId="10707" xr:uid="{00000000-0005-0000-0000-000079290000}"/>
    <cellStyle name="_20061103Holux_WorldBankCMSScope_SLM -CMS &amp; Storefront PM Workbook_FP_Commissions_Req_Dn_ProgramWorkBook_10-Dec-2010 3" xfId="10708" xr:uid="{00000000-0005-0000-0000-00007A290000}"/>
    <cellStyle name="_20061103Holux_WorldBankCMSScope_SLM -CMS &amp; Storefront PM Workbook_FP_Commissions_Req_Dn_ProgramWorkBook_10-Dec-2010_Steps of Doneness" xfId="10709" xr:uid="{00000000-0005-0000-0000-00007B290000}"/>
    <cellStyle name="_20061103Holux_WorldBankCMSScope_SLM -CMS &amp; Storefront PM Workbook_FP_DW_Impl_ProgramWorkBook_07-Jan-2011" xfId="10710" xr:uid="{00000000-0005-0000-0000-00007C290000}"/>
    <cellStyle name="_20061103Holux_WorldBankCMSScope_SLM -CMS &amp; Storefront PM Workbook_FP_DW_Impl_ProgramWorkBook_07-Jan-2011 2" xfId="10711" xr:uid="{00000000-0005-0000-0000-00007D290000}"/>
    <cellStyle name="_20061103Holux_WorldBankCMSScope_SLM -CMS &amp; Storefront PM Workbook_FP_DW_Impl_ProgramWorkBook_07-Jan-2011 2 2" xfId="10712" xr:uid="{00000000-0005-0000-0000-00007E290000}"/>
    <cellStyle name="_20061103Holux_WorldBankCMSScope_SLM -CMS &amp; Storefront PM Workbook_FP_DW_Impl_ProgramWorkBook_07-Jan-2011 2 2_Steps of Doneness" xfId="10713" xr:uid="{00000000-0005-0000-0000-00007F290000}"/>
    <cellStyle name="_20061103Holux_WorldBankCMSScope_SLM -CMS &amp; Storefront PM Workbook_FP_DW_Impl_ProgramWorkBook_07-Jan-2011 2 3" xfId="10714" xr:uid="{00000000-0005-0000-0000-000080290000}"/>
    <cellStyle name="_20061103Holux_WorldBankCMSScope_SLM -CMS &amp; Storefront PM Workbook_FP_DW_Impl_ProgramWorkBook_07-Jan-2011 2_Steps of Doneness" xfId="10715" xr:uid="{00000000-0005-0000-0000-000081290000}"/>
    <cellStyle name="_20061103Holux_WorldBankCMSScope_SLM -CMS &amp; Storefront PM Workbook_FP_DW_Impl_ProgramWorkBook_07-Jan-2011 3" xfId="10716" xr:uid="{00000000-0005-0000-0000-000082290000}"/>
    <cellStyle name="_20061103Holux_WorldBankCMSScope_SLM -CMS &amp; Storefront PM Workbook_FP_DW_Impl_ProgramWorkBook_07-Jan-2011 3_Steps of Doneness" xfId="10717" xr:uid="{00000000-0005-0000-0000-000083290000}"/>
    <cellStyle name="_20061103Holux_WorldBankCMSScope_SLM -CMS &amp; Storefront PM Workbook_FP_DW_Impl_ProgramWorkBook_07-Jan-2011 4" xfId="10718" xr:uid="{00000000-0005-0000-0000-000084290000}"/>
    <cellStyle name="_20061103Holux_WorldBankCMSScope_SLM -CMS &amp; Storefront PM Workbook_FP_DW_Impl_ProgramWorkBook_07-Jan-2011_Steps of Doneness" xfId="10719" xr:uid="{00000000-0005-0000-0000-000085290000}"/>
    <cellStyle name="_20061103Holux_WorldBankCMSScope_SLM -CMS &amp; Storefront PM Workbook_FP_DW_Impl_ProgramWorkBook_11-Feb-2011" xfId="10720" xr:uid="{00000000-0005-0000-0000-000086290000}"/>
    <cellStyle name="_20061103Holux_WorldBankCMSScope_SLM -CMS &amp; Storefront PM Workbook_FP_DW_Impl_ProgramWorkBook_11-Feb-2011 2" xfId="10721" xr:uid="{00000000-0005-0000-0000-000087290000}"/>
    <cellStyle name="_20061103Holux_WorldBankCMSScope_SLM -CMS &amp; Storefront PM Workbook_FP_DW_Impl_ProgramWorkBook_11-Feb-2011 2_Steps of Doneness" xfId="10722" xr:uid="{00000000-0005-0000-0000-000088290000}"/>
    <cellStyle name="_20061103Holux_WorldBankCMSScope_SLM -CMS &amp; Storefront PM Workbook_FP_DW_Impl_ProgramWorkBook_11-Feb-2011 3" xfId="10723" xr:uid="{00000000-0005-0000-0000-000089290000}"/>
    <cellStyle name="_20061103Holux_WorldBankCMSScope_SLM -CMS &amp; Storefront PM Workbook_FP_DW_Impl_ProgramWorkBook_11-Feb-2011_Steps of Doneness" xfId="10724" xr:uid="{00000000-0005-0000-0000-00008A290000}"/>
    <cellStyle name="_20061103Holux_WorldBankCMSScope_SLM -CMS &amp; Storefront PM Workbook_FP_DW_Impl_ProgramWorkBook_18-Feb-2011 - Working" xfId="10725" xr:uid="{00000000-0005-0000-0000-00008B290000}"/>
    <cellStyle name="_20061103Holux_WorldBankCMSScope_SLM -CMS &amp; Storefront PM Workbook_FP_DW_Impl_ProgramWorkBook_18-Feb-2011 - Working 2" xfId="10726" xr:uid="{00000000-0005-0000-0000-00008C290000}"/>
    <cellStyle name="_20061103Holux_WorldBankCMSScope_SLM -CMS &amp; Storefront PM Workbook_FP_DW_Impl_ProgramWorkBook_18-Feb-2011 - Working 2_Steps of Doneness" xfId="10727" xr:uid="{00000000-0005-0000-0000-00008D290000}"/>
    <cellStyle name="_20061103Holux_WorldBankCMSScope_SLM -CMS &amp; Storefront PM Workbook_FP_DW_Impl_ProgramWorkBook_18-Feb-2011 - Working 3" xfId="10728" xr:uid="{00000000-0005-0000-0000-00008E290000}"/>
    <cellStyle name="_20061103Holux_WorldBankCMSScope_SLM -CMS &amp; Storefront PM Workbook_FP_DW_Impl_ProgramWorkBook_18-Feb-2011 - Working_Steps of Doneness" xfId="10729" xr:uid="{00000000-0005-0000-0000-00008F290000}"/>
    <cellStyle name="_20061103Holux_WorldBankCMSScope_SLM -CMS &amp; Storefront PM Workbook_FP_EnterprisePortal_ProgramWorkbook" xfId="10730" xr:uid="{00000000-0005-0000-0000-000090290000}"/>
    <cellStyle name="_20061103Holux_WorldBankCMSScope_SLM -CMS &amp; Storefront PM Workbook_FP_EnterprisePortal_ProgramWorkbook 2" xfId="10731" xr:uid="{00000000-0005-0000-0000-000091290000}"/>
    <cellStyle name="_20061103Holux_WorldBankCMSScope_SLM -CMS &amp; Storefront PM Workbook_FP_EnterprisePortal_ProgramWorkbook 2_Steps of Doneness" xfId="10732" xr:uid="{00000000-0005-0000-0000-000092290000}"/>
    <cellStyle name="_20061103Holux_WorldBankCMSScope_SLM -CMS &amp; Storefront PM Workbook_FP_EnterprisePortal_ProgramWorkbook 3" xfId="10733" xr:uid="{00000000-0005-0000-0000-000093290000}"/>
    <cellStyle name="_20061103Holux_WorldBankCMSScope_SLM -CMS &amp; Storefront PM Workbook_FP_EnterprisePortal_ProgramWorkbook_Steps of Doneness" xfId="10734" xr:uid="{00000000-0005-0000-0000-000094290000}"/>
    <cellStyle name="_20061103Holux_WorldBankCMSScope_SLM -CMS &amp; Storefront PM Workbook_FP_SAP_MLP v2" xfId="10735" xr:uid="{00000000-0005-0000-0000-000095290000}"/>
    <cellStyle name="_20061103Holux_WorldBankCMSScope_SLM -CMS &amp; Storefront PM Workbook_FP_SAP_MLP v2 2" xfId="10736" xr:uid="{00000000-0005-0000-0000-000096290000}"/>
    <cellStyle name="_20061103Holux_WorldBankCMSScope_SLM -CMS &amp; Storefront PM Workbook_FP_SAP_MLP v2 2_Steps of Doneness" xfId="10737" xr:uid="{00000000-0005-0000-0000-000097290000}"/>
    <cellStyle name="_20061103Holux_WorldBankCMSScope_SLM -CMS &amp; Storefront PM Workbook_FP_SAP_MLP v2 3" xfId="10738" xr:uid="{00000000-0005-0000-0000-000098290000}"/>
    <cellStyle name="_20061103Holux_WorldBankCMSScope_SLM -CMS &amp; Storefront PM Workbook_FP_SAP_MLP v2_Steps of Doneness" xfId="10739" xr:uid="{00000000-0005-0000-0000-000099290000}"/>
    <cellStyle name="_20061103Holux_WorldBankCMSScope_SLM -CMS &amp; Storefront PM Workbook_KeyDecisions" xfId="10740" xr:uid="{00000000-0005-0000-0000-00009A290000}"/>
    <cellStyle name="_20061103Holux_WorldBankCMSScope_SLM -CMS &amp; Storefront PM Workbook_KeyDecisions 2" xfId="10741" xr:uid="{00000000-0005-0000-0000-00009B290000}"/>
    <cellStyle name="_20061103Holux_WorldBankCMSScope_SLM -CMS &amp; Storefront PM Workbook_KeyDecisions 2_Steps of Doneness" xfId="10742" xr:uid="{00000000-0005-0000-0000-00009C290000}"/>
    <cellStyle name="_20061103Holux_WorldBankCMSScope_SLM -CMS &amp; Storefront PM Workbook_KeyDecisions 3" xfId="10743" xr:uid="{00000000-0005-0000-0000-00009D290000}"/>
    <cellStyle name="_20061103Holux_WorldBankCMSScope_SLM -CMS &amp; Storefront PM Workbook_KeyDecisions_Steps of Doneness" xfId="10744" xr:uid="{00000000-0005-0000-0000-00009E290000}"/>
    <cellStyle name="_20061103Holux_WorldBankCMSScope_SLM -CMS &amp; Storefront PM Workbook_Sophia_Imp_ProjectWorkBook_02_18_2011" xfId="10745" xr:uid="{00000000-0005-0000-0000-00009F290000}"/>
    <cellStyle name="_20061103Holux_WorldBankCMSScope_SLM -CMS &amp; Storefront PM Workbook_Sophia_Imp_ProjectWorkBook_02_18_2011 2" xfId="10746" xr:uid="{00000000-0005-0000-0000-0000A0290000}"/>
    <cellStyle name="_20061103Holux_WorldBankCMSScope_SLM -CMS &amp; Storefront PM Workbook_Sophia_Imp_ProjectWorkBook_02_18_2011 2_Steps of Doneness" xfId="10747" xr:uid="{00000000-0005-0000-0000-0000A1290000}"/>
    <cellStyle name="_20061103Holux_WorldBankCMSScope_SLM -CMS &amp; Storefront PM Workbook_Sophia_Imp_ProjectWorkBook_02_18_2011 3" xfId="10748" xr:uid="{00000000-0005-0000-0000-0000A2290000}"/>
    <cellStyle name="_20061103Holux_WorldBankCMSScope_SLM -CMS &amp; Storefront PM Workbook_Sophia_Imp_ProjectWorkBook_02_18_2011_Steps of Doneness" xfId="10749" xr:uid="{00000000-0005-0000-0000-0000A3290000}"/>
    <cellStyle name="_20061103Holux_WorldBankCMSScope_SLM -CMS &amp; Storefront PM Workbook_Steps of Doneness" xfId="10750" xr:uid="{00000000-0005-0000-0000-0000A4290000}"/>
    <cellStyle name="_20061103Holux_WorldBankCMSScope_SLM -CMS &amp; Storefront PM Workbook_t" xfId="10751" xr:uid="{00000000-0005-0000-0000-0000A5290000}"/>
    <cellStyle name="_20061103Holux_WorldBankCMSScope_SLM -CMS &amp; Storefront PM Workbook_t 2" xfId="10752" xr:uid="{00000000-0005-0000-0000-0000A6290000}"/>
    <cellStyle name="_20061103Holux_WorldBankCMSScope_SLM -CMS &amp; Storefront PM Workbook_t 2_Steps of Doneness" xfId="10753" xr:uid="{00000000-0005-0000-0000-0000A7290000}"/>
    <cellStyle name="_20061103Holux_WorldBankCMSScope_SLM -CMS &amp; Storefront PM Workbook_t 3" xfId="10754" xr:uid="{00000000-0005-0000-0000-0000A8290000}"/>
    <cellStyle name="_20061103Holux_WorldBankCMSScope_SLM -CMS &amp; Storefront PM Workbook_t_Steps of Doneness" xfId="10755" xr:uid="{00000000-0005-0000-0000-0000A9290000}"/>
    <cellStyle name="_20061103Holux_WorldBankCMSScope_slm_llp_0520" xfId="10756" xr:uid="{00000000-0005-0000-0000-0000AA290000}"/>
    <cellStyle name="_20061103Holux_WorldBankCMSScope_slm_llp_0520 2" xfId="10757" xr:uid="{00000000-0005-0000-0000-0000AB290000}"/>
    <cellStyle name="_20061103Holux_WorldBankCMSScope_slm_llp_0520 2 2" xfId="10758" xr:uid="{00000000-0005-0000-0000-0000AC290000}"/>
    <cellStyle name="_20061103Holux_WorldBankCMSScope_slm_llp_0520 2 2_Steps of Doneness" xfId="10759" xr:uid="{00000000-0005-0000-0000-0000AD290000}"/>
    <cellStyle name="_20061103Holux_WorldBankCMSScope_slm_llp_0520 2 3" xfId="10760" xr:uid="{00000000-0005-0000-0000-0000AE290000}"/>
    <cellStyle name="_20061103Holux_WorldBankCMSScope_slm_llp_0520 2_Steps of Doneness" xfId="10761" xr:uid="{00000000-0005-0000-0000-0000AF290000}"/>
    <cellStyle name="_20061103Holux_WorldBankCMSScope_slm_llp_0520 3" xfId="10762" xr:uid="{00000000-0005-0000-0000-0000B0290000}"/>
    <cellStyle name="_20061103Holux_WorldBankCMSScope_slm_llp_0520 3_Steps of Doneness" xfId="10763" xr:uid="{00000000-0005-0000-0000-0000B1290000}"/>
    <cellStyle name="_20061103Holux_WorldBankCMSScope_slm_llp_0520 4" xfId="10764" xr:uid="{00000000-0005-0000-0000-0000B2290000}"/>
    <cellStyle name="_20061103Holux_WorldBankCMSScope_slm_llp_0520_Commissioning System Implementation_Project Workbook_06_10_2011" xfId="10765" xr:uid="{00000000-0005-0000-0000-0000B3290000}"/>
    <cellStyle name="_20061103Holux_WorldBankCMSScope_slm_llp_0520_Commissioning System Implementation_Project Workbook_06_10_2011 2" xfId="10766" xr:uid="{00000000-0005-0000-0000-0000B4290000}"/>
    <cellStyle name="_20061103Holux_WorldBankCMSScope_slm_llp_0520_Commissioning System Implementation_Project Workbook_06_10_2011 2_Steps of Doneness" xfId="10767" xr:uid="{00000000-0005-0000-0000-0000B5290000}"/>
    <cellStyle name="_20061103Holux_WorldBankCMSScope_slm_llp_0520_Commissioning System Implementation_Project Workbook_06_10_2011 3" xfId="10768" xr:uid="{00000000-0005-0000-0000-0000B6290000}"/>
    <cellStyle name="_20061103Holux_WorldBankCMSScope_slm_llp_0520_Commissioning System Implementation_Project Workbook_06_10_2011_Steps of Doneness" xfId="10769" xr:uid="{00000000-0005-0000-0000-0000B7290000}"/>
    <cellStyle name="_20061103Holux_WorldBankCMSScope_slm_llp_0520_FairPoint_CampReport" xfId="10770" xr:uid="{00000000-0005-0000-0000-0000B8290000}"/>
    <cellStyle name="_20061103Holux_WorldBankCMSScope_slm_llp_0520_FairPoint_CampReport 2" xfId="10771" xr:uid="{00000000-0005-0000-0000-0000B9290000}"/>
    <cellStyle name="_20061103Holux_WorldBankCMSScope_slm_llp_0520_FairPoint_CampReport 2_Steps of Doneness" xfId="10772" xr:uid="{00000000-0005-0000-0000-0000BA290000}"/>
    <cellStyle name="_20061103Holux_WorldBankCMSScope_slm_llp_0520_FairPoint_CampReport 3" xfId="10773" xr:uid="{00000000-0005-0000-0000-0000BB290000}"/>
    <cellStyle name="_20061103Holux_WorldBankCMSScope_slm_llp_0520_FairPoint_CampReport_Steps of Doneness" xfId="10774" xr:uid="{00000000-0005-0000-0000-0000BC290000}"/>
    <cellStyle name="_20061103Holux_WorldBankCMSScope_slm_llp_0520_FairPoint_FP comTechOps_ProgramWorkbook" xfId="10775" xr:uid="{00000000-0005-0000-0000-0000BD290000}"/>
    <cellStyle name="_20061103Holux_WorldBankCMSScope_slm_llp_0520_FairPoint_FP comTechOps_ProgramWorkbook 2" xfId="10776" xr:uid="{00000000-0005-0000-0000-0000BE290000}"/>
    <cellStyle name="_20061103Holux_WorldBankCMSScope_slm_llp_0520_FairPoint_FP comTechOps_ProgramWorkbook 2_Steps of Doneness" xfId="10777" xr:uid="{00000000-0005-0000-0000-0000BF290000}"/>
    <cellStyle name="_20061103Holux_WorldBankCMSScope_slm_llp_0520_FairPoint_FP comTechOps_ProgramWorkbook 3" xfId="10778" xr:uid="{00000000-0005-0000-0000-0000C0290000}"/>
    <cellStyle name="_20061103Holux_WorldBankCMSScope_slm_llp_0520_FairPoint_FP comTechOps_ProgramWorkbook_sachin" xfId="10779" xr:uid="{00000000-0005-0000-0000-0000C1290000}"/>
    <cellStyle name="_20061103Holux_WorldBankCMSScope_slm_llp_0520_FairPoint_FP comTechOps_ProgramWorkbook_sachin 2" xfId="10780" xr:uid="{00000000-0005-0000-0000-0000C2290000}"/>
    <cellStyle name="_20061103Holux_WorldBankCMSScope_slm_llp_0520_FairPoint_FP comTechOps_ProgramWorkbook_sachin 2_Steps of Doneness" xfId="10781" xr:uid="{00000000-0005-0000-0000-0000C3290000}"/>
    <cellStyle name="_20061103Holux_WorldBankCMSScope_slm_llp_0520_FairPoint_FP comTechOps_ProgramWorkbook_sachin 3" xfId="10782" xr:uid="{00000000-0005-0000-0000-0000C4290000}"/>
    <cellStyle name="_20061103Holux_WorldBankCMSScope_slm_llp_0520_FairPoint_FP comTechOps_ProgramWorkbook_sachin_Steps of Doneness" xfId="10783" xr:uid="{00000000-0005-0000-0000-0000C5290000}"/>
    <cellStyle name="_20061103Holux_WorldBankCMSScope_slm_llp_0520_FairPoint_FP comTechOps_ProgramWorkbook_sachin_v1" xfId="10784" xr:uid="{00000000-0005-0000-0000-0000C6290000}"/>
    <cellStyle name="_20061103Holux_WorldBankCMSScope_slm_llp_0520_FairPoint_FP comTechOps_ProgramWorkbook_sachin_v1 2" xfId="10785" xr:uid="{00000000-0005-0000-0000-0000C7290000}"/>
    <cellStyle name="_20061103Holux_WorldBankCMSScope_slm_llp_0520_FairPoint_FP comTechOps_ProgramWorkbook_sachin_v1 2_Steps of Doneness" xfId="10786" xr:uid="{00000000-0005-0000-0000-0000C8290000}"/>
    <cellStyle name="_20061103Holux_WorldBankCMSScope_slm_llp_0520_FairPoint_FP comTechOps_ProgramWorkbook_sachin_v1 3" xfId="10787" xr:uid="{00000000-0005-0000-0000-0000C9290000}"/>
    <cellStyle name="_20061103Holux_WorldBankCMSScope_slm_llp_0520_FairPoint_FP comTechOps_ProgramWorkbook_sachin_v1_Steps of Doneness" xfId="10788" xr:uid="{00000000-0005-0000-0000-0000CA290000}"/>
    <cellStyle name="_20061103Holux_WorldBankCMSScope_slm_llp_0520_FairPoint_FP comTechOps_ProgramWorkbook_Steps of Doneness" xfId="10789" xr:uid="{00000000-0005-0000-0000-0000CB290000}"/>
    <cellStyle name="_20061103Holux_WorldBankCMSScope_slm_llp_0520_FP_CAMP&amp;ITReporting_Maintenance_Dashboard" xfId="10790" xr:uid="{00000000-0005-0000-0000-0000CC290000}"/>
    <cellStyle name="_20061103Holux_WorldBankCMSScope_slm_llp_0520_FP_CAMP&amp;ITReporting_Maintenance_Dashboard 2" xfId="10791" xr:uid="{00000000-0005-0000-0000-0000CD290000}"/>
    <cellStyle name="_20061103Holux_WorldBankCMSScope_slm_llp_0520_FP_CAMP&amp;ITReporting_Maintenance_Dashboard 2_Steps of Doneness" xfId="10792" xr:uid="{00000000-0005-0000-0000-0000CE290000}"/>
    <cellStyle name="_20061103Holux_WorldBankCMSScope_slm_llp_0520_FP_CAMP&amp;ITReporting_Maintenance_Dashboard 3" xfId="10793" xr:uid="{00000000-0005-0000-0000-0000CF290000}"/>
    <cellStyle name="_20061103Holux_WorldBankCMSScope_slm_llp_0520_FP_CAMP&amp;ITReporting_Maintenance_Dashboard_Steps of Doneness" xfId="10794" xr:uid="{00000000-0005-0000-0000-0000D0290000}"/>
    <cellStyle name="_20061103Holux_WorldBankCMSScope_slm_llp_0520_FP_CAMPITReporting_Maintenance_Dashboard" xfId="10795" xr:uid="{00000000-0005-0000-0000-0000D1290000}"/>
    <cellStyle name="_20061103Holux_WorldBankCMSScope_slm_llp_0520_FP_CAMPITReporting_Maintenance_Dashboard 2" xfId="10796" xr:uid="{00000000-0005-0000-0000-0000D2290000}"/>
    <cellStyle name="_20061103Holux_WorldBankCMSScope_slm_llp_0520_FP_CAMPITReporting_Maintenance_Dashboard 2_Steps of Doneness" xfId="10797" xr:uid="{00000000-0005-0000-0000-0000D3290000}"/>
    <cellStyle name="_20061103Holux_WorldBankCMSScope_slm_llp_0520_FP_CAMPITReporting_Maintenance_Dashboard 3" xfId="10798" xr:uid="{00000000-0005-0000-0000-0000D4290000}"/>
    <cellStyle name="_20061103Holux_WorldBankCMSScope_slm_llp_0520_FP_CAMPITReporting_Maintenance_Dashboard_Steps of Doneness" xfId="10799" xr:uid="{00000000-0005-0000-0000-0000D5290000}"/>
    <cellStyle name="_20061103Holux_WorldBankCMSScope_slm_llp_0520_FP_Commissions_Req_Dn_ProgramWorkBook_10-Dec-2010" xfId="10800" xr:uid="{00000000-0005-0000-0000-0000D6290000}"/>
    <cellStyle name="_20061103Holux_WorldBankCMSScope_slm_llp_0520_FP_Commissions_Req_Dn_ProgramWorkBook_10-Dec-2010 2" xfId="10801" xr:uid="{00000000-0005-0000-0000-0000D7290000}"/>
    <cellStyle name="_20061103Holux_WorldBankCMSScope_slm_llp_0520_FP_Commissions_Req_Dn_ProgramWorkBook_10-Dec-2010 2_Steps of Doneness" xfId="10802" xr:uid="{00000000-0005-0000-0000-0000D8290000}"/>
    <cellStyle name="_20061103Holux_WorldBankCMSScope_slm_llp_0520_FP_Commissions_Req_Dn_ProgramWorkBook_10-Dec-2010 3" xfId="10803" xr:uid="{00000000-0005-0000-0000-0000D9290000}"/>
    <cellStyle name="_20061103Holux_WorldBankCMSScope_slm_llp_0520_FP_Commissions_Req_Dn_ProgramWorkBook_10-Dec-2010_Steps of Doneness" xfId="10804" xr:uid="{00000000-0005-0000-0000-0000DA290000}"/>
    <cellStyle name="_20061103Holux_WorldBankCMSScope_slm_llp_0520_FP_DW_Impl_ProgramWorkBook_07-Jan-2011" xfId="10805" xr:uid="{00000000-0005-0000-0000-0000DB290000}"/>
    <cellStyle name="_20061103Holux_WorldBankCMSScope_slm_llp_0520_FP_DW_Impl_ProgramWorkBook_07-Jan-2011 2" xfId="10806" xr:uid="{00000000-0005-0000-0000-0000DC290000}"/>
    <cellStyle name="_20061103Holux_WorldBankCMSScope_slm_llp_0520_FP_DW_Impl_ProgramWorkBook_07-Jan-2011 2 2" xfId="10807" xr:uid="{00000000-0005-0000-0000-0000DD290000}"/>
    <cellStyle name="_20061103Holux_WorldBankCMSScope_slm_llp_0520_FP_DW_Impl_ProgramWorkBook_07-Jan-2011 2 2_Steps of Doneness" xfId="10808" xr:uid="{00000000-0005-0000-0000-0000DE290000}"/>
    <cellStyle name="_20061103Holux_WorldBankCMSScope_slm_llp_0520_FP_DW_Impl_ProgramWorkBook_07-Jan-2011 2 3" xfId="10809" xr:uid="{00000000-0005-0000-0000-0000DF290000}"/>
    <cellStyle name="_20061103Holux_WorldBankCMSScope_slm_llp_0520_FP_DW_Impl_ProgramWorkBook_07-Jan-2011 2_Steps of Doneness" xfId="10810" xr:uid="{00000000-0005-0000-0000-0000E0290000}"/>
    <cellStyle name="_20061103Holux_WorldBankCMSScope_slm_llp_0520_FP_DW_Impl_ProgramWorkBook_07-Jan-2011 3" xfId="10811" xr:uid="{00000000-0005-0000-0000-0000E1290000}"/>
    <cellStyle name="_20061103Holux_WorldBankCMSScope_slm_llp_0520_FP_DW_Impl_ProgramWorkBook_07-Jan-2011 3_Steps of Doneness" xfId="10812" xr:uid="{00000000-0005-0000-0000-0000E2290000}"/>
    <cellStyle name="_20061103Holux_WorldBankCMSScope_slm_llp_0520_FP_DW_Impl_ProgramWorkBook_07-Jan-2011 4" xfId="10813" xr:uid="{00000000-0005-0000-0000-0000E3290000}"/>
    <cellStyle name="_20061103Holux_WorldBankCMSScope_slm_llp_0520_FP_DW_Impl_ProgramWorkBook_07-Jan-2011_Steps of Doneness" xfId="10814" xr:uid="{00000000-0005-0000-0000-0000E4290000}"/>
    <cellStyle name="_20061103Holux_WorldBankCMSScope_slm_llp_0520_FP_DW_Impl_ProgramWorkBook_11-Feb-2011" xfId="10815" xr:uid="{00000000-0005-0000-0000-0000E5290000}"/>
    <cellStyle name="_20061103Holux_WorldBankCMSScope_slm_llp_0520_FP_DW_Impl_ProgramWorkBook_11-Feb-2011 2" xfId="10816" xr:uid="{00000000-0005-0000-0000-0000E6290000}"/>
    <cellStyle name="_20061103Holux_WorldBankCMSScope_slm_llp_0520_FP_DW_Impl_ProgramWorkBook_11-Feb-2011 2_Steps of Doneness" xfId="10817" xr:uid="{00000000-0005-0000-0000-0000E7290000}"/>
    <cellStyle name="_20061103Holux_WorldBankCMSScope_slm_llp_0520_FP_DW_Impl_ProgramWorkBook_11-Feb-2011 3" xfId="10818" xr:uid="{00000000-0005-0000-0000-0000E8290000}"/>
    <cellStyle name="_20061103Holux_WorldBankCMSScope_slm_llp_0520_FP_DW_Impl_ProgramWorkBook_11-Feb-2011_Steps of Doneness" xfId="10819" xr:uid="{00000000-0005-0000-0000-0000E9290000}"/>
    <cellStyle name="_20061103Holux_WorldBankCMSScope_slm_llp_0520_FP_DW_Impl_ProgramWorkBook_18-Feb-2011 - Working" xfId="10820" xr:uid="{00000000-0005-0000-0000-0000EA290000}"/>
    <cellStyle name="_20061103Holux_WorldBankCMSScope_slm_llp_0520_FP_DW_Impl_ProgramWorkBook_18-Feb-2011 - Working 2" xfId="10821" xr:uid="{00000000-0005-0000-0000-0000EB290000}"/>
    <cellStyle name="_20061103Holux_WorldBankCMSScope_slm_llp_0520_FP_DW_Impl_ProgramWorkBook_18-Feb-2011 - Working 2_Steps of Doneness" xfId="10822" xr:uid="{00000000-0005-0000-0000-0000EC290000}"/>
    <cellStyle name="_20061103Holux_WorldBankCMSScope_slm_llp_0520_FP_DW_Impl_ProgramWorkBook_18-Feb-2011 - Working 3" xfId="10823" xr:uid="{00000000-0005-0000-0000-0000ED290000}"/>
    <cellStyle name="_20061103Holux_WorldBankCMSScope_slm_llp_0520_FP_DW_Impl_ProgramWorkBook_18-Feb-2011 - Working_Steps of Doneness" xfId="10824" xr:uid="{00000000-0005-0000-0000-0000EE290000}"/>
    <cellStyle name="_20061103Holux_WorldBankCMSScope_slm_llp_0520_FP_EnterprisePortal_ProgramWorkbook" xfId="10825" xr:uid="{00000000-0005-0000-0000-0000EF290000}"/>
    <cellStyle name="_20061103Holux_WorldBankCMSScope_slm_llp_0520_FP_EnterprisePortal_ProgramWorkbook 2" xfId="10826" xr:uid="{00000000-0005-0000-0000-0000F0290000}"/>
    <cellStyle name="_20061103Holux_WorldBankCMSScope_slm_llp_0520_FP_EnterprisePortal_ProgramWorkbook 2_Steps of Doneness" xfId="10827" xr:uid="{00000000-0005-0000-0000-0000F1290000}"/>
    <cellStyle name="_20061103Holux_WorldBankCMSScope_slm_llp_0520_FP_EnterprisePortal_ProgramWorkbook 3" xfId="10828" xr:uid="{00000000-0005-0000-0000-0000F2290000}"/>
    <cellStyle name="_20061103Holux_WorldBankCMSScope_slm_llp_0520_FP_EnterprisePortal_ProgramWorkbook_Steps of Doneness" xfId="10829" xr:uid="{00000000-0005-0000-0000-0000F3290000}"/>
    <cellStyle name="_20061103Holux_WorldBankCMSScope_slm_llp_0520_FP_SAP_MLP v2" xfId="10830" xr:uid="{00000000-0005-0000-0000-0000F4290000}"/>
    <cellStyle name="_20061103Holux_WorldBankCMSScope_slm_llp_0520_FP_SAP_MLP v2 2" xfId="10831" xr:uid="{00000000-0005-0000-0000-0000F5290000}"/>
    <cellStyle name="_20061103Holux_WorldBankCMSScope_slm_llp_0520_FP_SAP_MLP v2 2_Steps of Doneness" xfId="10832" xr:uid="{00000000-0005-0000-0000-0000F6290000}"/>
    <cellStyle name="_20061103Holux_WorldBankCMSScope_slm_llp_0520_FP_SAP_MLP v2 3" xfId="10833" xr:uid="{00000000-0005-0000-0000-0000F7290000}"/>
    <cellStyle name="_20061103Holux_WorldBankCMSScope_slm_llp_0520_FP_SAP_MLP v2_Steps of Doneness" xfId="10834" xr:uid="{00000000-0005-0000-0000-0000F8290000}"/>
    <cellStyle name="_20061103Holux_WorldBankCMSScope_slm_llp_0520_KeyDecisions" xfId="10835" xr:uid="{00000000-0005-0000-0000-0000F9290000}"/>
    <cellStyle name="_20061103Holux_WorldBankCMSScope_slm_llp_0520_KeyDecisions 2" xfId="10836" xr:uid="{00000000-0005-0000-0000-0000FA290000}"/>
    <cellStyle name="_20061103Holux_WorldBankCMSScope_slm_llp_0520_KeyDecisions 2_Steps of Doneness" xfId="10837" xr:uid="{00000000-0005-0000-0000-0000FB290000}"/>
    <cellStyle name="_20061103Holux_WorldBankCMSScope_slm_llp_0520_KeyDecisions 3" xfId="10838" xr:uid="{00000000-0005-0000-0000-0000FC290000}"/>
    <cellStyle name="_20061103Holux_WorldBankCMSScope_slm_llp_0520_KeyDecisions_Steps of Doneness" xfId="10839" xr:uid="{00000000-0005-0000-0000-0000FD290000}"/>
    <cellStyle name="_20061103Holux_WorldBankCMSScope_slm_llp_0520_Sophia_Imp_ProjectWorkBook_02_18_2011" xfId="10840" xr:uid="{00000000-0005-0000-0000-0000FE290000}"/>
    <cellStyle name="_20061103Holux_WorldBankCMSScope_slm_llp_0520_Sophia_Imp_ProjectWorkBook_02_18_2011 2" xfId="10841" xr:uid="{00000000-0005-0000-0000-0000FF290000}"/>
    <cellStyle name="_20061103Holux_WorldBankCMSScope_slm_llp_0520_Sophia_Imp_ProjectWorkBook_02_18_2011 2_Steps of Doneness" xfId="10842" xr:uid="{00000000-0005-0000-0000-0000002A0000}"/>
    <cellStyle name="_20061103Holux_WorldBankCMSScope_slm_llp_0520_Sophia_Imp_ProjectWorkBook_02_18_2011 3" xfId="10843" xr:uid="{00000000-0005-0000-0000-0000012A0000}"/>
    <cellStyle name="_20061103Holux_WorldBankCMSScope_slm_llp_0520_Sophia_Imp_ProjectWorkBook_02_18_2011_Steps of Doneness" xfId="10844" xr:uid="{00000000-0005-0000-0000-0000022A0000}"/>
    <cellStyle name="_20061103Holux_WorldBankCMSScope_slm_llp_0520_Steps of Doneness" xfId="10845" xr:uid="{00000000-0005-0000-0000-0000032A0000}"/>
    <cellStyle name="_20061103Holux_WorldBankCMSScope_slm_llp_0520_t" xfId="10846" xr:uid="{00000000-0005-0000-0000-0000042A0000}"/>
    <cellStyle name="_20061103Holux_WorldBankCMSScope_slm_llp_0520_t 2" xfId="10847" xr:uid="{00000000-0005-0000-0000-0000052A0000}"/>
    <cellStyle name="_20061103Holux_WorldBankCMSScope_slm_llp_0520_t 2_Steps of Doneness" xfId="10848" xr:uid="{00000000-0005-0000-0000-0000062A0000}"/>
    <cellStyle name="_20061103Holux_WorldBankCMSScope_slm_llp_0520_t 3" xfId="10849" xr:uid="{00000000-0005-0000-0000-0000072A0000}"/>
    <cellStyle name="_20061103Holux_WorldBankCMSScope_slm_llp_0520_t_Steps of Doneness" xfId="10850" xr:uid="{00000000-0005-0000-0000-0000082A0000}"/>
    <cellStyle name="_20061103Holux_WorldBankCMSScope_SLM_PM_Workbook_053110" xfId="10851" xr:uid="{00000000-0005-0000-0000-0000092A0000}"/>
    <cellStyle name="_20061103Holux_WorldBankCMSScope_SLM_PM_Workbook_053110 2" xfId="10852" xr:uid="{00000000-0005-0000-0000-00000A2A0000}"/>
    <cellStyle name="_20061103Holux_WorldBankCMSScope_SLM_PM_Workbook_053110 2 2" xfId="10853" xr:uid="{00000000-0005-0000-0000-00000B2A0000}"/>
    <cellStyle name="_20061103Holux_WorldBankCMSScope_SLM_PM_Workbook_053110 2 2_Steps of Doneness" xfId="10854" xr:uid="{00000000-0005-0000-0000-00000C2A0000}"/>
    <cellStyle name="_20061103Holux_WorldBankCMSScope_SLM_PM_Workbook_053110 2 3" xfId="10855" xr:uid="{00000000-0005-0000-0000-00000D2A0000}"/>
    <cellStyle name="_20061103Holux_WorldBankCMSScope_SLM_PM_Workbook_053110 2_Steps of Doneness" xfId="10856" xr:uid="{00000000-0005-0000-0000-00000E2A0000}"/>
    <cellStyle name="_20061103Holux_WorldBankCMSScope_SLM_PM_Workbook_053110 3" xfId="10857" xr:uid="{00000000-0005-0000-0000-00000F2A0000}"/>
    <cellStyle name="_20061103Holux_WorldBankCMSScope_SLM_PM_Workbook_053110 3_Steps of Doneness" xfId="10858" xr:uid="{00000000-0005-0000-0000-0000102A0000}"/>
    <cellStyle name="_20061103Holux_WorldBankCMSScope_SLM_PM_Workbook_053110 4" xfId="10859" xr:uid="{00000000-0005-0000-0000-0000112A0000}"/>
    <cellStyle name="_20061103Holux_WorldBankCMSScope_SLM_PM_Workbook_053110_Commissioning System Implementation_Project Workbook_06_10_2011" xfId="10860" xr:uid="{00000000-0005-0000-0000-0000122A0000}"/>
    <cellStyle name="_20061103Holux_WorldBankCMSScope_SLM_PM_Workbook_053110_Commissioning System Implementation_Project Workbook_06_10_2011 2" xfId="10861" xr:uid="{00000000-0005-0000-0000-0000132A0000}"/>
    <cellStyle name="_20061103Holux_WorldBankCMSScope_SLM_PM_Workbook_053110_Commissioning System Implementation_Project Workbook_06_10_2011 2_Steps of Doneness" xfId="10862" xr:uid="{00000000-0005-0000-0000-0000142A0000}"/>
    <cellStyle name="_20061103Holux_WorldBankCMSScope_SLM_PM_Workbook_053110_Commissioning System Implementation_Project Workbook_06_10_2011 3" xfId="10863" xr:uid="{00000000-0005-0000-0000-0000152A0000}"/>
    <cellStyle name="_20061103Holux_WorldBankCMSScope_SLM_PM_Workbook_053110_Commissioning System Implementation_Project Workbook_06_10_2011_Steps of Doneness" xfId="10864" xr:uid="{00000000-0005-0000-0000-0000162A0000}"/>
    <cellStyle name="_20061103Holux_WorldBankCMSScope_SLM_PM_Workbook_053110_FairPoint_CampReport" xfId="10865" xr:uid="{00000000-0005-0000-0000-0000172A0000}"/>
    <cellStyle name="_20061103Holux_WorldBankCMSScope_SLM_PM_Workbook_053110_FairPoint_CampReport 2" xfId="10866" xr:uid="{00000000-0005-0000-0000-0000182A0000}"/>
    <cellStyle name="_20061103Holux_WorldBankCMSScope_SLM_PM_Workbook_053110_FairPoint_CampReport 2_Steps of Doneness" xfId="10867" xr:uid="{00000000-0005-0000-0000-0000192A0000}"/>
    <cellStyle name="_20061103Holux_WorldBankCMSScope_SLM_PM_Workbook_053110_FairPoint_CampReport 3" xfId="10868" xr:uid="{00000000-0005-0000-0000-00001A2A0000}"/>
    <cellStyle name="_20061103Holux_WorldBankCMSScope_SLM_PM_Workbook_053110_FairPoint_CampReport_Steps of Doneness" xfId="10869" xr:uid="{00000000-0005-0000-0000-00001B2A0000}"/>
    <cellStyle name="_20061103Holux_WorldBankCMSScope_SLM_PM_Workbook_053110_FairPoint_FP comTechOps_ProgramWorkbook" xfId="10870" xr:uid="{00000000-0005-0000-0000-00001C2A0000}"/>
    <cellStyle name="_20061103Holux_WorldBankCMSScope_SLM_PM_Workbook_053110_FairPoint_FP comTechOps_ProgramWorkbook 2" xfId="10871" xr:uid="{00000000-0005-0000-0000-00001D2A0000}"/>
    <cellStyle name="_20061103Holux_WorldBankCMSScope_SLM_PM_Workbook_053110_FairPoint_FP comTechOps_ProgramWorkbook 2_Steps of Doneness" xfId="10872" xr:uid="{00000000-0005-0000-0000-00001E2A0000}"/>
    <cellStyle name="_20061103Holux_WorldBankCMSScope_SLM_PM_Workbook_053110_FairPoint_FP comTechOps_ProgramWorkbook 3" xfId="10873" xr:uid="{00000000-0005-0000-0000-00001F2A0000}"/>
    <cellStyle name="_20061103Holux_WorldBankCMSScope_SLM_PM_Workbook_053110_FairPoint_FP comTechOps_ProgramWorkbook_sachin" xfId="10874" xr:uid="{00000000-0005-0000-0000-0000202A0000}"/>
    <cellStyle name="_20061103Holux_WorldBankCMSScope_SLM_PM_Workbook_053110_FairPoint_FP comTechOps_ProgramWorkbook_sachin 2" xfId="10875" xr:uid="{00000000-0005-0000-0000-0000212A0000}"/>
    <cellStyle name="_20061103Holux_WorldBankCMSScope_SLM_PM_Workbook_053110_FairPoint_FP comTechOps_ProgramWorkbook_sachin 2_Steps of Doneness" xfId="10876" xr:uid="{00000000-0005-0000-0000-0000222A0000}"/>
    <cellStyle name="_20061103Holux_WorldBankCMSScope_SLM_PM_Workbook_053110_FairPoint_FP comTechOps_ProgramWorkbook_sachin 3" xfId="10877" xr:uid="{00000000-0005-0000-0000-0000232A0000}"/>
    <cellStyle name="_20061103Holux_WorldBankCMSScope_SLM_PM_Workbook_053110_FairPoint_FP comTechOps_ProgramWorkbook_sachin_Steps of Doneness" xfId="10878" xr:uid="{00000000-0005-0000-0000-0000242A0000}"/>
    <cellStyle name="_20061103Holux_WorldBankCMSScope_SLM_PM_Workbook_053110_FairPoint_FP comTechOps_ProgramWorkbook_sachin_v1" xfId="10879" xr:uid="{00000000-0005-0000-0000-0000252A0000}"/>
    <cellStyle name="_20061103Holux_WorldBankCMSScope_SLM_PM_Workbook_053110_FairPoint_FP comTechOps_ProgramWorkbook_sachin_v1 2" xfId="10880" xr:uid="{00000000-0005-0000-0000-0000262A0000}"/>
    <cellStyle name="_20061103Holux_WorldBankCMSScope_SLM_PM_Workbook_053110_FairPoint_FP comTechOps_ProgramWorkbook_sachin_v1 2_Steps of Doneness" xfId="10881" xr:uid="{00000000-0005-0000-0000-0000272A0000}"/>
    <cellStyle name="_20061103Holux_WorldBankCMSScope_SLM_PM_Workbook_053110_FairPoint_FP comTechOps_ProgramWorkbook_sachin_v1 3" xfId="10882" xr:uid="{00000000-0005-0000-0000-0000282A0000}"/>
    <cellStyle name="_20061103Holux_WorldBankCMSScope_SLM_PM_Workbook_053110_FairPoint_FP comTechOps_ProgramWorkbook_sachin_v1_Steps of Doneness" xfId="10883" xr:uid="{00000000-0005-0000-0000-0000292A0000}"/>
    <cellStyle name="_20061103Holux_WorldBankCMSScope_SLM_PM_Workbook_053110_FairPoint_FP comTechOps_ProgramWorkbook_Steps of Doneness" xfId="10884" xr:uid="{00000000-0005-0000-0000-00002A2A0000}"/>
    <cellStyle name="_20061103Holux_WorldBankCMSScope_SLM_PM_Workbook_053110_FP_CAMP&amp;ITReporting_Maintenance_Dashboard" xfId="10885" xr:uid="{00000000-0005-0000-0000-00002B2A0000}"/>
    <cellStyle name="_20061103Holux_WorldBankCMSScope_SLM_PM_Workbook_053110_FP_CAMP&amp;ITReporting_Maintenance_Dashboard 2" xfId="10886" xr:uid="{00000000-0005-0000-0000-00002C2A0000}"/>
    <cellStyle name="_20061103Holux_WorldBankCMSScope_SLM_PM_Workbook_053110_FP_CAMP&amp;ITReporting_Maintenance_Dashboard 2_Steps of Doneness" xfId="10887" xr:uid="{00000000-0005-0000-0000-00002D2A0000}"/>
    <cellStyle name="_20061103Holux_WorldBankCMSScope_SLM_PM_Workbook_053110_FP_CAMP&amp;ITReporting_Maintenance_Dashboard 3" xfId="10888" xr:uid="{00000000-0005-0000-0000-00002E2A0000}"/>
    <cellStyle name="_20061103Holux_WorldBankCMSScope_SLM_PM_Workbook_053110_FP_CAMP&amp;ITReporting_Maintenance_Dashboard_Steps of Doneness" xfId="10889" xr:uid="{00000000-0005-0000-0000-00002F2A0000}"/>
    <cellStyle name="_20061103Holux_WorldBankCMSScope_SLM_PM_Workbook_053110_FP_CAMPITReporting_Maintenance_Dashboard" xfId="10890" xr:uid="{00000000-0005-0000-0000-0000302A0000}"/>
    <cellStyle name="_20061103Holux_WorldBankCMSScope_SLM_PM_Workbook_053110_FP_CAMPITReporting_Maintenance_Dashboard 2" xfId="10891" xr:uid="{00000000-0005-0000-0000-0000312A0000}"/>
    <cellStyle name="_20061103Holux_WorldBankCMSScope_SLM_PM_Workbook_053110_FP_CAMPITReporting_Maintenance_Dashboard 2_Steps of Doneness" xfId="10892" xr:uid="{00000000-0005-0000-0000-0000322A0000}"/>
    <cellStyle name="_20061103Holux_WorldBankCMSScope_SLM_PM_Workbook_053110_FP_CAMPITReporting_Maintenance_Dashboard 3" xfId="10893" xr:uid="{00000000-0005-0000-0000-0000332A0000}"/>
    <cellStyle name="_20061103Holux_WorldBankCMSScope_SLM_PM_Workbook_053110_FP_CAMPITReporting_Maintenance_Dashboard_Steps of Doneness" xfId="10894" xr:uid="{00000000-0005-0000-0000-0000342A0000}"/>
    <cellStyle name="_20061103Holux_WorldBankCMSScope_SLM_PM_Workbook_053110_FP_Commissions_Req_Dn_ProgramWorkBook_10-Dec-2010" xfId="10895" xr:uid="{00000000-0005-0000-0000-0000352A0000}"/>
    <cellStyle name="_20061103Holux_WorldBankCMSScope_SLM_PM_Workbook_053110_FP_Commissions_Req_Dn_ProgramWorkBook_10-Dec-2010 2" xfId="10896" xr:uid="{00000000-0005-0000-0000-0000362A0000}"/>
    <cellStyle name="_20061103Holux_WorldBankCMSScope_SLM_PM_Workbook_053110_FP_Commissions_Req_Dn_ProgramWorkBook_10-Dec-2010 2_Steps of Doneness" xfId="10897" xr:uid="{00000000-0005-0000-0000-0000372A0000}"/>
    <cellStyle name="_20061103Holux_WorldBankCMSScope_SLM_PM_Workbook_053110_FP_Commissions_Req_Dn_ProgramWorkBook_10-Dec-2010 3" xfId="10898" xr:uid="{00000000-0005-0000-0000-0000382A0000}"/>
    <cellStyle name="_20061103Holux_WorldBankCMSScope_SLM_PM_Workbook_053110_FP_Commissions_Req_Dn_ProgramWorkBook_10-Dec-2010_Steps of Doneness" xfId="10899" xr:uid="{00000000-0005-0000-0000-0000392A0000}"/>
    <cellStyle name="_20061103Holux_WorldBankCMSScope_SLM_PM_Workbook_053110_FP_DW_Impl_ProgramWorkBook_07-Jan-2011" xfId="10900" xr:uid="{00000000-0005-0000-0000-00003A2A0000}"/>
    <cellStyle name="_20061103Holux_WorldBankCMSScope_SLM_PM_Workbook_053110_FP_DW_Impl_ProgramWorkBook_07-Jan-2011 2" xfId="10901" xr:uid="{00000000-0005-0000-0000-00003B2A0000}"/>
    <cellStyle name="_20061103Holux_WorldBankCMSScope_SLM_PM_Workbook_053110_FP_DW_Impl_ProgramWorkBook_07-Jan-2011 2 2" xfId="10902" xr:uid="{00000000-0005-0000-0000-00003C2A0000}"/>
    <cellStyle name="_20061103Holux_WorldBankCMSScope_SLM_PM_Workbook_053110_FP_DW_Impl_ProgramWorkBook_07-Jan-2011 2 2_Steps of Doneness" xfId="10903" xr:uid="{00000000-0005-0000-0000-00003D2A0000}"/>
    <cellStyle name="_20061103Holux_WorldBankCMSScope_SLM_PM_Workbook_053110_FP_DW_Impl_ProgramWorkBook_07-Jan-2011 2 3" xfId="10904" xr:uid="{00000000-0005-0000-0000-00003E2A0000}"/>
    <cellStyle name="_20061103Holux_WorldBankCMSScope_SLM_PM_Workbook_053110_FP_DW_Impl_ProgramWorkBook_07-Jan-2011 2_Steps of Doneness" xfId="10905" xr:uid="{00000000-0005-0000-0000-00003F2A0000}"/>
    <cellStyle name="_20061103Holux_WorldBankCMSScope_SLM_PM_Workbook_053110_FP_DW_Impl_ProgramWorkBook_07-Jan-2011 3" xfId="10906" xr:uid="{00000000-0005-0000-0000-0000402A0000}"/>
    <cellStyle name="_20061103Holux_WorldBankCMSScope_SLM_PM_Workbook_053110_FP_DW_Impl_ProgramWorkBook_07-Jan-2011 3_Steps of Doneness" xfId="10907" xr:uid="{00000000-0005-0000-0000-0000412A0000}"/>
    <cellStyle name="_20061103Holux_WorldBankCMSScope_SLM_PM_Workbook_053110_FP_DW_Impl_ProgramWorkBook_07-Jan-2011 4" xfId="10908" xr:uid="{00000000-0005-0000-0000-0000422A0000}"/>
    <cellStyle name="_20061103Holux_WorldBankCMSScope_SLM_PM_Workbook_053110_FP_DW_Impl_ProgramWorkBook_07-Jan-2011_Steps of Doneness" xfId="10909" xr:uid="{00000000-0005-0000-0000-0000432A0000}"/>
    <cellStyle name="_20061103Holux_WorldBankCMSScope_SLM_PM_Workbook_053110_FP_DW_Impl_ProgramWorkBook_11-Feb-2011" xfId="10910" xr:uid="{00000000-0005-0000-0000-0000442A0000}"/>
    <cellStyle name="_20061103Holux_WorldBankCMSScope_SLM_PM_Workbook_053110_FP_DW_Impl_ProgramWorkBook_11-Feb-2011 2" xfId="10911" xr:uid="{00000000-0005-0000-0000-0000452A0000}"/>
    <cellStyle name="_20061103Holux_WorldBankCMSScope_SLM_PM_Workbook_053110_FP_DW_Impl_ProgramWorkBook_11-Feb-2011 2_Steps of Doneness" xfId="10912" xr:uid="{00000000-0005-0000-0000-0000462A0000}"/>
    <cellStyle name="_20061103Holux_WorldBankCMSScope_SLM_PM_Workbook_053110_FP_DW_Impl_ProgramWorkBook_11-Feb-2011 3" xfId="10913" xr:uid="{00000000-0005-0000-0000-0000472A0000}"/>
    <cellStyle name="_20061103Holux_WorldBankCMSScope_SLM_PM_Workbook_053110_FP_DW_Impl_ProgramWorkBook_11-Feb-2011_Steps of Doneness" xfId="10914" xr:uid="{00000000-0005-0000-0000-0000482A0000}"/>
    <cellStyle name="_20061103Holux_WorldBankCMSScope_SLM_PM_Workbook_053110_FP_DW_Impl_ProgramWorkBook_18-Feb-2011 - Working" xfId="10915" xr:uid="{00000000-0005-0000-0000-0000492A0000}"/>
    <cellStyle name="_20061103Holux_WorldBankCMSScope_SLM_PM_Workbook_053110_FP_DW_Impl_ProgramWorkBook_18-Feb-2011 - Working 2" xfId="10916" xr:uid="{00000000-0005-0000-0000-00004A2A0000}"/>
    <cellStyle name="_20061103Holux_WorldBankCMSScope_SLM_PM_Workbook_053110_FP_DW_Impl_ProgramWorkBook_18-Feb-2011 - Working 2_Steps of Doneness" xfId="10917" xr:uid="{00000000-0005-0000-0000-00004B2A0000}"/>
    <cellStyle name="_20061103Holux_WorldBankCMSScope_SLM_PM_Workbook_053110_FP_DW_Impl_ProgramWorkBook_18-Feb-2011 - Working 3" xfId="10918" xr:uid="{00000000-0005-0000-0000-00004C2A0000}"/>
    <cellStyle name="_20061103Holux_WorldBankCMSScope_SLM_PM_Workbook_053110_FP_DW_Impl_ProgramWorkBook_18-Feb-2011 - Working_Steps of Doneness" xfId="10919" xr:uid="{00000000-0005-0000-0000-00004D2A0000}"/>
    <cellStyle name="_20061103Holux_WorldBankCMSScope_SLM_PM_Workbook_053110_FP_EnterprisePortal_ProgramWorkbook" xfId="10920" xr:uid="{00000000-0005-0000-0000-00004E2A0000}"/>
    <cellStyle name="_20061103Holux_WorldBankCMSScope_SLM_PM_Workbook_053110_FP_EnterprisePortal_ProgramWorkbook 2" xfId="10921" xr:uid="{00000000-0005-0000-0000-00004F2A0000}"/>
    <cellStyle name="_20061103Holux_WorldBankCMSScope_SLM_PM_Workbook_053110_FP_EnterprisePortal_ProgramWorkbook 2_Steps of Doneness" xfId="10922" xr:uid="{00000000-0005-0000-0000-0000502A0000}"/>
    <cellStyle name="_20061103Holux_WorldBankCMSScope_SLM_PM_Workbook_053110_FP_EnterprisePortal_ProgramWorkbook 3" xfId="10923" xr:uid="{00000000-0005-0000-0000-0000512A0000}"/>
    <cellStyle name="_20061103Holux_WorldBankCMSScope_SLM_PM_Workbook_053110_FP_EnterprisePortal_ProgramWorkbook_Steps of Doneness" xfId="10924" xr:uid="{00000000-0005-0000-0000-0000522A0000}"/>
    <cellStyle name="_20061103Holux_WorldBankCMSScope_SLM_PM_Workbook_053110_FP_SAP_MLP v2" xfId="10925" xr:uid="{00000000-0005-0000-0000-0000532A0000}"/>
    <cellStyle name="_20061103Holux_WorldBankCMSScope_SLM_PM_Workbook_053110_FP_SAP_MLP v2 2" xfId="10926" xr:uid="{00000000-0005-0000-0000-0000542A0000}"/>
    <cellStyle name="_20061103Holux_WorldBankCMSScope_SLM_PM_Workbook_053110_FP_SAP_MLP v2 2_Steps of Doneness" xfId="10927" xr:uid="{00000000-0005-0000-0000-0000552A0000}"/>
    <cellStyle name="_20061103Holux_WorldBankCMSScope_SLM_PM_Workbook_053110_FP_SAP_MLP v2 3" xfId="10928" xr:uid="{00000000-0005-0000-0000-0000562A0000}"/>
    <cellStyle name="_20061103Holux_WorldBankCMSScope_SLM_PM_Workbook_053110_FP_SAP_MLP v2_Steps of Doneness" xfId="10929" xr:uid="{00000000-0005-0000-0000-0000572A0000}"/>
    <cellStyle name="_20061103Holux_WorldBankCMSScope_SLM_PM_Workbook_053110_KeyDecisions" xfId="10930" xr:uid="{00000000-0005-0000-0000-0000582A0000}"/>
    <cellStyle name="_20061103Holux_WorldBankCMSScope_SLM_PM_Workbook_053110_KeyDecisions 2" xfId="10931" xr:uid="{00000000-0005-0000-0000-0000592A0000}"/>
    <cellStyle name="_20061103Holux_WorldBankCMSScope_SLM_PM_Workbook_053110_KeyDecisions 2_Steps of Doneness" xfId="10932" xr:uid="{00000000-0005-0000-0000-00005A2A0000}"/>
    <cellStyle name="_20061103Holux_WorldBankCMSScope_SLM_PM_Workbook_053110_KeyDecisions 3" xfId="10933" xr:uid="{00000000-0005-0000-0000-00005B2A0000}"/>
    <cellStyle name="_20061103Holux_WorldBankCMSScope_SLM_PM_Workbook_053110_KeyDecisions_Steps of Doneness" xfId="10934" xr:uid="{00000000-0005-0000-0000-00005C2A0000}"/>
    <cellStyle name="_20061103Holux_WorldBankCMSScope_SLM_PM_Workbook_053110_Sophia_Imp_ProjectWorkBook_02_18_2011" xfId="10935" xr:uid="{00000000-0005-0000-0000-00005D2A0000}"/>
    <cellStyle name="_20061103Holux_WorldBankCMSScope_SLM_PM_Workbook_053110_Sophia_Imp_ProjectWorkBook_02_18_2011 2" xfId="10936" xr:uid="{00000000-0005-0000-0000-00005E2A0000}"/>
    <cellStyle name="_20061103Holux_WorldBankCMSScope_SLM_PM_Workbook_053110_Sophia_Imp_ProjectWorkBook_02_18_2011 2_Steps of Doneness" xfId="10937" xr:uid="{00000000-0005-0000-0000-00005F2A0000}"/>
    <cellStyle name="_20061103Holux_WorldBankCMSScope_SLM_PM_Workbook_053110_Sophia_Imp_ProjectWorkBook_02_18_2011 3" xfId="10938" xr:uid="{00000000-0005-0000-0000-0000602A0000}"/>
    <cellStyle name="_20061103Holux_WorldBankCMSScope_SLM_PM_Workbook_053110_Sophia_Imp_ProjectWorkBook_02_18_2011_Steps of Doneness" xfId="10939" xr:uid="{00000000-0005-0000-0000-0000612A0000}"/>
    <cellStyle name="_20061103Holux_WorldBankCMSScope_SLM_PM_Workbook_053110_Steps of Doneness" xfId="10940" xr:uid="{00000000-0005-0000-0000-0000622A0000}"/>
    <cellStyle name="_20061103Holux_WorldBankCMSScope_SLM_PM_Workbook_053110_t" xfId="10941" xr:uid="{00000000-0005-0000-0000-0000632A0000}"/>
    <cellStyle name="_20061103Holux_WorldBankCMSScope_SLM_PM_Workbook_053110_t 2" xfId="10942" xr:uid="{00000000-0005-0000-0000-0000642A0000}"/>
    <cellStyle name="_20061103Holux_WorldBankCMSScope_SLM_PM_Workbook_053110_t 2_Steps of Doneness" xfId="10943" xr:uid="{00000000-0005-0000-0000-0000652A0000}"/>
    <cellStyle name="_20061103Holux_WorldBankCMSScope_SLM_PM_Workbook_053110_t 3" xfId="10944" xr:uid="{00000000-0005-0000-0000-0000662A0000}"/>
    <cellStyle name="_20061103Holux_WorldBankCMSScope_SLM_PM_Workbook_053110_t_Steps of Doneness" xfId="10945" xr:uid="{00000000-0005-0000-0000-0000672A0000}"/>
    <cellStyle name="_20061103Holux_WorldBankCMSScope_SLM_PMO_Workbook_060910" xfId="10946" xr:uid="{00000000-0005-0000-0000-0000682A0000}"/>
    <cellStyle name="_20061103Holux_WorldBankCMSScope_SLM_PMO_Workbook_060910 2" xfId="10947" xr:uid="{00000000-0005-0000-0000-0000692A0000}"/>
    <cellStyle name="_20061103Holux_WorldBankCMSScope_SLM_PMO_Workbook_060910 2 2" xfId="10948" xr:uid="{00000000-0005-0000-0000-00006A2A0000}"/>
    <cellStyle name="_20061103Holux_WorldBankCMSScope_SLM_PMO_Workbook_060910 2 2_Steps of Doneness" xfId="10949" xr:uid="{00000000-0005-0000-0000-00006B2A0000}"/>
    <cellStyle name="_20061103Holux_WorldBankCMSScope_SLM_PMO_Workbook_060910 2 3" xfId="10950" xr:uid="{00000000-0005-0000-0000-00006C2A0000}"/>
    <cellStyle name="_20061103Holux_WorldBankCMSScope_SLM_PMO_Workbook_060910 2_Steps of Doneness" xfId="10951" xr:uid="{00000000-0005-0000-0000-00006D2A0000}"/>
    <cellStyle name="_20061103Holux_WorldBankCMSScope_SLM_PMO_Workbook_060910 3" xfId="10952" xr:uid="{00000000-0005-0000-0000-00006E2A0000}"/>
    <cellStyle name="_20061103Holux_WorldBankCMSScope_SLM_PMO_Workbook_060910 3_Steps of Doneness" xfId="10953" xr:uid="{00000000-0005-0000-0000-00006F2A0000}"/>
    <cellStyle name="_20061103Holux_WorldBankCMSScope_SLM_PMO_Workbook_060910 4" xfId="10954" xr:uid="{00000000-0005-0000-0000-0000702A0000}"/>
    <cellStyle name="_20061103Holux_WorldBankCMSScope_SLM_PMO_Workbook_060910_Commissioning System Implementation_Project Workbook_06_10_2011" xfId="10955" xr:uid="{00000000-0005-0000-0000-0000712A0000}"/>
    <cellStyle name="_20061103Holux_WorldBankCMSScope_SLM_PMO_Workbook_060910_Commissioning System Implementation_Project Workbook_06_10_2011 2" xfId="10956" xr:uid="{00000000-0005-0000-0000-0000722A0000}"/>
    <cellStyle name="_20061103Holux_WorldBankCMSScope_SLM_PMO_Workbook_060910_Commissioning System Implementation_Project Workbook_06_10_2011 2_Steps of Doneness" xfId="10957" xr:uid="{00000000-0005-0000-0000-0000732A0000}"/>
    <cellStyle name="_20061103Holux_WorldBankCMSScope_SLM_PMO_Workbook_060910_Commissioning System Implementation_Project Workbook_06_10_2011 3" xfId="10958" xr:uid="{00000000-0005-0000-0000-0000742A0000}"/>
    <cellStyle name="_20061103Holux_WorldBankCMSScope_SLM_PMO_Workbook_060910_Commissioning System Implementation_Project Workbook_06_10_2011_Steps of Doneness" xfId="10959" xr:uid="{00000000-0005-0000-0000-0000752A0000}"/>
    <cellStyle name="_20061103Holux_WorldBankCMSScope_SLM_PMO_Workbook_060910_FairPoint_CampReport" xfId="10960" xr:uid="{00000000-0005-0000-0000-0000762A0000}"/>
    <cellStyle name="_20061103Holux_WorldBankCMSScope_SLM_PMO_Workbook_060910_FairPoint_CampReport 2" xfId="10961" xr:uid="{00000000-0005-0000-0000-0000772A0000}"/>
    <cellStyle name="_20061103Holux_WorldBankCMSScope_SLM_PMO_Workbook_060910_FairPoint_CampReport 2_Steps of Doneness" xfId="10962" xr:uid="{00000000-0005-0000-0000-0000782A0000}"/>
    <cellStyle name="_20061103Holux_WorldBankCMSScope_SLM_PMO_Workbook_060910_FairPoint_CampReport 3" xfId="10963" xr:uid="{00000000-0005-0000-0000-0000792A0000}"/>
    <cellStyle name="_20061103Holux_WorldBankCMSScope_SLM_PMO_Workbook_060910_FairPoint_CampReport_Steps of Doneness" xfId="10964" xr:uid="{00000000-0005-0000-0000-00007A2A0000}"/>
    <cellStyle name="_20061103Holux_WorldBankCMSScope_SLM_PMO_Workbook_060910_FairPoint_FP comTechOps_ProgramWorkbook" xfId="10965" xr:uid="{00000000-0005-0000-0000-00007B2A0000}"/>
    <cellStyle name="_20061103Holux_WorldBankCMSScope_SLM_PMO_Workbook_060910_FairPoint_FP comTechOps_ProgramWorkbook 2" xfId="10966" xr:uid="{00000000-0005-0000-0000-00007C2A0000}"/>
    <cellStyle name="_20061103Holux_WorldBankCMSScope_SLM_PMO_Workbook_060910_FairPoint_FP comTechOps_ProgramWorkbook 2_Steps of Doneness" xfId="10967" xr:uid="{00000000-0005-0000-0000-00007D2A0000}"/>
    <cellStyle name="_20061103Holux_WorldBankCMSScope_SLM_PMO_Workbook_060910_FairPoint_FP comTechOps_ProgramWorkbook 3" xfId="10968" xr:uid="{00000000-0005-0000-0000-00007E2A0000}"/>
    <cellStyle name="_20061103Holux_WorldBankCMSScope_SLM_PMO_Workbook_060910_FairPoint_FP comTechOps_ProgramWorkbook_sachin" xfId="10969" xr:uid="{00000000-0005-0000-0000-00007F2A0000}"/>
    <cellStyle name="_20061103Holux_WorldBankCMSScope_SLM_PMO_Workbook_060910_FairPoint_FP comTechOps_ProgramWorkbook_sachin 2" xfId="10970" xr:uid="{00000000-0005-0000-0000-0000802A0000}"/>
    <cellStyle name="_20061103Holux_WorldBankCMSScope_SLM_PMO_Workbook_060910_FairPoint_FP comTechOps_ProgramWorkbook_sachin 2_Steps of Doneness" xfId="10971" xr:uid="{00000000-0005-0000-0000-0000812A0000}"/>
    <cellStyle name="_20061103Holux_WorldBankCMSScope_SLM_PMO_Workbook_060910_FairPoint_FP comTechOps_ProgramWorkbook_sachin 3" xfId="10972" xr:uid="{00000000-0005-0000-0000-0000822A0000}"/>
    <cellStyle name="_20061103Holux_WorldBankCMSScope_SLM_PMO_Workbook_060910_FairPoint_FP comTechOps_ProgramWorkbook_sachin_Steps of Doneness" xfId="10973" xr:uid="{00000000-0005-0000-0000-0000832A0000}"/>
    <cellStyle name="_20061103Holux_WorldBankCMSScope_SLM_PMO_Workbook_060910_FairPoint_FP comTechOps_ProgramWorkbook_sachin_v1" xfId="10974" xr:uid="{00000000-0005-0000-0000-0000842A0000}"/>
    <cellStyle name="_20061103Holux_WorldBankCMSScope_SLM_PMO_Workbook_060910_FairPoint_FP comTechOps_ProgramWorkbook_sachin_v1 2" xfId="10975" xr:uid="{00000000-0005-0000-0000-0000852A0000}"/>
    <cellStyle name="_20061103Holux_WorldBankCMSScope_SLM_PMO_Workbook_060910_FairPoint_FP comTechOps_ProgramWorkbook_sachin_v1 2_Steps of Doneness" xfId="10976" xr:uid="{00000000-0005-0000-0000-0000862A0000}"/>
    <cellStyle name="_20061103Holux_WorldBankCMSScope_SLM_PMO_Workbook_060910_FairPoint_FP comTechOps_ProgramWorkbook_sachin_v1 3" xfId="10977" xr:uid="{00000000-0005-0000-0000-0000872A0000}"/>
    <cellStyle name="_20061103Holux_WorldBankCMSScope_SLM_PMO_Workbook_060910_FairPoint_FP comTechOps_ProgramWorkbook_sachin_v1_Steps of Doneness" xfId="10978" xr:uid="{00000000-0005-0000-0000-0000882A0000}"/>
    <cellStyle name="_20061103Holux_WorldBankCMSScope_SLM_PMO_Workbook_060910_FairPoint_FP comTechOps_ProgramWorkbook_Steps of Doneness" xfId="10979" xr:uid="{00000000-0005-0000-0000-0000892A0000}"/>
    <cellStyle name="_20061103Holux_WorldBankCMSScope_SLM_PMO_Workbook_060910_FP_CAMP&amp;ITReporting_Maintenance_Dashboard" xfId="10980" xr:uid="{00000000-0005-0000-0000-00008A2A0000}"/>
    <cellStyle name="_20061103Holux_WorldBankCMSScope_SLM_PMO_Workbook_060910_FP_CAMP&amp;ITReporting_Maintenance_Dashboard 2" xfId="10981" xr:uid="{00000000-0005-0000-0000-00008B2A0000}"/>
    <cellStyle name="_20061103Holux_WorldBankCMSScope_SLM_PMO_Workbook_060910_FP_CAMP&amp;ITReporting_Maintenance_Dashboard 2_Steps of Doneness" xfId="10982" xr:uid="{00000000-0005-0000-0000-00008C2A0000}"/>
    <cellStyle name="_20061103Holux_WorldBankCMSScope_SLM_PMO_Workbook_060910_FP_CAMP&amp;ITReporting_Maintenance_Dashboard 3" xfId="10983" xr:uid="{00000000-0005-0000-0000-00008D2A0000}"/>
    <cellStyle name="_20061103Holux_WorldBankCMSScope_SLM_PMO_Workbook_060910_FP_CAMP&amp;ITReporting_Maintenance_Dashboard_Steps of Doneness" xfId="10984" xr:uid="{00000000-0005-0000-0000-00008E2A0000}"/>
    <cellStyle name="_20061103Holux_WorldBankCMSScope_SLM_PMO_Workbook_060910_FP_CAMPITReporting_Maintenance_Dashboard" xfId="10985" xr:uid="{00000000-0005-0000-0000-00008F2A0000}"/>
    <cellStyle name="_20061103Holux_WorldBankCMSScope_SLM_PMO_Workbook_060910_FP_CAMPITReporting_Maintenance_Dashboard 2" xfId="10986" xr:uid="{00000000-0005-0000-0000-0000902A0000}"/>
    <cellStyle name="_20061103Holux_WorldBankCMSScope_SLM_PMO_Workbook_060910_FP_CAMPITReporting_Maintenance_Dashboard 2_Steps of Doneness" xfId="10987" xr:uid="{00000000-0005-0000-0000-0000912A0000}"/>
    <cellStyle name="_20061103Holux_WorldBankCMSScope_SLM_PMO_Workbook_060910_FP_CAMPITReporting_Maintenance_Dashboard 3" xfId="10988" xr:uid="{00000000-0005-0000-0000-0000922A0000}"/>
    <cellStyle name="_20061103Holux_WorldBankCMSScope_SLM_PMO_Workbook_060910_FP_CAMPITReporting_Maintenance_Dashboard_Steps of Doneness" xfId="10989" xr:uid="{00000000-0005-0000-0000-0000932A0000}"/>
    <cellStyle name="_20061103Holux_WorldBankCMSScope_SLM_PMO_Workbook_060910_FP_Commissions_Req_Dn_ProgramWorkBook_10-Dec-2010" xfId="10990" xr:uid="{00000000-0005-0000-0000-0000942A0000}"/>
    <cellStyle name="_20061103Holux_WorldBankCMSScope_SLM_PMO_Workbook_060910_FP_Commissions_Req_Dn_ProgramWorkBook_10-Dec-2010 2" xfId="10991" xr:uid="{00000000-0005-0000-0000-0000952A0000}"/>
    <cellStyle name="_20061103Holux_WorldBankCMSScope_SLM_PMO_Workbook_060910_FP_Commissions_Req_Dn_ProgramWorkBook_10-Dec-2010 2_Steps of Doneness" xfId="10992" xr:uid="{00000000-0005-0000-0000-0000962A0000}"/>
    <cellStyle name="_20061103Holux_WorldBankCMSScope_SLM_PMO_Workbook_060910_FP_Commissions_Req_Dn_ProgramWorkBook_10-Dec-2010 3" xfId="10993" xr:uid="{00000000-0005-0000-0000-0000972A0000}"/>
    <cellStyle name="_20061103Holux_WorldBankCMSScope_SLM_PMO_Workbook_060910_FP_Commissions_Req_Dn_ProgramWorkBook_10-Dec-2010_Steps of Doneness" xfId="10994" xr:uid="{00000000-0005-0000-0000-0000982A0000}"/>
    <cellStyle name="_20061103Holux_WorldBankCMSScope_SLM_PMO_Workbook_060910_FP_DW_Impl_ProgramWorkBook_07-Jan-2011" xfId="10995" xr:uid="{00000000-0005-0000-0000-0000992A0000}"/>
    <cellStyle name="_20061103Holux_WorldBankCMSScope_SLM_PMO_Workbook_060910_FP_DW_Impl_ProgramWorkBook_07-Jan-2011 2" xfId="10996" xr:uid="{00000000-0005-0000-0000-00009A2A0000}"/>
    <cellStyle name="_20061103Holux_WorldBankCMSScope_SLM_PMO_Workbook_060910_FP_DW_Impl_ProgramWorkBook_07-Jan-2011 2 2" xfId="10997" xr:uid="{00000000-0005-0000-0000-00009B2A0000}"/>
    <cellStyle name="_20061103Holux_WorldBankCMSScope_SLM_PMO_Workbook_060910_FP_DW_Impl_ProgramWorkBook_07-Jan-2011 2 2_Steps of Doneness" xfId="10998" xr:uid="{00000000-0005-0000-0000-00009C2A0000}"/>
    <cellStyle name="_20061103Holux_WorldBankCMSScope_SLM_PMO_Workbook_060910_FP_DW_Impl_ProgramWorkBook_07-Jan-2011 2 3" xfId="10999" xr:uid="{00000000-0005-0000-0000-00009D2A0000}"/>
    <cellStyle name="_20061103Holux_WorldBankCMSScope_SLM_PMO_Workbook_060910_FP_DW_Impl_ProgramWorkBook_07-Jan-2011 2_Steps of Doneness" xfId="11000" xr:uid="{00000000-0005-0000-0000-00009E2A0000}"/>
    <cellStyle name="_20061103Holux_WorldBankCMSScope_SLM_PMO_Workbook_060910_FP_DW_Impl_ProgramWorkBook_07-Jan-2011 3" xfId="11001" xr:uid="{00000000-0005-0000-0000-00009F2A0000}"/>
    <cellStyle name="_20061103Holux_WorldBankCMSScope_SLM_PMO_Workbook_060910_FP_DW_Impl_ProgramWorkBook_07-Jan-2011 3_Steps of Doneness" xfId="11002" xr:uid="{00000000-0005-0000-0000-0000A02A0000}"/>
    <cellStyle name="_20061103Holux_WorldBankCMSScope_SLM_PMO_Workbook_060910_FP_DW_Impl_ProgramWorkBook_07-Jan-2011 4" xfId="11003" xr:uid="{00000000-0005-0000-0000-0000A12A0000}"/>
    <cellStyle name="_20061103Holux_WorldBankCMSScope_SLM_PMO_Workbook_060910_FP_DW_Impl_ProgramWorkBook_07-Jan-2011_Steps of Doneness" xfId="11004" xr:uid="{00000000-0005-0000-0000-0000A22A0000}"/>
    <cellStyle name="_20061103Holux_WorldBankCMSScope_SLM_PMO_Workbook_060910_FP_DW_Impl_ProgramWorkBook_11-Feb-2011" xfId="11005" xr:uid="{00000000-0005-0000-0000-0000A32A0000}"/>
    <cellStyle name="_20061103Holux_WorldBankCMSScope_SLM_PMO_Workbook_060910_FP_DW_Impl_ProgramWorkBook_11-Feb-2011 2" xfId="11006" xr:uid="{00000000-0005-0000-0000-0000A42A0000}"/>
    <cellStyle name="_20061103Holux_WorldBankCMSScope_SLM_PMO_Workbook_060910_FP_DW_Impl_ProgramWorkBook_11-Feb-2011 2_Steps of Doneness" xfId="11007" xr:uid="{00000000-0005-0000-0000-0000A52A0000}"/>
    <cellStyle name="_20061103Holux_WorldBankCMSScope_SLM_PMO_Workbook_060910_FP_DW_Impl_ProgramWorkBook_11-Feb-2011 3" xfId="11008" xr:uid="{00000000-0005-0000-0000-0000A62A0000}"/>
    <cellStyle name="_20061103Holux_WorldBankCMSScope_SLM_PMO_Workbook_060910_FP_DW_Impl_ProgramWorkBook_11-Feb-2011_Steps of Doneness" xfId="11009" xr:uid="{00000000-0005-0000-0000-0000A72A0000}"/>
    <cellStyle name="_20061103Holux_WorldBankCMSScope_SLM_PMO_Workbook_060910_FP_DW_Impl_ProgramWorkBook_18-Feb-2011 - Working" xfId="11010" xr:uid="{00000000-0005-0000-0000-0000A82A0000}"/>
    <cellStyle name="_20061103Holux_WorldBankCMSScope_SLM_PMO_Workbook_060910_FP_DW_Impl_ProgramWorkBook_18-Feb-2011 - Working 2" xfId="11011" xr:uid="{00000000-0005-0000-0000-0000A92A0000}"/>
    <cellStyle name="_20061103Holux_WorldBankCMSScope_SLM_PMO_Workbook_060910_FP_DW_Impl_ProgramWorkBook_18-Feb-2011 - Working 2_Steps of Doneness" xfId="11012" xr:uid="{00000000-0005-0000-0000-0000AA2A0000}"/>
    <cellStyle name="_20061103Holux_WorldBankCMSScope_SLM_PMO_Workbook_060910_FP_DW_Impl_ProgramWorkBook_18-Feb-2011 - Working 3" xfId="11013" xr:uid="{00000000-0005-0000-0000-0000AB2A0000}"/>
    <cellStyle name="_20061103Holux_WorldBankCMSScope_SLM_PMO_Workbook_060910_FP_DW_Impl_ProgramWorkBook_18-Feb-2011 - Working_Steps of Doneness" xfId="11014" xr:uid="{00000000-0005-0000-0000-0000AC2A0000}"/>
    <cellStyle name="_20061103Holux_WorldBankCMSScope_SLM_PMO_Workbook_060910_FP_EnterprisePortal_ProgramWorkbook" xfId="11015" xr:uid="{00000000-0005-0000-0000-0000AD2A0000}"/>
    <cellStyle name="_20061103Holux_WorldBankCMSScope_SLM_PMO_Workbook_060910_FP_EnterprisePortal_ProgramWorkbook 2" xfId="11016" xr:uid="{00000000-0005-0000-0000-0000AE2A0000}"/>
    <cellStyle name="_20061103Holux_WorldBankCMSScope_SLM_PMO_Workbook_060910_FP_EnterprisePortal_ProgramWorkbook 2_Steps of Doneness" xfId="11017" xr:uid="{00000000-0005-0000-0000-0000AF2A0000}"/>
    <cellStyle name="_20061103Holux_WorldBankCMSScope_SLM_PMO_Workbook_060910_FP_EnterprisePortal_ProgramWorkbook 3" xfId="11018" xr:uid="{00000000-0005-0000-0000-0000B02A0000}"/>
    <cellStyle name="_20061103Holux_WorldBankCMSScope_SLM_PMO_Workbook_060910_FP_EnterprisePortal_ProgramWorkbook_Steps of Doneness" xfId="11019" xr:uid="{00000000-0005-0000-0000-0000B12A0000}"/>
    <cellStyle name="_20061103Holux_WorldBankCMSScope_SLM_PMO_Workbook_060910_FP_SAP_MLP v2" xfId="11020" xr:uid="{00000000-0005-0000-0000-0000B22A0000}"/>
    <cellStyle name="_20061103Holux_WorldBankCMSScope_SLM_PMO_Workbook_060910_FP_SAP_MLP v2 2" xfId="11021" xr:uid="{00000000-0005-0000-0000-0000B32A0000}"/>
    <cellStyle name="_20061103Holux_WorldBankCMSScope_SLM_PMO_Workbook_060910_FP_SAP_MLP v2 2_Steps of Doneness" xfId="11022" xr:uid="{00000000-0005-0000-0000-0000B42A0000}"/>
    <cellStyle name="_20061103Holux_WorldBankCMSScope_SLM_PMO_Workbook_060910_FP_SAP_MLP v2 3" xfId="11023" xr:uid="{00000000-0005-0000-0000-0000B52A0000}"/>
    <cellStyle name="_20061103Holux_WorldBankCMSScope_SLM_PMO_Workbook_060910_FP_SAP_MLP v2_Steps of Doneness" xfId="11024" xr:uid="{00000000-0005-0000-0000-0000B62A0000}"/>
    <cellStyle name="_20061103Holux_WorldBankCMSScope_SLM_PMO_Workbook_060910_KeyDecisions" xfId="11025" xr:uid="{00000000-0005-0000-0000-0000B72A0000}"/>
    <cellStyle name="_20061103Holux_WorldBankCMSScope_SLM_PMO_Workbook_060910_KeyDecisions 2" xfId="11026" xr:uid="{00000000-0005-0000-0000-0000B82A0000}"/>
    <cellStyle name="_20061103Holux_WorldBankCMSScope_SLM_PMO_Workbook_060910_KeyDecisions 2_Steps of Doneness" xfId="11027" xr:uid="{00000000-0005-0000-0000-0000B92A0000}"/>
    <cellStyle name="_20061103Holux_WorldBankCMSScope_SLM_PMO_Workbook_060910_KeyDecisions 3" xfId="11028" xr:uid="{00000000-0005-0000-0000-0000BA2A0000}"/>
    <cellStyle name="_20061103Holux_WorldBankCMSScope_SLM_PMO_Workbook_060910_KeyDecisions_Steps of Doneness" xfId="11029" xr:uid="{00000000-0005-0000-0000-0000BB2A0000}"/>
    <cellStyle name="_20061103Holux_WorldBankCMSScope_SLM_PMO_Workbook_060910_Sophia_Imp_ProjectWorkBook_02_18_2011" xfId="11030" xr:uid="{00000000-0005-0000-0000-0000BC2A0000}"/>
    <cellStyle name="_20061103Holux_WorldBankCMSScope_SLM_PMO_Workbook_060910_Sophia_Imp_ProjectWorkBook_02_18_2011 2" xfId="11031" xr:uid="{00000000-0005-0000-0000-0000BD2A0000}"/>
    <cellStyle name="_20061103Holux_WorldBankCMSScope_SLM_PMO_Workbook_060910_Sophia_Imp_ProjectWorkBook_02_18_2011 2_Steps of Doneness" xfId="11032" xr:uid="{00000000-0005-0000-0000-0000BE2A0000}"/>
    <cellStyle name="_20061103Holux_WorldBankCMSScope_SLM_PMO_Workbook_060910_Sophia_Imp_ProjectWorkBook_02_18_2011 3" xfId="11033" xr:uid="{00000000-0005-0000-0000-0000BF2A0000}"/>
    <cellStyle name="_20061103Holux_WorldBankCMSScope_SLM_PMO_Workbook_060910_Sophia_Imp_ProjectWorkBook_02_18_2011_Steps of Doneness" xfId="11034" xr:uid="{00000000-0005-0000-0000-0000C02A0000}"/>
    <cellStyle name="_20061103Holux_WorldBankCMSScope_SLM_PMO_Workbook_060910_Steps of Doneness" xfId="11035" xr:uid="{00000000-0005-0000-0000-0000C12A0000}"/>
    <cellStyle name="_20061103Holux_WorldBankCMSScope_SLM_PMO_Workbook_060910_t" xfId="11036" xr:uid="{00000000-0005-0000-0000-0000C22A0000}"/>
    <cellStyle name="_20061103Holux_WorldBankCMSScope_SLM_PMO_Workbook_060910_t 2" xfId="11037" xr:uid="{00000000-0005-0000-0000-0000C32A0000}"/>
    <cellStyle name="_20061103Holux_WorldBankCMSScope_SLM_PMO_Workbook_060910_t 2_Steps of Doneness" xfId="11038" xr:uid="{00000000-0005-0000-0000-0000C42A0000}"/>
    <cellStyle name="_20061103Holux_WorldBankCMSScope_SLM_PMO_Workbook_060910_t 3" xfId="11039" xr:uid="{00000000-0005-0000-0000-0000C52A0000}"/>
    <cellStyle name="_20061103Holux_WorldBankCMSScope_SLM_PMO_Workbook_060910_t_Steps of Doneness" xfId="11040" xr:uid="{00000000-0005-0000-0000-0000C62A0000}"/>
    <cellStyle name="_20061103Holux_WorldBankCMSScope_Sophia_Imp_ProjectWorkBook_02_18_2011" xfId="11041" xr:uid="{00000000-0005-0000-0000-0000C72A0000}"/>
    <cellStyle name="_20061103Holux_WorldBankCMSScope_Sophia_Imp_ProjectWorkBook_02_18_2011 2" xfId="11042" xr:uid="{00000000-0005-0000-0000-0000C82A0000}"/>
    <cellStyle name="_20061103Holux_WorldBankCMSScope_Sophia_Imp_ProjectWorkBook_02_18_2011 2_Steps of Doneness" xfId="11043" xr:uid="{00000000-0005-0000-0000-0000C92A0000}"/>
    <cellStyle name="_20061103Holux_WorldBankCMSScope_Sophia_Imp_ProjectWorkBook_02_18_2011 3" xfId="11044" xr:uid="{00000000-0005-0000-0000-0000CA2A0000}"/>
    <cellStyle name="_20061103Holux_WorldBankCMSScope_Sophia_Imp_ProjectWorkBook_02_18_2011_Steps of Doneness" xfId="11045" xr:uid="{00000000-0005-0000-0000-0000CB2A0000}"/>
    <cellStyle name="_20061103Holux_WorldBankCMSScope_Steps of Doneness" xfId="11046" xr:uid="{00000000-0005-0000-0000-0000CC2A0000}"/>
    <cellStyle name="_20061103Holux_WorldBankCMSScope_t" xfId="11047" xr:uid="{00000000-0005-0000-0000-0000CD2A0000}"/>
    <cellStyle name="_20061103Holux_WorldBankCMSScope_t 2" xfId="11048" xr:uid="{00000000-0005-0000-0000-0000CE2A0000}"/>
    <cellStyle name="_20061103Holux_WorldBankCMSScope_t 2_Steps of Doneness" xfId="11049" xr:uid="{00000000-0005-0000-0000-0000CF2A0000}"/>
    <cellStyle name="_20061103Holux_WorldBankCMSScope_t 3" xfId="11050" xr:uid="{00000000-0005-0000-0000-0000D02A0000}"/>
    <cellStyle name="_20061103Holux_WorldBankCMSScope_t_Steps of Doneness" xfId="11051" xr:uid="{00000000-0005-0000-0000-0000D12A0000}"/>
    <cellStyle name="_20061103Holux_WorldBankCMSScope_UX Plan_0401" xfId="11052" xr:uid="{00000000-0005-0000-0000-0000D22A0000}"/>
    <cellStyle name="_20061103Holux_WorldBankCMSScope_UX Plan_0401 2" xfId="11053" xr:uid="{00000000-0005-0000-0000-0000D32A0000}"/>
    <cellStyle name="_20061103Holux_WorldBankCMSScope_UX Plan_0401 2 2" xfId="11054" xr:uid="{00000000-0005-0000-0000-0000D42A0000}"/>
    <cellStyle name="_20061103Holux_WorldBankCMSScope_UX Plan_0401 2 2_Steps of Doneness" xfId="11055" xr:uid="{00000000-0005-0000-0000-0000D52A0000}"/>
    <cellStyle name="_20061103Holux_WorldBankCMSScope_UX Plan_0401 2 3" xfId="11056" xr:uid="{00000000-0005-0000-0000-0000D62A0000}"/>
    <cellStyle name="_20061103Holux_WorldBankCMSScope_UX Plan_0401 2_Steps of Doneness" xfId="11057" xr:uid="{00000000-0005-0000-0000-0000D72A0000}"/>
    <cellStyle name="_20061103Holux_WorldBankCMSScope_UX Plan_0401 3" xfId="11058" xr:uid="{00000000-0005-0000-0000-0000D82A0000}"/>
    <cellStyle name="_20061103Holux_WorldBankCMSScope_UX Plan_0401 3_Steps of Doneness" xfId="11059" xr:uid="{00000000-0005-0000-0000-0000D92A0000}"/>
    <cellStyle name="_20061103Holux_WorldBankCMSScope_UX Plan_0401 4" xfId="11060" xr:uid="{00000000-0005-0000-0000-0000DA2A0000}"/>
    <cellStyle name="_20061103Holux_WorldBankCMSScope_UX Plan_0401_Commissioning System Implementation_Project Workbook_06_10_2011" xfId="11061" xr:uid="{00000000-0005-0000-0000-0000DB2A0000}"/>
    <cellStyle name="_20061103Holux_WorldBankCMSScope_UX Plan_0401_Commissioning System Implementation_Project Workbook_06_10_2011 2" xfId="11062" xr:uid="{00000000-0005-0000-0000-0000DC2A0000}"/>
    <cellStyle name="_20061103Holux_WorldBankCMSScope_UX Plan_0401_Commissioning System Implementation_Project Workbook_06_10_2011 2_Steps of Doneness" xfId="11063" xr:uid="{00000000-0005-0000-0000-0000DD2A0000}"/>
    <cellStyle name="_20061103Holux_WorldBankCMSScope_UX Plan_0401_Commissioning System Implementation_Project Workbook_06_10_2011 3" xfId="11064" xr:uid="{00000000-0005-0000-0000-0000DE2A0000}"/>
    <cellStyle name="_20061103Holux_WorldBankCMSScope_UX Plan_0401_Commissioning System Implementation_Project Workbook_06_10_2011_Steps of Doneness" xfId="11065" xr:uid="{00000000-0005-0000-0000-0000DF2A0000}"/>
    <cellStyle name="_20061103Holux_WorldBankCMSScope_UX Plan_0401_FairPoint_CampReport" xfId="11066" xr:uid="{00000000-0005-0000-0000-0000E02A0000}"/>
    <cellStyle name="_20061103Holux_WorldBankCMSScope_UX Plan_0401_FairPoint_CampReport 2" xfId="11067" xr:uid="{00000000-0005-0000-0000-0000E12A0000}"/>
    <cellStyle name="_20061103Holux_WorldBankCMSScope_UX Plan_0401_FairPoint_CampReport 2_Steps of Doneness" xfId="11068" xr:uid="{00000000-0005-0000-0000-0000E22A0000}"/>
    <cellStyle name="_20061103Holux_WorldBankCMSScope_UX Plan_0401_FairPoint_CampReport 3" xfId="11069" xr:uid="{00000000-0005-0000-0000-0000E32A0000}"/>
    <cellStyle name="_20061103Holux_WorldBankCMSScope_UX Plan_0401_FairPoint_CampReport_Steps of Doneness" xfId="11070" xr:uid="{00000000-0005-0000-0000-0000E42A0000}"/>
    <cellStyle name="_20061103Holux_WorldBankCMSScope_UX Plan_0401_FairPoint_FP comTechOps_ProgramWorkbook" xfId="11071" xr:uid="{00000000-0005-0000-0000-0000E52A0000}"/>
    <cellStyle name="_20061103Holux_WorldBankCMSScope_UX Plan_0401_FairPoint_FP comTechOps_ProgramWorkbook 2" xfId="11072" xr:uid="{00000000-0005-0000-0000-0000E62A0000}"/>
    <cellStyle name="_20061103Holux_WorldBankCMSScope_UX Plan_0401_FairPoint_FP comTechOps_ProgramWorkbook 2_Steps of Doneness" xfId="11073" xr:uid="{00000000-0005-0000-0000-0000E72A0000}"/>
    <cellStyle name="_20061103Holux_WorldBankCMSScope_UX Plan_0401_FairPoint_FP comTechOps_ProgramWorkbook 3" xfId="11074" xr:uid="{00000000-0005-0000-0000-0000E82A0000}"/>
    <cellStyle name="_20061103Holux_WorldBankCMSScope_UX Plan_0401_FairPoint_FP comTechOps_ProgramWorkbook_sachin" xfId="11075" xr:uid="{00000000-0005-0000-0000-0000E92A0000}"/>
    <cellStyle name="_20061103Holux_WorldBankCMSScope_UX Plan_0401_FairPoint_FP comTechOps_ProgramWorkbook_sachin 2" xfId="11076" xr:uid="{00000000-0005-0000-0000-0000EA2A0000}"/>
    <cellStyle name="_20061103Holux_WorldBankCMSScope_UX Plan_0401_FairPoint_FP comTechOps_ProgramWorkbook_sachin 2_Steps of Doneness" xfId="11077" xr:uid="{00000000-0005-0000-0000-0000EB2A0000}"/>
    <cellStyle name="_20061103Holux_WorldBankCMSScope_UX Plan_0401_FairPoint_FP comTechOps_ProgramWorkbook_sachin 3" xfId="11078" xr:uid="{00000000-0005-0000-0000-0000EC2A0000}"/>
    <cellStyle name="_20061103Holux_WorldBankCMSScope_UX Plan_0401_FairPoint_FP comTechOps_ProgramWorkbook_sachin_Steps of Doneness" xfId="11079" xr:uid="{00000000-0005-0000-0000-0000ED2A0000}"/>
    <cellStyle name="_20061103Holux_WorldBankCMSScope_UX Plan_0401_FairPoint_FP comTechOps_ProgramWorkbook_sachin_v1" xfId="11080" xr:uid="{00000000-0005-0000-0000-0000EE2A0000}"/>
    <cellStyle name="_20061103Holux_WorldBankCMSScope_UX Plan_0401_FairPoint_FP comTechOps_ProgramWorkbook_sachin_v1 2" xfId="11081" xr:uid="{00000000-0005-0000-0000-0000EF2A0000}"/>
    <cellStyle name="_20061103Holux_WorldBankCMSScope_UX Plan_0401_FairPoint_FP comTechOps_ProgramWorkbook_sachin_v1 2_Steps of Doneness" xfId="11082" xr:uid="{00000000-0005-0000-0000-0000F02A0000}"/>
    <cellStyle name="_20061103Holux_WorldBankCMSScope_UX Plan_0401_FairPoint_FP comTechOps_ProgramWorkbook_sachin_v1 3" xfId="11083" xr:uid="{00000000-0005-0000-0000-0000F12A0000}"/>
    <cellStyle name="_20061103Holux_WorldBankCMSScope_UX Plan_0401_FairPoint_FP comTechOps_ProgramWorkbook_sachin_v1_Steps of Doneness" xfId="11084" xr:uid="{00000000-0005-0000-0000-0000F22A0000}"/>
    <cellStyle name="_20061103Holux_WorldBankCMSScope_UX Plan_0401_FairPoint_FP comTechOps_ProgramWorkbook_Steps of Doneness" xfId="11085" xr:uid="{00000000-0005-0000-0000-0000F32A0000}"/>
    <cellStyle name="_20061103Holux_WorldBankCMSScope_UX Plan_0401_FP_CAMP&amp;ITReporting_Maintenance_Dashboard" xfId="11086" xr:uid="{00000000-0005-0000-0000-0000F42A0000}"/>
    <cellStyle name="_20061103Holux_WorldBankCMSScope_UX Plan_0401_FP_CAMP&amp;ITReporting_Maintenance_Dashboard 2" xfId="11087" xr:uid="{00000000-0005-0000-0000-0000F52A0000}"/>
    <cellStyle name="_20061103Holux_WorldBankCMSScope_UX Plan_0401_FP_CAMP&amp;ITReporting_Maintenance_Dashboard 2_Steps of Doneness" xfId="11088" xr:uid="{00000000-0005-0000-0000-0000F62A0000}"/>
    <cellStyle name="_20061103Holux_WorldBankCMSScope_UX Plan_0401_FP_CAMP&amp;ITReporting_Maintenance_Dashboard 3" xfId="11089" xr:uid="{00000000-0005-0000-0000-0000F72A0000}"/>
    <cellStyle name="_20061103Holux_WorldBankCMSScope_UX Plan_0401_FP_CAMP&amp;ITReporting_Maintenance_Dashboard_Steps of Doneness" xfId="11090" xr:uid="{00000000-0005-0000-0000-0000F82A0000}"/>
    <cellStyle name="_20061103Holux_WorldBankCMSScope_UX Plan_0401_FP_CAMPITReporting_Maintenance_Dashboard" xfId="11091" xr:uid="{00000000-0005-0000-0000-0000F92A0000}"/>
    <cellStyle name="_20061103Holux_WorldBankCMSScope_UX Plan_0401_FP_CAMPITReporting_Maintenance_Dashboard 2" xfId="11092" xr:uid="{00000000-0005-0000-0000-0000FA2A0000}"/>
    <cellStyle name="_20061103Holux_WorldBankCMSScope_UX Plan_0401_FP_CAMPITReporting_Maintenance_Dashboard 2_Steps of Doneness" xfId="11093" xr:uid="{00000000-0005-0000-0000-0000FB2A0000}"/>
    <cellStyle name="_20061103Holux_WorldBankCMSScope_UX Plan_0401_FP_CAMPITReporting_Maintenance_Dashboard 3" xfId="11094" xr:uid="{00000000-0005-0000-0000-0000FC2A0000}"/>
    <cellStyle name="_20061103Holux_WorldBankCMSScope_UX Plan_0401_FP_CAMPITReporting_Maintenance_Dashboard_Steps of Doneness" xfId="11095" xr:uid="{00000000-0005-0000-0000-0000FD2A0000}"/>
    <cellStyle name="_20061103Holux_WorldBankCMSScope_UX Plan_0401_FP_Commissions_Req_Dn_ProgramWorkBook_10-Dec-2010" xfId="11096" xr:uid="{00000000-0005-0000-0000-0000FE2A0000}"/>
    <cellStyle name="_20061103Holux_WorldBankCMSScope_UX Plan_0401_FP_Commissions_Req_Dn_ProgramWorkBook_10-Dec-2010 2" xfId="11097" xr:uid="{00000000-0005-0000-0000-0000FF2A0000}"/>
    <cellStyle name="_20061103Holux_WorldBankCMSScope_UX Plan_0401_FP_Commissions_Req_Dn_ProgramWorkBook_10-Dec-2010 2_Steps of Doneness" xfId="11098" xr:uid="{00000000-0005-0000-0000-0000002B0000}"/>
    <cellStyle name="_20061103Holux_WorldBankCMSScope_UX Plan_0401_FP_Commissions_Req_Dn_ProgramWorkBook_10-Dec-2010 3" xfId="11099" xr:uid="{00000000-0005-0000-0000-0000012B0000}"/>
    <cellStyle name="_20061103Holux_WorldBankCMSScope_UX Plan_0401_FP_Commissions_Req_Dn_ProgramWorkBook_10-Dec-2010_Steps of Doneness" xfId="11100" xr:uid="{00000000-0005-0000-0000-0000022B0000}"/>
    <cellStyle name="_20061103Holux_WorldBankCMSScope_UX Plan_0401_FP_DW_Impl_ProgramWorkBook_07-Jan-2011" xfId="11101" xr:uid="{00000000-0005-0000-0000-0000032B0000}"/>
    <cellStyle name="_20061103Holux_WorldBankCMSScope_UX Plan_0401_FP_DW_Impl_ProgramWorkBook_07-Jan-2011 2" xfId="11102" xr:uid="{00000000-0005-0000-0000-0000042B0000}"/>
    <cellStyle name="_20061103Holux_WorldBankCMSScope_UX Plan_0401_FP_DW_Impl_ProgramWorkBook_07-Jan-2011 2 2" xfId="11103" xr:uid="{00000000-0005-0000-0000-0000052B0000}"/>
    <cellStyle name="_20061103Holux_WorldBankCMSScope_UX Plan_0401_FP_DW_Impl_ProgramWorkBook_07-Jan-2011 2 2_Steps of Doneness" xfId="11104" xr:uid="{00000000-0005-0000-0000-0000062B0000}"/>
    <cellStyle name="_20061103Holux_WorldBankCMSScope_UX Plan_0401_FP_DW_Impl_ProgramWorkBook_07-Jan-2011 2 3" xfId="11105" xr:uid="{00000000-0005-0000-0000-0000072B0000}"/>
    <cellStyle name="_20061103Holux_WorldBankCMSScope_UX Plan_0401_FP_DW_Impl_ProgramWorkBook_07-Jan-2011 2_Steps of Doneness" xfId="11106" xr:uid="{00000000-0005-0000-0000-0000082B0000}"/>
    <cellStyle name="_20061103Holux_WorldBankCMSScope_UX Plan_0401_FP_DW_Impl_ProgramWorkBook_07-Jan-2011 3" xfId="11107" xr:uid="{00000000-0005-0000-0000-0000092B0000}"/>
    <cellStyle name="_20061103Holux_WorldBankCMSScope_UX Plan_0401_FP_DW_Impl_ProgramWorkBook_07-Jan-2011 3_Steps of Doneness" xfId="11108" xr:uid="{00000000-0005-0000-0000-00000A2B0000}"/>
    <cellStyle name="_20061103Holux_WorldBankCMSScope_UX Plan_0401_FP_DW_Impl_ProgramWorkBook_07-Jan-2011 4" xfId="11109" xr:uid="{00000000-0005-0000-0000-00000B2B0000}"/>
    <cellStyle name="_20061103Holux_WorldBankCMSScope_UX Plan_0401_FP_DW_Impl_ProgramWorkBook_07-Jan-2011_Steps of Doneness" xfId="11110" xr:uid="{00000000-0005-0000-0000-00000C2B0000}"/>
    <cellStyle name="_20061103Holux_WorldBankCMSScope_UX Plan_0401_FP_DW_Impl_ProgramWorkBook_11-Feb-2011" xfId="11111" xr:uid="{00000000-0005-0000-0000-00000D2B0000}"/>
    <cellStyle name="_20061103Holux_WorldBankCMSScope_UX Plan_0401_FP_DW_Impl_ProgramWorkBook_11-Feb-2011 2" xfId="11112" xr:uid="{00000000-0005-0000-0000-00000E2B0000}"/>
    <cellStyle name="_20061103Holux_WorldBankCMSScope_UX Plan_0401_FP_DW_Impl_ProgramWorkBook_11-Feb-2011 2_Steps of Doneness" xfId="11113" xr:uid="{00000000-0005-0000-0000-00000F2B0000}"/>
    <cellStyle name="_20061103Holux_WorldBankCMSScope_UX Plan_0401_FP_DW_Impl_ProgramWorkBook_11-Feb-2011 3" xfId="11114" xr:uid="{00000000-0005-0000-0000-0000102B0000}"/>
    <cellStyle name="_20061103Holux_WorldBankCMSScope_UX Plan_0401_FP_DW_Impl_ProgramWorkBook_11-Feb-2011_Steps of Doneness" xfId="11115" xr:uid="{00000000-0005-0000-0000-0000112B0000}"/>
    <cellStyle name="_20061103Holux_WorldBankCMSScope_UX Plan_0401_FP_DW_Impl_ProgramWorkBook_18-Feb-2011 - Working" xfId="11116" xr:uid="{00000000-0005-0000-0000-0000122B0000}"/>
    <cellStyle name="_20061103Holux_WorldBankCMSScope_UX Plan_0401_FP_DW_Impl_ProgramWorkBook_18-Feb-2011 - Working 2" xfId="11117" xr:uid="{00000000-0005-0000-0000-0000132B0000}"/>
    <cellStyle name="_20061103Holux_WorldBankCMSScope_UX Plan_0401_FP_DW_Impl_ProgramWorkBook_18-Feb-2011 - Working 2_Steps of Doneness" xfId="11118" xr:uid="{00000000-0005-0000-0000-0000142B0000}"/>
    <cellStyle name="_20061103Holux_WorldBankCMSScope_UX Plan_0401_FP_DW_Impl_ProgramWorkBook_18-Feb-2011 - Working 3" xfId="11119" xr:uid="{00000000-0005-0000-0000-0000152B0000}"/>
    <cellStyle name="_20061103Holux_WorldBankCMSScope_UX Plan_0401_FP_DW_Impl_ProgramWorkBook_18-Feb-2011 - Working_Steps of Doneness" xfId="11120" xr:uid="{00000000-0005-0000-0000-0000162B0000}"/>
    <cellStyle name="_20061103Holux_WorldBankCMSScope_UX Plan_0401_FP_EnterprisePortal_ProgramWorkbook" xfId="11121" xr:uid="{00000000-0005-0000-0000-0000172B0000}"/>
    <cellStyle name="_20061103Holux_WorldBankCMSScope_UX Plan_0401_FP_EnterprisePortal_ProgramWorkbook 2" xfId="11122" xr:uid="{00000000-0005-0000-0000-0000182B0000}"/>
    <cellStyle name="_20061103Holux_WorldBankCMSScope_UX Plan_0401_FP_EnterprisePortal_ProgramWorkbook 2_Steps of Doneness" xfId="11123" xr:uid="{00000000-0005-0000-0000-0000192B0000}"/>
    <cellStyle name="_20061103Holux_WorldBankCMSScope_UX Plan_0401_FP_EnterprisePortal_ProgramWorkbook 3" xfId="11124" xr:uid="{00000000-0005-0000-0000-00001A2B0000}"/>
    <cellStyle name="_20061103Holux_WorldBankCMSScope_UX Plan_0401_FP_EnterprisePortal_ProgramWorkbook_Steps of Doneness" xfId="11125" xr:uid="{00000000-0005-0000-0000-00001B2B0000}"/>
    <cellStyle name="_20061103Holux_WorldBankCMSScope_UX Plan_0401_FP_SAP_MLP v2" xfId="11126" xr:uid="{00000000-0005-0000-0000-00001C2B0000}"/>
    <cellStyle name="_20061103Holux_WorldBankCMSScope_UX Plan_0401_FP_SAP_MLP v2 2" xfId="11127" xr:uid="{00000000-0005-0000-0000-00001D2B0000}"/>
    <cellStyle name="_20061103Holux_WorldBankCMSScope_UX Plan_0401_FP_SAP_MLP v2 2_Steps of Doneness" xfId="11128" xr:uid="{00000000-0005-0000-0000-00001E2B0000}"/>
    <cellStyle name="_20061103Holux_WorldBankCMSScope_UX Plan_0401_FP_SAP_MLP v2 3" xfId="11129" xr:uid="{00000000-0005-0000-0000-00001F2B0000}"/>
    <cellStyle name="_20061103Holux_WorldBankCMSScope_UX Plan_0401_FP_SAP_MLP v2_Steps of Doneness" xfId="11130" xr:uid="{00000000-0005-0000-0000-0000202B0000}"/>
    <cellStyle name="_20061103Holux_WorldBankCMSScope_UX Plan_0401_KeyDecisions" xfId="11131" xr:uid="{00000000-0005-0000-0000-0000212B0000}"/>
    <cellStyle name="_20061103Holux_WorldBankCMSScope_UX Plan_0401_KeyDecisions 2" xfId="11132" xr:uid="{00000000-0005-0000-0000-0000222B0000}"/>
    <cellStyle name="_20061103Holux_WorldBankCMSScope_UX Plan_0401_KeyDecisions 2_Steps of Doneness" xfId="11133" xr:uid="{00000000-0005-0000-0000-0000232B0000}"/>
    <cellStyle name="_20061103Holux_WorldBankCMSScope_UX Plan_0401_KeyDecisions 3" xfId="11134" xr:uid="{00000000-0005-0000-0000-0000242B0000}"/>
    <cellStyle name="_20061103Holux_WorldBankCMSScope_UX Plan_0401_KeyDecisions_Steps of Doneness" xfId="11135" xr:uid="{00000000-0005-0000-0000-0000252B0000}"/>
    <cellStyle name="_20061103Holux_WorldBankCMSScope_UX Plan_0401_Sophia_Imp_ProjectWorkBook_02_18_2011" xfId="11136" xr:uid="{00000000-0005-0000-0000-0000262B0000}"/>
    <cellStyle name="_20061103Holux_WorldBankCMSScope_UX Plan_0401_Sophia_Imp_ProjectWorkBook_02_18_2011 2" xfId="11137" xr:uid="{00000000-0005-0000-0000-0000272B0000}"/>
    <cellStyle name="_20061103Holux_WorldBankCMSScope_UX Plan_0401_Sophia_Imp_ProjectWorkBook_02_18_2011 2_Steps of Doneness" xfId="11138" xr:uid="{00000000-0005-0000-0000-0000282B0000}"/>
    <cellStyle name="_20061103Holux_WorldBankCMSScope_UX Plan_0401_Sophia_Imp_ProjectWorkBook_02_18_2011 3" xfId="11139" xr:uid="{00000000-0005-0000-0000-0000292B0000}"/>
    <cellStyle name="_20061103Holux_WorldBankCMSScope_UX Plan_0401_Sophia_Imp_ProjectWorkBook_02_18_2011_Steps of Doneness" xfId="11140" xr:uid="{00000000-0005-0000-0000-00002A2B0000}"/>
    <cellStyle name="_20061103Holux_WorldBankCMSScope_UX Plan_0401_Steps of Doneness" xfId="11141" xr:uid="{00000000-0005-0000-0000-00002B2B0000}"/>
    <cellStyle name="_20061103Holux_WorldBankCMSScope_UX Plan_0401_t" xfId="11142" xr:uid="{00000000-0005-0000-0000-00002C2B0000}"/>
    <cellStyle name="_20061103Holux_WorldBankCMSScope_UX Plan_0401_t 2" xfId="11143" xr:uid="{00000000-0005-0000-0000-00002D2B0000}"/>
    <cellStyle name="_20061103Holux_WorldBankCMSScope_UX Plan_0401_t 2_Steps of Doneness" xfId="11144" xr:uid="{00000000-0005-0000-0000-00002E2B0000}"/>
    <cellStyle name="_20061103Holux_WorldBankCMSScope_UX Plan_0401_t 3" xfId="11145" xr:uid="{00000000-0005-0000-0000-00002F2B0000}"/>
    <cellStyle name="_20061103Holux_WorldBankCMSScope_UX Plan_0401_t_Steps of Doneness" xfId="11146" xr:uid="{00000000-0005-0000-0000-0000302B0000}"/>
    <cellStyle name="_20061117Holux" xfId="11147" xr:uid="{00000000-0005-0000-0000-0000312B0000}"/>
    <cellStyle name="_20061117Holux 2" xfId="11148" xr:uid="{00000000-0005-0000-0000-0000322B0000}"/>
    <cellStyle name="_20061117Holux 2 2" xfId="11149" xr:uid="{00000000-0005-0000-0000-0000332B0000}"/>
    <cellStyle name="_20061117Holux 2 2_Steps of Doneness" xfId="11150" xr:uid="{00000000-0005-0000-0000-0000342B0000}"/>
    <cellStyle name="_20061117Holux 2 3" xfId="11151" xr:uid="{00000000-0005-0000-0000-0000352B0000}"/>
    <cellStyle name="_20061117Holux 2_Steps of Doneness" xfId="11152" xr:uid="{00000000-0005-0000-0000-0000362B0000}"/>
    <cellStyle name="_20061117Holux 3" xfId="11153" xr:uid="{00000000-0005-0000-0000-0000372B0000}"/>
    <cellStyle name="_20061117Holux 3 2" xfId="11154" xr:uid="{00000000-0005-0000-0000-0000382B0000}"/>
    <cellStyle name="_20061117Holux 3 2_Steps of Doneness" xfId="11155" xr:uid="{00000000-0005-0000-0000-0000392B0000}"/>
    <cellStyle name="_20061117Holux 3 3" xfId="11156" xr:uid="{00000000-0005-0000-0000-00003A2B0000}"/>
    <cellStyle name="_20061117Holux 3_Steps of Doneness" xfId="11157" xr:uid="{00000000-0005-0000-0000-00003B2B0000}"/>
    <cellStyle name="_20061117Holux 4" xfId="11158" xr:uid="{00000000-0005-0000-0000-00003C2B0000}"/>
    <cellStyle name="_20061117Holux 4_Steps of Doneness" xfId="11159" xr:uid="{00000000-0005-0000-0000-00003D2B0000}"/>
    <cellStyle name="_20061117Holux 5" xfId="11160" xr:uid="{00000000-0005-0000-0000-00003E2B0000}"/>
    <cellStyle name="_20061117Holux_CMS_SOW_Deliverables_0430" xfId="11161" xr:uid="{00000000-0005-0000-0000-00003F2B0000}"/>
    <cellStyle name="_20061117Holux_CMS_SOW_Deliverables_0430 2" xfId="11162" xr:uid="{00000000-0005-0000-0000-0000402B0000}"/>
    <cellStyle name="_20061117Holux_CMS_SOW_Deliverables_0430 2 2" xfId="11163" xr:uid="{00000000-0005-0000-0000-0000412B0000}"/>
    <cellStyle name="_20061117Holux_CMS_SOW_Deliverables_0430 2 2_Steps of Doneness" xfId="11164" xr:uid="{00000000-0005-0000-0000-0000422B0000}"/>
    <cellStyle name="_20061117Holux_CMS_SOW_Deliverables_0430 2 3" xfId="11165" xr:uid="{00000000-0005-0000-0000-0000432B0000}"/>
    <cellStyle name="_20061117Holux_CMS_SOW_Deliverables_0430 2_Steps of Doneness" xfId="11166" xr:uid="{00000000-0005-0000-0000-0000442B0000}"/>
    <cellStyle name="_20061117Holux_CMS_SOW_Deliverables_0430 3" xfId="11167" xr:uid="{00000000-0005-0000-0000-0000452B0000}"/>
    <cellStyle name="_20061117Holux_CMS_SOW_Deliverables_0430 3 2" xfId="11168" xr:uid="{00000000-0005-0000-0000-0000462B0000}"/>
    <cellStyle name="_20061117Holux_CMS_SOW_Deliverables_0430 3 2_Steps of Doneness" xfId="11169" xr:uid="{00000000-0005-0000-0000-0000472B0000}"/>
    <cellStyle name="_20061117Holux_CMS_SOW_Deliverables_0430 3 3" xfId="11170" xr:uid="{00000000-0005-0000-0000-0000482B0000}"/>
    <cellStyle name="_20061117Holux_CMS_SOW_Deliverables_0430 3_Steps of Doneness" xfId="11171" xr:uid="{00000000-0005-0000-0000-0000492B0000}"/>
    <cellStyle name="_20061117Holux_CMS_SOW_Deliverables_0430 4" xfId="11172" xr:uid="{00000000-0005-0000-0000-00004A2B0000}"/>
    <cellStyle name="_20061117Holux_CMS_SOW_Deliverables_0430 4_Steps of Doneness" xfId="11173" xr:uid="{00000000-0005-0000-0000-00004B2B0000}"/>
    <cellStyle name="_20061117Holux_CMS_SOW_Deliverables_0430 5" xfId="11174" xr:uid="{00000000-0005-0000-0000-00004C2B0000}"/>
    <cellStyle name="_20061117Holux_CMS_SOW_Deliverables_0430 6" xfId="11175" xr:uid="{00000000-0005-0000-0000-00004D2B0000}"/>
    <cellStyle name="_20061117Holux_CMS_SOW_Deliverables_0430_Commissioning System Implementation_Project Workbook_06_10_2011" xfId="11176" xr:uid="{00000000-0005-0000-0000-00004E2B0000}"/>
    <cellStyle name="_20061117Holux_CMS_SOW_Deliverables_0430_Commissioning System Implementation_Project Workbook_06_10_2011 2" xfId="11177" xr:uid="{00000000-0005-0000-0000-00004F2B0000}"/>
    <cellStyle name="_20061117Holux_CMS_SOW_Deliverables_0430_Commissioning System Implementation_Project Workbook_06_10_2011 2_Steps of Doneness" xfId="11178" xr:uid="{00000000-0005-0000-0000-0000502B0000}"/>
    <cellStyle name="_20061117Holux_CMS_SOW_Deliverables_0430_Commissioning System Implementation_Project Workbook_06_10_2011 3" xfId="11179" xr:uid="{00000000-0005-0000-0000-0000512B0000}"/>
    <cellStyle name="_20061117Holux_CMS_SOW_Deliverables_0430_Commissioning System Implementation_Project Workbook_06_10_2011_Steps of Doneness" xfId="11180" xr:uid="{00000000-0005-0000-0000-0000522B0000}"/>
    <cellStyle name="_20061117Holux_CMS_SOW_Deliverables_0430_FairPoint_CampReport" xfId="11181" xr:uid="{00000000-0005-0000-0000-0000532B0000}"/>
    <cellStyle name="_20061117Holux_CMS_SOW_Deliverables_0430_FairPoint_CampReport 2" xfId="11182" xr:uid="{00000000-0005-0000-0000-0000542B0000}"/>
    <cellStyle name="_20061117Holux_CMS_SOW_Deliverables_0430_FairPoint_CampReport 2_Steps of Doneness" xfId="11183" xr:uid="{00000000-0005-0000-0000-0000552B0000}"/>
    <cellStyle name="_20061117Holux_CMS_SOW_Deliverables_0430_FairPoint_CampReport 3" xfId="11184" xr:uid="{00000000-0005-0000-0000-0000562B0000}"/>
    <cellStyle name="_20061117Holux_CMS_SOW_Deliverables_0430_FairPoint_CampReport_Steps of Doneness" xfId="11185" xr:uid="{00000000-0005-0000-0000-0000572B0000}"/>
    <cellStyle name="_20061117Holux_CMS_SOW_Deliverables_0430_FairPoint_FP comTechOps_ProgramWorkbook" xfId="11186" xr:uid="{00000000-0005-0000-0000-0000582B0000}"/>
    <cellStyle name="_20061117Holux_CMS_SOW_Deliverables_0430_FairPoint_FP comTechOps_ProgramWorkbook 2" xfId="11187" xr:uid="{00000000-0005-0000-0000-0000592B0000}"/>
    <cellStyle name="_20061117Holux_CMS_SOW_Deliverables_0430_FairPoint_FP comTechOps_ProgramWorkbook 2_Steps of Doneness" xfId="11188" xr:uid="{00000000-0005-0000-0000-00005A2B0000}"/>
    <cellStyle name="_20061117Holux_CMS_SOW_Deliverables_0430_FairPoint_FP comTechOps_ProgramWorkbook 3" xfId="11189" xr:uid="{00000000-0005-0000-0000-00005B2B0000}"/>
    <cellStyle name="_20061117Holux_CMS_SOW_Deliverables_0430_FairPoint_FP comTechOps_ProgramWorkbook_sachin" xfId="11190" xr:uid="{00000000-0005-0000-0000-00005C2B0000}"/>
    <cellStyle name="_20061117Holux_CMS_SOW_Deliverables_0430_FairPoint_FP comTechOps_ProgramWorkbook_sachin 2" xfId="11191" xr:uid="{00000000-0005-0000-0000-00005D2B0000}"/>
    <cellStyle name="_20061117Holux_CMS_SOW_Deliverables_0430_FairPoint_FP comTechOps_ProgramWorkbook_sachin 2_Steps of Doneness" xfId="11192" xr:uid="{00000000-0005-0000-0000-00005E2B0000}"/>
    <cellStyle name="_20061117Holux_CMS_SOW_Deliverables_0430_FairPoint_FP comTechOps_ProgramWorkbook_sachin 3" xfId="11193" xr:uid="{00000000-0005-0000-0000-00005F2B0000}"/>
    <cellStyle name="_20061117Holux_CMS_SOW_Deliverables_0430_FairPoint_FP comTechOps_ProgramWorkbook_sachin_Steps of Doneness" xfId="11194" xr:uid="{00000000-0005-0000-0000-0000602B0000}"/>
    <cellStyle name="_20061117Holux_CMS_SOW_Deliverables_0430_FairPoint_FP comTechOps_ProgramWorkbook_sachin_v1" xfId="11195" xr:uid="{00000000-0005-0000-0000-0000612B0000}"/>
    <cellStyle name="_20061117Holux_CMS_SOW_Deliverables_0430_FairPoint_FP comTechOps_ProgramWorkbook_sachin_v1 2" xfId="11196" xr:uid="{00000000-0005-0000-0000-0000622B0000}"/>
    <cellStyle name="_20061117Holux_CMS_SOW_Deliverables_0430_FairPoint_FP comTechOps_ProgramWorkbook_sachin_v1 2_Steps of Doneness" xfId="11197" xr:uid="{00000000-0005-0000-0000-0000632B0000}"/>
    <cellStyle name="_20061117Holux_CMS_SOW_Deliverables_0430_FairPoint_FP comTechOps_ProgramWorkbook_sachin_v1 3" xfId="11198" xr:uid="{00000000-0005-0000-0000-0000642B0000}"/>
    <cellStyle name="_20061117Holux_CMS_SOW_Deliverables_0430_FairPoint_FP comTechOps_ProgramWorkbook_sachin_v1_Steps of Doneness" xfId="11199" xr:uid="{00000000-0005-0000-0000-0000652B0000}"/>
    <cellStyle name="_20061117Holux_CMS_SOW_Deliverables_0430_FairPoint_FP comTechOps_ProgramWorkbook_Steps of Doneness" xfId="11200" xr:uid="{00000000-0005-0000-0000-0000662B0000}"/>
    <cellStyle name="_20061117Holux_CMS_SOW_Deliverables_0430_FP_CAMP&amp;ITReporting_Maintenance_Dashboard" xfId="11201" xr:uid="{00000000-0005-0000-0000-0000672B0000}"/>
    <cellStyle name="_20061117Holux_CMS_SOW_Deliverables_0430_FP_CAMP&amp;ITReporting_Maintenance_Dashboard 2" xfId="11202" xr:uid="{00000000-0005-0000-0000-0000682B0000}"/>
    <cellStyle name="_20061117Holux_CMS_SOW_Deliverables_0430_FP_CAMP&amp;ITReporting_Maintenance_Dashboard 2_Steps of Doneness" xfId="11203" xr:uid="{00000000-0005-0000-0000-0000692B0000}"/>
    <cellStyle name="_20061117Holux_CMS_SOW_Deliverables_0430_FP_CAMP&amp;ITReporting_Maintenance_Dashboard 3" xfId="11204" xr:uid="{00000000-0005-0000-0000-00006A2B0000}"/>
    <cellStyle name="_20061117Holux_CMS_SOW_Deliverables_0430_FP_CAMP&amp;ITReporting_Maintenance_Dashboard_Steps of Doneness" xfId="11205" xr:uid="{00000000-0005-0000-0000-00006B2B0000}"/>
    <cellStyle name="_20061117Holux_CMS_SOW_Deliverables_0430_FP_CAMPITReporting_Maintenance_Dashboard" xfId="11206" xr:uid="{00000000-0005-0000-0000-00006C2B0000}"/>
    <cellStyle name="_20061117Holux_CMS_SOW_Deliverables_0430_FP_CAMPITReporting_Maintenance_Dashboard 2" xfId="11207" xr:uid="{00000000-0005-0000-0000-00006D2B0000}"/>
    <cellStyle name="_20061117Holux_CMS_SOW_Deliverables_0430_FP_CAMPITReporting_Maintenance_Dashboard 2_Steps of Doneness" xfId="11208" xr:uid="{00000000-0005-0000-0000-00006E2B0000}"/>
    <cellStyle name="_20061117Holux_CMS_SOW_Deliverables_0430_FP_CAMPITReporting_Maintenance_Dashboard 3" xfId="11209" xr:uid="{00000000-0005-0000-0000-00006F2B0000}"/>
    <cellStyle name="_20061117Holux_CMS_SOW_Deliverables_0430_FP_CAMPITReporting_Maintenance_Dashboard_Steps of Doneness" xfId="11210" xr:uid="{00000000-0005-0000-0000-0000702B0000}"/>
    <cellStyle name="_20061117Holux_CMS_SOW_Deliverables_0430_FP_Commissions_Req_Dn_ProgramWorkBook_10-Dec-2010" xfId="11211" xr:uid="{00000000-0005-0000-0000-0000712B0000}"/>
    <cellStyle name="_20061117Holux_CMS_SOW_Deliverables_0430_FP_Commissions_Req_Dn_ProgramWorkBook_10-Dec-2010 2" xfId="11212" xr:uid="{00000000-0005-0000-0000-0000722B0000}"/>
    <cellStyle name="_20061117Holux_CMS_SOW_Deliverables_0430_FP_Commissions_Req_Dn_ProgramWorkBook_10-Dec-2010 2_Steps of Doneness" xfId="11213" xr:uid="{00000000-0005-0000-0000-0000732B0000}"/>
    <cellStyle name="_20061117Holux_CMS_SOW_Deliverables_0430_FP_Commissions_Req_Dn_ProgramWorkBook_10-Dec-2010 3" xfId="11214" xr:uid="{00000000-0005-0000-0000-0000742B0000}"/>
    <cellStyle name="_20061117Holux_CMS_SOW_Deliverables_0430_FP_Commissions_Req_Dn_ProgramWorkBook_10-Dec-2010_Steps of Doneness" xfId="11215" xr:uid="{00000000-0005-0000-0000-0000752B0000}"/>
    <cellStyle name="_20061117Holux_CMS_SOW_Deliverables_0430_FP_DW_Impl_ProgramWorkBook_07-Jan-2011" xfId="11216" xr:uid="{00000000-0005-0000-0000-0000762B0000}"/>
    <cellStyle name="_20061117Holux_CMS_SOW_Deliverables_0430_FP_DW_Impl_ProgramWorkBook_07-Jan-2011 2" xfId="11217" xr:uid="{00000000-0005-0000-0000-0000772B0000}"/>
    <cellStyle name="_20061117Holux_CMS_SOW_Deliverables_0430_FP_DW_Impl_ProgramWorkBook_07-Jan-2011 2 2" xfId="11218" xr:uid="{00000000-0005-0000-0000-0000782B0000}"/>
    <cellStyle name="_20061117Holux_CMS_SOW_Deliverables_0430_FP_DW_Impl_ProgramWorkBook_07-Jan-2011 2 2_Steps of Doneness" xfId="11219" xr:uid="{00000000-0005-0000-0000-0000792B0000}"/>
    <cellStyle name="_20061117Holux_CMS_SOW_Deliverables_0430_FP_DW_Impl_ProgramWorkBook_07-Jan-2011 2 3" xfId="11220" xr:uid="{00000000-0005-0000-0000-00007A2B0000}"/>
    <cellStyle name="_20061117Holux_CMS_SOW_Deliverables_0430_FP_DW_Impl_ProgramWorkBook_07-Jan-2011 2_Steps of Doneness" xfId="11221" xr:uid="{00000000-0005-0000-0000-00007B2B0000}"/>
    <cellStyle name="_20061117Holux_CMS_SOW_Deliverables_0430_FP_DW_Impl_ProgramWorkBook_07-Jan-2011 3" xfId="11222" xr:uid="{00000000-0005-0000-0000-00007C2B0000}"/>
    <cellStyle name="_20061117Holux_CMS_SOW_Deliverables_0430_FP_DW_Impl_ProgramWorkBook_07-Jan-2011 3_Steps of Doneness" xfId="11223" xr:uid="{00000000-0005-0000-0000-00007D2B0000}"/>
    <cellStyle name="_20061117Holux_CMS_SOW_Deliverables_0430_FP_DW_Impl_ProgramWorkBook_07-Jan-2011 4" xfId="11224" xr:uid="{00000000-0005-0000-0000-00007E2B0000}"/>
    <cellStyle name="_20061117Holux_CMS_SOW_Deliverables_0430_FP_DW_Impl_ProgramWorkBook_07-Jan-2011_Steps of Doneness" xfId="11225" xr:uid="{00000000-0005-0000-0000-00007F2B0000}"/>
    <cellStyle name="_20061117Holux_CMS_SOW_Deliverables_0430_FP_DW_Impl_ProgramWorkBook_11-Feb-2011" xfId="11226" xr:uid="{00000000-0005-0000-0000-0000802B0000}"/>
    <cellStyle name="_20061117Holux_CMS_SOW_Deliverables_0430_FP_DW_Impl_ProgramWorkBook_11-Feb-2011 2" xfId="11227" xr:uid="{00000000-0005-0000-0000-0000812B0000}"/>
    <cellStyle name="_20061117Holux_CMS_SOW_Deliverables_0430_FP_DW_Impl_ProgramWorkBook_11-Feb-2011 2_Steps of Doneness" xfId="11228" xr:uid="{00000000-0005-0000-0000-0000822B0000}"/>
    <cellStyle name="_20061117Holux_CMS_SOW_Deliverables_0430_FP_DW_Impl_ProgramWorkBook_11-Feb-2011 3" xfId="11229" xr:uid="{00000000-0005-0000-0000-0000832B0000}"/>
    <cellStyle name="_20061117Holux_CMS_SOW_Deliverables_0430_FP_DW_Impl_ProgramWorkBook_11-Feb-2011_Steps of Doneness" xfId="11230" xr:uid="{00000000-0005-0000-0000-0000842B0000}"/>
    <cellStyle name="_20061117Holux_CMS_SOW_Deliverables_0430_FP_DW_Impl_ProgramWorkBook_18-Feb-2011 - Working" xfId="11231" xr:uid="{00000000-0005-0000-0000-0000852B0000}"/>
    <cellStyle name="_20061117Holux_CMS_SOW_Deliverables_0430_FP_DW_Impl_ProgramWorkBook_18-Feb-2011 - Working 2" xfId="11232" xr:uid="{00000000-0005-0000-0000-0000862B0000}"/>
    <cellStyle name="_20061117Holux_CMS_SOW_Deliverables_0430_FP_DW_Impl_ProgramWorkBook_18-Feb-2011 - Working 2_Steps of Doneness" xfId="11233" xr:uid="{00000000-0005-0000-0000-0000872B0000}"/>
    <cellStyle name="_20061117Holux_CMS_SOW_Deliverables_0430_FP_DW_Impl_ProgramWorkBook_18-Feb-2011 - Working 3" xfId="11234" xr:uid="{00000000-0005-0000-0000-0000882B0000}"/>
    <cellStyle name="_20061117Holux_CMS_SOW_Deliverables_0430_FP_DW_Impl_ProgramWorkBook_18-Feb-2011 - Working_Steps of Doneness" xfId="11235" xr:uid="{00000000-0005-0000-0000-0000892B0000}"/>
    <cellStyle name="_20061117Holux_CMS_SOW_Deliverables_0430_FP_EnterprisePortal_ProgramWorkbook" xfId="11236" xr:uid="{00000000-0005-0000-0000-00008A2B0000}"/>
    <cellStyle name="_20061117Holux_CMS_SOW_Deliverables_0430_FP_EnterprisePortal_ProgramWorkbook 2" xfId="11237" xr:uid="{00000000-0005-0000-0000-00008B2B0000}"/>
    <cellStyle name="_20061117Holux_CMS_SOW_Deliverables_0430_FP_EnterprisePortal_ProgramWorkbook 2_Steps of Doneness" xfId="11238" xr:uid="{00000000-0005-0000-0000-00008C2B0000}"/>
    <cellStyle name="_20061117Holux_CMS_SOW_Deliverables_0430_FP_EnterprisePortal_ProgramWorkbook 3" xfId="11239" xr:uid="{00000000-0005-0000-0000-00008D2B0000}"/>
    <cellStyle name="_20061117Holux_CMS_SOW_Deliverables_0430_FP_EnterprisePortal_ProgramWorkbook_Steps of Doneness" xfId="11240" xr:uid="{00000000-0005-0000-0000-00008E2B0000}"/>
    <cellStyle name="_20061117Holux_CMS_SOW_Deliverables_0430_FP_SAP_MLP v2" xfId="11241" xr:uid="{00000000-0005-0000-0000-00008F2B0000}"/>
    <cellStyle name="_20061117Holux_CMS_SOW_Deliverables_0430_FP_SAP_MLP v2 2" xfId="11242" xr:uid="{00000000-0005-0000-0000-0000902B0000}"/>
    <cellStyle name="_20061117Holux_CMS_SOW_Deliverables_0430_FP_SAP_MLP v2 2_Steps of Doneness" xfId="11243" xr:uid="{00000000-0005-0000-0000-0000912B0000}"/>
    <cellStyle name="_20061117Holux_CMS_SOW_Deliverables_0430_FP_SAP_MLP v2 3" xfId="11244" xr:uid="{00000000-0005-0000-0000-0000922B0000}"/>
    <cellStyle name="_20061117Holux_CMS_SOW_Deliverables_0430_FP_SAP_MLP v2_Steps of Doneness" xfId="11245" xr:uid="{00000000-0005-0000-0000-0000932B0000}"/>
    <cellStyle name="_20061117Holux_CMS_SOW_Deliverables_0430_KeyDecisions" xfId="11246" xr:uid="{00000000-0005-0000-0000-0000942B0000}"/>
    <cellStyle name="_20061117Holux_CMS_SOW_Deliverables_0430_KeyDecisions 2" xfId="11247" xr:uid="{00000000-0005-0000-0000-0000952B0000}"/>
    <cellStyle name="_20061117Holux_CMS_SOW_Deliverables_0430_KeyDecisions 2_Steps of Doneness" xfId="11248" xr:uid="{00000000-0005-0000-0000-0000962B0000}"/>
    <cellStyle name="_20061117Holux_CMS_SOW_Deliverables_0430_KeyDecisions 3" xfId="11249" xr:uid="{00000000-0005-0000-0000-0000972B0000}"/>
    <cellStyle name="_20061117Holux_CMS_SOW_Deliverables_0430_KeyDecisions_Steps of Doneness" xfId="11250" xr:uid="{00000000-0005-0000-0000-0000982B0000}"/>
    <cellStyle name="_20061117Holux_CMS_SOW_Deliverables_0430_Sophia_Imp_ProjectWorkBook_02_18_2011" xfId="11251" xr:uid="{00000000-0005-0000-0000-0000992B0000}"/>
    <cellStyle name="_20061117Holux_CMS_SOW_Deliverables_0430_Sophia_Imp_ProjectWorkBook_02_18_2011 2" xfId="11252" xr:uid="{00000000-0005-0000-0000-00009A2B0000}"/>
    <cellStyle name="_20061117Holux_CMS_SOW_Deliverables_0430_Sophia_Imp_ProjectWorkBook_02_18_2011 2_Steps of Doneness" xfId="11253" xr:uid="{00000000-0005-0000-0000-00009B2B0000}"/>
    <cellStyle name="_20061117Holux_CMS_SOW_Deliverables_0430_Sophia_Imp_ProjectWorkBook_02_18_2011 3" xfId="11254" xr:uid="{00000000-0005-0000-0000-00009C2B0000}"/>
    <cellStyle name="_20061117Holux_CMS_SOW_Deliverables_0430_Sophia_Imp_ProjectWorkBook_02_18_2011_Steps of Doneness" xfId="11255" xr:uid="{00000000-0005-0000-0000-00009D2B0000}"/>
    <cellStyle name="_20061117Holux_CMS_SOW_Deliverables_0430_Steps of Doneness" xfId="11256" xr:uid="{00000000-0005-0000-0000-00009E2B0000}"/>
    <cellStyle name="_20061117Holux_CMS_SOW_Deliverables_0430_t" xfId="11257" xr:uid="{00000000-0005-0000-0000-00009F2B0000}"/>
    <cellStyle name="_20061117Holux_CMS_SOW_Deliverables_0430_t 2" xfId="11258" xr:uid="{00000000-0005-0000-0000-0000A02B0000}"/>
    <cellStyle name="_20061117Holux_CMS_SOW_Deliverables_0430_t 2_Steps of Doneness" xfId="11259" xr:uid="{00000000-0005-0000-0000-0000A12B0000}"/>
    <cellStyle name="_20061117Holux_CMS_SOW_Deliverables_0430_t 3" xfId="11260" xr:uid="{00000000-0005-0000-0000-0000A22B0000}"/>
    <cellStyle name="_20061117Holux_CMS_SOW_Deliverables_0430_t_Steps of Doneness" xfId="11261" xr:uid="{00000000-0005-0000-0000-0000A32B0000}"/>
    <cellStyle name="_20061117Holux_CMS_Web_Design_Phase_Deliverables_0610" xfId="11262" xr:uid="{00000000-0005-0000-0000-0000A42B0000}"/>
    <cellStyle name="_20061117Holux_CMS_Web_Design_Phase_Deliverables_0610 2" xfId="11263" xr:uid="{00000000-0005-0000-0000-0000A52B0000}"/>
    <cellStyle name="_20061117Holux_CMS_Web_Design_Phase_Deliverables_0610 2 2" xfId="11264" xr:uid="{00000000-0005-0000-0000-0000A62B0000}"/>
    <cellStyle name="_20061117Holux_CMS_Web_Design_Phase_Deliverables_0610 2 2_Steps of Doneness" xfId="11265" xr:uid="{00000000-0005-0000-0000-0000A72B0000}"/>
    <cellStyle name="_20061117Holux_CMS_Web_Design_Phase_Deliverables_0610 2 3" xfId="11266" xr:uid="{00000000-0005-0000-0000-0000A82B0000}"/>
    <cellStyle name="_20061117Holux_CMS_Web_Design_Phase_Deliverables_0610 2_Steps of Doneness" xfId="11267" xr:uid="{00000000-0005-0000-0000-0000A92B0000}"/>
    <cellStyle name="_20061117Holux_CMS_Web_Design_Phase_Deliverables_0610 3" xfId="11268" xr:uid="{00000000-0005-0000-0000-0000AA2B0000}"/>
    <cellStyle name="_20061117Holux_CMS_Web_Design_Phase_Deliverables_0610 3 2" xfId="11269" xr:uid="{00000000-0005-0000-0000-0000AB2B0000}"/>
    <cellStyle name="_20061117Holux_CMS_Web_Design_Phase_Deliverables_0610 3 2_Steps of Doneness" xfId="11270" xr:uid="{00000000-0005-0000-0000-0000AC2B0000}"/>
    <cellStyle name="_20061117Holux_CMS_Web_Design_Phase_Deliverables_0610 3 3" xfId="11271" xr:uid="{00000000-0005-0000-0000-0000AD2B0000}"/>
    <cellStyle name="_20061117Holux_CMS_Web_Design_Phase_Deliverables_0610 3_Steps of Doneness" xfId="11272" xr:uid="{00000000-0005-0000-0000-0000AE2B0000}"/>
    <cellStyle name="_20061117Holux_CMS_Web_Design_Phase_Deliverables_0610 4" xfId="11273" xr:uid="{00000000-0005-0000-0000-0000AF2B0000}"/>
    <cellStyle name="_20061117Holux_CMS_Web_Design_Phase_Deliverables_0610 4_Steps of Doneness" xfId="11274" xr:uid="{00000000-0005-0000-0000-0000B02B0000}"/>
    <cellStyle name="_20061117Holux_CMS_Web_Design_Phase_Deliverables_0610 5" xfId="11275" xr:uid="{00000000-0005-0000-0000-0000B12B0000}"/>
    <cellStyle name="_20061117Holux_CMS_Web_Design_Phase_Deliverables_0610 6" xfId="11276" xr:uid="{00000000-0005-0000-0000-0000B22B0000}"/>
    <cellStyle name="_20061117Holux_CMS_Web_Design_Phase_Deliverables_0610_Commissioning System Implementation_Project Workbook_06_10_2011" xfId="11277" xr:uid="{00000000-0005-0000-0000-0000B32B0000}"/>
    <cellStyle name="_20061117Holux_CMS_Web_Design_Phase_Deliverables_0610_Commissioning System Implementation_Project Workbook_06_10_2011 2" xfId="11278" xr:uid="{00000000-0005-0000-0000-0000B42B0000}"/>
    <cellStyle name="_20061117Holux_CMS_Web_Design_Phase_Deliverables_0610_Commissioning System Implementation_Project Workbook_06_10_2011 2_Steps of Doneness" xfId="11279" xr:uid="{00000000-0005-0000-0000-0000B52B0000}"/>
    <cellStyle name="_20061117Holux_CMS_Web_Design_Phase_Deliverables_0610_Commissioning System Implementation_Project Workbook_06_10_2011 3" xfId="11280" xr:uid="{00000000-0005-0000-0000-0000B62B0000}"/>
    <cellStyle name="_20061117Holux_CMS_Web_Design_Phase_Deliverables_0610_Commissioning System Implementation_Project Workbook_06_10_2011_Steps of Doneness" xfId="11281" xr:uid="{00000000-0005-0000-0000-0000B72B0000}"/>
    <cellStyle name="_20061117Holux_CMS_Web_Design_Phase_Deliverables_0610_FairPoint_CampReport" xfId="11282" xr:uid="{00000000-0005-0000-0000-0000B82B0000}"/>
    <cellStyle name="_20061117Holux_CMS_Web_Design_Phase_Deliverables_0610_FairPoint_CampReport 2" xfId="11283" xr:uid="{00000000-0005-0000-0000-0000B92B0000}"/>
    <cellStyle name="_20061117Holux_CMS_Web_Design_Phase_Deliverables_0610_FairPoint_CampReport 2_Steps of Doneness" xfId="11284" xr:uid="{00000000-0005-0000-0000-0000BA2B0000}"/>
    <cellStyle name="_20061117Holux_CMS_Web_Design_Phase_Deliverables_0610_FairPoint_CampReport 3" xfId="11285" xr:uid="{00000000-0005-0000-0000-0000BB2B0000}"/>
    <cellStyle name="_20061117Holux_CMS_Web_Design_Phase_Deliverables_0610_FairPoint_CampReport_Steps of Doneness" xfId="11286" xr:uid="{00000000-0005-0000-0000-0000BC2B0000}"/>
    <cellStyle name="_20061117Holux_CMS_Web_Design_Phase_Deliverables_0610_FairPoint_FP comTechOps_ProgramWorkbook" xfId="11287" xr:uid="{00000000-0005-0000-0000-0000BD2B0000}"/>
    <cellStyle name="_20061117Holux_CMS_Web_Design_Phase_Deliverables_0610_FairPoint_FP comTechOps_ProgramWorkbook 2" xfId="11288" xr:uid="{00000000-0005-0000-0000-0000BE2B0000}"/>
    <cellStyle name="_20061117Holux_CMS_Web_Design_Phase_Deliverables_0610_FairPoint_FP comTechOps_ProgramWorkbook 2_Steps of Doneness" xfId="11289" xr:uid="{00000000-0005-0000-0000-0000BF2B0000}"/>
    <cellStyle name="_20061117Holux_CMS_Web_Design_Phase_Deliverables_0610_FairPoint_FP comTechOps_ProgramWorkbook 3" xfId="11290" xr:uid="{00000000-0005-0000-0000-0000C02B0000}"/>
    <cellStyle name="_20061117Holux_CMS_Web_Design_Phase_Deliverables_0610_FairPoint_FP comTechOps_ProgramWorkbook_sachin" xfId="11291" xr:uid="{00000000-0005-0000-0000-0000C12B0000}"/>
    <cellStyle name="_20061117Holux_CMS_Web_Design_Phase_Deliverables_0610_FairPoint_FP comTechOps_ProgramWorkbook_sachin 2" xfId="11292" xr:uid="{00000000-0005-0000-0000-0000C22B0000}"/>
    <cellStyle name="_20061117Holux_CMS_Web_Design_Phase_Deliverables_0610_FairPoint_FP comTechOps_ProgramWorkbook_sachin 2_Steps of Doneness" xfId="11293" xr:uid="{00000000-0005-0000-0000-0000C32B0000}"/>
    <cellStyle name="_20061117Holux_CMS_Web_Design_Phase_Deliverables_0610_FairPoint_FP comTechOps_ProgramWorkbook_sachin 3" xfId="11294" xr:uid="{00000000-0005-0000-0000-0000C42B0000}"/>
    <cellStyle name="_20061117Holux_CMS_Web_Design_Phase_Deliverables_0610_FairPoint_FP comTechOps_ProgramWorkbook_sachin_Steps of Doneness" xfId="11295" xr:uid="{00000000-0005-0000-0000-0000C52B0000}"/>
    <cellStyle name="_20061117Holux_CMS_Web_Design_Phase_Deliverables_0610_FairPoint_FP comTechOps_ProgramWorkbook_sachin_v1" xfId="11296" xr:uid="{00000000-0005-0000-0000-0000C62B0000}"/>
    <cellStyle name="_20061117Holux_CMS_Web_Design_Phase_Deliverables_0610_FairPoint_FP comTechOps_ProgramWorkbook_sachin_v1 2" xfId="11297" xr:uid="{00000000-0005-0000-0000-0000C72B0000}"/>
    <cellStyle name="_20061117Holux_CMS_Web_Design_Phase_Deliverables_0610_FairPoint_FP comTechOps_ProgramWorkbook_sachin_v1 2_Steps of Doneness" xfId="11298" xr:uid="{00000000-0005-0000-0000-0000C82B0000}"/>
    <cellStyle name="_20061117Holux_CMS_Web_Design_Phase_Deliverables_0610_FairPoint_FP comTechOps_ProgramWorkbook_sachin_v1 3" xfId="11299" xr:uid="{00000000-0005-0000-0000-0000C92B0000}"/>
    <cellStyle name="_20061117Holux_CMS_Web_Design_Phase_Deliverables_0610_FairPoint_FP comTechOps_ProgramWorkbook_sachin_v1_Steps of Doneness" xfId="11300" xr:uid="{00000000-0005-0000-0000-0000CA2B0000}"/>
    <cellStyle name="_20061117Holux_CMS_Web_Design_Phase_Deliverables_0610_FairPoint_FP comTechOps_ProgramWorkbook_Steps of Doneness" xfId="11301" xr:uid="{00000000-0005-0000-0000-0000CB2B0000}"/>
    <cellStyle name="_20061117Holux_CMS_Web_Design_Phase_Deliverables_0610_FP_CAMP&amp;ITReporting_Maintenance_Dashboard" xfId="11302" xr:uid="{00000000-0005-0000-0000-0000CC2B0000}"/>
    <cellStyle name="_20061117Holux_CMS_Web_Design_Phase_Deliverables_0610_FP_CAMP&amp;ITReporting_Maintenance_Dashboard 2" xfId="11303" xr:uid="{00000000-0005-0000-0000-0000CD2B0000}"/>
    <cellStyle name="_20061117Holux_CMS_Web_Design_Phase_Deliverables_0610_FP_CAMP&amp;ITReporting_Maintenance_Dashboard 2_Steps of Doneness" xfId="11304" xr:uid="{00000000-0005-0000-0000-0000CE2B0000}"/>
    <cellStyle name="_20061117Holux_CMS_Web_Design_Phase_Deliverables_0610_FP_CAMP&amp;ITReporting_Maintenance_Dashboard 3" xfId="11305" xr:uid="{00000000-0005-0000-0000-0000CF2B0000}"/>
    <cellStyle name="_20061117Holux_CMS_Web_Design_Phase_Deliverables_0610_FP_CAMP&amp;ITReporting_Maintenance_Dashboard_Steps of Doneness" xfId="11306" xr:uid="{00000000-0005-0000-0000-0000D02B0000}"/>
    <cellStyle name="_20061117Holux_CMS_Web_Design_Phase_Deliverables_0610_FP_CAMPITReporting_Maintenance_Dashboard" xfId="11307" xr:uid="{00000000-0005-0000-0000-0000D12B0000}"/>
    <cellStyle name="_20061117Holux_CMS_Web_Design_Phase_Deliverables_0610_FP_CAMPITReporting_Maintenance_Dashboard 2" xfId="11308" xr:uid="{00000000-0005-0000-0000-0000D22B0000}"/>
    <cellStyle name="_20061117Holux_CMS_Web_Design_Phase_Deliverables_0610_FP_CAMPITReporting_Maintenance_Dashboard 2_Steps of Doneness" xfId="11309" xr:uid="{00000000-0005-0000-0000-0000D32B0000}"/>
    <cellStyle name="_20061117Holux_CMS_Web_Design_Phase_Deliverables_0610_FP_CAMPITReporting_Maintenance_Dashboard 3" xfId="11310" xr:uid="{00000000-0005-0000-0000-0000D42B0000}"/>
    <cellStyle name="_20061117Holux_CMS_Web_Design_Phase_Deliverables_0610_FP_CAMPITReporting_Maintenance_Dashboard_Steps of Doneness" xfId="11311" xr:uid="{00000000-0005-0000-0000-0000D52B0000}"/>
    <cellStyle name="_20061117Holux_CMS_Web_Design_Phase_Deliverables_0610_FP_Commissions_Req_Dn_ProgramWorkBook_10-Dec-2010" xfId="11312" xr:uid="{00000000-0005-0000-0000-0000D62B0000}"/>
    <cellStyle name="_20061117Holux_CMS_Web_Design_Phase_Deliverables_0610_FP_Commissions_Req_Dn_ProgramWorkBook_10-Dec-2010 2" xfId="11313" xr:uid="{00000000-0005-0000-0000-0000D72B0000}"/>
    <cellStyle name="_20061117Holux_CMS_Web_Design_Phase_Deliverables_0610_FP_Commissions_Req_Dn_ProgramWorkBook_10-Dec-2010 2_Steps of Doneness" xfId="11314" xr:uid="{00000000-0005-0000-0000-0000D82B0000}"/>
    <cellStyle name="_20061117Holux_CMS_Web_Design_Phase_Deliverables_0610_FP_Commissions_Req_Dn_ProgramWorkBook_10-Dec-2010 3" xfId="11315" xr:uid="{00000000-0005-0000-0000-0000D92B0000}"/>
    <cellStyle name="_20061117Holux_CMS_Web_Design_Phase_Deliverables_0610_FP_Commissions_Req_Dn_ProgramWorkBook_10-Dec-2010_Steps of Doneness" xfId="11316" xr:uid="{00000000-0005-0000-0000-0000DA2B0000}"/>
    <cellStyle name="_20061117Holux_CMS_Web_Design_Phase_Deliverables_0610_FP_DW_Impl_ProgramWorkBook_07-Jan-2011" xfId="11317" xr:uid="{00000000-0005-0000-0000-0000DB2B0000}"/>
    <cellStyle name="_20061117Holux_CMS_Web_Design_Phase_Deliverables_0610_FP_DW_Impl_ProgramWorkBook_07-Jan-2011 2" xfId="11318" xr:uid="{00000000-0005-0000-0000-0000DC2B0000}"/>
    <cellStyle name="_20061117Holux_CMS_Web_Design_Phase_Deliverables_0610_FP_DW_Impl_ProgramWorkBook_07-Jan-2011 2 2" xfId="11319" xr:uid="{00000000-0005-0000-0000-0000DD2B0000}"/>
    <cellStyle name="_20061117Holux_CMS_Web_Design_Phase_Deliverables_0610_FP_DW_Impl_ProgramWorkBook_07-Jan-2011 2 2_Steps of Doneness" xfId="11320" xr:uid="{00000000-0005-0000-0000-0000DE2B0000}"/>
    <cellStyle name="_20061117Holux_CMS_Web_Design_Phase_Deliverables_0610_FP_DW_Impl_ProgramWorkBook_07-Jan-2011 2 3" xfId="11321" xr:uid="{00000000-0005-0000-0000-0000DF2B0000}"/>
    <cellStyle name="_20061117Holux_CMS_Web_Design_Phase_Deliverables_0610_FP_DW_Impl_ProgramWorkBook_07-Jan-2011 2_Steps of Doneness" xfId="11322" xr:uid="{00000000-0005-0000-0000-0000E02B0000}"/>
    <cellStyle name="_20061117Holux_CMS_Web_Design_Phase_Deliverables_0610_FP_DW_Impl_ProgramWorkBook_07-Jan-2011 3" xfId="11323" xr:uid="{00000000-0005-0000-0000-0000E12B0000}"/>
    <cellStyle name="_20061117Holux_CMS_Web_Design_Phase_Deliverables_0610_FP_DW_Impl_ProgramWorkBook_07-Jan-2011 3_Steps of Doneness" xfId="11324" xr:uid="{00000000-0005-0000-0000-0000E22B0000}"/>
    <cellStyle name="_20061117Holux_CMS_Web_Design_Phase_Deliverables_0610_FP_DW_Impl_ProgramWorkBook_07-Jan-2011 4" xfId="11325" xr:uid="{00000000-0005-0000-0000-0000E32B0000}"/>
    <cellStyle name="_20061117Holux_CMS_Web_Design_Phase_Deliverables_0610_FP_DW_Impl_ProgramWorkBook_07-Jan-2011_Steps of Doneness" xfId="11326" xr:uid="{00000000-0005-0000-0000-0000E42B0000}"/>
    <cellStyle name="_20061117Holux_CMS_Web_Design_Phase_Deliverables_0610_FP_DW_Impl_ProgramWorkBook_11-Feb-2011" xfId="11327" xr:uid="{00000000-0005-0000-0000-0000E52B0000}"/>
    <cellStyle name="_20061117Holux_CMS_Web_Design_Phase_Deliverables_0610_FP_DW_Impl_ProgramWorkBook_11-Feb-2011 2" xfId="11328" xr:uid="{00000000-0005-0000-0000-0000E62B0000}"/>
    <cellStyle name="_20061117Holux_CMS_Web_Design_Phase_Deliverables_0610_FP_DW_Impl_ProgramWorkBook_11-Feb-2011 2_Steps of Doneness" xfId="11329" xr:uid="{00000000-0005-0000-0000-0000E72B0000}"/>
    <cellStyle name="_20061117Holux_CMS_Web_Design_Phase_Deliverables_0610_FP_DW_Impl_ProgramWorkBook_11-Feb-2011 3" xfId="11330" xr:uid="{00000000-0005-0000-0000-0000E82B0000}"/>
    <cellStyle name="_20061117Holux_CMS_Web_Design_Phase_Deliverables_0610_FP_DW_Impl_ProgramWorkBook_11-Feb-2011_Steps of Doneness" xfId="11331" xr:uid="{00000000-0005-0000-0000-0000E92B0000}"/>
    <cellStyle name="_20061117Holux_CMS_Web_Design_Phase_Deliverables_0610_FP_DW_Impl_ProgramWorkBook_18-Feb-2011 - Working" xfId="11332" xr:uid="{00000000-0005-0000-0000-0000EA2B0000}"/>
    <cellStyle name="_20061117Holux_CMS_Web_Design_Phase_Deliverables_0610_FP_DW_Impl_ProgramWorkBook_18-Feb-2011 - Working 2" xfId="11333" xr:uid="{00000000-0005-0000-0000-0000EB2B0000}"/>
    <cellStyle name="_20061117Holux_CMS_Web_Design_Phase_Deliverables_0610_FP_DW_Impl_ProgramWorkBook_18-Feb-2011 - Working 2_Steps of Doneness" xfId="11334" xr:uid="{00000000-0005-0000-0000-0000EC2B0000}"/>
    <cellStyle name="_20061117Holux_CMS_Web_Design_Phase_Deliverables_0610_FP_DW_Impl_ProgramWorkBook_18-Feb-2011 - Working 3" xfId="11335" xr:uid="{00000000-0005-0000-0000-0000ED2B0000}"/>
    <cellStyle name="_20061117Holux_CMS_Web_Design_Phase_Deliverables_0610_FP_DW_Impl_ProgramWorkBook_18-Feb-2011 - Working_Steps of Doneness" xfId="11336" xr:uid="{00000000-0005-0000-0000-0000EE2B0000}"/>
    <cellStyle name="_20061117Holux_CMS_Web_Design_Phase_Deliverables_0610_FP_EnterprisePortal_ProgramWorkbook" xfId="11337" xr:uid="{00000000-0005-0000-0000-0000EF2B0000}"/>
    <cellStyle name="_20061117Holux_CMS_Web_Design_Phase_Deliverables_0610_FP_EnterprisePortal_ProgramWorkbook 2" xfId="11338" xr:uid="{00000000-0005-0000-0000-0000F02B0000}"/>
    <cellStyle name="_20061117Holux_CMS_Web_Design_Phase_Deliverables_0610_FP_EnterprisePortal_ProgramWorkbook 2_Steps of Doneness" xfId="11339" xr:uid="{00000000-0005-0000-0000-0000F12B0000}"/>
    <cellStyle name="_20061117Holux_CMS_Web_Design_Phase_Deliverables_0610_FP_EnterprisePortal_ProgramWorkbook 3" xfId="11340" xr:uid="{00000000-0005-0000-0000-0000F22B0000}"/>
    <cellStyle name="_20061117Holux_CMS_Web_Design_Phase_Deliverables_0610_FP_EnterprisePortal_ProgramWorkbook_Steps of Doneness" xfId="11341" xr:uid="{00000000-0005-0000-0000-0000F32B0000}"/>
    <cellStyle name="_20061117Holux_CMS_Web_Design_Phase_Deliverables_0610_FP_SAP_MLP v2" xfId="11342" xr:uid="{00000000-0005-0000-0000-0000F42B0000}"/>
    <cellStyle name="_20061117Holux_CMS_Web_Design_Phase_Deliverables_0610_FP_SAP_MLP v2 2" xfId="11343" xr:uid="{00000000-0005-0000-0000-0000F52B0000}"/>
    <cellStyle name="_20061117Holux_CMS_Web_Design_Phase_Deliverables_0610_FP_SAP_MLP v2 2_Steps of Doneness" xfId="11344" xr:uid="{00000000-0005-0000-0000-0000F62B0000}"/>
    <cellStyle name="_20061117Holux_CMS_Web_Design_Phase_Deliverables_0610_FP_SAP_MLP v2 3" xfId="11345" xr:uid="{00000000-0005-0000-0000-0000F72B0000}"/>
    <cellStyle name="_20061117Holux_CMS_Web_Design_Phase_Deliverables_0610_FP_SAP_MLP v2_Steps of Doneness" xfId="11346" xr:uid="{00000000-0005-0000-0000-0000F82B0000}"/>
    <cellStyle name="_20061117Holux_CMS_Web_Design_Phase_Deliverables_0610_KeyDecisions" xfId="11347" xr:uid="{00000000-0005-0000-0000-0000F92B0000}"/>
    <cellStyle name="_20061117Holux_CMS_Web_Design_Phase_Deliverables_0610_KeyDecisions 2" xfId="11348" xr:uid="{00000000-0005-0000-0000-0000FA2B0000}"/>
    <cellStyle name="_20061117Holux_CMS_Web_Design_Phase_Deliverables_0610_KeyDecisions 2_Steps of Doneness" xfId="11349" xr:uid="{00000000-0005-0000-0000-0000FB2B0000}"/>
    <cellStyle name="_20061117Holux_CMS_Web_Design_Phase_Deliverables_0610_KeyDecisions 3" xfId="11350" xr:uid="{00000000-0005-0000-0000-0000FC2B0000}"/>
    <cellStyle name="_20061117Holux_CMS_Web_Design_Phase_Deliverables_0610_KeyDecisions_Steps of Doneness" xfId="11351" xr:uid="{00000000-0005-0000-0000-0000FD2B0000}"/>
    <cellStyle name="_20061117Holux_CMS_Web_Design_Phase_Deliverables_0610_Sophia_Imp_ProjectWorkBook_02_18_2011" xfId="11352" xr:uid="{00000000-0005-0000-0000-0000FE2B0000}"/>
    <cellStyle name="_20061117Holux_CMS_Web_Design_Phase_Deliverables_0610_Sophia_Imp_ProjectWorkBook_02_18_2011 2" xfId="11353" xr:uid="{00000000-0005-0000-0000-0000FF2B0000}"/>
    <cellStyle name="_20061117Holux_CMS_Web_Design_Phase_Deliverables_0610_Sophia_Imp_ProjectWorkBook_02_18_2011 2_Steps of Doneness" xfId="11354" xr:uid="{00000000-0005-0000-0000-0000002C0000}"/>
    <cellStyle name="_20061117Holux_CMS_Web_Design_Phase_Deliverables_0610_Sophia_Imp_ProjectWorkBook_02_18_2011 3" xfId="11355" xr:uid="{00000000-0005-0000-0000-0000012C0000}"/>
    <cellStyle name="_20061117Holux_CMS_Web_Design_Phase_Deliverables_0610_Sophia_Imp_ProjectWorkBook_02_18_2011_Steps of Doneness" xfId="11356" xr:uid="{00000000-0005-0000-0000-0000022C0000}"/>
    <cellStyle name="_20061117Holux_CMS_Web_Design_Phase_Deliverables_0610_Steps of Doneness" xfId="11357" xr:uid="{00000000-0005-0000-0000-0000032C0000}"/>
    <cellStyle name="_20061117Holux_CMS_Web_Design_Phase_Deliverables_0610_t" xfId="11358" xr:uid="{00000000-0005-0000-0000-0000042C0000}"/>
    <cellStyle name="_20061117Holux_CMS_Web_Design_Phase_Deliverables_0610_t 2" xfId="11359" xr:uid="{00000000-0005-0000-0000-0000052C0000}"/>
    <cellStyle name="_20061117Holux_CMS_Web_Design_Phase_Deliverables_0610_t 2_Steps of Doneness" xfId="11360" xr:uid="{00000000-0005-0000-0000-0000062C0000}"/>
    <cellStyle name="_20061117Holux_CMS_Web_Design_Phase_Deliverables_0610_t 3" xfId="11361" xr:uid="{00000000-0005-0000-0000-0000072C0000}"/>
    <cellStyle name="_20061117Holux_CMS_Web_Design_Phase_Deliverables_0610_t_Steps of Doneness" xfId="11362" xr:uid="{00000000-0005-0000-0000-0000082C0000}"/>
    <cellStyle name="_20061117Holux_CMS_Web_Design_Phase_Deliverables_0618a" xfId="11363" xr:uid="{00000000-0005-0000-0000-0000092C0000}"/>
    <cellStyle name="_20061117Holux_CMS_Web_Design_Phase_Deliverables_0618a 2" xfId="11364" xr:uid="{00000000-0005-0000-0000-00000A2C0000}"/>
    <cellStyle name="_20061117Holux_CMS_Web_Design_Phase_Deliverables_0618a 2 2" xfId="11365" xr:uid="{00000000-0005-0000-0000-00000B2C0000}"/>
    <cellStyle name="_20061117Holux_CMS_Web_Design_Phase_Deliverables_0618a 2 2_Steps of Doneness" xfId="11366" xr:uid="{00000000-0005-0000-0000-00000C2C0000}"/>
    <cellStyle name="_20061117Holux_CMS_Web_Design_Phase_Deliverables_0618a 2 3" xfId="11367" xr:uid="{00000000-0005-0000-0000-00000D2C0000}"/>
    <cellStyle name="_20061117Holux_CMS_Web_Design_Phase_Deliverables_0618a 2_Steps of Doneness" xfId="11368" xr:uid="{00000000-0005-0000-0000-00000E2C0000}"/>
    <cellStyle name="_20061117Holux_CMS_Web_Design_Phase_Deliverables_0618a 3" xfId="11369" xr:uid="{00000000-0005-0000-0000-00000F2C0000}"/>
    <cellStyle name="_20061117Holux_CMS_Web_Design_Phase_Deliverables_0618a 3 2" xfId="11370" xr:uid="{00000000-0005-0000-0000-0000102C0000}"/>
    <cellStyle name="_20061117Holux_CMS_Web_Design_Phase_Deliverables_0618a 3 2_Steps of Doneness" xfId="11371" xr:uid="{00000000-0005-0000-0000-0000112C0000}"/>
    <cellStyle name="_20061117Holux_CMS_Web_Design_Phase_Deliverables_0618a 3 3" xfId="11372" xr:uid="{00000000-0005-0000-0000-0000122C0000}"/>
    <cellStyle name="_20061117Holux_CMS_Web_Design_Phase_Deliverables_0618a 3_Steps of Doneness" xfId="11373" xr:uid="{00000000-0005-0000-0000-0000132C0000}"/>
    <cellStyle name="_20061117Holux_CMS_Web_Design_Phase_Deliverables_0618a 4" xfId="11374" xr:uid="{00000000-0005-0000-0000-0000142C0000}"/>
    <cellStyle name="_20061117Holux_CMS_Web_Design_Phase_Deliverables_0618a 4_Steps of Doneness" xfId="11375" xr:uid="{00000000-0005-0000-0000-0000152C0000}"/>
    <cellStyle name="_20061117Holux_CMS_Web_Design_Phase_Deliverables_0618a 5" xfId="11376" xr:uid="{00000000-0005-0000-0000-0000162C0000}"/>
    <cellStyle name="_20061117Holux_CMS_Web_Design_Phase_Deliverables_0618a 6" xfId="11377" xr:uid="{00000000-0005-0000-0000-0000172C0000}"/>
    <cellStyle name="_20061117Holux_CMS_Web_Design_Phase_Deliverables_0618a_Commissioning System Implementation_Project Workbook_06_10_2011" xfId="11378" xr:uid="{00000000-0005-0000-0000-0000182C0000}"/>
    <cellStyle name="_20061117Holux_CMS_Web_Design_Phase_Deliverables_0618a_Commissioning System Implementation_Project Workbook_06_10_2011 2" xfId="11379" xr:uid="{00000000-0005-0000-0000-0000192C0000}"/>
    <cellStyle name="_20061117Holux_CMS_Web_Design_Phase_Deliverables_0618a_Commissioning System Implementation_Project Workbook_06_10_2011 2_Steps of Doneness" xfId="11380" xr:uid="{00000000-0005-0000-0000-00001A2C0000}"/>
    <cellStyle name="_20061117Holux_CMS_Web_Design_Phase_Deliverables_0618a_Commissioning System Implementation_Project Workbook_06_10_2011 3" xfId="11381" xr:uid="{00000000-0005-0000-0000-00001B2C0000}"/>
    <cellStyle name="_20061117Holux_CMS_Web_Design_Phase_Deliverables_0618a_Commissioning System Implementation_Project Workbook_06_10_2011_Steps of Doneness" xfId="11382" xr:uid="{00000000-0005-0000-0000-00001C2C0000}"/>
    <cellStyle name="_20061117Holux_CMS_Web_Design_Phase_Deliverables_0618a_FairPoint_CampReport" xfId="11383" xr:uid="{00000000-0005-0000-0000-00001D2C0000}"/>
    <cellStyle name="_20061117Holux_CMS_Web_Design_Phase_Deliverables_0618a_FairPoint_CampReport 2" xfId="11384" xr:uid="{00000000-0005-0000-0000-00001E2C0000}"/>
    <cellStyle name="_20061117Holux_CMS_Web_Design_Phase_Deliverables_0618a_FairPoint_CampReport 2_Steps of Doneness" xfId="11385" xr:uid="{00000000-0005-0000-0000-00001F2C0000}"/>
    <cellStyle name="_20061117Holux_CMS_Web_Design_Phase_Deliverables_0618a_FairPoint_CampReport 3" xfId="11386" xr:uid="{00000000-0005-0000-0000-0000202C0000}"/>
    <cellStyle name="_20061117Holux_CMS_Web_Design_Phase_Deliverables_0618a_FairPoint_CampReport_Steps of Doneness" xfId="11387" xr:uid="{00000000-0005-0000-0000-0000212C0000}"/>
    <cellStyle name="_20061117Holux_CMS_Web_Design_Phase_Deliverables_0618a_FairPoint_FP comTechOps_ProgramWorkbook" xfId="11388" xr:uid="{00000000-0005-0000-0000-0000222C0000}"/>
    <cellStyle name="_20061117Holux_CMS_Web_Design_Phase_Deliverables_0618a_FairPoint_FP comTechOps_ProgramWorkbook 2" xfId="11389" xr:uid="{00000000-0005-0000-0000-0000232C0000}"/>
    <cellStyle name="_20061117Holux_CMS_Web_Design_Phase_Deliverables_0618a_FairPoint_FP comTechOps_ProgramWorkbook 2_Steps of Doneness" xfId="11390" xr:uid="{00000000-0005-0000-0000-0000242C0000}"/>
    <cellStyle name="_20061117Holux_CMS_Web_Design_Phase_Deliverables_0618a_FairPoint_FP comTechOps_ProgramWorkbook 3" xfId="11391" xr:uid="{00000000-0005-0000-0000-0000252C0000}"/>
    <cellStyle name="_20061117Holux_CMS_Web_Design_Phase_Deliverables_0618a_FairPoint_FP comTechOps_ProgramWorkbook_sachin" xfId="11392" xr:uid="{00000000-0005-0000-0000-0000262C0000}"/>
    <cellStyle name="_20061117Holux_CMS_Web_Design_Phase_Deliverables_0618a_FairPoint_FP comTechOps_ProgramWorkbook_sachin 2" xfId="11393" xr:uid="{00000000-0005-0000-0000-0000272C0000}"/>
    <cellStyle name="_20061117Holux_CMS_Web_Design_Phase_Deliverables_0618a_FairPoint_FP comTechOps_ProgramWorkbook_sachin 2_Steps of Doneness" xfId="11394" xr:uid="{00000000-0005-0000-0000-0000282C0000}"/>
    <cellStyle name="_20061117Holux_CMS_Web_Design_Phase_Deliverables_0618a_FairPoint_FP comTechOps_ProgramWorkbook_sachin 3" xfId="11395" xr:uid="{00000000-0005-0000-0000-0000292C0000}"/>
    <cellStyle name="_20061117Holux_CMS_Web_Design_Phase_Deliverables_0618a_FairPoint_FP comTechOps_ProgramWorkbook_sachin_Steps of Doneness" xfId="11396" xr:uid="{00000000-0005-0000-0000-00002A2C0000}"/>
    <cellStyle name="_20061117Holux_CMS_Web_Design_Phase_Deliverables_0618a_FairPoint_FP comTechOps_ProgramWorkbook_sachin_v1" xfId="11397" xr:uid="{00000000-0005-0000-0000-00002B2C0000}"/>
    <cellStyle name="_20061117Holux_CMS_Web_Design_Phase_Deliverables_0618a_FairPoint_FP comTechOps_ProgramWorkbook_sachin_v1 2" xfId="11398" xr:uid="{00000000-0005-0000-0000-00002C2C0000}"/>
    <cellStyle name="_20061117Holux_CMS_Web_Design_Phase_Deliverables_0618a_FairPoint_FP comTechOps_ProgramWorkbook_sachin_v1 2_Steps of Doneness" xfId="11399" xr:uid="{00000000-0005-0000-0000-00002D2C0000}"/>
    <cellStyle name="_20061117Holux_CMS_Web_Design_Phase_Deliverables_0618a_FairPoint_FP comTechOps_ProgramWorkbook_sachin_v1 3" xfId="11400" xr:uid="{00000000-0005-0000-0000-00002E2C0000}"/>
    <cellStyle name="_20061117Holux_CMS_Web_Design_Phase_Deliverables_0618a_FairPoint_FP comTechOps_ProgramWorkbook_sachin_v1_Steps of Doneness" xfId="11401" xr:uid="{00000000-0005-0000-0000-00002F2C0000}"/>
    <cellStyle name="_20061117Holux_CMS_Web_Design_Phase_Deliverables_0618a_FairPoint_FP comTechOps_ProgramWorkbook_Steps of Doneness" xfId="11402" xr:uid="{00000000-0005-0000-0000-0000302C0000}"/>
    <cellStyle name="_20061117Holux_CMS_Web_Design_Phase_Deliverables_0618a_FP_CAMP&amp;ITReporting_Maintenance_Dashboard" xfId="11403" xr:uid="{00000000-0005-0000-0000-0000312C0000}"/>
    <cellStyle name="_20061117Holux_CMS_Web_Design_Phase_Deliverables_0618a_FP_CAMP&amp;ITReporting_Maintenance_Dashboard 2" xfId="11404" xr:uid="{00000000-0005-0000-0000-0000322C0000}"/>
    <cellStyle name="_20061117Holux_CMS_Web_Design_Phase_Deliverables_0618a_FP_CAMP&amp;ITReporting_Maintenance_Dashboard 2_Steps of Doneness" xfId="11405" xr:uid="{00000000-0005-0000-0000-0000332C0000}"/>
    <cellStyle name="_20061117Holux_CMS_Web_Design_Phase_Deliverables_0618a_FP_CAMP&amp;ITReporting_Maintenance_Dashboard 3" xfId="11406" xr:uid="{00000000-0005-0000-0000-0000342C0000}"/>
    <cellStyle name="_20061117Holux_CMS_Web_Design_Phase_Deliverables_0618a_FP_CAMP&amp;ITReporting_Maintenance_Dashboard_Steps of Doneness" xfId="11407" xr:uid="{00000000-0005-0000-0000-0000352C0000}"/>
    <cellStyle name="_20061117Holux_CMS_Web_Design_Phase_Deliverables_0618a_FP_CAMPITReporting_Maintenance_Dashboard" xfId="11408" xr:uid="{00000000-0005-0000-0000-0000362C0000}"/>
    <cellStyle name="_20061117Holux_CMS_Web_Design_Phase_Deliverables_0618a_FP_CAMPITReporting_Maintenance_Dashboard 2" xfId="11409" xr:uid="{00000000-0005-0000-0000-0000372C0000}"/>
    <cellStyle name="_20061117Holux_CMS_Web_Design_Phase_Deliverables_0618a_FP_CAMPITReporting_Maintenance_Dashboard 2_Steps of Doneness" xfId="11410" xr:uid="{00000000-0005-0000-0000-0000382C0000}"/>
    <cellStyle name="_20061117Holux_CMS_Web_Design_Phase_Deliverables_0618a_FP_CAMPITReporting_Maintenance_Dashboard 3" xfId="11411" xr:uid="{00000000-0005-0000-0000-0000392C0000}"/>
    <cellStyle name="_20061117Holux_CMS_Web_Design_Phase_Deliverables_0618a_FP_CAMPITReporting_Maintenance_Dashboard_Steps of Doneness" xfId="11412" xr:uid="{00000000-0005-0000-0000-00003A2C0000}"/>
    <cellStyle name="_20061117Holux_CMS_Web_Design_Phase_Deliverables_0618a_FP_Commissions_Req_Dn_ProgramWorkBook_10-Dec-2010" xfId="11413" xr:uid="{00000000-0005-0000-0000-00003B2C0000}"/>
    <cellStyle name="_20061117Holux_CMS_Web_Design_Phase_Deliverables_0618a_FP_Commissions_Req_Dn_ProgramWorkBook_10-Dec-2010 2" xfId="11414" xr:uid="{00000000-0005-0000-0000-00003C2C0000}"/>
    <cellStyle name="_20061117Holux_CMS_Web_Design_Phase_Deliverables_0618a_FP_Commissions_Req_Dn_ProgramWorkBook_10-Dec-2010 2_Steps of Doneness" xfId="11415" xr:uid="{00000000-0005-0000-0000-00003D2C0000}"/>
    <cellStyle name="_20061117Holux_CMS_Web_Design_Phase_Deliverables_0618a_FP_Commissions_Req_Dn_ProgramWorkBook_10-Dec-2010 3" xfId="11416" xr:uid="{00000000-0005-0000-0000-00003E2C0000}"/>
    <cellStyle name="_20061117Holux_CMS_Web_Design_Phase_Deliverables_0618a_FP_Commissions_Req_Dn_ProgramWorkBook_10-Dec-2010_Steps of Doneness" xfId="11417" xr:uid="{00000000-0005-0000-0000-00003F2C0000}"/>
    <cellStyle name="_20061117Holux_CMS_Web_Design_Phase_Deliverables_0618a_FP_DW_Impl_ProgramWorkBook_07-Jan-2011" xfId="11418" xr:uid="{00000000-0005-0000-0000-0000402C0000}"/>
    <cellStyle name="_20061117Holux_CMS_Web_Design_Phase_Deliverables_0618a_FP_DW_Impl_ProgramWorkBook_07-Jan-2011 2" xfId="11419" xr:uid="{00000000-0005-0000-0000-0000412C0000}"/>
    <cellStyle name="_20061117Holux_CMS_Web_Design_Phase_Deliverables_0618a_FP_DW_Impl_ProgramWorkBook_07-Jan-2011 2 2" xfId="11420" xr:uid="{00000000-0005-0000-0000-0000422C0000}"/>
    <cellStyle name="_20061117Holux_CMS_Web_Design_Phase_Deliverables_0618a_FP_DW_Impl_ProgramWorkBook_07-Jan-2011 2 2_Steps of Doneness" xfId="11421" xr:uid="{00000000-0005-0000-0000-0000432C0000}"/>
    <cellStyle name="_20061117Holux_CMS_Web_Design_Phase_Deliverables_0618a_FP_DW_Impl_ProgramWorkBook_07-Jan-2011 2 3" xfId="11422" xr:uid="{00000000-0005-0000-0000-0000442C0000}"/>
    <cellStyle name="_20061117Holux_CMS_Web_Design_Phase_Deliverables_0618a_FP_DW_Impl_ProgramWorkBook_07-Jan-2011 2_Steps of Doneness" xfId="11423" xr:uid="{00000000-0005-0000-0000-0000452C0000}"/>
    <cellStyle name="_20061117Holux_CMS_Web_Design_Phase_Deliverables_0618a_FP_DW_Impl_ProgramWorkBook_07-Jan-2011 3" xfId="11424" xr:uid="{00000000-0005-0000-0000-0000462C0000}"/>
    <cellStyle name="_20061117Holux_CMS_Web_Design_Phase_Deliverables_0618a_FP_DW_Impl_ProgramWorkBook_07-Jan-2011 3_Steps of Doneness" xfId="11425" xr:uid="{00000000-0005-0000-0000-0000472C0000}"/>
    <cellStyle name="_20061117Holux_CMS_Web_Design_Phase_Deliverables_0618a_FP_DW_Impl_ProgramWorkBook_07-Jan-2011 4" xfId="11426" xr:uid="{00000000-0005-0000-0000-0000482C0000}"/>
    <cellStyle name="_20061117Holux_CMS_Web_Design_Phase_Deliverables_0618a_FP_DW_Impl_ProgramWorkBook_07-Jan-2011_Steps of Doneness" xfId="11427" xr:uid="{00000000-0005-0000-0000-0000492C0000}"/>
    <cellStyle name="_20061117Holux_CMS_Web_Design_Phase_Deliverables_0618a_FP_DW_Impl_ProgramWorkBook_11-Feb-2011" xfId="11428" xr:uid="{00000000-0005-0000-0000-00004A2C0000}"/>
    <cellStyle name="_20061117Holux_CMS_Web_Design_Phase_Deliverables_0618a_FP_DW_Impl_ProgramWorkBook_11-Feb-2011 2" xfId="11429" xr:uid="{00000000-0005-0000-0000-00004B2C0000}"/>
    <cellStyle name="_20061117Holux_CMS_Web_Design_Phase_Deliverables_0618a_FP_DW_Impl_ProgramWorkBook_11-Feb-2011 2_Steps of Doneness" xfId="11430" xr:uid="{00000000-0005-0000-0000-00004C2C0000}"/>
    <cellStyle name="_20061117Holux_CMS_Web_Design_Phase_Deliverables_0618a_FP_DW_Impl_ProgramWorkBook_11-Feb-2011 3" xfId="11431" xr:uid="{00000000-0005-0000-0000-00004D2C0000}"/>
    <cellStyle name="_20061117Holux_CMS_Web_Design_Phase_Deliverables_0618a_FP_DW_Impl_ProgramWorkBook_11-Feb-2011_Steps of Doneness" xfId="11432" xr:uid="{00000000-0005-0000-0000-00004E2C0000}"/>
    <cellStyle name="_20061117Holux_CMS_Web_Design_Phase_Deliverables_0618a_FP_DW_Impl_ProgramWorkBook_18-Feb-2011 - Working" xfId="11433" xr:uid="{00000000-0005-0000-0000-00004F2C0000}"/>
    <cellStyle name="_20061117Holux_CMS_Web_Design_Phase_Deliverables_0618a_FP_DW_Impl_ProgramWorkBook_18-Feb-2011 - Working 2" xfId="11434" xr:uid="{00000000-0005-0000-0000-0000502C0000}"/>
    <cellStyle name="_20061117Holux_CMS_Web_Design_Phase_Deliverables_0618a_FP_DW_Impl_ProgramWorkBook_18-Feb-2011 - Working 2_Steps of Doneness" xfId="11435" xr:uid="{00000000-0005-0000-0000-0000512C0000}"/>
    <cellStyle name="_20061117Holux_CMS_Web_Design_Phase_Deliverables_0618a_FP_DW_Impl_ProgramWorkBook_18-Feb-2011 - Working 3" xfId="11436" xr:uid="{00000000-0005-0000-0000-0000522C0000}"/>
    <cellStyle name="_20061117Holux_CMS_Web_Design_Phase_Deliverables_0618a_FP_DW_Impl_ProgramWorkBook_18-Feb-2011 - Working_Steps of Doneness" xfId="11437" xr:uid="{00000000-0005-0000-0000-0000532C0000}"/>
    <cellStyle name="_20061117Holux_CMS_Web_Design_Phase_Deliverables_0618a_FP_EnterprisePortal_ProgramWorkbook" xfId="11438" xr:uid="{00000000-0005-0000-0000-0000542C0000}"/>
    <cellStyle name="_20061117Holux_CMS_Web_Design_Phase_Deliverables_0618a_FP_EnterprisePortal_ProgramWorkbook 2" xfId="11439" xr:uid="{00000000-0005-0000-0000-0000552C0000}"/>
    <cellStyle name="_20061117Holux_CMS_Web_Design_Phase_Deliverables_0618a_FP_EnterprisePortal_ProgramWorkbook 2_Steps of Doneness" xfId="11440" xr:uid="{00000000-0005-0000-0000-0000562C0000}"/>
    <cellStyle name="_20061117Holux_CMS_Web_Design_Phase_Deliverables_0618a_FP_EnterprisePortal_ProgramWorkbook 3" xfId="11441" xr:uid="{00000000-0005-0000-0000-0000572C0000}"/>
    <cellStyle name="_20061117Holux_CMS_Web_Design_Phase_Deliverables_0618a_FP_EnterprisePortal_ProgramWorkbook_Steps of Doneness" xfId="11442" xr:uid="{00000000-0005-0000-0000-0000582C0000}"/>
    <cellStyle name="_20061117Holux_CMS_Web_Design_Phase_Deliverables_0618a_FP_SAP_MLP v2" xfId="11443" xr:uid="{00000000-0005-0000-0000-0000592C0000}"/>
    <cellStyle name="_20061117Holux_CMS_Web_Design_Phase_Deliverables_0618a_FP_SAP_MLP v2 2" xfId="11444" xr:uid="{00000000-0005-0000-0000-00005A2C0000}"/>
    <cellStyle name="_20061117Holux_CMS_Web_Design_Phase_Deliverables_0618a_FP_SAP_MLP v2 2_Steps of Doneness" xfId="11445" xr:uid="{00000000-0005-0000-0000-00005B2C0000}"/>
    <cellStyle name="_20061117Holux_CMS_Web_Design_Phase_Deliverables_0618a_FP_SAP_MLP v2 3" xfId="11446" xr:uid="{00000000-0005-0000-0000-00005C2C0000}"/>
    <cellStyle name="_20061117Holux_CMS_Web_Design_Phase_Deliverables_0618a_FP_SAP_MLP v2_Steps of Doneness" xfId="11447" xr:uid="{00000000-0005-0000-0000-00005D2C0000}"/>
    <cellStyle name="_20061117Holux_CMS_Web_Design_Phase_Deliverables_0618a_KeyDecisions" xfId="11448" xr:uid="{00000000-0005-0000-0000-00005E2C0000}"/>
    <cellStyle name="_20061117Holux_CMS_Web_Design_Phase_Deliverables_0618a_KeyDecisions 2" xfId="11449" xr:uid="{00000000-0005-0000-0000-00005F2C0000}"/>
    <cellStyle name="_20061117Holux_CMS_Web_Design_Phase_Deliverables_0618a_KeyDecisions 2_Steps of Doneness" xfId="11450" xr:uid="{00000000-0005-0000-0000-0000602C0000}"/>
    <cellStyle name="_20061117Holux_CMS_Web_Design_Phase_Deliverables_0618a_KeyDecisions 3" xfId="11451" xr:uid="{00000000-0005-0000-0000-0000612C0000}"/>
    <cellStyle name="_20061117Holux_CMS_Web_Design_Phase_Deliverables_0618a_KeyDecisions_Steps of Doneness" xfId="11452" xr:uid="{00000000-0005-0000-0000-0000622C0000}"/>
    <cellStyle name="_20061117Holux_CMS_Web_Design_Phase_Deliverables_0618a_Sophia_Imp_ProjectWorkBook_02_18_2011" xfId="11453" xr:uid="{00000000-0005-0000-0000-0000632C0000}"/>
    <cellStyle name="_20061117Holux_CMS_Web_Design_Phase_Deliverables_0618a_Sophia_Imp_ProjectWorkBook_02_18_2011 2" xfId="11454" xr:uid="{00000000-0005-0000-0000-0000642C0000}"/>
    <cellStyle name="_20061117Holux_CMS_Web_Design_Phase_Deliverables_0618a_Sophia_Imp_ProjectWorkBook_02_18_2011 2_Steps of Doneness" xfId="11455" xr:uid="{00000000-0005-0000-0000-0000652C0000}"/>
    <cellStyle name="_20061117Holux_CMS_Web_Design_Phase_Deliverables_0618a_Sophia_Imp_ProjectWorkBook_02_18_2011 3" xfId="11456" xr:uid="{00000000-0005-0000-0000-0000662C0000}"/>
    <cellStyle name="_20061117Holux_CMS_Web_Design_Phase_Deliverables_0618a_Sophia_Imp_ProjectWorkBook_02_18_2011_Steps of Doneness" xfId="11457" xr:uid="{00000000-0005-0000-0000-0000672C0000}"/>
    <cellStyle name="_20061117Holux_CMS_Web_Design_Phase_Deliverables_0618a_Steps of Doneness" xfId="11458" xr:uid="{00000000-0005-0000-0000-0000682C0000}"/>
    <cellStyle name="_20061117Holux_CMS_Web_Design_Phase_Deliverables_0618a_t" xfId="11459" xr:uid="{00000000-0005-0000-0000-0000692C0000}"/>
    <cellStyle name="_20061117Holux_CMS_Web_Design_Phase_Deliverables_0618a_t 2" xfId="11460" xr:uid="{00000000-0005-0000-0000-00006A2C0000}"/>
    <cellStyle name="_20061117Holux_CMS_Web_Design_Phase_Deliverables_0618a_t 2_Steps of Doneness" xfId="11461" xr:uid="{00000000-0005-0000-0000-00006B2C0000}"/>
    <cellStyle name="_20061117Holux_CMS_Web_Design_Phase_Deliverables_0618a_t 3" xfId="11462" xr:uid="{00000000-0005-0000-0000-00006C2C0000}"/>
    <cellStyle name="_20061117Holux_CMS_Web_Design_Phase_Deliverables_0618a_t_Steps of Doneness" xfId="11463" xr:uid="{00000000-0005-0000-0000-00006D2C0000}"/>
    <cellStyle name="_20061117Holux_CMS_Web_Design_Phase_Deliverables_0621" xfId="11464" xr:uid="{00000000-0005-0000-0000-00006E2C0000}"/>
    <cellStyle name="_20061117Holux_CMS_Web_Design_Phase_Deliverables_0621 2" xfId="11465" xr:uid="{00000000-0005-0000-0000-00006F2C0000}"/>
    <cellStyle name="_20061117Holux_CMS_Web_Design_Phase_Deliverables_0621 2 2" xfId="11466" xr:uid="{00000000-0005-0000-0000-0000702C0000}"/>
    <cellStyle name="_20061117Holux_CMS_Web_Design_Phase_Deliverables_0621 2 2_Steps of Doneness" xfId="11467" xr:uid="{00000000-0005-0000-0000-0000712C0000}"/>
    <cellStyle name="_20061117Holux_CMS_Web_Design_Phase_Deliverables_0621 2 3" xfId="11468" xr:uid="{00000000-0005-0000-0000-0000722C0000}"/>
    <cellStyle name="_20061117Holux_CMS_Web_Design_Phase_Deliverables_0621 2_Steps of Doneness" xfId="11469" xr:uid="{00000000-0005-0000-0000-0000732C0000}"/>
    <cellStyle name="_20061117Holux_CMS_Web_Design_Phase_Deliverables_0621 3" xfId="11470" xr:uid="{00000000-0005-0000-0000-0000742C0000}"/>
    <cellStyle name="_20061117Holux_CMS_Web_Design_Phase_Deliverables_0621 3 2" xfId="11471" xr:uid="{00000000-0005-0000-0000-0000752C0000}"/>
    <cellStyle name="_20061117Holux_CMS_Web_Design_Phase_Deliverables_0621 3 2_Steps of Doneness" xfId="11472" xr:uid="{00000000-0005-0000-0000-0000762C0000}"/>
    <cellStyle name="_20061117Holux_CMS_Web_Design_Phase_Deliverables_0621 3 3" xfId="11473" xr:uid="{00000000-0005-0000-0000-0000772C0000}"/>
    <cellStyle name="_20061117Holux_CMS_Web_Design_Phase_Deliverables_0621 3_Steps of Doneness" xfId="11474" xr:uid="{00000000-0005-0000-0000-0000782C0000}"/>
    <cellStyle name="_20061117Holux_CMS_Web_Design_Phase_Deliverables_0621 4" xfId="11475" xr:uid="{00000000-0005-0000-0000-0000792C0000}"/>
    <cellStyle name="_20061117Holux_CMS_Web_Design_Phase_Deliverables_0621 4_Steps of Doneness" xfId="11476" xr:uid="{00000000-0005-0000-0000-00007A2C0000}"/>
    <cellStyle name="_20061117Holux_CMS_Web_Design_Phase_Deliverables_0621 5" xfId="11477" xr:uid="{00000000-0005-0000-0000-00007B2C0000}"/>
    <cellStyle name="_20061117Holux_CMS_Web_Design_Phase_Deliverables_0621 6" xfId="11478" xr:uid="{00000000-0005-0000-0000-00007C2C0000}"/>
    <cellStyle name="_20061117Holux_CMS_Web_Design_Phase_Deliverables_0621_Commissioning System Implementation_Project Workbook_06_10_2011" xfId="11479" xr:uid="{00000000-0005-0000-0000-00007D2C0000}"/>
    <cellStyle name="_20061117Holux_CMS_Web_Design_Phase_Deliverables_0621_Commissioning System Implementation_Project Workbook_06_10_2011 2" xfId="11480" xr:uid="{00000000-0005-0000-0000-00007E2C0000}"/>
    <cellStyle name="_20061117Holux_CMS_Web_Design_Phase_Deliverables_0621_Commissioning System Implementation_Project Workbook_06_10_2011 2_Steps of Doneness" xfId="11481" xr:uid="{00000000-0005-0000-0000-00007F2C0000}"/>
    <cellStyle name="_20061117Holux_CMS_Web_Design_Phase_Deliverables_0621_Commissioning System Implementation_Project Workbook_06_10_2011 3" xfId="11482" xr:uid="{00000000-0005-0000-0000-0000802C0000}"/>
    <cellStyle name="_20061117Holux_CMS_Web_Design_Phase_Deliverables_0621_Commissioning System Implementation_Project Workbook_06_10_2011_Steps of Doneness" xfId="11483" xr:uid="{00000000-0005-0000-0000-0000812C0000}"/>
    <cellStyle name="_20061117Holux_CMS_Web_Design_Phase_Deliverables_0621_FairPoint_CampReport" xfId="11484" xr:uid="{00000000-0005-0000-0000-0000822C0000}"/>
    <cellStyle name="_20061117Holux_CMS_Web_Design_Phase_Deliverables_0621_FairPoint_CampReport 2" xfId="11485" xr:uid="{00000000-0005-0000-0000-0000832C0000}"/>
    <cellStyle name="_20061117Holux_CMS_Web_Design_Phase_Deliverables_0621_FairPoint_CampReport 2_Steps of Doneness" xfId="11486" xr:uid="{00000000-0005-0000-0000-0000842C0000}"/>
    <cellStyle name="_20061117Holux_CMS_Web_Design_Phase_Deliverables_0621_FairPoint_CampReport 3" xfId="11487" xr:uid="{00000000-0005-0000-0000-0000852C0000}"/>
    <cellStyle name="_20061117Holux_CMS_Web_Design_Phase_Deliverables_0621_FairPoint_CampReport_Steps of Doneness" xfId="11488" xr:uid="{00000000-0005-0000-0000-0000862C0000}"/>
    <cellStyle name="_20061117Holux_CMS_Web_Design_Phase_Deliverables_0621_FairPoint_FP comTechOps_ProgramWorkbook" xfId="11489" xr:uid="{00000000-0005-0000-0000-0000872C0000}"/>
    <cellStyle name="_20061117Holux_CMS_Web_Design_Phase_Deliverables_0621_FairPoint_FP comTechOps_ProgramWorkbook 2" xfId="11490" xr:uid="{00000000-0005-0000-0000-0000882C0000}"/>
    <cellStyle name="_20061117Holux_CMS_Web_Design_Phase_Deliverables_0621_FairPoint_FP comTechOps_ProgramWorkbook 2_Steps of Doneness" xfId="11491" xr:uid="{00000000-0005-0000-0000-0000892C0000}"/>
    <cellStyle name="_20061117Holux_CMS_Web_Design_Phase_Deliverables_0621_FairPoint_FP comTechOps_ProgramWorkbook 3" xfId="11492" xr:uid="{00000000-0005-0000-0000-00008A2C0000}"/>
    <cellStyle name="_20061117Holux_CMS_Web_Design_Phase_Deliverables_0621_FairPoint_FP comTechOps_ProgramWorkbook_sachin" xfId="11493" xr:uid="{00000000-0005-0000-0000-00008B2C0000}"/>
    <cellStyle name="_20061117Holux_CMS_Web_Design_Phase_Deliverables_0621_FairPoint_FP comTechOps_ProgramWorkbook_sachin 2" xfId="11494" xr:uid="{00000000-0005-0000-0000-00008C2C0000}"/>
    <cellStyle name="_20061117Holux_CMS_Web_Design_Phase_Deliverables_0621_FairPoint_FP comTechOps_ProgramWorkbook_sachin 2_Steps of Doneness" xfId="11495" xr:uid="{00000000-0005-0000-0000-00008D2C0000}"/>
    <cellStyle name="_20061117Holux_CMS_Web_Design_Phase_Deliverables_0621_FairPoint_FP comTechOps_ProgramWorkbook_sachin 3" xfId="11496" xr:uid="{00000000-0005-0000-0000-00008E2C0000}"/>
    <cellStyle name="_20061117Holux_CMS_Web_Design_Phase_Deliverables_0621_FairPoint_FP comTechOps_ProgramWorkbook_sachin_Steps of Doneness" xfId="11497" xr:uid="{00000000-0005-0000-0000-00008F2C0000}"/>
    <cellStyle name="_20061117Holux_CMS_Web_Design_Phase_Deliverables_0621_FairPoint_FP comTechOps_ProgramWorkbook_sachin_v1" xfId="11498" xr:uid="{00000000-0005-0000-0000-0000902C0000}"/>
    <cellStyle name="_20061117Holux_CMS_Web_Design_Phase_Deliverables_0621_FairPoint_FP comTechOps_ProgramWorkbook_sachin_v1 2" xfId="11499" xr:uid="{00000000-0005-0000-0000-0000912C0000}"/>
    <cellStyle name="_20061117Holux_CMS_Web_Design_Phase_Deliverables_0621_FairPoint_FP comTechOps_ProgramWorkbook_sachin_v1 2_Steps of Doneness" xfId="11500" xr:uid="{00000000-0005-0000-0000-0000922C0000}"/>
    <cellStyle name="_20061117Holux_CMS_Web_Design_Phase_Deliverables_0621_FairPoint_FP comTechOps_ProgramWorkbook_sachin_v1 3" xfId="11501" xr:uid="{00000000-0005-0000-0000-0000932C0000}"/>
    <cellStyle name="_20061117Holux_CMS_Web_Design_Phase_Deliverables_0621_FairPoint_FP comTechOps_ProgramWorkbook_sachin_v1_Steps of Doneness" xfId="11502" xr:uid="{00000000-0005-0000-0000-0000942C0000}"/>
    <cellStyle name="_20061117Holux_CMS_Web_Design_Phase_Deliverables_0621_FairPoint_FP comTechOps_ProgramWorkbook_Steps of Doneness" xfId="11503" xr:uid="{00000000-0005-0000-0000-0000952C0000}"/>
    <cellStyle name="_20061117Holux_CMS_Web_Design_Phase_Deliverables_0621_FP_CAMP&amp;ITReporting_Maintenance_Dashboard" xfId="11504" xr:uid="{00000000-0005-0000-0000-0000962C0000}"/>
    <cellStyle name="_20061117Holux_CMS_Web_Design_Phase_Deliverables_0621_FP_CAMP&amp;ITReporting_Maintenance_Dashboard 2" xfId="11505" xr:uid="{00000000-0005-0000-0000-0000972C0000}"/>
    <cellStyle name="_20061117Holux_CMS_Web_Design_Phase_Deliverables_0621_FP_CAMP&amp;ITReporting_Maintenance_Dashboard 2_Steps of Doneness" xfId="11506" xr:uid="{00000000-0005-0000-0000-0000982C0000}"/>
    <cellStyle name="_20061117Holux_CMS_Web_Design_Phase_Deliverables_0621_FP_CAMP&amp;ITReporting_Maintenance_Dashboard 3" xfId="11507" xr:uid="{00000000-0005-0000-0000-0000992C0000}"/>
    <cellStyle name="_20061117Holux_CMS_Web_Design_Phase_Deliverables_0621_FP_CAMP&amp;ITReporting_Maintenance_Dashboard_Steps of Doneness" xfId="11508" xr:uid="{00000000-0005-0000-0000-00009A2C0000}"/>
    <cellStyle name="_20061117Holux_CMS_Web_Design_Phase_Deliverables_0621_FP_CAMPITReporting_Maintenance_Dashboard" xfId="11509" xr:uid="{00000000-0005-0000-0000-00009B2C0000}"/>
    <cellStyle name="_20061117Holux_CMS_Web_Design_Phase_Deliverables_0621_FP_CAMPITReporting_Maintenance_Dashboard 2" xfId="11510" xr:uid="{00000000-0005-0000-0000-00009C2C0000}"/>
    <cellStyle name="_20061117Holux_CMS_Web_Design_Phase_Deliverables_0621_FP_CAMPITReporting_Maintenance_Dashboard 2_Steps of Doneness" xfId="11511" xr:uid="{00000000-0005-0000-0000-00009D2C0000}"/>
    <cellStyle name="_20061117Holux_CMS_Web_Design_Phase_Deliverables_0621_FP_CAMPITReporting_Maintenance_Dashboard 3" xfId="11512" xr:uid="{00000000-0005-0000-0000-00009E2C0000}"/>
    <cellStyle name="_20061117Holux_CMS_Web_Design_Phase_Deliverables_0621_FP_CAMPITReporting_Maintenance_Dashboard_Steps of Doneness" xfId="11513" xr:uid="{00000000-0005-0000-0000-00009F2C0000}"/>
    <cellStyle name="_20061117Holux_CMS_Web_Design_Phase_Deliverables_0621_FP_Commissions_Req_Dn_ProgramWorkBook_10-Dec-2010" xfId="11514" xr:uid="{00000000-0005-0000-0000-0000A02C0000}"/>
    <cellStyle name="_20061117Holux_CMS_Web_Design_Phase_Deliverables_0621_FP_Commissions_Req_Dn_ProgramWorkBook_10-Dec-2010 2" xfId="11515" xr:uid="{00000000-0005-0000-0000-0000A12C0000}"/>
    <cellStyle name="_20061117Holux_CMS_Web_Design_Phase_Deliverables_0621_FP_Commissions_Req_Dn_ProgramWorkBook_10-Dec-2010 2_Steps of Doneness" xfId="11516" xr:uid="{00000000-0005-0000-0000-0000A22C0000}"/>
    <cellStyle name="_20061117Holux_CMS_Web_Design_Phase_Deliverables_0621_FP_Commissions_Req_Dn_ProgramWorkBook_10-Dec-2010 3" xfId="11517" xr:uid="{00000000-0005-0000-0000-0000A32C0000}"/>
    <cellStyle name="_20061117Holux_CMS_Web_Design_Phase_Deliverables_0621_FP_Commissions_Req_Dn_ProgramWorkBook_10-Dec-2010_Steps of Doneness" xfId="11518" xr:uid="{00000000-0005-0000-0000-0000A42C0000}"/>
    <cellStyle name="_20061117Holux_CMS_Web_Design_Phase_Deliverables_0621_FP_DW_Impl_ProgramWorkBook_07-Jan-2011" xfId="11519" xr:uid="{00000000-0005-0000-0000-0000A52C0000}"/>
    <cellStyle name="_20061117Holux_CMS_Web_Design_Phase_Deliverables_0621_FP_DW_Impl_ProgramWorkBook_07-Jan-2011 2" xfId="11520" xr:uid="{00000000-0005-0000-0000-0000A62C0000}"/>
    <cellStyle name="_20061117Holux_CMS_Web_Design_Phase_Deliverables_0621_FP_DW_Impl_ProgramWorkBook_07-Jan-2011 2 2" xfId="11521" xr:uid="{00000000-0005-0000-0000-0000A72C0000}"/>
    <cellStyle name="_20061117Holux_CMS_Web_Design_Phase_Deliverables_0621_FP_DW_Impl_ProgramWorkBook_07-Jan-2011 2 2_Steps of Doneness" xfId="11522" xr:uid="{00000000-0005-0000-0000-0000A82C0000}"/>
    <cellStyle name="_20061117Holux_CMS_Web_Design_Phase_Deliverables_0621_FP_DW_Impl_ProgramWorkBook_07-Jan-2011 2 3" xfId="11523" xr:uid="{00000000-0005-0000-0000-0000A92C0000}"/>
    <cellStyle name="_20061117Holux_CMS_Web_Design_Phase_Deliverables_0621_FP_DW_Impl_ProgramWorkBook_07-Jan-2011 2_Steps of Doneness" xfId="11524" xr:uid="{00000000-0005-0000-0000-0000AA2C0000}"/>
    <cellStyle name="_20061117Holux_CMS_Web_Design_Phase_Deliverables_0621_FP_DW_Impl_ProgramWorkBook_07-Jan-2011 3" xfId="11525" xr:uid="{00000000-0005-0000-0000-0000AB2C0000}"/>
    <cellStyle name="_20061117Holux_CMS_Web_Design_Phase_Deliverables_0621_FP_DW_Impl_ProgramWorkBook_07-Jan-2011 3_Steps of Doneness" xfId="11526" xr:uid="{00000000-0005-0000-0000-0000AC2C0000}"/>
    <cellStyle name="_20061117Holux_CMS_Web_Design_Phase_Deliverables_0621_FP_DW_Impl_ProgramWorkBook_07-Jan-2011 4" xfId="11527" xr:uid="{00000000-0005-0000-0000-0000AD2C0000}"/>
    <cellStyle name="_20061117Holux_CMS_Web_Design_Phase_Deliverables_0621_FP_DW_Impl_ProgramWorkBook_07-Jan-2011_Steps of Doneness" xfId="11528" xr:uid="{00000000-0005-0000-0000-0000AE2C0000}"/>
    <cellStyle name="_20061117Holux_CMS_Web_Design_Phase_Deliverables_0621_FP_DW_Impl_ProgramWorkBook_11-Feb-2011" xfId="11529" xr:uid="{00000000-0005-0000-0000-0000AF2C0000}"/>
    <cellStyle name="_20061117Holux_CMS_Web_Design_Phase_Deliverables_0621_FP_DW_Impl_ProgramWorkBook_11-Feb-2011 2" xfId="11530" xr:uid="{00000000-0005-0000-0000-0000B02C0000}"/>
    <cellStyle name="_20061117Holux_CMS_Web_Design_Phase_Deliverables_0621_FP_DW_Impl_ProgramWorkBook_11-Feb-2011 2_Steps of Doneness" xfId="11531" xr:uid="{00000000-0005-0000-0000-0000B12C0000}"/>
    <cellStyle name="_20061117Holux_CMS_Web_Design_Phase_Deliverables_0621_FP_DW_Impl_ProgramWorkBook_11-Feb-2011 3" xfId="11532" xr:uid="{00000000-0005-0000-0000-0000B22C0000}"/>
    <cellStyle name="_20061117Holux_CMS_Web_Design_Phase_Deliverables_0621_FP_DW_Impl_ProgramWorkBook_11-Feb-2011_Steps of Doneness" xfId="11533" xr:uid="{00000000-0005-0000-0000-0000B32C0000}"/>
    <cellStyle name="_20061117Holux_CMS_Web_Design_Phase_Deliverables_0621_FP_DW_Impl_ProgramWorkBook_18-Feb-2011 - Working" xfId="11534" xr:uid="{00000000-0005-0000-0000-0000B42C0000}"/>
    <cellStyle name="_20061117Holux_CMS_Web_Design_Phase_Deliverables_0621_FP_DW_Impl_ProgramWorkBook_18-Feb-2011 - Working 2" xfId="11535" xr:uid="{00000000-0005-0000-0000-0000B52C0000}"/>
    <cellStyle name="_20061117Holux_CMS_Web_Design_Phase_Deliverables_0621_FP_DW_Impl_ProgramWorkBook_18-Feb-2011 - Working 2_Steps of Doneness" xfId="11536" xr:uid="{00000000-0005-0000-0000-0000B62C0000}"/>
    <cellStyle name="_20061117Holux_CMS_Web_Design_Phase_Deliverables_0621_FP_DW_Impl_ProgramWorkBook_18-Feb-2011 - Working 3" xfId="11537" xr:uid="{00000000-0005-0000-0000-0000B72C0000}"/>
    <cellStyle name="_20061117Holux_CMS_Web_Design_Phase_Deliverables_0621_FP_DW_Impl_ProgramWorkBook_18-Feb-2011 - Working_Steps of Doneness" xfId="11538" xr:uid="{00000000-0005-0000-0000-0000B82C0000}"/>
    <cellStyle name="_20061117Holux_CMS_Web_Design_Phase_Deliverables_0621_FP_EnterprisePortal_ProgramWorkbook" xfId="11539" xr:uid="{00000000-0005-0000-0000-0000B92C0000}"/>
    <cellStyle name="_20061117Holux_CMS_Web_Design_Phase_Deliverables_0621_FP_EnterprisePortal_ProgramWorkbook 2" xfId="11540" xr:uid="{00000000-0005-0000-0000-0000BA2C0000}"/>
    <cellStyle name="_20061117Holux_CMS_Web_Design_Phase_Deliverables_0621_FP_EnterprisePortal_ProgramWorkbook 2_Steps of Doneness" xfId="11541" xr:uid="{00000000-0005-0000-0000-0000BB2C0000}"/>
    <cellStyle name="_20061117Holux_CMS_Web_Design_Phase_Deliverables_0621_FP_EnterprisePortal_ProgramWorkbook 3" xfId="11542" xr:uid="{00000000-0005-0000-0000-0000BC2C0000}"/>
    <cellStyle name="_20061117Holux_CMS_Web_Design_Phase_Deliverables_0621_FP_EnterprisePortal_ProgramWorkbook_Steps of Doneness" xfId="11543" xr:uid="{00000000-0005-0000-0000-0000BD2C0000}"/>
    <cellStyle name="_20061117Holux_CMS_Web_Design_Phase_Deliverables_0621_FP_SAP_MLP v2" xfId="11544" xr:uid="{00000000-0005-0000-0000-0000BE2C0000}"/>
    <cellStyle name="_20061117Holux_CMS_Web_Design_Phase_Deliverables_0621_FP_SAP_MLP v2 2" xfId="11545" xr:uid="{00000000-0005-0000-0000-0000BF2C0000}"/>
    <cellStyle name="_20061117Holux_CMS_Web_Design_Phase_Deliverables_0621_FP_SAP_MLP v2 2_Steps of Doneness" xfId="11546" xr:uid="{00000000-0005-0000-0000-0000C02C0000}"/>
    <cellStyle name="_20061117Holux_CMS_Web_Design_Phase_Deliverables_0621_FP_SAP_MLP v2 3" xfId="11547" xr:uid="{00000000-0005-0000-0000-0000C12C0000}"/>
    <cellStyle name="_20061117Holux_CMS_Web_Design_Phase_Deliverables_0621_FP_SAP_MLP v2_Steps of Doneness" xfId="11548" xr:uid="{00000000-0005-0000-0000-0000C22C0000}"/>
    <cellStyle name="_20061117Holux_CMS_Web_Design_Phase_Deliverables_0621_KeyDecisions" xfId="11549" xr:uid="{00000000-0005-0000-0000-0000C32C0000}"/>
    <cellStyle name="_20061117Holux_CMS_Web_Design_Phase_Deliverables_0621_KeyDecisions 2" xfId="11550" xr:uid="{00000000-0005-0000-0000-0000C42C0000}"/>
    <cellStyle name="_20061117Holux_CMS_Web_Design_Phase_Deliverables_0621_KeyDecisions 2_Steps of Doneness" xfId="11551" xr:uid="{00000000-0005-0000-0000-0000C52C0000}"/>
    <cellStyle name="_20061117Holux_CMS_Web_Design_Phase_Deliverables_0621_KeyDecisions 3" xfId="11552" xr:uid="{00000000-0005-0000-0000-0000C62C0000}"/>
    <cellStyle name="_20061117Holux_CMS_Web_Design_Phase_Deliverables_0621_KeyDecisions_Steps of Doneness" xfId="11553" xr:uid="{00000000-0005-0000-0000-0000C72C0000}"/>
    <cellStyle name="_20061117Holux_CMS_Web_Design_Phase_Deliverables_0621_Sophia_Imp_ProjectWorkBook_02_18_2011" xfId="11554" xr:uid="{00000000-0005-0000-0000-0000C82C0000}"/>
    <cellStyle name="_20061117Holux_CMS_Web_Design_Phase_Deliverables_0621_Sophia_Imp_ProjectWorkBook_02_18_2011 2" xfId="11555" xr:uid="{00000000-0005-0000-0000-0000C92C0000}"/>
    <cellStyle name="_20061117Holux_CMS_Web_Design_Phase_Deliverables_0621_Sophia_Imp_ProjectWorkBook_02_18_2011 2_Steps of Doneness" xfId="11556" xr:uid="{00000000-0005-0000-0000-0000CA2C0000}"/>
    <cellStyle name="_20061117Holux_CMS_Web_Design_Phase_Deliverables_0621_Sophia_Imp_ProjectWorkBook_02_18_2011 3" xfId="11557" xr:uid="{00000000-0005-0000-0000-0000CB2C0000}"/>
    <cellStyle name="_20061117Holux_CMS_Web_Design_Phase_Deliverables_0621_Sophia_Imp_ProjectWorkBook_02_18_2011_Steps of Doneness" xfId="11558" xr:uid="{00000000-0005-0000-0000-0000CC2C0000}"/>
    <cellStyle name="_20061117Holux_CMS_Web_Design_Phase_Deliverables_0621_Steps of Doneness" xfId="11559" xr:uid="{00000000-0005-0000-0000-0000CD2C0000}"/>
    <cellStyle name="_20061117Holux_CMS_Web_Design_Phase_Deliverables_0621_t" xfId="11560" xr:uid="{00000000-0005-0000-0000-0000CE2C0000}"/>
    <cellStyle name="_20061117Holux_CMS_Web_Design_Phase_Deliverables_0621_t 2" xfId="11561" xr:uid="{00000000-0005-0000-0000-0000CF2C0000}"/>
    <cellStyle name="_20061117Holux_CMS_Web_Design_Phase_Deliverables_0621_t 2_Steps of Doneness" xfId="11562" xr:uid="{00000000-0005-0000-0000-0000D02C0000}"/>
    <cellStyle name="_20061117Holux_CMS_Web_Design_Phase_Deliverables_0621_t 3" xfId="11563" xr:uid="{00000000-0005-0000-0000-0000D12C0000}"/>
    <cellStyle name="_20061117Holux_CMS_Web_Design_Phase_Deliverables_0621_t_Steps of Doneness" xfId="11564" xr:uid="{00000000-0005-0000-0000-0000D22C0000}"/>
    <cellStyle name="_20061117Holux_CMS_Web_Design_Phase_Deliverables_0625" xfId="11565" xr:uid="{00000000-0005-0000-0000-0000D32C0000}"/>
    <cellStyle name="_20061117Holux_CMS_Web_Design_Phase_Deliverables_0625 2" xfId="11566" xr:uid="{00000000-0005-0000-0000-0000D42C0000}"/>
    <cellStyle name="_20061117Holux_CMS_Web_Design_Phase_Deliverables_0625 2 2" xfId="11567" xr:uid="{00000000-0005-0000-0000-0000D52C0000}"/>
    <cellStyle name="_20061117Holux_CMS_Web_Design_Phase_Deliverables_0625 2 2_Steps of Doneness" xfId="11568" xr:uid="{00000000-0005-0000-0000-0000D62C0000}"/>
    <cellStyle name="_20061117Holux_CMS_Web_Design_Phase_Deliverables_0625 2 3" xfId="11569" xr:uid="{00000000-0005-0000-0000-0000D72C0000}"/>
    <cellStyle name="_20061117Holux_CMS_Web_Design_Phase_Deliverables_0625 2_Steps of Doneness" xfId="11570" xr:uid="{00000000-0005-0000-0000-0000D82C0000}"/>
    <cellStyle name="_20061117Holux_CMS_Web_Design_Phase_Deliverables_0625 3" xfId="11571" xr:uid="{00000000-0005-0000-0000-0000D92C0000}"/>
    <cellStyle name="_20061117Holux_CMS_Web_Design_Phase_Deliverables_0625 3 2" xfId="11572" xr:uid="{00000000-0005-0000-0000-0000DA2C0000}"/>
    <cellStyle name="_20061117Holux_CMS_Web_Design_Phase_Deliverables_0625 3 2_Steps of Doneness" xfId="11573" xr:uid="{00000000-0005-0000-0000-0000DB2C0000}"/>
    <cellStyle name="_20061117Holux_CMS_Web_Design_Phase_Deliverables_0625 3 3" xfId="11574" xr:uid="{00000000-0005-0000-0000-0000DC2C0000}"/>
    <cellStyle name="_20061117Holux_CMS_Web_Design_Phase_Deliverables_0625 3_Steps of Doneness" xfId="11575" xr:uid="{00000000-0005-0000-0000-0000DD2C0000}"/>
    <cellStyle name="_20061117Holux_CMS_Web_Design_Phase_Deliverables_0625 4" xfId="11576" xr:uid="{00000000-0005-0000-0000-0000DE2C0000}"/>
    <cellStyle name="_20061117Holux_CMS_Web_Design_Phase_Deliverables_0625 4_Steps of Doneness" xfId="11577" xr:uid="{00000000-0005-0000-0000-0000DF2C0000}"/>
    <cellStyle name="_20061117Holux_CMS_Web_Design_Phase_Deliverables_0625 5" xfId="11578" xr:uid="{00000000-0005-0000-0000-0000E02C0000}"/>
    <cellStyle name="_20061117Holux_CMS_Web_Design_Phase_Deliverables_0625 6" xfId="11579" xr:uid="{00000000-0005-0000-0000-0000E12C0000}"/>
    <cellStyle name="_20061117Holux_CMS_Web_Design_Phase_Deliverables_0625_Commissioning System Implementation_Project Workbook_06_10_2011" xfId="11580" xr:uid="{00000000-0005-0000-0000-0000E22C0000}"/>
    <cellStyle name="_20061117Holux_CMS_Web_Design_Phase_Deliverables_0625_Commissioning System Implementation_Project Workbook_06_10_2011 2" xfId="11581" xr:uid="{00000000-0005-0000-0000-0000E32C0000}"/>
    <cellStyle name="_20061117Holux_CMS_Web_Design_Phase_Deliverables_0625_Commissioning System Implementation_Project Workbook_06_10_2011 2_Steps of Doneness" xfId="11582" xr:uid="{00000000-0005-0000-0000-0000E42C0000}"/>
    <cellStyle name="_20061117Holux_CMS_Web_Design_Phase_Deliverables_0625_Commissioning System Implementation_Project Workbook_06_10_2011 3" xfId="11583" xr:uid="{00000000-0005-0000-0000-0000E52C0000}"/>
    <cellStyle name="_20061117Holux_CMS_Web_Design_Phase_Deliverables_0625_Commissioning System Implementation_Project Workbook_06_10_2011_Steps of Doneness" xfId="11584" xr:uid="{00000000-0005-0000-0000-0000E62C0000}"/>
    <cellStyle name="_20061117Holux_CMS_Web_Design_Phase_Deliverables_0625_FairPoint_CampReport" xfId="11585" xr:uid="{00000000-0005-0000-0000-0000E72C0000}"/>
    <cellStyle name="_20061117Holux_CMS_Web_Design_Phase_Deliverables_0625_FairPoint_CampReport 2" xfId="11586" xr:uid="{00000000-0005-0000-0000-0000E82C0000}"/>
    <cellStyle name="_20061117Holux_CMS_Web_Design_Phase_Deliverables_0625_FairPoint_CampReport 2_Steps of Doneness" xfId="11587" xr:uid="{00000000-0005-0000-0000-0000E92C0000}"/>
    <cellStyle name="_20061117Holux_CMS_Web_Design_Phase_Deliverables_0625_FairPoint_CampReport 3" xfId="11588" xr:uid="{00000000-0005-0000-0000-0000EA2C0000}"/>
    <cellStyle name="_20061117Holux_CMS_Web_Design_Phase_Deliverables_0625_FairPoint_CampReport_Steps of Doneness" xfId="11589" xr:uid="{00000000-0005-0000-0000-0000EB2C0000}"/>
    <cellStyle name="_20061117Holux_CMS_Web_Design_Phase_Deliverables_0625_FairPoint_FP comTechOps_ProgramWorkbook" xfId="11590" xr:uid="{00000000-0005-0000-0000-0000EC2C0000}"/>
    <cellStyle name="_20061117Holux_CMS_Web_Design_Phase_Deliverables_0625_FairPoint_FP comTechOps_ProgramWorkbook 2" xfId="11591" xr:uid="{00000000-0005-0000-0000-0000ED2C0000}"/>
    <cellStyle name="_20061117Holux_CMS_Web_Design_Phase_Deliverables_0625_FairPoint_FP comTechOps_ProgramWorkbook 2_Steps of Doneness" xfId="11592" xr:uid="{00000000-0005-0000-0000-0000EE2C0000}"/>
    <cellStyle name="_20061117Holux_CMS_Web_Design_Phase_Deliverables_0625_FairPoint_FP comTechOps_ProgramWorkbook 3" xfId="11593" xr:uid="{00000000-0005-0000-0000-0000EF2C0000}"/>
    <cellStyle name="_20061117Holux_CMS_Web_Design_Phase_Deliverables_0625_FairPoint_FP comTechOps_ProgramWorkbook_sachin" xfId="11594" xr:uid="{00000000-0005-0000-0000-0000F02C0000}"/>
    <cellStyle name="_20061117Holux_CMS_Web_Design_Phase_Deliverables_0625_FairPoint_FP comTechOps_ProgramWorkbook_sachin 2" xfId="11595" xr:uid="{00000000-0005-0000-0000-0000F12C0000}"/>
    <cellStyle name="_20061117Holux_CMS_Web_Design_Phase_Deliverables_0625_FairPoint_FP comTechOps_ProgramWorkbook_sachin 2_Steps of Doneness" xfId="11596" xr:uid="{00000000-0005-0000-0000-0000F22C0000}"/>
    <cellStyle name="_20061117Holux_CMS_Web_Design_Phase_Deliverables_0625_FairPoint_FP comTechOps_ProgramWorkbook_sachin 3" xfId="11597" xr:uid="{00000000-0005-0000-0000-0000F32C0000}"/>
    <cellStyle name="_20061117Holux_CMS_Web_Design_Phase_Deliverables_0625_FairPoint_FP comTechOps_ProgramWorkbook_sachin_Steps of Doneness" xfId="11598" xr:uid="{00000000-0005-0000-0000-0000F42C0000}"/>
    <cellStyle name="_20061117Holux_CMS_Web_Design_Phase_Deliverables_0625_FairPoint_FP comTechOps_ProgramWorkbook_sachin_v1" xfId="11599" xr:uid="{00000000-0005-0000-0000-0000F52C0000}"/>
    <cellStyle name="_20061117Holux_CMS_Web_Design_Phase_Deliverables_0625_FairPoint_FP comTechOps_ProgramWorkbook_sachin_v1 2" xfId="11600" xr:uid="{00000000-0005-0000-0000-0000F62C0000}"/>
    <cellStyle name="_20061117Holux_CMS_Web_Design_Phase_Deliverables_0625_FairPoint_FP comTechOps_ProgramWorkbook_sachin_v1 2_Steps of Doneness" xfId="11601" xr:uid="{00000000-0005-0000-0000-0000F72C0000}"/>
    <cellStyle name="_20061117Holux_CMS_Web_Design_Phase_Deliverables_0625_FairPoint_FP comTechOps_ProgramWorkbook_sachin_v1 3" xfId="11602" xr:uid="{00000000-0005-0000-0000-0000F82C0000}"/>
    <cellStyle name="_20061117Holux_CMS_Web_Design_Phase_Deliverables_0625_FairPoint_FP comTechOps_ProgramWorkbook_sachin_v1_Steps of Doneness" xfId="11603" xr:uid="{00000000-0005-0000-0000-0000F92C0000}"/>
    <cellStyle name="_20061117Holux_CMS_Web_Design_Phase_Deliverables_0625_FairPoint_FP comTechOps_ProgramWorkbook_Steps of Doneness" xfId="11604" xr:uid="{00000000-0005-0000-0000-0000FA2C0000}"/>
    <cellStyle name="_20061117Holux_CMS_Web_Design_Phase_Deliverables_0625_FP_CAMP&amp;ITReporting_Maintenance_Dashboard" xfId="11605" xr:uid="{00000000-0005-0000-0000-0000FB2C0000}"/>
    <cellStyle name="_20061117Holux_CMS_Web_Design_Phase_Deliverables_0625_FP_CAMP&amp;ITReporting_Maintenance_Dashboard 2" xfId="11606" xr:uid="{00000000-0005-0000-0000-0000FC2C0000}"/>
    <cellStyle name="_20061117Holux_CMS_Web_Design_Phase_Deliverables_0625_FP_CAMP&amp;ITReporting_Maintenance_Dashboard 2_Steps of Doneness" xfId="11607" xr:uid="{00000000-0005-0000-0000-0000FD2C0000}"/>
    <cellStyle name="_20061117Holux_CMS_Web_Design_Phase_Deliverables_0625_FP_CAMP&amp;ITReporting_Maintenance_Dashboard 3" xfId="11608" xr:uid="{00000000-0005-0000-0000-0000FE2C0000}"/>
    <cellStyle name="_20061117Holux_CMS_Web_Design_Phase_Deliverables_0625_FP_CAMP&amp;ITReporting_Maintenance_Dashboard_Steps of Doneness" xfId="11609" xr:uid="{00000000-0005-0000-0000-0000FF2C0000}"/>
    <cellStyle name="_20061117Holux_CMS_Web_Design_Phase_Deliverables_0625_FP_CAMPITReporting_Maintenance_Dashboard" xfId="11610" xr:uid="{00000000-0005-0000-0000-0000002D0000}"/>
    <cellStyle name="_20061117Holux_CMS_Web_Design_Phase_Deliverables_0625_FP_CAMPITReporting_Maintenance_Dashboard 2" xfId="11611" xr:uid="{00000000-0005-0000-0000-0000012D0000}"/>
    <cellStyle name="_20061117Holux_CMS_Web_Design_Phase_Deliverables_0625_FP_CAMPITReporting_Maintenance_Dashboard 2_Steps of Doneness" xfId="11612" xr:uid="{00000000-0005-0000-0000-0000022D0000}"/>
    <cellStyle name="_20061117Holux_CMS_Web_Design_Phase_Deliverables_0625_FP_CAMPITReporting_Maintenance_Dashboard 3" xfId="11613" xr:uid="{00000000-0005-0000-0000-0000032D0000}"/>
    <cellStyle name="_20061117Holux_CMS_Web_Design_Phase_Deliverables_0625_FP_CAMPITReporting_Maintenance_Dashboard_Steps of Doneness" xfId="11614" xr:uid="{00000000-0005-0000-0000-0000042D0000}"/>
    <cellStyle name="_20061117Holux_CMS_Web_Design_Phase_Deliverables_0625_FP_Commissions_Req_Dn_ProgramWorkBook_10-Dec-2010" xfId="11615" xr:uid="{00000000-0005-0000-0000-0000052D0000}"/>
    <cellStyle name="_20061117Holux_CMS_Web_Design_Phase_Deliverables_0625_FP_Commissions_Req_Dn_ProgramWorkBook_10-Dec-2010 2" xfId="11616" xr:uid="{00000000-0005-0000-0000-0000062D0000}"/>
    <cellStyle name="_20061117Holux_CMS_Web_Design_Phase_Deliverables_0625_FP_Commissions_Req_Dn_ProgramWorkBook_10-Dec-2010 2_Steps of Doneness" xfId="11617" xr:uid="{00000000-0005-0000-0000-0000072D0000}"/>
    <cellStyle name="_20061117Holux_CMS_Web_Design_Phase_Deliverables_0625_FP_Commissions_Req_Dn_ProgramWorkBook_10-Dec-2010 3" xfId="11618" xr:uid="{00000000-0005-0000-0000-0000082D0000}"/>
    <cellStyle name="_20061117Holux_CMS_Web_Design_Phase_Deliverables_0625_FP_Commissions_Req_Dn_ProgramWorkBook_10-Dec-2010_Steps of Doneness" xfId="11619" xr:uid="{00000000-0005-0000-0000-0000092D0000}"/>
    <cellStyle name="_20061117Holux_CMS_Web_Design_Phase_Deliverables_0625_FP_DW_Impl_ProgramWorkBook_07-Jan-2011" xfId="11620" xr:uid="{00000000-0005-0000-0000-00000A2D0000}"/>
    <cellStyle name="_20061117Holux_CMS_Web_Design_Phase_Deliverables_0625_FP_DW_Impl_ProgramWorkBook_07-Jan-2011 2" xfId="11621" xr:uid="{00000000-0005-0000-0000-00000B2D0000}"/>
    <cellStyle name="_20061117Holux_CMS_Web_Design_Phase_Deliverables_0625_FP_DW_Impl_ProgramWorkBook_07-Jan-2011 2 2" xfId="11622" xr:uid="{00000000-0005-0000-0000-00000C2D0000}"/>
    <cellStyle name="_20061117Holux_CMS_Web_Design_Phase_Deliverables_0625_FP_DW_Impl_ProgramWorkBook_07-Jan-2011 2 2_Steps of Doneness" xfId="11623" xr:uid="{00000000-0005-0000-0000-00000D2D0000}"/>
    <cellStyle name="_20061117Holux_CMS_Web_Design_Phase_Deliverables_0625_FP_DW_Impl_ProgramWorkBook_07-Jan-2011 2 3" xfId="11624" xr:uid="{00000000-0005-0000-0000-00000E2D0000}"/>
    <cellStyle name="_20061117Holux_CMS_Web_Design_Phase_Deliverables_0625_FP_DW_Impl_ProgramWorkBook_07-Jan-2011 2_Steps of Doneness" xfId="11625" xr:uid="{00000000-0005-0000-0000-00000F2D0000}"/>
    <cellStyle name="_20061117Holux_CMS_Web_Design_Phase_Deliverables_0625_FP_DW_Impl_ProgramWorkBook_07-Jan-2011 3" xfId="11626" xr:uid="{00000000-0005-0000-0000-0000102D0000}"/>
    <cellStyle name="_20061117Holux_CMS_Web_Design_Phase_Deliverables_0625_FP_DW_Impl_ProgramWorkBook_07-Jan-2011 3_Steps of Doneness" xfId="11627" xr:uid="{00000000-0005-0000-0000-0000112D0000}"/>
    <cellStyle name="_20061117Holux_CMS_Web_Design_Phase_Deliverables_0625_FP_DW_Impl_ProgramWorkBook_07-Jan-2011 4" xfId="11628" xr:uid="{00000000-0005-0000-0000-0000122D0000}"/>
    <cellStyle name="_20061117Holux_CMS_Web_Design_Phase_Deliverables_0625_FP_DW_Impl_ProgramWorkBook_07-Jan-2011_Steps of Doneness" xfId="11629" xr:uid="{00000000-0005-0000-0000-0000132D0000}"/>
    <cellStyle name="_20061117Holux_CMS_Web_Design_Phase_Deliverables_0625_FP_DW_Impl_ProgramWorkBook_11-Feb-2011" xfId="11630" xr:uid="{00000000-0005-0000-0000-0000142D0000}"/>
    <cellStyle name="_20061117Holux_CMS_Web_Design_Phase_Deliverables_0625_FP_DW_Impl_ProgramWorkBook_11-Feb-2011 2" xfId="11631" xr:uid="{00000000-0005-0000-0000-0000152D0000}"/>
    <cellStyle name="_20061117Holux_CMS_Web_Design_Phase_Deliverables_0625_FP_DW_Impl_ProgramWorkBook_11-Feb-2011 2_Steps of Doneness" xfId="11632" xr:uid="{00000000-0005-0000-0000-0000162D0000}"/>
    <cellStyle name="_20061117Holux_CMS_Web_Design_Phase_Deliverables_0625_FP_DW_Impl_ProgramWorkBook_11-Feb-2011 3" xfId="11633" xr:uid="{00000000-0005-0000-0000-0000172D0000}"/>
    <cellStyle name="_20061117Holux_CMS_Web_Design_Phase_Deliverables_0625_FP_DW_Impl_ProgramWorkBook_11-Feb-2011_Steps of Doneness" xfId="11634" xr:uid="{00000000-0005-0000-0000-0000182D0000}"/>
    <cellStyle name="_20061117Holux_CMS_Web_Design_Phase_Deliverables_0625_FP_DW_Impl_ProgramWorkBook_18-Feb-2011 - Working" xfId="11635" xr:uid="{00000000-0005-0000-0000-0000192D0000}"/>
    <cellStyle name="_20061117Holux_CMS_Web_Design_Phase_Deliverables_0625_FP_DW_Impl_ProgramWorkBook_18-Feb-2011 - Working 2" xfId="11636" xr:uid="{00000000-0005-0000-0000-00001A2D0000}"/>
    <cellStyle name="_20061117Holux_CMS_Web_Design_Phase_Deliverables_0625_FP_DW_Impl_ProgramWorkBook_18-Feb-2011 - Working 2_Steps of Doneness" xfId="11637" xr:uid="{00000000-0005-0000-0000-00001B2D0000}"/>
    <cellStyle name="_20061117Holux_CMS_Web_Design_Phase_Deliverables_0625_FP_DW_Impl_ProgramWorkBook_18-Feb-2011 - Working 3" xfId="11638" xr:uid="{00000000-0005-0000-0000-00001C2D0000}"/>
    <cellStyle name="_20061117Holux_CMS_Web_Design_Phase_Deliverables_0625_FP_DW_Impl_ProgramWorkBook_18-Feb-2011 - Working_Steps of Doneness" xfId="11639" xr:uid="{00000000-0005-0000-0000-00001D2D0000}"/>
    <cellStyle name="_20061117Holux_CMS_Web_Design_Phase_Deliverables_0625_FP_EnterprisePortal_ProgramWorkbook" xfId="11640" xr:uid="{00000000-0005-0000-0000-00001E2D0000}"/>
    <cellStyle name="_20061117Holux_CMS_Web_Design_Phase_Deliverables_0625_FP_EnterprisePortal_ProgramWorkbook 2" xfId="11641" xr:uid="{00000000-0005-0000-0000-00001F2D0000}"/>
    <cellStyle name="_20061117Holux_CMS_Web_Design_Phase_Deliverables_0625_FP_EnterprisePortal_ProgramWorkbook 2_Steps of Doneness" xfId="11642" xr:uid="{00000000-0005-0000-0000-0000202D0000}"/>
    <cellStyle name="_20061117Holux_CMS_Web_Design_Phase_Deliverables_0625_FP_EnterprisePortal_ProgramWorkbook 3" xfId="11643" xr:uid="{00000000-0005-0000-0000-0000212D0000}"/>
    <cellStyle name="_20061117Holux_CMS_Web_Design_Phase_Deliverables_0625_FP_EnterprisePortal_ProgramWorkbook_Steps of Doneness" xfId="11644" xr:uid="{00000000-0005-0000-0000-0000222D0000}"/>
    <cellStyle name="_20061117Holux_CMS_Web_Design_Phase_Deliverables_0625_FP_SAP_MLP v2" xfId="11645" xr:uid="{00000000-0005-0000-0000-0000232D0000}"/>
    <cellStyle name="_20061117Holux_CMS_Web_Design_Phase_Deliverables_0625_FP_SAP_MLP v2 2" xfId="11646" xr:uid="{00000000-0005-0000-0000-0000242D0000}"/>
    <cellStyle name="_20061117Holux_CMS_Web_Design_Phase_Deliverables_0625_FP_SAP_MLP v2 2_Steps of Doneness" xfId="11647" xr:uid="{00000000-0005-0000-0000-0000252D0000}"/>
    <cellStyle name="_20061117Holux_CMS_Web_Design_Phase_Deliverables_0625_FP_SAP_MLP v2 3" xfId="11648" xr:uid="{00000000-0005-0000-0000-0000262D0000}"/>
    <cellStyle name="_20061117Holux_CMS_Web_Design_Phase_Deliverables_0625_FP_SAP_MLP v2_Steps of Doneness" xfId="11649" xr:uid="{00000000-0005-0000-0000-0000272D0000}"/>
    <cellStyle name="_20061117Holux_CMS_Web_Design_Phase_Deliverables_0625_KeyDecisions" xfId="11650" xr:uid="{00000000-0005-0000-0000-0000282D0000}"/>
    <cellStyle name="_20061117Holux_CMS_Web_Design_Phase_Deliverables_0625_KeyDecisions 2" xfId="11651" xr:uid="{00000000-0005-0000-0000-0000292D0000}"/>
    <cellStyle name="_20061117Holux_CMS_Web_Design_Phase_Deliverables_0625_KeyDecisions 2_Steps of Doneness" xfId="11652" xr:uid="{00000000-0005-0000-0000-00002A2D0000}"/>
    <cellStyle name="_20061117Holux_CMS_Web_Design_Phase_Deliverables_0625_KeyDecisions 3" xfId="11653" xr:uid="{00000000-0005-0000-0000-00002B2D0000}"/>
    <cellStyle name="_20061117Holux_CMS_Web_Design_Phase_Deliverables_0625_KeyDecisions_Steps of Doneness" xfId="11654" xr:uid="{00000000-0005-0000-0000-00002C2D0000}"/>
    <cellStyle name="_20061117Holux_CMS_Web_Design_Phase_Deliverables_0625_Sophia_Imp_ProjectWorkBook_02_18_2011" xfId="11655" xr:uid="{00000000-0005-0000-0000-00002D2D0000}"/>
    <cellStyle name="_20061117Holux_CMS_Web_Design_Phase_Deliverables_0625_Sophia_Imp_ProjectWorkBook_02_18_2011 2" xfId="11656" xr:uid="{00000000-0005-0000-0000-00002E2D0000}"/>
    <cellStyle name="_20061117Holux_CMS_Web_Design_Phase_Deliverables_0625_Sophia_Imp_ProjectWorkBook_02_18_2011 2_Steps of Doneness" xfId="11657" xr:uid="{00000000-0005-0000-0000-00002F2D0000}"/>
    <cellStyle name="_20061117Holux_CMS_Web_Design_Phase_Deliverables_0625_Sophia_Imp_ProjectWorkBook_02_18_2011 3" xfId="11658" xr:uid="{00000000-0005-0000-0000-0000302D0000}"/>
    <cellStyle name="_20061117Holux_CMS_Web_Design_Phase_Deliverables_0625_Sophia_Imp_ProjectWorkBook_02_18_2011_Steps of Doneness" xfId="11659" xr:uid="{00000000-0005-0000-0000-0000312D0000}"/>
    <cellStyle name="_20061117Holux_CMS_Web_Design_Phase_Deliverables_0625_Steps of Doneness" xfId="11660" xr:uid="{00000000-0005-0000-0000-0000322D0000}"/>
    <cellStyle name="_20061117Holux_CMS_Web_Design_Phase_Deliverables_0625_t" xfId="11661" xr:uid="{00000000-0005-0000-0000-0000332D0000}"/>
    <cellStyle name="_20061117Holux_CMS_Web_Design_Phase_Deliverables_0625_t 2" xfId="11662" xr:uid="{00000000-0005-0000-0000-0000342D0000}"/>
    <cellStyle name="_20061117Holux_CMS_Web_Design_Phase_Deliverables_0625_t 2_Steps of Doneness" xfId="11663" xr:uid="{00000000-0005-0000-0000-0000352D0000}"/>
    <cellStyle name="_20061117Holux_CMS_Web_Design_Phase_Deliverables_0625_t 3" xfId="11664" xr:uid="{00000000-0005-0000-0000-0000362D0000}"/>
    <cellStyle name="_20061117Holux_CMS_Web_Design_Phase_Deliverables_0625_t_Steps of Doneness" xfId="11665" xr:uid="{00000000-0005-0000-0000-0000372D0000}"/>
    <cellStyle name="_20061117Holux_CMS_Web_Design_Phase_Deliverables_MLP_0627" xfId="11666" xr:uid="{00000000-0005-0000-0000-0000382D0000}"/>
    <cellStyle name="_20061117Holux_CMS_Web_Design_Phase_Deliverables_MLP_0627 2" xfId="11667" xr:uid="{00000000-0005-0000-0000-0000392D0000}"/>
    <cellStyle name="_20061117Holux_CMS_Web_Design_Phase_Deliverables_MLP_0627 2 2" xfId="11668" xr:uid="{00000000-0005-0000-0000-00003A2D0000}"/>
    <cellStyle name="_20061117Holux_CMS_Web_Design_Phase_Deliverables_MLP_0627 2 2_Steps of Doneness" xfId="11669" xr:uid="{00000000-0005-0000-0000-00003B2D0000}"/>
    <cellStyle name="_20061117Holux_CMS_Web_Design_Phase_Deliverables_MLP_0627 2 3" xfId="11670" xr:uid="{00000000-0005-0000-0000-00003C2D0000}"/>
    <cellStyle name="_20061117Holux_CMS_Web_Design_Phase_Deliverables_MLP_0627 2_Steps of Doneness" xfId="11671" xr:uid="{00000000-0005-0000-0000-00003D2D0000}"/>
    <cellStyle name="_20061117Holux_CMS_Web_Design_Phase_Deliverables_MLP_0627 3" xfId="11672" xr:uid="{00000000-0005-0000-0000-00003E2D0000}"/>
    <cellStyle name="_20061117Holux_CMS_Web_Design_Phase_Deliverables_MLP_0627 3 2" xfId="11673" xr:uid="{00000000-0005-0000-0000-00003F2D0000}"/>
    <cellStyle name="_20061117Holux_CMS_Web_Design_Phase_Deliverables_MLP_0627 3 2_Steps of Doneness" xfId="11674" xr:uid="{00000000-0005-0000-0000-0000402D0000}"/>
    <cellStyle name="_20061117Holux_CMS_Web_Design_Phase_Deliverables_MLP_0627 3 3" xfId="11675" xr:uid="{00000000-0005-0000-0000-0000412D0000}"/>
    <cellStyle name="_20061117Holux_CMS_Web_Design_Phase_Deliverables_MLP_0627 3_Steps of Doneness" xfId="11676" xr:uid="{00000000-0005-0000-0000-0000422D0000}"/>
    <cellStyle name="_20061117Holux_CMS_Web_Design_Phase_Deliverables_MLP_0627 4" xfId="11677" xr:uid="{00000000-0005-0000-0000-0000432D0000}"/>
    <cellStyle name="_20061117Holux_CMS_Web_Design_Phase_Deliverables_MLP_0627 4_Steps of Doneness" xfId="11678" xr:uid="{00000000-0005-0000-0000-0000442D0000}"/>
    <cellStyle name="_20061117Holux_CMS_Web_Design_Phase_Deliverables_MLP_0627 5" xfId="11679" xr:uid="{00000000-0005-0000-0000-0000452D0000}"/>
    <cellStyle name="_20061117Holux_CMS_Web_Design_Phase_Deliverables_MLP_0627 6" xfId="11680" xr:uid="{00000000-0005-0000-0000-0000462D0000}"/>
    <cellStyle name="_20061117Holux_CMS_Web_Design_Phase_Deliverables_MLP_0627_Commissioning System Implementation_Project Workbook_06_10_2011" xfId="11681" xr:uid="{00000000-0005-0000-0000-0000472D0000}"/>
    <cellStyle name="_20061117Holux_CMS_Web_Design_Phase_Deliverables_MLP_0627_Commissioning System Implementation_Project Workbook_06_10_2011 2" xfId="11682" xr:uid="{00000000-0005-0000-0000-0000482D0000}"/>
    <cellStyle name="_20061117Holux_CMS_Web_Design_Phase_Deliverables_MLP_0627_Commissioning System Implementation_Project Workbook_06_10_2011 2_Steps of Doneness" xfId="11683" xr:uid="{00000000-0005-0000-0000-0000492D0000}"/>
    <cellStyle name="_20061117Holux_CMS_Web_Design_Phase_Deliverables_MLP_0627_Commissioning System Implementation_Project Workbook_06_10_2011 3" xfId="11684" xr:uid="{00000000-0005-0000-0000-00004A2D0000}"/>
    <cellStyle name="_20061117Holux_CMS_Web_Design_Phase_Deliverables_MLP_0627_Commissioning System Implementation_Project Workbook_06_10_2011_Steps of Doneness" xfId="11685" xr:uid="{00000000-0005-0000-0000-00004B2D0000}"/>
    <cellStyle name="_20061117Holux_CMS_Web_Design_Phase_Deliverables_MLP_0627_FairPoint_CampReport" xfId="11686" xr:uid="{00000000-0005-0000-0000-00004C2D0000}"/>
    <cellStyle name="_20061117Holux_CMS_Web_Design_Phase_Deliverables_MLP_0627_FairPoint_CampReport 2" xfId="11687" xr:uid="{00000000-0005-0000-0000-00004D2D0000}"/>
    <cellStyle name="_20061117Holux_CMS_Web_Design_Phase_Deliverables_MLP_0627_FairPoint_CampReport 2_Steps of Doneness" xfId="11688" xr:uid="{00000000-0005-0000-0000-00004E2D0000}"/>
    <cellStyle name="_20061117Holux_CMS_Web_Design_Phase_Deliverables_MLP_0627_FairPoint_CampReport 3" xfId="11689" xr:uid="{00000000-0005-0000-0000-00004F2D0000}"/>
    <cellStyle name="_20061117Holux_CMS_Web_Design_Phase_Deliverables_MLP_0627_FairPoint_CampReport_Steps of Doneness" xfId="11690" xr:uid="{00000000-0005-0000-0000-0000502D0000}"/>
    <cellStyle name="_20061117Holux_CMS_Web_Design_Phase_Deliverables_MLP_0627_FairPoint_FP comTechOps_ProgramWorkbook" xfId="11691" xr:uid="{00000000-0005-0000-0000-0000512D0000}"/>
    <cellStyle name="_20061117Holux_CMS_Web_Design_Phase_Deliverables_MLP_0627_FairPoint_FP comTechOps_ProgramWorkbook 2" xfId="11692" xr:uid="{00000000-0005-0000-0000-0000522D0000}"/>
    <cellStyle name="_20061117Holux_CMS_Web_Design_Phase_Deliverables_MLP_0627_FairPoint_FP comTechOps_ProgramWorkbook 2_Steps of Doneness" xfId="11693" xr:uid="{00000000-0005-0000-0000-0000532D0000}"/>
    <cellStyle name="_20061117Holux_CMS_Web_Design_Phase_Deliverables_MLP_0627_FairPoint_FP comTechOps_ProgramWorkbook 3" xfId="11694" xr:uid="{00000000-0005-0000-0000-0000542D0000}"/>
    <cellStyle name="_20061117Holux_CMS_Web_Design_Phase_Deliverables_MLP_0627_FairPoint_FP comTechOps_ProgramWorkbook_sachin" xfId="11695" xr:uid="{00000000-0005-0000-0000-0000552D0000}"/>
    <cellStyle name="_20061117Holux_CMS_Web_Design_Phase_Deliverables_MLP_0627_FairPoint_FP comTechOps_ProgramWorkbook_sachin 2" xfId="11696" xr:uid="{00000000-0005-0000-0000-0000562D0000}"/>
    <cellStyle name="_20061117Holux_CMS_Web_Design_Phase_Deliverables_MLP_0627_FairPoint_FP comTechOps_ProgramWorkbook_sachin 2_Steps of Doneness" xfId="11697" xr:uid="{00000000-0005-0000-0000-0000572D0000}"/>
    <cellStyle name="_20061117Holux_CMS_Web_Design_Phase_Deliverables_MLP_0627_FairPoint_FP comTechOps_ProgramWorkbook_sachin 3" xfId="11698" xr:uid="{00000000-0005-0000-0000-0000582D0000}"/>
    <cellStyle name="_20061117Holux_CMS_Web_Design_Phase_Deliverables_MLP_0627_FairPoint_FP comTechOps_ProgramWorkbook_sachin_Steps of Doneness" xfId="11699" xr:uid="{00000000-0005-0000-0000-0000592D0000}"/>
    <cellStyle name="_20061117Holux_CMS_Web_Design_Phase_Deliverables_MLP_0627_FairPoint_FP comTechOps_ProgramWorkbook_sachin_v1" xfId="11700" xr:uid="{00000000-0005-0000-0000-00005A2D0000}"/>
    <cellStyle name="_20061117Holux_CMS_Web_Design_Phase_Deliverables_MLP_0627_FairPoint_FP comTechOps_ProgramWorkbook_sachin_v1 2" xfId="11701" xr:uid="{00000000-0005-0000-0000-00005B2D0000}"/>
    <cellStyle name="_20061117Holux_CMS_Web_Design_Phase_Deliverables_MLP_0627_FairPoint_FP comTechOps_ProgramWorkbook_sachin_v1 2_Steps of Doneness" xfId="11702" xr:uid="{00000000-0005-0000-0000-00005C2D0000}"/>
    <cellStyle name="_20061117Holux_CMS_Web_Design_Phase_Deliverables_MLP_0627_FairPoint_FP comTechOps_ProgramWorkbook_sachin_v1 3" xfId="11703" xr:uid="{00000000-0005-0000-0000-00005D2D0000}"/>
    <cellStyle name="_20061117Holux_CMS_Web_Design_Phase_Deliverables_MLP_0627_FairPoint_FP comTechOps_ProgramWorkbook_sachin_v1_Steps of Doneness" xfId="11704" xr:uid="{00000000-0005-0000-0000-00005E2D0000}"/>
    <cellStyle name="_20061117Holux_CMS_Web_Design_Phase_Deliverables_MLP_0627_FairPoint_FP comTechOps_ProgramWorkbook_Steps of Doneness" xfId="11705" xr:uid="{00000000-0005-0000-0000-00005F2D0000}"/>
    <cellStyle name="_20061117Holux_CMS_Web_Design_Phase_Deliverables_MLP_0627_FP_CAMP&amp;ITReporting_Maintenance_Dashboard" xfId="11706" xr:uid="{00000000-0005-0000-0000-0000602D0000}"/>
    <cellStyle name="_20061117Holux_CMS_Web_Design_Phase_Deliverables_MLP_0627_FP_CAMP&amp;ITReporting_Maintenance_Dashboard 2" xfId="11707" xr:uid="{00000000-0005-0000-0000-0000612D0000}"/>
    <cellStyle name="_20061117Holux_CMS_Web_Design_Phase_Deliverables_MLP_0627_FP_CAMP&amp;ITReporting_Maintenance_Dashboard 2_Steps of Doneness" xfId="11708" xr:uid="{00000000-0005-0000-0000-0000622D0000}"/>
    <cellStyle name="_20061117Holux_CMS_Web_Design_Phase_Deliverables_MLP_0627_FP_CAMP&amp;ITReporting_Maintenance_Dashboard 3" xfId="11709" xr:uid="{00000000-0005-0000-0000-0000632D0000}"/>
    <cellStyle name="_20061117Holux_CMS_Web_Design_Phase_Deliverables_MLP_0627_FP_CAMP&amp;ITReporting_Maintenance_Dashboard_Steps of Doneness" xfId="11710" xr:uid="{00000000-0005-0000-0000-0000642D0000}"/>
    <cellStyle name="_20061117Holux_CMS_Web_Design_Phase_Deliverables_MLP_0627_FP_CAMPITReporting_Maintenance_Dashboard" xfId="11711" xr:uid="{00000000-0005-0000-0000-0000652D0000}"/>
    <cellStyle name="_20061117Holux_CMS_Web_Design_Phase_Deliverables_MLP_0627_FP_CAMPITReporting_Maintenance_Dashboard 2" xfId="11712" xr:uid="{00000000-0005-0000-0000-0000662D0000}"/>
    <cellStyle name="_20061117Holux_CMS_Web_Design_Phase_Deliverables_MLP_0627_FP_CAMPITReporting_Maintenance_Dashboard 2_Steps of Doneness" xfId="11713" xr:uid="{00000000-0005-0000-0000-0000672D0000}"/>
    <cellStyle name="_20061117Holux_CMS_Web_Design_Phase_Deliverables_MLP_0627_FP_CAMPITReporting_Maintenance_Dashboard 3" xfId="11714" xr:uid="{00000000-0005-0000-0000-0000682D0000}"/>
    <cellStyle name="_20061117Holux_CMS_Web_Design_Phase_Deliverables_MLP_0627_FP_CAMPITReporting_Maintenance_Dashboard_Steps of Doneness" xfId="11715" xr:uid="{00000000-0005-0000-0000-0000692D0000}"/>
    <cellStyle name="_20061117Holux_CMS_Web_Design_Phase_Deliverables_MLP_0627_FP_Commissions_Req_Dn_ProgramWorkBook_10-Dec-2010" xfId="11716" xr:uid="{00000000-0005-0000-0000-00006A2D0000}"/>
    <cellStyle name="_20061117Holux_CMS_Web_Design_Phase_Deliverables_MLP_0627_FP_Commissions_Req_Dn_ProgramWorkBook_10-Dec-2010 2" xfId="11717" xr:uid="{00000000-0005-0000-0000-00006B2D0000}"/>
    <cellStyle name="_20061117Holux_CMS_Web_Design_Phase_Deliverables_MLP_0627_FP_Commissions_Req_Dn_ProgramWorkBook_10-Dec-2010 2_Steps of Doneness" xfId="11718" xr:uid="{00000000-0005-0000-0000-00006C2D0000}"/>
    <cellStyle name="_20061117Holux_CMS_Web_Design_Phase_Deliverables_MLP_0627_FP_Commissions_Req_Dn_ProgramWorkBook_10-Dec-2010 3" xfId="11719" xr:uid="{00000000-0005-0000-0000-00006D2D0000}"/>
    <cellStyle name="_20061117Holux_CMS_Web_Design_Phase_Deliverables_MLP_0627_FP_Commissions_Req_Dn_ProgramWorkBook_10-Dec-2010_Steps of Doneness" xfId="11720" xr:uid="{00000000-0005-0000-0000-00006E2D0000}"/>
    <cellStyle name="_20061117Holux_CMS_Web_Design_Phase_Deliverables_MLP_0627_FP_DW_Impl_ProgramWorkBook_07-Jan-2011" xfId="11721" xr:uid="{00000000-0005-0000-0000-00006F2D0000}"/>
    <cellStyle name="_20061117Holux_CMS_Web_Design_Phase_Deliverables_MLP_0627_FP_DW_Impl_ProgramWorkBook_07-Jan-2011 2" xfId="11722" xr:uid="{00000000-0005-0000-0000-0000702D0000}"/>
    <cellStyle name="_20061117Holux_CMS_Web_Design_Phase_Deliverables_MLP_0627_FP_DW_Impl_ProgramWorkBook_07-Jan-2011 2 2" xfId="11723" xr:uid="{00000000-0005-0000-0000-0000712D0000}"/>
    <cellStyle name="_20061117Holux_CMS_Web_Design_Phase_Deliverables_MLP_0627_FP_DW_Impl_ProgramWorkBook_07-Jan-2011 2 2_Steps of Doneness" xfId="11724" xr:uid="{00000000-0005-0000-0000-0000722D0000}"/>
    <cellStyle name="_20061117Holux_CMS_Web_Design_Phase_Deliverables_MLP_0627_FP_DW_Impl_ProgramWorkBook_07-Jan-2011 2 3" xfId="11725" xr:uid="{00000000-0005-0000-0000-0000732D0000}"/>
    <cellStyle name="_20061117Holux_CMS_Web_Design_Phase_Deliverables_MLP_0627_FP_DW_Impl_ProgramWorkBook_07-Jan-2011 2_Steps of Doneness" xfId="11726" xr:uid="{00000000-0005-0000-0000-0000742D0000}"/>
    <cellStyle name="_20061117Holux_CMS_Web_Design_Phase_Deliverables_MLP_0627_FP_DW_Impl_ProgramWorkBook_07-Jan-2011 3" xfId="11727" xr:uid="{00000000-0005-0000-0000-0000752D0000}"/>
    <cellStyle name="_20061117Holux_CMS_Web_Design_Phase_Deliverables_MLP_0627_FP_DW_Impl_ProgramWorkBook_07-Jan-2011 3_Steps of Doneness" xfId="11728" xr:uid="{00000000-0005-0000-0000-0000762D0000}"/>
    <cellStyle name="_20061117Holux_CMS_Web_Design_Phase_Deliverables_MLP_0627_FP_DW_Impl_ProgramWorkBook_07-Jan-2011 4" xfId="11729" xr:uid="{00000000-0005-0000-0000-0000772D0000}"/>
    <cellStyle name="_20061117Holux_CMS_Web_Design_Phase_Deliverables_MLP_0627_FP_DW_Impl_ProgramWorkBook_07-Jan-2011_Steps of Doneness" xfId="11730" xr:uid="{00000000-0005-0000-0000-0000782D0000}"/>
    <cellStyle name="_20061117Holux_CMS_Web_Design_Phase_Deliverables_MLP_0627_FP_DW_Impl_ProgramWorkBook_11-Feb-2011" xfId="11731" xr:uid="{00000000-0005-0000-0000-0000792D0000}"/>
    <cellStyle name="_20061117Holux_CMS_Web_Design_Phase_Deliverables_MLP_0627_FP_DW_Impl_ProgramWorkBook_11-Feb-2011 2" xfId="11732" xr:uid="{00000000-0005-0000-0000-00007A2D0000}"/>
    <cellStyle name="_20061117Holux_CMS_Web_Design_Phase_Deliverables_MLP_0627_FP_DW_Impl_ProgramWorkBook_11-Feb-2011 2_Steps of Doneness" xfId="11733" xr:uid="{00000000-0005-0000-0000-00007B2D0000}"/>
    <cellStyle name="_20061117Holux_CMS_Web_Design_Phase_Deliverables_MLP_0627_FP_DW_Impl_ProgramWorkBook_11-Feb-2011 3" xfId="11734" xr:uid="{00000000-0005-0000-0000-00007C2D0000}"/>
    <cellStyle name="_20061117Holux_CMS_Web_Design_Phase_Deliverables_MLP_0627_FP_DW_Impl_ProgramWorkBook_11-Feb-2011_Steps of Doneness" xfId="11735" xr:uid="{00000000-0005-0000-0000-00007D2D0000}"/>
    <cellStyle name="_20061117Holux_CMS_Web_Design_Phase_Deliverables_MLP_0627_FP_DW_Impl_ProgramWorkBook_18-Feb-2011 - Working" xfId="11736" xr:uid="{00000000-0005-0000-0000-00007E2D0000}"/>
    <cellStyle name="_20061117Holux_CMS_Web_Design_Phase_Deliverables_MLP_0627_FP_DW_Impl_ProgramWorkBook_18-Feb-2011 - Working 2" xfId="11737" xr:uid="{00000000-0005-0000-0000-00007F2D0000}"/>
    <cellStyle name="_20061117Holux_CMS_Web_Design_Phase_Deliverables_MLP_0627_FP_DW_Impl_ProgramWorkBook_18-Feb-2011 - Working 2_Steps of Doneness" xfId="11738" xr:uid="{00000000-0005-0000-0000-0000802D0000}"/>
    <cellStyle name="_20061117Holux_CMS_Web_Design_Phase_Deliverables_MLP_0627_FP_DW_Impl_ProgramWorkBook_18-Feb-2011 - Working 3" xfId="11739" xr:uid="{00000000-0005-0000-0000-0000812D0000}"/>
    <cellStyle name="_20061117Holux_CMS_Web_Design_Phase_Deliverables_MLP_0627_FP_DW_Impl_ProgramWorkBook_18-Feb-2011 - Working_Steps of Doneness" xfId="11740" xr:uid="{00000000-0005-0000-0000-0000822D0000}"/>
    <cellStyle name="_20061117Holux_CMS_Web_Design_Phase_Deliverables_MLP_0627_FP_EnterprisePortal_ProgramWorkbook" xfId="11741" xr:uid="{00000000-0005-0000-0000-0000832D0000}"/>
    <cellStyle name="_20061117Holux_CMS_Web_Design_Phase_Deliverables_MLP_0627_FP_EnterprisePortal_ProgramWorkbook 2" xfId="11742" xr:uid="{00000000-0005-0000-0000-0000842D0000}"/>
    <cellStyle name="_20061117Holux_CMS_Web_Design_Phase_Deliverables_MLP_0627_FP_EnterprisePortal_ProgramWorkbook 2_Steps of Doneness" xfId="11743" xr:uid="{00000000-0005-0000-0000-0000852D0000}"/>
    <cellStyle name="_20061117Holux_CMS_Web_Design_Phase_Deliverables_MLP_0627_FP_EnterprisePortal_ProgramWorkbook 3" xfId="11744" xr:uid="{00000000-0005-0000-0000-0000862D0000}"/>
    <cellStyle name="_20061117Holux_CMS_Web_Design_Phase_Deliverables_MLP_0627_FP_EnterprisePortal_ProgramWorkbook_Steps of Doneness" xfId="11745" xr:uid="{00000000-0005-0000-0000-0000872D0000}"/>
    <cellStyle name="_20061117Holux_CMS_Web_Design_Phase_Deliverables_MLP_0627_FP_SAP_MLP v2" xfId="11746" xr:uid="{00000000-0005-0000-0000-0000882D0000}"/>
    <cellStyle name="_20061117Holux_CMS_Web_Design_Phase_Deliverables_MLP_0627_FP_SAP_MLP v2 2" xfId="11747" xr:uid="{00000000-0005-0000-0000-0000892D0000}"/>
    <cellStyle name="_20061117Holux_CMS_Web_Design_Phase_Deliverables_MLP_0627_FP_SAP_MLP v2 2_Steps of Doneness" xfId="11748" xr:uid="{00000000-0005-0000-0000-00008A2D0000}"/>
    <cellStyle name="_20061117Holux_CMS_Web_Design_Phase_Deliverables_MLP_0627_FP_SAP_MLP v2 3" xfId="11749" xr:uid="{00000000-0005-0000-0000-00008B2D0000}"/>
    <cellStyle name="_20061117Holux_CMS_Web_Design_Phase_Deliverables_MLP_0627_FP_SAP_MLP v2_Steps of Doneness" xfId="11750" xr:uid="{00000000-0005-0000-0000-00008C2D0000}"/>
    <cellStyle name="_20061117Holux_CMS_Web_Design_Phase_Deliverables_MLP_0627_KeyDecisions" xfId="11751" xr:uid="{00000000-0005-0000-0000-00008D2D0000}"/>
    <cellStyle name="_20061117Holux_CMS_Web_Design_Phase_Deliverables_MLP_0627_KeyDecisions 2" xfId="11752" xr:uid="{00000000-0005-0000-0000-00008E2D0000}"/>
    <cellStyle name="_20061117Holux_CMS_Web_Design_Phase_Deliverables_MLP_0627_KeyDecisions 2_Steps of Doneness" xfId="11753" xr:uid="{00000000-0005-0000-0000-00008F2D0000}"/>
    <cellStyle name="_20061117Holux_CMS_Web_Design_Phase_Deliverables_MLP_0627_KeyDecisions 3" xfId="11754" xr:uid="{00000000-0005-0000-0000-0000902D0000}"/>
    <cellStyle name="_20061117Holux_CMS_Web_Design_Phase_Deliverables_MLP_0627_KeyDecisions_Steps of Doneness" xfId="11755" xr:uid="{00000000-0005-0000-0000-0000912D0000}"/>
    <cellStyle name="_20061117Holux_CMS_Web_Design_Phase_Deliverables_MLP_0627_Sophia_Imp_ProjectWorkBook_02_18_2011" xfId="11756" xr:uid="{00000000-0005-0000-0000-0000922D0000}"/>
    <cellStyle name="_20061117Holux_CMS_Web_Design_Phase_Deliverables_MLP_0627_Sophia_Imp_ProjectWorkBook_02_18_2011 2" xfId="11757" xr:uid="{00000000-0005-0000-0000-0000932D0000}"/>
    <cellStyle name="_20061117Holux_CMS_Web_Design_Phase_Deliverables_MLP_0627_Sophia_Imp_ProjectWorkBook_02_18_2011 2_Steps of Doneness" xfId="11758" xr:uid="{00000000-0005-0000-0000-0000942D0000}"/>
    <cellStyle name="_20061117Holux_CMS_Web_Design_Phase_Deliverables_MLP_0627_Sophia_Imp_ProjectWorkBook_02_18_2011 3" xfId="11759" xr:uid="{00000000-0005-0000-0000-0000952D0000}"/>
    <cellStyle name="_20061117Holux_CMS_Web_Design_Phase_Deliverables_MLP_0627_Sophia_Imp_ProjectWorkBook_02_18_2011_Steps of Doneness" xfId="11760" xr:uid="{00000000-0005-0000-0000-0000962D0000}"/>
    <cellStyle name="_20061117Holux_CMS_Web_Design_Phase_Deliverables_MLP_0627_Steps of Doneness" xfId="11761" xr:uid="{00000000-0005-0000-0000-0000972D0000}"/>
    <cellStyle name="_20061117Holux_CMS_Web_Design_Phase_Deliverables_MLP_0627_t" xfId="11762" xr:uid="{00000000-0005-0000-0000-0000982D0000}"/>
    <cellStyle name="_20061117Holux_CMS_Web_Design_Phase_Deliverables_MLP_0627_t 2" xfId="11763" xr:uid="{00000000-0005-0000-0000-0000992D0000}"/>
    <cellStyle name="_20061117Holux_CMS_Web_Design_Phase_Deliverables_MLP_0627_t 2_Steps of Doneness" xfId="11764" xr:uid="{00000000-0005-0000-0000-00009A2D0000}"/>
    <cellStyle name="_20061117Holux_CMS_Web_Design_Phase_Deliverables_MLP_0627_t 3" xfId="11765" xr:uid="{00000000-0005-0000-0000-00009B2D0000}"/>
    <cellStyle name="_20061117Holux_CMS_Web_Design_Phase_Deliverables_MLP_0627_t_Steps of Doneness" xfId="11766" xr:uid="{00000000-0005-0000-0000-00009C2D0000}"/>
    <cellStyle name="_20061117Holux_CMS_Web_Design_Phase_Deliverables_MLP_LLP_7-12-2010_Combined" xfId="11767" xr:uid="{00000000-0005-0000-0000-00009D2D0000}"/>
    <cellStyle name="_20061117Holux_CMS_Web_Design_Phase_Deliverables_MLP_LLP_7-12-2010_Combined 2" xfId="11768" xr:uid="{00000000-0005-0000-0000-00009E2D0000}"/>
    <cellStyle name="_20061117Holux_CMS_Web_Design_Phase_Deliverables_MLP_LLP_7-12-2010_Combined 2 2" xfId="11769" xr:uid="{00000000-0005-0000-0000-00009F2D0000}"/>
    <cellStyle name="_20061117Holux_CMS_Web_Design_Phase_Deliverables_MLP_LLP_7-12-2010_Combined 2 2_Steps of Doneness" xfId="11770" xr:uid="{00000000-0005-0000-0000-0000A02D0000}"/>
    <cellStyle name="_20061117Holux_CMS_Web_Design_Phase_Deliverables_MLP_LLP_7-12-2010_Combined 2 3" xfId="11771" xr:uid="{00000000-0005-0000-0000-0000A12D0000}"/>
    <cellStyle name="_20061117Holux_CMS_Web_Design_Phase_Deliverables_MLP_LLP_7-12-2010_Combined 2_Steps of Doneness" xfId="11772" xr:uid="{00000000-0005-0000-0000-0000A22D0000}"/>
    <cellStyle name="_20061117Holux_CMS_Web_Design_Phase_Deliverables_MLP_LLP_7-12-2010_Combined 3" xfId="11773" xr:uid="{00000000-0005-0000-0000-0000A32D0000}"/>
    <cellStyle name="_20061117Holux_CMS_Web_Design_Phase_Deliverables_MLP_LLP_7-12-2010_Combined 3 2" xfId="11774" xr:uid="{00000000-0005-0000-0000-0000A42D0000}"/>
    <cellStyle name="_20061117Holux_CMS_Web_Design_Phase_Deliverables_MLP_LLP_7-12-2010_Combined 3 2_Steps of Doneness" xfId="11775" xr:uid="{00000000-0005-0000-0000-0000A52D0000}"/>
    <cellStyle name="_20061117Holux_CMS_Web_Design_Phase_Deliverables_MLP_LLP_7-12-2010_Combined 3 3" xfId="11776" xr:uid="{00000000-0005-0000-0000-0000A62D0000}"/>
    <cellStyle name="_20061117Holux_CMS_Web_Design_Phase_Deliverables_MLP_LLP_7-12-2010_Combined 3_Steps of Doneness" xfId="11777" xr:uid="{00000000-0005-0000-0000-0000A72D0000}"/>
    <cellStyle name="_20061117Holux_CMS_Web_Design_Phase_Deliverables_MLP_LLP_7-12-2010_Combined 4" xfId="11778" xr:uid="{00000000-0005-0000-0000-0000A82D0000}"/>
    <cellStyle name="_20061117Holux_CMS_Web_Design_Phase_Deliverables_MLP_LLP_7-12-2010_Combined 4_Steps of Doneness" xfId="11779" xr:uid="{00000000-0005-0000-0000-0000A92D0000}"/>
    <cellStyle name="_20061117Holux_CMS_Web_Design_Phase_Deliverables_MLP_LLP_7-12-2010_Combined 5" xfId="11780" xr:uid="{00000000-0005-0000-0000-0000AA2D0000}"/>
    <cellStyle name="_20061117Holux_CMS_Web_Design_Phase_Deliverables_MLP_LLP_7-12-2010_Combined 6" xfId="11781" xr:uid="{00000000-0005-0000-0000-0000AB2D0000}"/>
    <cellStyle name="_20061117Holux_CMS_Web_Design_Phase_Deliverables_MLP_LLP_7-12-2010_Combined_Commissioning System Implementation_Project Workbook_06_10_2011" xfId="11782" xr:uid="{00000000-0005-0000-0000-0000AC2D0000}"/>
    <cellStyle name="_20061117Holux_CMS_Web_Design_Phase_Deliverables_MLP_LLP_7-12-2010_Combined_Commissioning System Implementation_Project Workbook_06_10_2011 2" xfId="11783" xr:uid="{00000000-0005-0000-0000-0000AD2D0000}"/>
    <cellStyle name="_20061117Holux_CMS_Web_Design_Phase_Deliverables_MLP_LLP_7-12-2010_Combined_Commissioning System Implementation_Project Workbook_06_10_2011 2_Steps of Doneness" xfId="11784" xr:uid="{00000000-0005-0000-0000-0000AE2D0000}"/>
    <cellStyle name="_20061117Holux_CMS_Web_Design_Phase_Deliverables_MLP_LLP_7-12-2010_Combined_Commissioning System Implementation_Project Workbook_06_10_2011 3" xfId="11785" xr:uid="{00000000-0005-0000-0000-0000AF2D0000}"/>
    <cellStyle name="_20061117Holux_CMS_Web_Design_Phase_Deliverables_MLP_LLP_7-12-2010_Combined_Commissioning System Implementation_Project Workbook_06_10_2011_Steps of Doneness" xfId="11786" xr:uid="{00000000-0005-0000-0000-0000B02D0000}"/>
    <cellStyle name="_20061117Holux_CMS_Web_Design_Phase_Deliverables_MLP_LLP_7-12-2010_Combined_FairPoint_CampReport" xfId="11787" xr:uid="{00000000-0005-0000-0000-0000B12D0000}"/>
    <cellStyle name="_20061117Holux_CMS_Web_Design_Phase_Deliverables_MLP_LLP_7-12-2010_Combined_FairPoint_CampReport 2" xfId="11788" xr:uid="{00000000-0005-0000-0000-0000B22D0000}"/>
    <cellStyle name="_20061117Holux_CMS_Web_Design_Phase_Deliverables_MLP_LLP_7-12-2010_Combined_FairPoint_CampReport 2_Steps of Doneness" xfId="11789" xr:uid="{00000000-0005-0000-0000-0000B32D0000}"/>
    <cellStyle name="_20061117Holux_CMS_Web_Design_Phase_Deliverables_MLP_LLP_7-12-2010_Combined_FairPoint_CampReport 3" xfId="11790" xr:uid="{00000000-0005-0000-0000-0000B42D0000}"/>
    <cellStyle name="_20061117Holux_CMS_Web_Design_Phase_Deliverables_MLP_LLP_7-12-2010_Combined_FairPoint_CampReport_Steps of Doneness" xfId="11791" xr:uid="{00000000-0005-0000-0000-0000B52D0000}"/>
    <cellStyle name="_20061117Holux_CMS_Web_Design_Phase_Deliverables_MLP_LLP_7-12-2010_Combined_FairPoint_FP comTechOps_ProgramWorkbook" xfId="11792" xr:uid="{00000000-0005-0000-0000-0000B62D0000}"/>
    <cellStyle name="_20061117Holux_CMS_Web_Design_Phase_Deliverables_MLP_LLP_7-12-2010_Combined_FairPoint_FP comTechOps_ProgramWorkbook 2" xfId="11793" xr:uid="{00000000-0005-0000-0000-0000B72D0000}"/>
    <cellStyle name="_20061117Holux_CMS_Web_Design_Phase_Deliverables_MLP_LLP_7-12-2010_Combined_FairPoint_FP comTechOps_ProgramWorkbook 2_Steps of Doneness" xfId="11794" xr:uid="{00000000-0005-0000-0000-0000B82D0000}"/>
    <cellStyle name="_20061117Holux_CMS_Web_Design_Phase_Deliverables_MLP_LLP_7-12-2010_Combined_FairPoint_FP comTechOps_ProgramWorkbook 3" xfId="11795" xr:uid="{00000000-0005-0000-0000-0000B92D0000}"/>
    <cellStyle name="_20061117Holux_CMS_Web_Design_Phase_Deliverables_MLP_LLP_7-12-2010_Combined_FairPoint_FP comTechOps_ProgramWorkbook_sachin" xfId="11796" xr:uid="{00000000-0005-0000-0000-0000BA2D0000}"/>
    <cellStyle name="_20061117Holux_CMS_Web_Design_Phase_Deliverables_MLP_LLP_7-12-2010_Combined_FairPoint_FP comTechOps_ProgramWorkbook_sachin 2" xfId="11797" xr:uid="{00000000-0005-0000-0000-0000BB2D0000}"/>
    <cellStyle name="_20061117Holux_CMS_Web_Design_Phase_Deliverables_MLP_LLP_7-12-2010_Combined_FairPoint_FP comTechOps_ProgramWorkbook_sachin 2_Steps of Doneness" xfId="11798" xr:uid="{00000000-0005-0000-0000-0000BC2D0000}"/>
    <cellStyle name="_20061117Holux_CMS_Web_Design_Phase_Deliverables_MLP_LLP_7-12-2010_Combined_FairPoint_FP comTechOps_ProgramWorkbook_sachin 3" xfId="11799" xr:uid="{00000000-0005-0000-0000-0000BD2D0000}"/>
    <cellStyle name="_20061117Holux_CMS_Web_Design_Phase_Deliverables_MLP_LLP_7-12-2010_Combined_FairPoint_FP comTechOps_ProgramWorkbook_sachin_Steps of Doneness" xfId="11800" xr:uid="{00000000-0005-0000-0000-0000BE2D0000}"/>
    <cellStyle name="_20061117Holux_CMS_Web_Design_Phase_Deliverables_MLP_LLP_7-12-2010_Combined_FairPoint_FP comTechOps_ProgramWorkbook_sachin_v1" xfId="11801" xr:uid="{00000000-0005-0000-0000-0000BF2D0000}"/>
    <cellStyle name="_20061117Holux_CMS_Web_Design_Phase_Deliverables_MLP_LLP_7-12-2010_Combined_FairPoint_FP comTechOps_ProgramWorkbook_sachin_v1 2" xfId="11802" xr:uid="{00000000-0005-0000-0000-0000C02D0000}"/>
    <cellStyle name="_20061117Holux_CMS_Web_Design_Phase_Deliverables_MLP_LLP_7-12-2010_Combined_FairPoint_FP comTechOps_ProgramWorkbook_sachin_v1 2_Steps of Doneness" xfId="11803" xr:uid="{00000000-0005-0000-0000-0000C12D0000}"/>
    <cellStyle name="_20061117Holux_CMS_Web_Design_Phase_Deliverables_MLP_LLP_7-12-2010_Combined_FairPoint_FP comTechOps_ProgramWorkbook_sachin_v1 3" xfId="11804" xr:uid="{00000000-0005-0000-0000-0000C22D0000}"/>
    <cellStyle name="_20061117Holux_CMS_Web_Design_Phase_Deliverables_MLP_LLP_7-12-2010_Combined_FairPoint_FP comTechOps_ProgramWorkbook_sachin_v1_Steps of Doneness" xfId="11805" xr:uid="{00000000-0005-0000-0000-0000C32D0000}"/>
    <cellStyle name="_20061117Holux_CMS_Web_Design_Phase_Deliverables_MLP_LLP_7-12-2010_Combined_FairPoint_FP comTechOps_ProgramWorkbook_Steps of Doneness" xfId="11806" xr:uid="{00000000-0005-0000-0000-0000C42D0000}"/>
    <cellStyle name="_20061117Holux_CMS_Web_Design_Phase_Deliverables_MLP_LLP_7-12-2010_Combined_FP_CAMP&amp;ITReporting_Maintenance_Dashboard" xfId="11807" xr:uid="{00000000-0005-0000-0000-0000C52D0000}"/>
    <cellStyle name="_20061117Holux_CMS_Web_Design_Phase_Deliverables_MLP_LLP_7-12-2010_Combined_FP_CAMP&amp;ITReporting_Maintenance_Dashboard 2" xfId="11808" xr:uid="{00000000-0005-0000-0000-0000C62D0000}"/>
    <cellStyle name="_20061117Holux_CMS_Web_Design_Phase_Deliverables_MLP_LLP_7-12-2010_Combined_FP_CAMP&amp;ITReporting_Maintenance_Dashboard 2_Steps of Doneness" xfId="11809" xr:uid="{00000000-0005-0000-0000-0000C72D0000}"/>
    <cellStyle name="_20061117Holux_CMS_Web_Design_Phase_Deliverables_MLP_LLP_7-12-2010_Combined_FP_CAMP&amp;ITReporting_Maintenance_Dashboard 3" xfId="11810" xr:uid="{00000000-0005-0000-0000-0000C82D0000}"/>
    <cellStyle name="_20061117Holux_CMS_Web_Design_Phase_Deliverables_MLP_LLP_7-12-2010_Combined_FP_CAMP&amp;ITReporting_Maintenance_Dashboard_Steps of Doneness" xfId="11811" xr:uid="{00000000-0005-0000-0000-0000C92D0000}"/>
    <cellStyle name="_20061117Holux_CMS_Web_Design_Phase_Deliverables_MLP_LLP_7-12-2010_Combined_FP_CAMPITReporting_Maintenance_Dashboard" xfId="11812" xr:uid="{00000000-0005-0000-0000-0000CA2D0000}"/>
    <cellStyle name="_20061117Holux_CMS_Web_Design_Phase_Deliverables_MLP_LLP_7-12-2010_Combined_FP_CAMPITReporting_Maintenance_Dashboard 2" xfId="11813" xr:uid="{00000000-0005-0000-0000-0000CB2D0000}"/>
    <cellStyle name="_20061117Holux_CMS_Web_Design_Phase_Deliverables_MLP_LLP_7-12-2010_Combined_FP_CAMPITReporting_Maintenance_Dashboard 2_Steps of Doneness" xfId="11814" xr:uid="{00000000-0005-0000-0000-0000CC2D0000}"/>
    <cellStyle name="_20061117Holux_CMS_Web_Design_Phase_Deliverables_MLP_LLP_7-12-2010_Combined_FP_CAMPITReporting_Maintenance_Dashboard 3" xfId="11815" xr:uid="{00000000-0005-0000-0000-0000CD2D0000}"/>
    <cellStyle name="_20061117Holux_CMS_Web_Design_Phase_Deliverables_MLP_LLP_7-12-2010_Combined_FP_CAMPITReporting_Maintenance_Dashboard_Steps of Doneness" xfId="11816" xr:uid="{00000000-0005-0000-0000-0000CE2D0000}"/>
    <cellStyle name="_20061117Holux_CMS_Web_Design_Phase_Deliverables_MLP_LLP_7-12-2010_Combined_FP_Commissions_Req_Dn_ProgramWorkBook_10-Dec-2010" xfId="11817" xr:uid="{00000000-0005-0000-0000-0000CF2D0000}"/>
    <cellStyle name="_20061117Holux_CMS_Web_Design_Phase_Deliverables_MLP_LLP_7-12-2010_Combined_FP_Commissions_Req_Dn_ProgramWorkBook_10-Dec-2010 2" xfId="11818" xr:uid="{00000000-0005-0000-0000-0000D02D0000}"/>
    <cellStyle name="_20061117Holux_CMS_Web_Design_Phase_Deliverables_MLP_LLP_7-12-2010_Combined_FP_Commissions_Req_Dn_ProgramWorkBook_10-Dec-2010 2_Steps of Doneness" xfId="11819" xr:uid="{00000000-0005-0000-0000-0000D12D0000}"/>
    <cellStyle name="_20061117Holux_CMS_Web_Design_Phase_Deliverables_MLP_LLP_7-12-2010_Combined_FP_Commissions_Req_Dn_ProgramWorkBook_10-Dec-2010 3" xfId="11820" xr:uid="{00000000-0005-0000-0000-0000D22D0000}"/>
    <cellStyle name="_20061117Holux_CMS_Web_Design_Phase_Deliverables_MLP_LLP_7-12-2010_Combined_FP_Commissions_Req_Dn_ProgramWorkBook_10-Dec-2010_Steps of Doneness" xfId="11821" xr:uid="{00000000-0005-0000-0000-0000D32D0000}"/>
    <cellStyle name="_20061117Holux_CMS_Web_Design_Phase_Deliverables_MLP_LLP_7-12-2010_Combined_FP_DW_Impl_ProgramWorkBook_07-Jan-2011" xfId="11822" xr:uid="{00000000-0005-0000-0000-0000D42D0000}"/>
    <cellStyle name="_20061117Holux_CMS_Web_Design_Phase_Deliverables_MLP_LLP_7-12-2010_Combined_FP_DW_Impl_ProgramWorkBook_07-Jan-2011 2" xfId="11823" xr:uid="{00000000-0005-0000-0000-0000D52D0000}"/>
    <cellStyle name="_20061117Holux_CMS_Web_Design_Phase_Deliverables_MLP_LLP_7-12-2010_Combined_FP_DW_Impl_ProgramWorkBook_07-Jan-2011 2 2" xfId="11824" xr:uid="{00000000-0005-0000-0000-0000D62D0000}"/>
    <cellStyle name="_20061117Holux_CMS_Web_Design_Phase_Deliverables_MLP_LLP_7-12-2010_Combined_FP_DW_Impl_ProgramWorkBook_07-Jan-2011 2 2_Steps of Doneness" xfId="11825" xr:uid="{00000000-0005-0000-0000-0000D72D0000}"/>
    <cellStyle name="_20061117Holux_CMS_Web_Design_Phase_Deliverables_MLP_LLP_7-12-2010_Combined_FP_DW_Impl_ProgramWorkBook_07-Jan-2011 2 3" xfId="11826" xr:uid="{00000000-0005-0000-0000-0000D82D0000}"/>
    <cellStyle name="_20061117Holux_CMS_Web_Design_Phase_Deliverables_MLP_LLP_7-12-2010_Combined_FP_DW_Impl_ProgramWorkBook_07-Jan-2011 2_Steps of Doneness" xfId="11827" xr:uid="{00000000-0005-0000-0000-0000D92D0000}"/>
    <cellStyle name="_20061117Holux_CMS_Web_Design_Phase_Deliverables_MLP_LLP_7-12-2010_Combined_FP_DW_Impl_ProgramWorkBook_07-Jan-2011 3" xfId="11828" xr:uid="{00000000-0005-0000-0000-0000DA2D0000}"/>
    <cellStyle name="_20061117Holux_CMS_Web_Design_Phase_Deliverables_MLP_LLP_7-12-2010_Combined_FP_DW_Impl_ProgramWorkBook_07-Jan-2011 3_Steps of Doneness" xfId="11829" xr:uid="{00000000-0005-0000-0000-0000DB2D0000}"/>
    <cellStyle name="_20061117Holux_CMS_Web_Design_Phase_Deliverables_MLP_LLP_7-12-2010_Combined_FP_DW_Impl_ProgramWorkBook_07-Jan-2011 4" xfId="11830" xr:uid="{00000000-0005-0000-0000-0000DC2D0000}"/>
    <cellStyle name="_20061117Holux_CMS_Web_Design_Phase_Deliverables_MLP_LLP_7-12-2010_Combined_FP_DW_Impl_ProgramWorkBook_07-Jan-2011_Steps of Doneness" xfId="11831" xr:uid="{00000000-0005-0000-0000-0000DD2D0000}"/>
    <cellStyle name="_20061117Holux_CMS_Web_Design_Phase_Deliverables_MLP_LLP_7-12-2010_Combined_FP_DW_Impl_ProgramWorkBook_11-Feb-2011" xfId="11832" xr:uid="{00000000-0005-0000-0000-0000DE2D0000}"/>
    <cellStyle name="_20061117Holux_CMS_Web_Design_Phase_Deliverables_MLP_LLP_7-12-2010_Combined_FP_DW_Impl_ProgramWorkBook_11-Feb-2011 2" xfId="11833" xr:uid="{00000000-0005-0000-0000-0000DF2D0000}"/>
    <cellStyle name="_20061117Holux_CMS_Web_Design_Phase_Deliverables_MLP_LLP_7-12-2010_Combined_FP_DW_Impl_ProgramWorkBook_11-Feb-2011 2_Steps of Doneness" xfId="11834" xr:uid="{00000000-0005-0000-0000-0000E02D0000}"/>
    <cellStyle name="_20061117Holux_CMS_Web_Design_Phase_Deliverables_MLP_LLP_7-12-2010_Combined_FP_DW_Impl_ProgramWorkBook_11-Feb-2011 3" xfId="11835" xr:uid="{00000000-0005-0000-0000-0000E12D0000}"/>
    <cellStyle name="_20061117Holux_CMS_Web_Design_Phase_Deliverables_MLP_LLP_7-12-2010_Combined_FP_DW_Impl_ProgramWorkBook_11-Feb-2011_Steps of Doneness" xfId="11836" xr:uid="{00000000-0005-0000-0000-0000E22D0000}"/>
    <cellStyle name="_20061117Holux_CMS_Web_Design_Phase_Deliverables_MLP_LLP_7-12-2010_Combined_FP_DW_Impl_ProgramWorkBook_18-Feb-2011 - Working" xfId="11837" xr:uid="{00000000-0005-0000-0000-0000E32D0000}"/>
    <cellStyle name="_20061117Holux_CMS_Web_Design_Phase_Deliverables_MLP_LLP_7-12-2010_Combined_FP_DW_Impl_ProgramWorkBook_18-Feb-2011 - Working 2" xfId="11838" xr:uid="{00000000-0005-0000-0000-0000E42D0000}"/>
    <cellStyle name="_20061117Holux_CMS_Web_Design_Phase_Deliverables_MLP_LLP_7-12-2010_Combined_FP_DW_Impl_ProgramWorkBook_18-Feb-2011 - Working 2_Steps of Doneness" xfId="11839" xr:uid="{00000000-0005-0000-0000-0000E52D0000}"/>
    <cellStyle name="_20061117Holux_CMS_Web_Design_Phase_Deliverables_MLP_LLP_7-12-2010_Combined_FP_DW_Impl_ProgramWorkBook_18-Feb-2011 - Working 3" xfId="11840" xr:uid="{00000000-0005-0000-0000-0000E62D0000}"/>
    <cellStyle name="_20061117Holux_CMS_Web_Design_Phase_Deliverables_MLP_LLP_7-12-2010_Combined_FP_DW_Impl_ProgramWorkBook_18-Feb-2011 - Working_Steps of Doneness" xfId="11841" xr:uid="{00000000-0005-0000-0000-0000E72D0000}"/>
    <cellStyle name="_20061117Holux_CMS_Web_Design_Phase_Deliverables_MLP_LLP_7-12-2010_Combined_FP_EnterprisePortal_ProgramWorkbook" xfId="11842" xr:uid="{00000000-0005-0000-0000-0000E82D0000}"/>
    <cellStyle name="_20061117Holux_CMS_Web_Design_Phase_Deliverables_MLP_LLP_7-12-2010_Combined_FP_EnterprisePortal_ProgramWorkbook 2" xfId="11843" xr:uid="{00000000-0005-0000-0000-0000E92D0000}"/>
    <cellStyle name="_20061117Holux_CMS_Web_Design_Phase_Deliverables_MLP_LLP_7-12-2010_Combined_FP_EnterprisePortal_ProgramWorkbook 2_Steps of Doneness" xfId="11844" xr:uid="{00000000-0005-0000-0000-0000EA2D0000}"/>
    <cellStyle name="_20061117Holux_CMS_Web_Design_Phase_Deliverables_MLP_LLP_7-12-2010_Combined_FP_EnterprisePortal_ProgramWorkbook 3" xfId="11845" xr:uid="{00000000-0005-0000-0000-0000EB2D0000}"/>
    <cellStyle name="_20061117Holux_CMS_Web_Design_Phase_Deliverables_MLP_LLP_7-12-2010_Combined_FP_EnterprisePortal_ProgramWorkbook_Steps of Doneness" xfId="11846" xr:uid="{00000000-0005-0000-0000-0000EC2D0000}"/>
    <cellStyle name="_20061117Holux_CMS_Web_Design_Phase_Deliverables_MLP_LLP_7-12-2010_Combined_FP_SAP_MLP v2" xfId="11847" xr:uid="{00000000-0005-0000-0000-0000ED2D0000}"/>
    <cellStyle name="_20061117Holux_CMS_Web_Design_Phase_Deliverables_MLP_LLP_7-12-2010_Combined_FP_SAP_MLP v2 2" xfId="11848" xr:uid="{00000000-0005-0000-0000-0000EE2D0000}"/>
    <cellStyle name="_20061117Holux_CMS_Web_Design_Phase_Deliverables_MLP_LLP_7-12-2010_Combined_FP_SAP_MLP v2 2_Steps of Doneness" xfId="11849" xr:uid="{00000000-0005-0000-0000-0000EF2D0000}"/>
    <cellStyle name="_20061117Holux_CMS_Web_Design_Phase_Deliverables_MLP_LLP_7-12-2010_Combined_FP_SAP_MLP v2 3" xfId="11850" xr:uid="{00000000-0005-0000-0000-0000F02D0000}"/>
    <cellStyle name="_20061117Holux_CMS_Web_Design_Phase_Deliverables_MLP_LLP_7-12-2010_Combined_FP_SAP_MLP v2_Steps of Doneness" xfId="11851" xr:uid="{00000000-0005-0000-0000-0000F12D0000}"/>
    <cellStyle name="_20061117Holux_CMS_Web_Design_Phase_Deliverables_MLP_LLP_7-12-2010_Combined_KeyDecisions" xfId="11852" xr:uid="{00000000-0005-0000-0000-0000F22D0000}"/>
    <cellStyle name="_20061117Holux_CMS_Web_Design_Phase_Deliverables_MLP_LLP_7-12-2010_Combined_KeyDecisions 2" xfId="11853" xr:uid="{00000000-0005-0000-0000-0000F32D0000}"/>
    <cellStyle name="_20061117Holux_CMS_Web_Design_Phase_Deliverables_MLP_LLP_7-12-2010_Combined_KeyDecisions 2_Steps of Doneness" xfId="11854" xr:uid="{00000000-0005-0000-0000-0000F42D0000}"/>
    <cellStyle name="_20061117Holux_CMS_Web_Design_Phase_Deliverables_MLP_LLP_7-12-2010_Combined_KeyDecisions 3" xfId="11855" xr:uid="{00000000-0005-0000-0000-0000F52D0000}"/>
    <cellStyle name="_20061117Holux_CMS_Web_Design_Phase_Deliverables_MLP_LLP_7-12-2010_Combined_KeyDecisions_Steps of Doneness" xfId="11856" xr:uid="{00000000-0005-0000-0000-0000F62D0000}"/>
    <cellStyle name="_20061117Holux_CMS_Web_Design_Phase_Deliverables_MLP_LLP_7-12-2010_Combined_Sophia_Imp_ProjectWorkBook_02_18_2011" xfId="11857" xr:uid="{00000000-0005-0000-0000-0000F72D0000}"/>
    <cellStyle name="_20061117Holux_CMS_Web_Design_Phase_Deliverables_MLP_LLP_7-12-2010_Combined_Sophia_Imp_ProjectWorkBook_02_18_2011 2" xfId="11858" xr:uid="{00000000-0005-0000-0000-0000F82D0000}"/>
    <cellStyle name="_20061117Holux_CMS_Web_Design_Phase_Deliverables_MLP_LLP_7-12-2010_Combined_Sophia_Imp_ProjectWorkBook_02_18_2011 2_Steps of Doneness" xfId="11859" xr:uid="{00000000-0005-0000-0000-0000F92D0000}"/>
    <cellStyle name="_20061117Holux_CMS_Web_Design_Phase_Deliverables_MLP_LLP_7-12-2010_Combined_Sophia_Imp_ProjectWorkBook_02_18_2011 3" xfId="11860" xr:uid="{00000000-0005-0000-0000-0000FA2D0000}"/>
    <cellStyle name="_20061117Holux_CMS_Web_Design_Phase_Deliverables_MLP_LLP_7-12-2010_Combined_Sophia_Imp_ProjectWorkBook_02_18_2011_Steps of Doneness" xfId="11861" xr:uid="{00000000-0005-0000-0000-0000FB2D0000}"/>
    <cellStyle name="_20061117Holux_CMS_Web_Design_Phase_Deliverables_MLP_LLP_7-12-2010_Combined_Steps of Doneness" xfId="11862" xr:uid="{00000000-0005-0000-0000-0000FC2D0000}"/>
    <cellStyle name="_20061117Holux_CMS_Web_Design_Phase_Deliverables_MLP_LLP_7-12-2010_Combined_t" xfId="11863" xr:uid="{00000000-0005-0000-0000-0000FD2D0000}"/>
    <cellStyle name="_20061117Holux_CMS_Web_Design_Phase_Deliverables_MLP_LLP_7-12-2010_Combined_t 2" xfId="11864" xr:uid="{00000000-0005-0000-0000-0000FE2D0000}"/>
    <cellStyle name="_20061117Holux_CMS_Web_Design_Phase_Deliverables_MLP_LLP_7-12-2010_Combined_t 2_Steps of Doneness" xfId="11865" xr:uid="{00000000-0005-0000-0000-0000FF2D0000}"/>
    <cellStyle name="_20061117Holux_CMS_Web_Design_Phase_Deliverables_MLP_LLP_7-12-2010_Combined_t 3" xfId="11866" xr:uid="{00000000-0005-0000-0000-0000002E0000}"/>
    <cellStyle name="_20061117Holux_CMS_Web_Design_Phase_Deliverables_MLP_LLP_7-12-2010_Combined_t_Steps of Doneness" xfId="11867" xr:uid="{00000000-0005-0000-0000-0000012E0000}"/>
    <cellStyle name="_20061117Holux_CMS_Web_Design_Phase_Deliverables_MLP_LLP_7-14-2010_Combined" xfId="11868" xr:uid="{00000000-0005-0000-0000-0000022E0000}"/>
    <cellStyle name="_20061117Holux_CMS_Web_Design_Phase_Deliverables_MLP_LLP_7-14-2010_Combined 2" xfId="11869" xr:uid="{00000000-0005-0000-0000-0000032E0000}"/>
    <cellStyle name="_20061117Holux_CMS_Web_Design_Phase_Deliverables_MLP_LLP_7-14-2010_Combined 2 2" xfId="11870" xr:uid="{00000000-0005-0000-0000-0000042E0000}"/>
    <cellStyle name="_20061117Holux_CMS_Web_Design_Phase_Deliverables_MLP_LLP_7-14-2010_Combined 2 2_Steps of Doneness" xfId="11871" xr:uid="{00000000-0005-0000-0000-0000052E0000}"/>
    <cellStyle name="_20061117Holux_CMS_Web_Design_Phase_Deliverables_MLP_LLP_7-14-2010_Combined 2 3" xfId="11872" xr:uid="{00000000-0005-0000-0000-0000062E0000}"/>
    <cellStyle name="_20061117Holux_CMS_Web_Design_Phase_Deliverables_MLP_LLP_7-14-2010_Combined 2_Steps of Doneness" xfId="11873" xr:uid="{00000000-0005-0000-0000-0000072E0000}"/>
    <cellStyle name="_20061117Holux_CMS_Web_Design_Phase_Deliverables_MLP_LLP_7-14-2010_Combined 3" xfId="11874" xr:uid="{00000000-0005-0000-0000-0000082E0000}"/>
    <cellStyle name="_20061117Holux_CMS_Web_Design_Phase_Deliverables_MLP_LLP_7-14-2010_Combined 3 2" xfId="11875" xr:uid="{00000000-0005-0000-0000-0000092E0000}"/>
    <cellStyle name="_20061117Holux_CMS_Web_Design_Phase_Deliverables_MLP_LLP_7-14-2010_Combined 3 2_Steps of Doneness" xfId="11876" xr:uid="{00000000-0005-0000-0000-00000A2E0000}"/>
    <cellStyle name="_20061117Holux_CMS_Web_Design_Phase_Deliverables_MLP_LLP_7-14-2010_Combined 3 3" xfId="11877" xr:uid="{00000000-0005-0000-0000-00000B2E0000}"/>
    <cellStyle name="_20061117Holux_CMS_Web_Design_Phase_Deliverables_MLP_LLP_7-14-2010_Combined 3_Steps of Doneness" xfId="11878" xr:uid="{00000000-0005-0000-0000-00000C2E0000}"/>
    <cellStyle name="_20061117Holux_CMS_Web_Design_Phase_Deliverables_MLP_LLP_7-14-2010_Combined 4" xfId="11879" xr:uid="{00000000-0005-0000-0000-00000D2E0000}"/>
    <cellStyle name="_20061117Holux_CMS_Web_Design_Phase_Deliverables_MLP_LLP_7-14-2010_Combined 4_Steps of Doneness" xfId="11880" xr:uid="{00000000-0005-0000-0000-00000E2E0000}"/>
    <cellStyle name="_20061117Holux_CMS_Web_Design_Phase_Deliverables_MLP_LLP_7-14-2010_Combined 5" xfId="11881" xr:uid="{00000000-0005-0000-0000-00000F2E0000}"/>
    <cellStyle name="_20061117Holux_CMS_Web_Design_Phase_Deliverables_MLP_LLP_7-14-2010_Combined 6" xfId="11882" xr:uid="{00000000-0005-0000-0000-0000102E0000}"/>
    <cellStyle name="_20061117Holux_CMS_Web_Design_Phase_Deliverables_MLP_LLP_7-14-2010_Combined_Commissioning System Implementation_Project Workbook_06_10_2011" xfId="11883" xr:uid="{00000000-0005-0000-0000-0000112E0000}"/>
    <cellStyle name="_20061117Holux_CMS_Web_Design_Phase_Deliverables_MLP_LLP_7-14-2010_Combined_Commissioning System Implementation_Project Workbook_06_10_2011 2" xfId="11884" xr:uid="{00000000-0005-0000-0000-0000122E0000}"/>
    <cellStyle name="_20061117Holux_CMS_Web_Design_Phase_Deliverables_MLP_LLP_7-14-2010_Combined_Commissioning System Implementation_Project Workbook_06_10_2011 2_Steps of Doneness" xfId="11885" xr:uid="{00000000-0005-0000-0000-0000132E0000}"/>
    <cellStyle name="_20061117Holux_CMS_Web_Design_Phase_Deliverables_MLP_LLP_7-14-2010_Combined_Commissioning System Implementation_Project Workbook_06_10_2011 3" xfId="11886" xr:uid="{00000000-0005-0000-0000-0000142E0000}"/>
    <cellStyle name="_20061117Holux_CMS_Web_Design_Phase_Deliverables_MLP_LLP_7-14-2010_Combined_Commissioning System Implementation_Project Workbook_06_10_2011_Steps of Doneness" xfId="11887" xr:uid="{00000000-0005-0000-0000-0000152E0000}"/>
    <cellStyle name="_20061117Holux_CMS_Web_Design_Phase_Deliverables_MLP_LLP_7-14-2010_Combined_FairPoint_CampReport" xfId="11888" xr:uid="{00000000-0005-0000-0000-0000162E0000}"/>
    <cellStyle name="_20061117Holux_CMS_Web_Design_Phase_Deliverables_MLP_LLP_7-14-2010_Combined_FairPoint_CampReport 2" xfId="11889" xr:uid="{00000000-0005-0000-0000-0000172E0000}"/>
    <cellStyle name="_20061117Holux_CMS_Web_Design_Phase_Deliverables_MLP_LLP_7-14-2010_Combined_FairPoint_CampReport 2_Steps of Doneness" xfId="11890" xr:uid="{00000000-0005-0000-0000-0000182E0000}"/>
    <cellStyle name="_20061117Holux_CMS_Web_Design_Phase_Deliverables_MLP_LLP_7-14-2010_Combined_FairPoint_CampReport 3" xfId="11891" xr:uid="{00000000-0005-0000-0000-0000192E0000}"/>
    <cellStyle name="_20061117Holux_CMS_Web_Design_Phase_Deliverables_MLP_LLP_7-14-2010_Combined_FairPoint_CampReport_Steps of Doneness" xfId="11892" xr:uid="{00000000-0005-0000-0000-00001A2E0000}"/>
    <cellStyle name="_20061117Holux_CMS_Web_Design_Phase_Deliverables_MLP_LLP_7-14-2010_Combined_FairPoint_FP comTechOps_ProgramWorkbook" xfId="11893" xr:uid="{00000000-0005-0000-0000-00001B2E0000}"/>
    <cellStyle name="_20061117Holux_CMS_Web_Design_Phase_Deliverables_MLP_LLP_7-14-2010_Combined_FairPoint_FP comTechOps_ProgramWorkbook 2" xfId="11894" xr:uid="{00000000-0005-0000-0000-00001C2E0000}"/>
    <cellStyle name="_20061117Holux_CMS_Web_Design_Phase_Deliverables_MLP_LLP_7-14-2010_Combined_FairPoint_FP comTechOps_ProgramWorkbook 2_Steps of Doneness" xfId="11895" xr:uid="{00000000-0005-0000-0000-00001D2E0000}"/>
    <cellStyle name="_20061117Holux_CMS_Web_Design_Phase_Deliverables_MLP_LLP_7-14-2010_Combined_FairPoint_FP comTechOps_ProgramWorkbook 3" xfId="11896" xr:uid="{00000000-0005-0000-0000-00001E2E0000}"/>
    <cellStyle name="_20061117Holux_CMS_Web_Design_Phase_Deliverables_MLP_LLP_7-14-2010_Combined_FairPoint_FP comTechOps_ProgramWorkbook_sachin" xfId="11897" xr:uid="{00000000-0005-0000-0000-00001F2E0000}"/>
    <cellStyle name="_20061117Holux_CMS_Web_Design_Phase_Deliverables_MLP_LLP_7-14-2010_Combined_FairPoint_FP comTechOps_ProgramWorkbook_sachin 2" xfId="11898" xr:uid="{00000000-0005-0000-0000-0000202E0000}"/>
    <cellStyle name="_20061117Holux_CMS_Web_Design_Phase_Deliverables_MLP_LLP_7-14-2010_Combined_FairPoint_FP comTechOps_ProgramWorkbook_sachin 2_Steps of Doneness" xfId="11899" xr:uid="{00000000-0005-0000-0000-0000212E0000}"/>
    <cellStyle name="_20061117Holux_CMS_Web_Design_Phase_Deliverables_MLP_LLP_7-14-2010_Combined_FairPoint_FP comTechOps_ProgramWorkbook_sachin 3" xfId="11900" xr:uid="{00000000-0005-0000-0000-0000222E0000}"/>
    <cellStyle name="_20061117Holux_CMS_Web_Design_Phase_Deliverables_MLP_LLP_7-14-2010_Combined_FairPoint_FP comTechOps_ProgramWorkbook_sachin_Steps of Doneness" xfId="11901" xr:uid="{00000000-0005-0000-0000-0000232E0000}"/>
    <cellStyle name="_20061117Holux_CMS_Web_Design_Phase_Deliverables_MLP_LLP_7-14-2010_Combined_FairPoint_FP comTechOps_ProgramWorkbook_sachin_v1" xfId="11902" xr:uid="{00000000-0005-0000-0000-0000242E0000}"/>
    <cellStyle name="_20061117Holux_CMS_Web_Design_Phase_Deliverables_MLP_LLP_7-14-2010_Combined_FairPoint_FP comTechOps_ProgramWorkbook_sachin_v1 2" xfId="11903" xr:uid="{00000000-0005-0000-0000-0000252E0000}"/>
    <cellStyle name="_20061117Holux_CMS_Web_Design_Phase_Deliverables_MLP_LLP_7-14-2010_Combined_FairPoint_FP comTechOps_ProgramWorkbook_sachin_v1 2_Steps of Doneness" xfId="11904" xr:uid="{00000000-0005-0000-0000-0000262E0000}"/>
    <cellStyle name="_20061117Holux_CMS_Web_Design_Phase_Deliverables_MLP_LLP_7-14-2010_Combined_FairPoint_FP comTechOps_ProgramWorkbook_sachin_v1 3" xfId="11905" xr:uid="{00000000-0005-0000-0000-0000272E0000}"/>
    <cellStyle name="_20061117Holux_CMS_Web_Design_Phase_Deliverables_MLP_LLP_7-14-2010_Combined_FairPoint_FP comTechOps_ProgramWorkbook_sachin_v1_Steps of Doneness" xfId="11906" xr:uid="{00000000-0005-0000-0000-0000282E0000}"/>
    <cellStyle name="_20061117Holux_CMS_Web_Design_Phase_Deliverables_MLP_LLP_7-14-2010_Combined_FairPoint_FP comTechOps_ProgramWorkbook_Steps of Doneness" xfId="11907" xr:uid="{00000000-0005-0000-0000-0000292E0000}"/>
    <cellStyle name="_20061117Holux_CMS_Web_Design_Phase_Deliverables_MLP_LLP_7-14-2010_Combined_FP_CAMP&amp;ITReporting_Maintenance_Dashboard" xfId="11908" xr:uid="{00000000-0005-0000-0000-00002A2E0000}"/>
    <cellStyle name="_20061117Holux_CMS_Web_Design_Phase_Deliverables_MLP_LLP_7-14-2010_Combined_FP_CAMP&amp;ITReporting_Maintenance_Dashboard 2" xfId="11909" xr:uid="{00000000-0005-0000-0000-00002B2E0000}"/>
    <cellStyle name="_20061117Holux_CMS_Web_Design_Phase_Deliverables_MLP_LLP_7-14-2010_Combined_FP_CAMP&amp;ITReporting_Maintenance_Dashboard 2_Steps of Doneness" xfId="11910" xr:uid="{00000000-0005-0000-0000-00002C2E0000}"/>
    <cellStyle name="_20061117Holux_CMS_Web_Design_Phase_Deliverables_MLP_LLP_7-14-2010_Combined_FP_CAMP&amp;ITReporting_Maintenance_Dashboard 3" xfId="11911" xr:uid="{00000000-0005-0000-0000-00002D2E0000}"/>
    <cellStyle name="_20061117Holux_CMS_Web_Design_Phase_Deliverables_MLP_LLP_7-14-2010_Combined_FP_CAMP&amp;ITReporting_Maintenance_Dashboard_Steps of Doneness" xfId="11912" xr:uid="{00000000-0005-0000-0000-00002E2E0000}"/>
    <cellStyle name="_20061117Holux_CMS_Web_Design_Phase_Deliverables_MLP_LLP_7-14-2010_Combined_FP_CAMPITReporting_Maintenance_Dashboard" xfId="11913" xr:uid="{00000000-0005-0000-0000-00002F2E0000}"/>
    <cellStyle name="_20061117Holux_CMS_Web_Design_Phase_Deliverables_MLP_LLP_7-14-2010_Combined_FP_CAMPITReporting_Maintenance_Dashboard 2" xfId="11914" xr:uid="{00000000-0005-0000-0000-0000302E0000}"/>
    <cellStyle name="_20061117Holux_CMS_Web_Design_Phase_Deliverables_MLP_LLP_7-14-2010_Combined_FP_CAMPITReporting_Maintenance_Dashboard 2_Steps of Doneness" xfId="11915" xr:uid="{00000000-0005-0000-0000-0000312E0000}"/>
    <cellStyle name="_20061117Holux_CMS_Web_Design_Phase_Deliverables_MLP_LLP_7-14-2010_Combined_FP_CAMPITReporting_Maintenance_Dashboard 3" xfId="11916" xr:uid="{00000000-0005-0000-0000-0000322E0000}"/>
    <cellStyle name="_20061117Holux_CMS_Web_Design_Phase_Deliverables_MLP_LLP_7-14-2010_Combined_FP_CAMPITReporting_Maintenance_Dashboard_Steps of Doneness" xfId="11917" xr:uid="{00000000-0005-0000-0000-0000332E0000}"/>
    <cellStyle name="_20061117Holux_CMS_Web_Design_Phase_Deliverables_MLP_LLP_7-14-2010_Combined_FP_Commissions_Req_Dn_ProgramWorkBook_10-Dec-2010" xfId="11918" xr:uid="{00000000-0005-0000-0000-0000342E0000}"/>
    <cellStyle name="_20061117Holux_CMS_Web_Design_Phase_Deliverables_MLP_LLP_7-14-2010_Combined_FP_Commissions_Req_Dn_ProgramWorkBook_10-Dec-2010 2" xfId="11919" xr:uid="{00000000-0005-0000-0000-0000352E0000}"/>
    <cellStyle name="_20061117Holux_CMS_Web_Design_Phase_Deliverables_MLP_LLP_7-14-2010_Combined_FP_Commissions_Req_Dn_ProgramWorkBook_10-Dec-2010 2_Steps of Doneness" xfId="11920" xr:uid="{00000000-0005-0000-0000-0000362E0000}"/>
    <cellStyle name="_20061117Holux_CMS_Web_Design_Phase_Deliverables_MLP_LLP_7-14-2010_Combined_FP_Commissions_Req_Dn_ProgramWorkBook_10-Dec-2010 3" xfId="11921" xr:uid="{00000000-0005-0000-0000-0000372E0000}"/>
    <cellStyle name="_20061117Holux_CMS_Web_Design_Phase_Deliverables_MLP_LLP_7-14-2010_Combined_FP_Commissions_Req_Dn_ProgramWorkBook_10-Dec-2010_Steps of Doneness" xfId="11922" xr:uid="{00000000-0005-0000-0000-0000382E0000}"/>
    <cellStyle name="_20061117Holux_CMS_Web_Design_Phase_Deliverables_MLP_LLP_7-14-2010_Combined_FP_DW_Impl_ProgramWorkBook_07-Jan-2011" xfId="11923" xr:uid="{00000000-0005-0000-0000-0000392E0000}"/>
    <cellStyle name="_20061117Holux_CMS_Web_Design_Phase_Deliverables_MLP_LLP_7-14-2010_Combined_FP_DW_Impl_ProgramWorkBook_07-Jan-2011 2" xfId="11924" xr:uid="{00000000-0005-0000-0000-00003A2E0000}"/>
    <cellStyle name="_20061117Holux_CMS_Web_Design_Phase_Deliverables_MLP_LLP_7-14-2010_Combined_FP_DW_Impl_ProgramWorkBook_07-Jan-2011 2 2" xfId="11925" xr:uid="{00000000-0005-0000-0000-00003B2E0000}"/>
    <cellStyle name="_20061117Holux_CMS_Web_Design_Phase_Deliverables_MLP_LLP_7-14-2010_Combined_FP_DW_Impl_ProgramWorkBook_07-Jan-2011 2 2_Steps of Doneness" xfId="11926" xr:uid="{00000000-0005-0000-0000-00003C2E0000}"/>
    <cellStyle name="_20061117Holux_CMS_Web_Design_Phase_Deliverables_MLP_LLP_7-14-2010_Combined_FP_DW_Impl_ProgramWorkBook_07-Jan-2011 2 3" xfId="11927" xr:uid="{00000000-0005-0000-0000-00003D2E0000}"/>
    <cellStyle name="_20061117Holux_CMS_Web_Design_Phase_Deliverables_MLP_LLP_7-14-2010_Combined_FP_DW_Impl_ProgramWorkBook_07-Jan-2011 2_Steps of Doneness" xfId="11928" xr:uid="{00000000-0005-0000-0000-00003E2E0000}"/>
    <cellStyle name="_20061117Holux_CMS_Web_Design_Phase_Deliverables_MLP_LLP_7-14-2010_Combined_FP_DW_Impl_ProgramWorkBook_07-Jan-2011 3" xfId="11929" xr:uid="{00000000-0005-0000-0000-00003F2E0000}"/>
    <cellStyle name="_20061117Holux_CMS_Web_Design_Phase_Deliverables_MLP_LLP_7-14-2010_Combined_FP_DW_Impl_ProgramWorkBook_07-Jan-2011 3_Steps of Doneness" xfId="11930" xr:uid="{00000000-0005-0000-0000-0000402E0000}"/>
    <cellStyle name="_20061117Holux_CMS_Web_Design_Phase_Deliverables_MLP_LLP_7-14-2010_Combined_FP_DW_Impl_ProgramWorkBook_07-Jan-2011 4" xfId="11931" xr:uid="{00000000-0005-0000-0000-0000412E0000}"/>
    <cellStyle name="_20061117Holux_CMS_Web_Design_Phase_Deliverables_MLP_LLP_7-14-2010_Combined_FP_DW_Impl_ProgramWorkBook_07-Jan-2011_Steps of Doneness" xfId="11932" xr:uid="{00000000-0005-0000-0000-0000422E0000}"/>
    <cellStyle name="_20061117Holux_CMS_Web_Design_Phase_Deliverables_MLP_LLP_7-14-2010_Combined_FP_DW_Impl_ProgramWorkBook_11-Feb-2011" xfId="11933" xr:uid="{00000000-0005-0000-0000-0000432E0000}"/>
    <cellStyle name="_20061117Holux_CMS_Web_Design_Phase_Deliverables_MLP_LLP_7-14-2010_Combined_FP_DW_Impl_ProgramWorkBook_11-Feb-2011 2" xfId="11934" xr:uid="{00000000-0005-0000-0000-0000442E0000}"/>
    <cellStyle name="_20061117Holux_CMS_Web_Design_Phase_Deliverables_MLP_LLP_7-14-2010_Combined_FP_DW_Impl_ProgramWorkBook_11-Feb-2011 2_Steps of Doneness" xfId="11935" xr:uid="{00000000-0005-0000-0000-0000452E0000}"/>
    <cellStyle name="_20061117Holux_CMS_Web_Design_Phase_Deliverables_MLP_LLP_7-14-2010_Combined_FP_DW_Impl_ProgramWorkBook_11-Feb-2011 3" xfId="11936" xr:uid="{00000000-0005-0000-0000-0000462E0000}"/>
    <cellStyle name="_20061117Holux_CMS_Web_Design_Phase_Deliverables_MLP_LLP_7-14-2010_Combined_FP_DW_Impl_ProgramWorkBook_11-Feb-2011_Steps of Doneness" xfId="11937" xr:uid="{00000000-0005-0000-0000-0000472E0000}"/>
    <cellStyle name="_20061117Holux_CMS_Web_Design_Phase_Deliverables_MLP_LLP_7-14-2010_Combined_FP_DW_Impl_ProgramWorkBook_18-Feb-2011 - Working" xfId="11938" xr:uid="{00000000-0005-0000-0000-0000482E0000}"/>
    <cellStyle name="_20061117Holux_CMS_Web_Design_Phase_Deliverables_MLP_LLP_7-14-2010_Combined_FP_DW_Impl_ProgramWorkBook_18-Feb-2011 - Working 2" xfId="11939" xr:uid="{00000000-0005-0000-0000-0000492E0000}"/>
    <cellStyle name="_20061117Holux_CMS_Web_Design_Phase_Deliverables_MLP_LLP_7-14-2010_Combined_FP_DW_Impl_ProgramWorkBook_18-Feb-2011 - Working 2_Steps of Doneness" xfId="11940" xr:uid="{00000000-0005-0000-0000-00004A2E0000}"/>
    <cellStyle name="_20061117Holux_CMS_Web_Design_Phase_Deliverables_MLP_LLP_7-14-2010_Combined_FP_DW_Impl_ProgramWorkBook_18-Feb-2011 - Working 3" xfId="11941" xr:uid="{00000000-0005-0000-0000-00004B2E0000}"/>
    <cellStyle name="_20061117Holux_CMS_Web_Design_Phase_Deliverables_MLP_LLP_7-14-2010_Combined_FP_DW_Impl_ProgramWorkBook_18-Feb-2011 - Working_Steps of Doneness" xfId="11942" xr:uid="{00000000-0005-0000-0000-00004C2E0000}"/>
    <cellStyle name="_20061117Holux_CMS_Web_Design_Phase_Deliverables_MLP_LLP_7-14-2010_Combined_FP_EnterprisePortal_ProgramWorkbook" xfId="11943" xr:uid="{00000000-0005-0000-0000-00004D2E0000}"/>
    <cellStyle name="_20061117Holux_CMS_Web_Design_Phase_Deliverables_MLP_LLP_7-14-2010_Combined_FP_EnterprisePortal_ProgramWorkbook 2" xfId="11944" xr:uid="{00000000-0005-0000-0000-00004E2E0000}"/>
    <cellStyle name="_20061117Holux_CMS_Web_Design_Phase_Deliverables_MLP_LLP_7-14-2010_Combined_FP_EnterprisePortal_ProgramWorkbook 2_Steps of Doneness" xfId="11945" xr:uid="{00000000-0005-0000-0000-00004F2E0000}"/>
    <cellStyle name="_20061117Holux_CMS_Web_Design_Phase_Deliverables_MLP_LLP_7-14-2010_Combined_FP_EnterprisePortal_ProgramWorkbook 3" xfId="11946" xr:uid="{00000000-0005-0000-0000-0000502E0000}"/>
    <cellStyle name="_20061117Holux_CMS_Web_Design_Phase_Deliverables_MLP_LLP_7-14-2010_Combined_FP_EnterprisePortal_ProgramWorkbook_Steps of Doneness" xfId="11947" xr:uid="{00000000-0005-0000-0000-0000512E0000}"/>
    <cellStyle name="_20061117Holux_CMS_Web_Design_Phase_Deliverables_MLP_LLP_7-14-2010_Combined_FP_SAP_MLP v2" xfId="11948" xr:uid="{00000000-0005-0000-0000-0000522E0000}"/>
    <cellStyle name="_20061117Holux_CMS_Web_Design_Phase_Deliverables_MLP_LLP_7-14-2010_Combined_FP_SAP_MLP v2 2" xfId="11949" xr:uid="{00000000-0005-0000-0000-0000532E0000}"/>
    <cellStyle name="_20061117Holux_CMS_Web_Design_Phase_Deliverables_MLP_LLP_7-14-2010_Combined_FP_SAP_MLP v2 2_Steps of Doneness" xfId="11950" xr:uid="{00000000-0005-0000-0000-0000542E0000}"/>
    <cellStyle name="_20061117Holux_CMS_Web_Design_Phase_Deliverables_MLP_LLP_7-14-2010_Combined_FP_SAP_MLP v2 3" xfId="11951" xr:uid="{00000000-0005-0000-0000-0000552E0000}"/>
    <cellStyle name="_20061117Holux_CMS_Web_Design_Phase_Deliverables_MLP_LLP_7-14-2010_Combined_FP_SAP_MLP v2_Steps of Doneness" xfId="11952" xr:uid="{00000000-0005-0000-0000-0000562E0000}"/>
    <cellStyle name="_20061117Holux_CMS_Web_Design_Phase_Deliverables_MLP_LLP_7-14-2010_Combined_KeyDecisions" xfId="11953" xr:uid="{00000000-0005-0000-0000-0000572E0000}"/>
    <cellStyle name="_20061117Holux_CMS_Web_Design_Phase_Deliverables_MLP_LLP_7-14-2010_Combined_KeyDecisions 2" xfId="11954" xr:uid="{00000000-0005-0000-0000-0000582E0000}"/>
    <cellStyle name="_20061117Holux_CMS_Web_Design_Phase_Deliverables_MLP_LLP_7-14-2010_Combined_KeyDecisions 2_Steps of Doneness" xfId="11955" xr:uid="{00000000-0005-0000-0000-0000592E0000}"/>
    <cellStyle name="_20061117Holux_CMS_Web_Design_Phase_Deliverables_MLP_LLP_7-14-2010_Combined_KeyDecisions 3" xfId="11956" xr:uid="{00000000-0005-0000-0000-00005A2E0000}"/>
    <cellStyle name="_20061117Holux_CMS_Web_Design_Phase_Deliverables_MLP_LLP_7-14-2010_Combined_KeyDecisions_Steps of Doneness" xfId="11957" xr:uid="{00000000-0005-0000-0000-00005B2E0000}"/>
    <cellStyle name="_20061117Holux_CMS_Web_Design_Phase_Deliverables_MLP_LLP_7-14-2010_Combined_Sophia_Imp_ProjectWorkBook_02_18_2011" xfId="11958" xr:uid="{00000000-0005-0000-0000-00005C2E0000}"/>
    <cellStyle name="_20061117Holux_CMS_Web_Design_Phase_Deliverables_MLP_LLP_7-14-2010_Combined_Sophia_Imp_ProjectWorkBook_02_18_2011 2" xfId="11959" xr:uid="{00000000-0005-0000-0000-00005D2E0000}"/>
    <cellStyle name="_20061117Holux_CMS_Web_Design_Phase_Deliverables_MLP_LLP_7-14-2010_Combined_Sophia_Imp_ProjectWorkBook_02_18_2011 2_Steps of Doneness" xfId="11960" xr:uid="{00000000-0005-0000-0000-00005E2E0000}"/>
    <cellStyle name="_20061117Holux_CMS_Web_Design_Phase_Deliverables_MLP_LLP_7-14-2010_Combined_Sophia_Imp_ProjectWorkBook_02_18_2011 3" xfId="11961" xr:uid="{00000000-0005-0000-0000-00005F2E0000}"/>
    <cellStyle name="_20061117Holux_CMS_Web_Design_Phase_Deliverables_MLP_LLP_7-14-2010_Combined_Sophia_Imp_ProjectWorkBook_02_18_2011_Steps of Doneness" xfId="11962" xr:uid="{00000000-0005-0000-0000-0000602E0000}"/>
    <cellStyle name="_20061117Holux_CMS_Web_Design_Phase_Deliverables_MLP_LLP_7-14-2010_Combined_Steps of Doneness" xfId="11963" xr:uid="{00000000-0005-0000-0000-0000612E0000}"/>
    <cellStyle name="_20061117Holux_CMS_Web_Design_Phase_Deliverables_MLP_LLP_7-14-2010_Combined_t" xfId="11964" xr:uid="{00000000-0005-0000-0000-0000622E0000}"/>
    <cellStyle name="_20061117Holux_CMS_Web_Design_Phase_Deliverables_MLP_LLP_7-14-2010_Combined_t 2" xfId="11965" xr:uid="{00000000-0005-0000-0000-0000632E0000}"/>
    <cellStyle name="_20061117Holux_CMS_Web_Design_Phase_Deliverables_MLP_LLP_7-14-2010_Combined_t 2_Steps of Doneness" xfId="11966" xr:uid="{00000000-0005-0000-0000-0000642E0000}"/>
    <cellStyle name="_20061117Holux_CMS_Web_Design_Phase_Deliverables_MLP_LLP_7-14-2010_Combined_t 3" xfId="11967" xr:uid="{00000000-0005-0000-0000-0000652E0000}"/>
    <cellStyle name="_20061117Holux_CMS_Web_Design_Phase_Deliverables_MLP_LLP_7-14-2010_Combined_t_Steps of Doneness" xfId="11968" xr:uid="{00000000-0005-0000-0000-0000662E0000}"/>
    <cellStyle name="_20061117Holux_Commissioning System Implementation_Project Workbook_06_10_2011" xfId="11969" xr:uid="{00000000-0005-0000-0000-0000672E0000}"/>
    <cellStyle name="_20061117Holux_Commissioning System Implementation_Project Workbook_06_10_2011 2" xfId="11970" xr:uid="{00000000-0005-0000-0000-0000682E0000}"/>
    <cellStyle name="_20061117Holux_Commissioning System Implementation_Project Workbook_06_10_2011 2_Steps of Doneness" xfId="11971" xr:uid="{00000000-0005-0000-0000-0000692E0000}"/>
    <cellStyle name="_20061117Holux_Commissioning System Implementation_Project Workbook_06_10_2011 3" xfId="11972" xr:uid="{00000000-0005-0000-0000-00006A2E0000}"/>
    <cellStyle name="_20061117Holux_Commissioning System Implementation_Project Workbook_06_10_2011_Steps of Doneness" xfId="11973" xr:uid="{00000000-0005-0000-0000-00006B2E0000}"/>
    <cellStyle name="_20061117Holux_Commissions_Implementation_HLP" xfId="11974" xr:uid="{00000000-0005-0000-0000-00006C2E0000}"/>
    <cellStyle name="_20061117Holux_Commissions_Implementation_HLP 2" xfId="11975" xr:uid="{00000000-0005-0000-0000-00006D2E0000}"/>
    <cellStyle name="_20061117Holux_Commissions_Implementation_HLP 2_Steps of Doneness" xfId="11976" xr:uid="{00000000-0005-0000-0000-00006E2E0000}"/>
    <cellStyle name="_20061117Holux_Commissions_Implementation_HLP 3" xfId="11977" xr:uid="{00000000-0005-0000-0000-00006F2E0000}"/>
    <cellStyle name="_20061117Holux_Commissions_Implementation_HLP_Steps of Doneness" xfId="11978" xr:uid="{00000000-0005-0000-0000-0000702E0000}"/>
    <cellStyle name="_20061117Holux_CrossTrackAlignment_PEOptionB" xfId="11979" xr:uid="{00000000-0005-0000-0000-0000712E0000}"/>
    <cellStyle name="_20061117Holux_CrossTrackAlignment_PEOptionB (2)" xfId="11980" xr:uid="{00000000-0005-0000-0000-0000722E0000}"/>
    <cellStyle name="_20061117Holux_CrossTrackAlignment_PEOptionB (2) 2" xfId="11981" xr:uid="{00000000-0005-0000-0000-0000732E0000}"/>
    <cellStyle name="_20061117Holux_CrossTrackAlignment_PEOptionB (2) 2_Steps of Doneness" xfId="11982" xr:uid="{00000000-0005-0000-0000-0000742E0000}"/>
    <cellStyle name="_20061117Holux_CrossTrackAlignment_PEOptionB (2) 3" xfId="11983" xr:uid="{00000000-0005-0000-0000-0000752E0000}"/>
    <cellStyle name="_20061117Holux_CrossTrackAlignment_PEOptionB (2)_Steps of Doneness" xfId="11984" xr:uid="{00000000-0005-0000-0000-0000762E0000}"/>
    <cellStyle name="_20061117Holux_CrossTrackAlignment_PEOptionB 10" xfId="11985" xr:uid="{00000000-0005-0000-0000-0000772E0000}"/>
    <cellStyle name="_20061117Holux_CrossTrackAlignment_PEOptionB 2" xfId="11986" xr:uid="{00000000-0005-0000-0000-0000782E0000}"/>
    <cellStyle name="_20061117Holux_CrossTrackAlignment_PEOptionB 2_Steps of Doneness" xfId="11987" xr:uid="{00000000-0005-0000-0000-0000792E0000}"/>
    <cellStyle name="_20061117Holux_CrossTrackAlignment_PEOptionB 3" xfId="11988" xr:uid="{00000000-0005-0000-0000-00007A2E0000}"/>
    <cellStyle name="_20061117Holux_CrossTrackAlignment_PEOptionB 3_Steps of Doneness" xfId="11989" xr:uid="{00000000-0005-0000-0000-00007B2E0000}"/>
    <cellStyle name="_20061117Holux_CrossTrackAlignment_PEOptionB 4" xfId="11990" xr:uid="{00000000-0005-0000-0000-00007C2E0000}"/>
    <cellStyle name="_20061117Holux_CrossTrackAlignment_PEOptionB 4_Steps of Doneness" xfId="11991" xr:uid="{00000000-0005-0000-0000-00007D2E0000}"/>
    <cellStyle name="_20061117Holux_CrossTrackAlignment_PEOptionB 5" xfId="11992" xr:uid="{00000000-0005-0000-0000-00007E2E0000}"/>
    <cellStyle name="_20061117Holux_CrossTrackAlignment_PEOptionB 6" xfId="11993" xr:uid="{00000000-0005-0000-0000-00007F2E0000}"/>
    <cellStyle name="_20061117Holux_CrossTrackAlignment_PEOptionB 7" xfId="11994" xr:uid="{00000000-0005-0000-0000-0000802E0000}"/>
    <cellStyle name="_20061117Holux_CrossTrackAlignment_PEOptionB 8" xfId="11995" xr:uid="{00000000-0005-0000-0000-0000812E0000}"/>
    <cellStyle name="_20061117Holux_CrossTrackAlignment_PEOptionB 9" xfId="11996" xr:uid="{00000000-0005-0000-0000-0000822E0000}"/>
    <cellStyle name="_20061117Holux_CrossTrackAlignment_PEOptionB_Steps of Doneness" xfId="11997" xr:uid="{00000000-0005-0000-0000-0000832E0000}"/>
    <cellStyle name="_20061117Holux_Detailed_Requirements_Plan" xfId="11998" xr:uid="{00000000-0005-0000-0000-0000842E0000}"/>
    <cellStyle name="_20061117Holux_Detailed_Requirements_Plan 2" xfId="11999" xr:uid="{00000000-0005-0000-0000-0000852E0000}"/>
    <cellStyle name="_20061117Holux_Detailed_Requirements_Plan 2_Steps of Doneness" xfId="12000" xr:uid="{00000000-0005-0000-0000-0000862E0000}"/>
    <cellStyle name="_20061117Holux_Detailed_Requirements_Plan 3" xfId="12001" xr:uid="{00000000-0005-0000-0000-0000872E0000}"/>
    <cellStyle name="_20061117Holux_Detailed_Requirements_Plan_Steps of Doneness" xfId="12002" xr:uid="{00000000-0005-0000-0000-0000882E0000}"/>
    <cellStyle name="_20061117Holux_Doneness Matrix v2" xfId="12003" xr:uid="{00000000-0005-0000-0000-0000892E0000}"/>
    <cellStyle name="_20061117Holux_Doneness Matrix v2 2" xfId="12004" xr:uid="{00000000-0005-0000-0000-00008A2E0000}"/>
    <cellStyle name="_20061117Holux_Doneness Matrix v2 2 2" xfId="12005" xr:uid="{00000000-0005-0000-0000-00008B2E0000}"/>
    <cellStyle name="_20061117Holux_Doneness Matrix v2 2 2_Steps of Doneness" xfId="12006" xr:uid="{00000000-0005-0000-0000-00008C2E0000}"/>
    <cellStyle name="_20061117Holux_Doneness Matrix v2 2 3" xfId="12007" xr:uid="{00000000-0005-0000-0000-00008D2E0000}"/>
    <cellStyle name="_20061117Holux_Doneness Matrix v2 2_Steps of Doneness" xfId="12008" xr:uid="{00000000-0005-0000-0000-00008E2E0000}"/>
    <cellStyle name="_20061117Holux_Doneness Matrix v2 3" xfId="12009" xr:uid="{00000000-0005-0000-0000-00008F2E0000}"/>
    <cellStyle name="_20061117Holux_Doneness Matrix v2 3 2" xfId="12010" xr:uid="{00000000-0005-0000-0000-0000902E0000}"/>
    <cellStyle name="_20061117Holux_Doneness Matrix v2 3 2_Steps of Doneness" xfId="12011" xr:uid="{00000000-0005-0000-0000-0000912E0000}"/>
    <cellStyle name="_20061117Holux_Doneness Matrix v2 3 3" xfId="12012" xr:uid="{00000000-0005-0000-0000-0000922E0000}"/>
    <cellStyle name="_20061117Holux_Doneness Matrix v2 3_Steps of Doneness" xfId="12013" xr:uid="{00000000-0005-0000-0000-0000932E0000}"/>
    <cellStyle name="_20061117Holux_Doneness Matrix v2 4" xfId="12014" xr:uid="{00000000-0005-0000-0000-0000942E0000}"/>
    <cellStyle name="_20061117Holux_Doneness Matrix v2 4_Steps of Doneness" xfId="12015" xr:uid="{00000000-0005-0000-0000-0000952E0000}"/>
    <cellStyle name="_20061117Holux_Doneness Matrix v2 5" xfId="12016" xr:uid="{00000000-0005-0000-0000-0000962E0000}"/>
    <cellStyle name="_20061117Holux_Doneness Matrix v2 6" xfId="12017" xr:uid="{00000000-0005-0000-0000-0000972E0000}"/>
    <cellStyle name="_20061117Holux_Doneness Matrix v2_Commissioning System Implementation_Project Workbook_06_10_2011" xfId="12018" xr:uid="{00000000-0005-0000-0000-0000982E0000}"/>
    <cellStyle name="_20061117Holux_Doneness Matrix v2_Commissioning System Implementation_Project Workbook_06_10_2011 2" xfId="12019" xr:uid="{00000000-0005-0000-0000-0000992E0000}"/>
    <cellStyle name="_20061117Holux_Doneness Matrix v2_Commissioning System Implementation_Project Workbook_06_10_2011 2_Steps of Doneness" xfId="12020" xr:uid="{00000000-0005-0000-0000-00009A2E0000}"/>
    <cellStyle name="_20061117Holux_Doneness Matrix v2_Commissioning System Implementation_Project Workbook_06_10_2011 3" xfId="12021" xr:uid="{00000000-0005-0000-0000-00009B2E0000}"/>
    <cellStyle name="_20061117Holux_Doneness Matrix v2_Commissioning System Implementation_Project Workbook_06_10_2011_Steps of Doneness" xfId="12022" xr:uid="{00000000-0005-0000-0000-00009C2E0000}"/>
    <cellStyle name="_20061117Holux_Doneness Matrix v2_FairPoint_CampReport" xfId="12023" xr:uid="{00000000-0005-0000-0000-00009D2E0000}"/>
    <cellStyle name="_20061117Holux_Doneness Matrix v2_FairPoint_CampReport 2" xfId="12024" xr:uid="{00000000-0005-0000-0000-00009E2E0000}"/>
    <cellStyle name="_20061117Holux_Doneness Matrix v2_FairPoint_CampReport 2_Steps of Doneness" xfId="12025" xr:uid="{00000000-0005-0000-0000-00009F2E0000}"/>
    <cellStyle name="_20061117Holux_Doneness Matrix v2_FairPoint_CampReport 3" xfId="12026" xr:uid="{00000000-0005-0000-0000-0000A02E0000}"/>
    <cellStyle name="_20061117Holux_Doneness Matrix v2_FairPoint_CampReport_Steps of Doneness" xfId="12027" xr:uid="{00000000-0005-0000-0000-0000A12E0000}"/>
    <cellStyle name="_20061117Holux_Doneness Matrix v2_FairPoint_FP comTechOps_ProgramWorkbook" xfId="12028" xr:uid="{00000000-0005-0000-0000-0000A22E0000}"/>
    <cellStyle name="_20061117Holux_Doneness Matrix v2_FairPoint_FP comTechOps_ProgramWorkbook 2" xfId="12029" xr:uid="{00000000-0005-0000-0000-0000A32E0000}"/>
    <cellStyle name="_20061117Holux_Doneness Matrix v2_FairPoint_FP comTechOps_ProgramWorkbook 2_Steps of Doneness" xfId="12030" xr:uid="{00000000-0005-0000-0000-0000A42E0000}"/>
    <cellStyle name="_20061117Holux_Doneness Matrix v2_FairPoint_FP comTechOps_ProgramWorkbook 3" xfId="12031" xr:uid="{00000000-0005-0000-0000-0000A52E0000}"/>
    <cellStyle name="_20061117Holux_Doneness Matrix v2_FairPoint_FP comTechOps_ProgramWorkbook_sachin" xfId="12032" xr:uid="{00000000-0005-0000-0000-0000A62E0000}"/>
    <cellStyle name="_20061117Holux_Doneness Matrix v2_FairPoint_FP comTechOps_ProgramWorkbook_sachin 2" xfId="12033" xr:uid="{00000000-0005-0000-0000-0000A72E0000}"/>
    <cellStyle name="_20061117Holux_Doneness Matrix v2_FairPoint_FP comTechOps_ProgramWorkbook_sachin 2_Steps of Doneness" xfId="12034" xr:uid="{00000000-0005-0000-0000-0000A82E0000}"/>
    <cellStyle name="_20061117Holux_Doneness Matrix v2_FairPoint_FP comTechOps_ProgramWorkbook_sachin 3" xfId="12035" xr:uid="{00000000-0005-0000-0000-0000A92E0000}"/>
    <cellStyle name="_20061117Holux_Doneness Matrix v2_FairPoint_FP comTechOps_ProgramWorkbook_sachin_Steps of Doneness" xfId="12036" xr:uid="{00000000-0005-0000-0000-0000AA2E0000}"/>
    <cellStyle name="_20061117Holux_Doneness Matrix v2_FairPoint_FP comTechOps_ProgramWorkbook_sachin_v1" xfId="12037" xr:uid="{00000000-0005-0000-0000-0000AB2E0000}"/>
    <cellStyle name="_20061117Holux_Doneness Matrix v2_FairPoint_FP comTechOps_ProgramWorkbook_sachin_v1 2" xfId="12038" xr:uid="{00000000-0005-0000-0000-0000AC2E0000}"/>
    <cellStyle name="_20061117Holux_Doneness Matrix v2_FairPoint_FP comTechOps_ProgramWorkbook_sachin_v1 2_Steps of Doneness" xfId="12039" xr:uid="{00000000-0005-0000-0000-0000AD2E0000}"/>
    <cellStyle name="_20061117Holux_Doneness Matrix v2_FairPoint_FP comTechOps_ProgramWorkbook_sachin_v1 3" xfId="12040" xr:uid="{00000000-0005-0000-0000-0000AE2E0000}"/>
    <cellStyle name="_20061117Holux_Doneness Matrix v2_FairPoint_FP comTechOps_ProgramWorkbook_sachin_v1_Steps of Doneness" xfId="12041" xr:uid="{00000000-0005-0000-0000-0000AF2E0000}"/>
    <cellStyle name="_20061117Holux_Doneness Matrix v2_FairPoint_FP comTechOps_ProgramWorkbook_Steps of Doneness" xfId="12042" xr:uid="{00000000-0005-0000-0000-0000B02E0000}"/>
    <cellStyle name="_20061117Holux_Doneness Matrix v2_FP_CAMP&amp;ITReporting_Maintenance_Dashboard" xfId="12043" xr:uid="{00000000-0005-0000-0000-0000B12E0000}"/>
    <cellStyle name="_20061117Holux_Doneness Matrix v2_FP_CAMP&amp;ITReporting_Maintenance_Dashboard 2" xfId="12044" xr:uid="{00000000-0005-0000-0000-0000B22E0000}"/>
    <cellStyle name="_20061117Holux_Doneness Matrix v2_FP_CAMP&amp;ITReporting_Maintenance_Dashboard 2_Steps of Doneness" xfId="12045" xr:uid="{00000000-0005-0000-0000-0000B32E0000}"/>
    <cellStyle name="_20061117Holux_Doneness Matrix v2_FP_CAMP&amp;ITReporting_Maintenance_Dashboard 3" xfId="12046" xr:uid="{00000000-0005-0000-0000-0000B42E0000}"/>
    <cellStyle name="_20061117Holux_Doneness Matrix v2_FP_CAMP&amp;ITReporting_Maintenance_Dashboard_Steps of Doneness" xfId="12047" xr:uid="{00000000-0005-0000-0000-0000B52E0000}"/>
    <cellStyle name="_20061117Holux_Doneness Matrix v2_FP_CAMPITReporting_Maintenance_Dashboard" xfId="12048" xr:uid="{00000000-0005-0000-0000-0000B62E0000}"/>
    <cellStyle name="_20061117Holux_Doneness Matrix v2_FP_CAMPITReporting_Maintenance_Dashboard 2" xfId="12049" xr:uid="{00000000-0005-0000-0000-0000B72E0000}"/>
    <cellStyle name="_20061117Holux_Doneness Matrix v2_FP_CAMPITReporting_Maintenance_Dashboard 2_Steps of Doneness" xfId="12050" xr:uid="{00000000-0005-0000-0000-0000B82E0000}"/>
    <cellStyle name="_20061117Holux_Doneness Matrix v2_FP_CAMPITReporting_Maintenance_Dashboard 3" xfId="12051" xr:uid="{00000000-0005-0000-0000-0000B92E0000}"/>
    <cellStyle name="_20061117Holux_Doneness Matrix v2_FP_CAMPITReporting_Maintenance_Dashboard_Steps of Doneness" xfId="12052" xr:uid="{00000000-0005-0000-0000-0000BA2E0000}"/>
    <cellStyle name="_20061117Holux_Doneness Matrix v2_FP_Commissions_Req_Dn_ProgramWorkBook_10-Dec-2010" xfId="12053" xr:uid="{00000000-0005-0000-0000-0000BB2E0000}"/>
    <cellStyle name="_20061117Holux_Doneness Matrix v2_FP_Commissions_Req_Dn_ProgramWorkBook_10-Dec-2010 2" xfId="12054" xr:uid="{00000000-0005-0000-0000-0000BC2E0000}"/>
    <cellStyle name="_20061117Holux_Doneness Matrix v2_FP_Commissions_Req_Dn_ProgramWorkBook_10-Dec-2010 2_Steps of Doneness" xfId="12055" xr:uid="{00000000-0005-0000-0000-0000BD2E0000}"/>
    <cellStyle name="_20061117Holux_Doneness Matrix v2_FP_Commissions_Req_Dn_ProgramWorkBook_10-Dec-2010 3" xfId="12056" xr:uid="{00000000-0005-0000-0000-0000BE2E0000}"/>
    <cellStyle name="_20061117Holux_Doneness Matrix v2_FP_Commissions_Req_Dn_ProgramWorkBook_10-Dec-2010_Steps of Doneness" xfId="12057" xr:uid="{00000000-0005-0000-0000-0000BF2E0000}"/>
    <cellStyle name="_20061117Holux_Doneness Matrix v2_FP_DW_Impl_ProgramWorkBook_07-Jan-2011" xfId="12058" xr:uid="{00000000-0005-0000-0000-0000C02E0000}"/>
    <cellStyle name="_20061117Holux_Doneness Matrix v2_FP_DW_Impl_ProgramWorkBook_07-Jan-2011 2" xfId="12059" xr:uid="{00000000-0005-0000-0000-0000C12E0000}"/>
    <cellStyle name="_20061117Holux_Doneness Matrix v2_FP_DW_Impl_ProgramWorkBook_07-Jan-2011 2 2" xfId="12060" xr:uid="{00000000-0005-0000-0000-0000C22E0000}"/>
    <cellStyle name="_20061117Holux_Doneness Matrix v2_FP_DW_Impl_ProgramWorkBook_07-Jan-2011 2 2_Steps of Doneness" xfId="12061" xr:uid="{00000000-0005-0000-0000-0000C32E0000}"/>
    <cellStyle name="_20061117Holux_Doneness Matrix v2_FP_DW_Impl_ProgramWorkBook_07-Jan-2011 2 3" xfId="12062" xr:uid="{00000000-0005-0000-0000-0000C42E0000}"/>
    <cellStyle name="_20061117Holux_Doneness Matrix v2_FP_DW_Impl_ProgramWorkBook_07-Jan-2011 2_Steps of Doneness" xfId="12063" xr:uid="{00000000-0005-0000-0000-0000C52E0000}"/>
    <cellStyle name="_20061117Holux_Doneness Matrix v2_FP_DW_Impl_ProgramWorkBook_07-Jan-2011 3" xfId="12064" xr:uid="{00000000-0005-0000-0000-0000C62E0000}"/>
    <cellStyle name="_20061117Holux_Doneness Matrix v2_FP_DW_Impl_ProgramWorkBook_07-Jan-2011 3_Steps of Doneness" xfId="12065" xr:uid="{00000000-0005-0000-0000-0000C72E0000}"/>
    <cellStyle name="_20061117Holux_Doneness Matrix v2_FP_DW_Impl_ProgramWorkBook_07-Jan-2011 4" xfId="12066" xr:uid="{00000000-0005-0000-0000-0000C82E0000}"/>
    <cellStyle name="_20061117Holux_Doneness Matrix v2_FP_DW_Impl_ProgramWorkBook_07-Jan-2011_Steps of Doneness" xfId="12067" xr:uid="{00000000-0005-0000-0000-0000C92E0000}"/>
    <cellStyle name="_20061117Holux_Doneness Matrix v2_FP_DW_Impl_ProgramWorkBook_11-Feb-2011" xfId="12068" xr:uid="{00000000-0005-0000-0000-0000CA2E0000}"/>
    <cellStyle name="_20061117Holux_Doneness Matrix v2_FP_DW_Impl_ProgramWorkBook_11-Feb-2011 2" xfId="12069" xr:uid="{00000000-0005-0000-0000-0000CB2E0000}"/>
    <cellStyle name="_20061117Holux_Doneness Matrix v2_FP_DW_Impl_ProgramWorkBook_11-Feb-2011 2_Steps of Doneness" xfId="12070" xr:uid="{00000000-0005-0000-0000-0000CC2E0000}"/>
    <cellStyle name="_20061117Holux_Doneness Matrix v2_FP_DW_Impl_ProgramWorkBook_11-Feb-2011 3" xfId="12071" xr:uid="{00000000-0005-0000-0000-0000CD2E0000}"/>
    <cellStyle name="_20061117Holux_Doneness Matrix v2_FP_DW_Impl_ProgramWorkBook_11-Feb-2011_Steps of Doneness" xfId="12072" xr:uid="{00000000-0005-0000-0000-0000CE2E0000}"/>
    <cellStyle name="_20061117Holux_Doneness Matrix v2_FP_DW_Impl_ProgramWorkBook_18-Feb-2011 - Working" xfId="12073" xr:uid="{00000000-0005-0000-0000-0000CF2E0000}"/>
    <cellStyle name="_20061117Holux_Doneness Matrix v2_FP_DW_Impl_ProgramWorkBook_18-Feb-2011 - Working 2" xfId="12074" xr:uid="{00000000-0005-0000-0000-0000D02E0000}"/>
    <cellStyle name="_20061117Holux_Doneness Matrix v2_FP_DW_Impl_ProgramWorkBook_18-Feb-2011 - Working 2_Steps of Doneness" xfId="12075" xr:uid="{00000000-0005-0000-0000-0000D12E0000}"/>
    <cellStyle name="_20061117Holux_Doneness Matrix v2_FP_DW_Impl_ProgramWorkBook_18-Feb-2011 - Working 3" xfId="12076" xr:uid="{00000000-0005-0000-0000-0000D22E0000}"/>
    <cellStyle name="_20061117Holux_Doneness Matrix v2_FP_DW_Impl_ProgramWorkBook_18-Feb-2011 - Working_Steps of Doneness" xfId="12077" xr:uid="{00000000-0005-0000-0000-0000D32E0000}"/>
    <cellStyle name="_20061117Holux_Doneness Matrix v2_FP_EnterprisePortal_ProgramWorkbook" xfId="12078" xr:uid="{00000000-0005-0000-0000-0000D42E0000}"/>
    <cellStyle name="_20061117Holux_Doneness Matrix v2_FP_EnterprisePortal_ProgramWorkbook 2" xfId="12079" xr:uid="{00000000-0005-0000-0000-0000D52E0000}"/>
    <cellStyle name="_20061117Holux_Doneness Matrix v2_FP_EnterprisePortal_ProgramWorkbook 2_Steps of Doneness" xfId="12080" xr:uid="{00000000-0005-0000-0000-0000D62E0000}"/>
    <cellStyle name="_20061117Holux_Doneness Matrix v2_FP_EnterprisePortal_ProgramWorkbook 3" xfId="12081" xr:uid="{00000000-0005-0000-0000-0000D72E0000}"/>
    <cellStyle name="_20061117Holux_Doneness Matrix v2_FP_EnterprisePortal_ProgramWorkbook_Steps of Doneness" xfId="12082" xr:uid="{00000000-0005-0000-0000-0000D82E0000}"/>
    <cellStyle name="_20061117Holux_Doneness Matrix v2_FP_SAP_MLP v2" xfId="12083" xr:uid="{00000000-0005-0000-0000-0000D92E0000}"/>
    <cellStyle name="_20061117Holux_Doneness Matrix v2_FP_SAP_MLP v2 2" xfId="12084" xr:uid="{00000000-0005-0000-0000-0000DA2E0000}"/>
    <cellStyle name="_20061117Holux_Doneness Matrix v2_FP_SAP_MLP v2 2_Steps of Doneness" xfId="12085" xr:uid="{00000000-0005-0000-0000-0000DB2E0000}"/>
    <cellStyle name="_20061117Holux_Doneness Matrix v2_FP_SAP_MLP v2 3" xfId="12086" xr:uid="{00000000-0005-0000-0000-0000DC2E0000}"/>
    <cellStyle name="_20061117Holux_Doneness Matrix v2_FP_SAP_MLP v2_Steps of Doneness" xfId="12087" xr:uid="{00000000-0005-0000-0000-0000DD2E0000}"/>
    <cellStyle name="_20061117Holux_Doneness Matrix v2_KeyDecisions" xfId="12088" xr:uid="{00000000-0005-0000-0000-0000DE2E0000}"/>
    <cellStyle name="_20061117Holux_Doneness Matrix v2_KeyDecisions 2" xfId="12089" xr:uid="{00000000-0005-0000-0000-0000DF2E0000}"/>
    <cellStyle name="_20061117Holux_Doneness Matrix v2_KeyDecisions 2_Steps of Doneness" xfId="12090" xr:uid="{00000000-0005-0000-0000-0000E02E0000}"/>
    <cellStyle name="_20061117Holux_Doneness Matrix v2_KeyDecisions 3" xfId="12091" xr:uid="{00000000-0005-0000-0000-0000E12E0000}"/>
    <cellStyle name="_20061117Holux_Doneness Matrix v2_KeyDecisions_Steps of Doneness" xfId="12092" xr:uid="{00000000-0005-0000-0000-0000E22E0000}"/>
    <cellStyle name="_20061117Holux_Doneness Matrix v2_Sophia_Imp_ProjectWorkBook_02_18_2011" xfId="12093" xr:uid="{00000000-0005-0000-0000-0000E32E0000}"/>
    <cellStyle name="_20061117Holux_Doneness Matrix v2_Sophia_Imp_ProjectWorkBook_02_18_2011 2" xfId="12094" xr:uid="{00000000-0005-0000-0000-0000E42E0000}"/>
    <cellStyle name="_20061117Holux_Doneness Matrix v2_Sophia_Imp_ProjectWorkBook_02_18_2011 2_Steps of Doneness" xfId="12095" xr:uid="{00000000-0005-0000-0000-0000E52E0000}"/>
    <cellStyle name="_20061117Holux_Doneness Matrix v2_Sophia_Imp_ProjectWorkBook_02_18_2011 3" xfId="12096" xr:uid="{00000000-0005-0000-0000-0000E62E0000}"/>
    <cellStyle name="_20061117Holux_Doneness Matrix v2_Sophia_Imp_ProjectWorkBook_02_18_2011_Steps of Doneness" xfId="12097" xr:uid="{00000000-0005-0000-0000-0000E72E0000}"/>
    <cellStyle name="_20061117Holux_Doneness Matrix v2_Steps of Doneness" xfId="12098" xr:uid="{00000000-0005-0000-0000-0000E82E0000}"/>
    <cellStyle name="_20061117Holux_Doneness Matrix v2_t" xfId="12099" xr:uid="{00000000-0005-0000-0000-0000E92E0000}"/>
    <cellStyle name="_20061117Holux_Doneness Matrix v2_t 2" xfId="12100" xr:uid="{00000000-0005-0000-0000-0000EA2E0000}"/>
    <cellStyle name="_20061117Holux_Doneness Matrix v2_t 2_Steps of Doneness" xfId="12101" xr:uid="{00000000-0005-0000-0000-0000EB2E0000}"/>
    <cellStyle name="_20061117Holux_Doneness Matrix v2_t 3" xfId="12102" xr:uid="{00000000-0005-0000-0000-0000EC2E0000}"/>
    <cellStyle name="_20061117Holux_Doneness Matrix v2_t_Steps of Doneness" xfId="12103" xr:uid="{00000000-0005-0000-0000-0000ED2E0000}"/>
    <cellStyle name="_20061117Holux_EnterprisePortalRequirements_PMWorkbook" xfId="12104" xr:uid="{00000000-0005-0000-0000-0000EE2E0000}"/>
    <cellStyle name="_20061117Holux_EnterprisePortalRequirements_PMWorkbook (2)" xfId="12105" xr:uid="{00000000-0005-0000-0000-0000EF2E0000}"/>
    <cellStyle name="_20061117Holux_EnterprisePortalRequirements_PMWorkbook (2) 2" xfId="12106" xr:uid="{00000000-0005-0000-0000-0000F02E0000}"/>
    <cellStyle name="_20061117Holux_EnterprisePortalRequirements_PMWorkbook (2) 2_Steps of Doneness" xfId="12107" xr:uid="{00000000-0005-0000-0000-0000F12E0000}"/>
    <cellStyle name="_20061117Holux_EnterprisePortalRequirements_PMWorkbook (2) 3" xfId="12108" xr:uid="{00000000-0005-0000-0000-0000F22E0000}"/>
    <cellStyle name="_20061117Holux_EnterprisePortalRequirements_PMWorkbook (2)_Steps of Doneness" xfId="12109" xr:uid="{00000000-0005-0000-0000-0000F32E0000}"/>
    <cellStyle name="_20061117Holux_EnterprisePortalRequirements_PMWorkbook 10" xfId="12110" xr:uid="{00000000-0005-0000-0000-0000F42E0000}"/>
    <cellStyle name="_20061117Holux_EnterprisePortalRequirements_PMWorkbook 2" xfId="12111" xr:uid="{00000000-0005-0000-0000-0000F52E0000}"/>
    <cellStyle name="_20061117Holux_EnterprisePortalRequirements_PMWorkbook 2_Steps of Doneness" xfId="12112" xr:uid="{00000000-0005-0000-0000-0000F62E0000}"/>
    <cellStyle name="_20061117Holux_EnterprisePortalRequirements_PMWorkbook 3" xfId="12113" xr:uid="{00000000-0005-0000-0000-0000F72E0000}"/>
    <cellStyle name="_20061117Holux_EnterprisePortalRequirements_PMWorkbook 3_Steps of Doneness" xfId="12114" xr:uid="{00000000-0005-0000-0000-0000F82E0000}"/>
    <cellStyle name="_20061117Holux_EnterprisePortalRequirements_PMWorkbook 4" xfId="12115" xr:uid="{00000000-0005-0000-0000-0000F92E0000}"/>
    <cellStyle name="_20061117Holux_EnterprisePortalRequirements_PMWorkbook 4_Steps of Doneness" xfId="12116" xr:uid="{00000000-0005-0000-0000-0000FA2E0000}"/>
    <cellStyle name="_20061117Holux_EnterprisePortalRequirements_PMWorkbook 5" xfId="12117" xr:uid="{00000000-0005-0000-0000-0000FB2E0000}"/>
    <cellStyle name="_20061117Holux_EnterprisePortalRequirements_PMWorkbook 6" xfId="12118" xr:uid="{00000000-0005-0000-0000-0000FC2E0000}"/>
    <cellStyle name="_20061117Holux_EnterprisePortalRequirements_PMWorkbook 7" xfId="12119" xr:uid="{00000000-0005-0000-0000-0000FD2E0000}"/>
    <cellStyle name="_20061117Holux_EnterprisePortalRequirements_PMWorkbook 8" xfId="12120" xr:uid="{00000000-0005-0000-0000-0000FE2E0000}"/>
    <cellStyle name="_20061117Holux_EnterprisePortalRequirements_PMWorkbook 9" xfId="12121" xr:uid="{00000000-0005-0000-0000-0000FF2E0000}"/>
    <cellStyle name="_20061117Holux_EnterprisePortalRequirements_PMWorkbook_Steps of Doneness" xfId="12122" xr:uid="{00000000-0005-0000-0000-0000002F0000}"/>
    <cellStyle name="_20061117Holux_FairPoint_CampReport" xfId="12123" xr:uid="{00000000-0005-0000-0000-0000012F0000}"/>
    <cellStyle name="_20061117Holux_FairPoint_CampReport 2" xfId="12124" xr:uid="{00000000-0005-0000-0000-0000022F0000}"/>
    <cellStyle name="_20061117Holux_FairPoint_CampReport 2_Steps of Doneness" xfId="12125" xr:uid="{00000000-0005-0000-0000-0000032F0000}"/>
    <cellStyle name="_20061117Holux_FairPoint_CampReport 3" xfId="12126" xr:uid="{00000000-0005-0000-0000-0000042F0000}"/>
    <cellStyle name="_20061117Holux_FairPoint_CampReport_Steps of Doneness" xfId="12127" xr:uid="{00000000-0005-0000-0000-0000052F0000}"/>
    <cellStyle name="_20061117Holux_FairPoint_FP comTechOps_ProgramWorkbook" xfId="12128" xr:uid="{00000000-0005-0000-0000-0000062F0000}"/>
    <cellStyle name="_20061117Holux_FairPoint_FP comTechOps_ProgramWorkbook 2" xfId="12129" xr:uid="{00000000-0005-0000-0000-0000072F0000}"/>
    <cellStyle name="_20061117Holux_FairPoint_FP comTechOps_ProgramWorkbook 2_Steps of Doneness" xfId="12130" xr:uid="{00000000-0005-0000-0000-0000082F0000}"/>
    <cellStyle name="_20061117Holux_FairPoint_FP comTechOps_ProgramWorkbook 3" xfId="12131" xr:uid="{00000000-0005-0000-0000-0000092F0000}"/>
    <cellStyle name="_20061117Holux_FairPoint_FP comTechOps_ProgramWorkbook_sachin" xfId="12132" xr:uid="{00000000-0005-0000-0000-00000A2F0000}"/>
    <cellStyle name="_20061117Holux_FairPoint_FP comTechOps_ProgramWorkbook_sachin 2" xfId="12133" xr:uid="{00000000-0005-0000-0000-00000B2F0000}"/>
    <cellStyle name="_20061117Holux_FairPoint_FP comTechOps_ProgramWorkbook_sachin 2_Steps of Doneness" xfId="12134" xr:uid="{00000000-0005-0000-0000-00000C2F0000}"/>
    <cellStyle name="_20061117Holux_FairPoint_FP comTechOps_ProgramWorkbook_sachin 3" xfId="12135" xr:uid="{00000000-0005-0000-0000-00000D2F0000}"/>
    <cellStyle name="_20061117Holux_FairPoint_FP comTechOps_ProgramWorkbook_sachin_Steps of Doneness" xfId="12136" xr:uid="{00000000-0005-0000-0000-00000E2F0000}"/>
    <cellStyle name="_20061117Holux_FairPoint_FP comTechOps_ProgramWorkbook_sachin_v1" xfId="12137" xr:uid="{00000000-0005-0000-0000-00000F2F0000}"/>
    <cellStyle name="_20061117Holux_FairPoint_FP comTechOps_ProgramWorkbook_sachin_v1 2" xfId="12138" xr:uid="{00000000-0005-0000-0000-0000102F0000}"/>
    <cellStyle name="_20061117Holux_FairPoint_FP comTechOps_ProgramWorkbook_sachin_v1 2_Steps of Doneness" xfId="12139" xr:uid="{00000000-0005-0000-0000-0000112F0000}"/>
    <cellStyle name="_20061117Holux_FairPoint_FP comTechOps_ProgramWorkbook_sachin_v1 3" xfId="12140" xr:uid="{00000000-0005-0000-0000-0000122F0000}"/>
    <cellStyle name="_20061117Holux_FairPoint_FP comTechOps_ProgramWorkbook_sachin_v1_Steps of Doneness" xfId="12141" xr:uid="{00000000-0005-0000-0000-0000132F0000}"/>
    <cellStyle name="_20061117Holux_FairPoint_FP comTechOps_ProgramWorkbook_Steps of Doneness" xfId="12142" xr:uid="{00000000-0005-0000-0000-0000142F0000}"/>
    <cellStyle name="_20061117Holux_FairPoint_IntialSetup_Focus" xfId="12143" xr:uid="{00000000-0005-0000-0000-0000152F0000}"/>
    <cellStyle name="_20061117Holux_FairPoint_IntialSetup_Focus 2" xfId="12144" xr:uid="{00000000-0005-0000-0000-0000162F0000}"/>
    <cellStyle name="_20061117Holux_FairPoint_IntialSetup_Focus 2 2" xfId="12145" xr:uid="{00000000-0005-0000-0000-0000172F0000}"/>
    <cellStyle name="_20061117Holux_FairPoint_IntialSetup_Focus 2 2_Steps of Doneness" xfId="12146" xr:uid="{00000000-0005-0000-0000-0000182F0000}"/>
    <cellStyle name="_20061117Holux_FairPoint_IntialSetup_Focus 2 3" xfId="12147" xr:uid="{00000000-0005-0000-0000-0000192F0000}"/>
    <cellStyle name="_20061117Holux_FairPoint_IntialSetup_Focus 2_Steps of Doneness" xfId="12148" xr:uid="{00000000-0005-0000-0000-00001A2F0000}"/>
    <cellStyle name="_20061117Holux_FairPoint_IntialSetup_Focus 3" xfId="12149" xr:uid="{00000000-0005-0000-0000-00001B2F0000}"/>
    <cellStyle name="_20061117Holux_FairPoint_IntialSetup_Focus 3 2" xfId="12150" xr:uid="{00000000-0005-0000-0000-00001C2F0000}"/>
    <cellStyle name="_20061117Holux_FairPoint_IntialSetup_Focus 3 2_Steps of Doneness" xfId="12151" xr:uid="{00000000-0005-0000-0000-00001D2F0000}"/>
    <cellStyle name="_20061117Holux_FairPoint_IntialSetup_Focus 3 3" xfId="12152" xr:uid="{00000000-0005-0000-0000-00001E2F0000}"/>
    <cellStyle name="_20061117Holux_FairPoint_IntialSetup_Focus 3_Steps of Doneness" xfId="12153" xr:uid="{00000000-0005-0000-0000-00001F2F0000}"/>
    <cellStyle name="_20061117Holux_FairPoint_IntialSetup_Focus 4" xfId="12154" xr:uid="{00000000-0005-0000-0000-0000202F0000}"/>
    <cellStyle name="_20061117Holux_FairPoint_IntialSetup_Focus 4_Steps of Doneness" xfId="12155" xr:uid="{00000000-0005-0000-0000-0000212F0000}"/>
    <cellStyle name="_20061117Holux_FairPoint_IntialSetup_Focus 5" xfId="12156" xr:uid="{00000000-0005-0000-0000-0000222F0000}"/>
    <cellStyle name="_20061117Holux_FairPoint_IntialSetup_Focus 6" xfId="12157" xr:uid="{00000000-0005-0000-0000-0000232F0000}"/>
    <cellStyle name="_20061117Holux_FairPoint_IntialSetup_Focus_Commissioning System Implementation_Project Workbook_06_10_2011" xfId="12158" xr:uid="{00000000-0005-0000-0000-0000242F0000}"/>
    <cellStyle name="_20061117Holux_FairPoint_IntialSetup_Focus_Commissioning System Implementation_Project Workbook_06_10_2011 2" xfId="12159" xr:uid="{00000000-0005-0000-0000-0000252F0000}"/>
    <cellStyle name="_20061117Holux_FairPoint_IntialSetup_Focus_Commissioning System Implementation_Project Workbook_06_10_2011 2_Steps of Doneness" xfId="12160" xr:uid="{00000000-0005-0000-0000-0000262F0000}"/>
    <cellStyle name="_20061117Holux_FairPoint_IntialSetup_Focus_Commissioning System Implementation_Project Workbook_06_10_2011 3" xfId="12161" xr:uid="{00000000-0005-0000-0000-0000272F0000}"/>
    <cellStyle name="_20061117Holux_FairPoint_IntialSetup_Focus_Commissioning System Implementation_Project Workbook_06_10_2011_Steps of Doneness" xfId="12162" xr:uid="{00000000-0005-0000-0000-0000282F0000}"/>
    <cellStyle name="_20061117Holux_FairPoint_IntialSetup_Focus_FairPoint_CampReport" xfId="12163" xr:uid="{00000000-0005-0000-0000-0000292F0000}"/>
    <cellStyle name="_20061117Holux_FairPoint_IntialSetup_Focus_FairPoint_CampReport 2" xfId="12164" xr:uid="{00000000-0005-0000-0000-00002A2F0000}"/>
    <cellStyle name="_20061117Holux_FairPoint_IntialSetup_Focus_FairPoint_CampReport 2_Steps of Doneness" xfId="12165" xr:uid="{00000000-0005-0000-0000-00002B2F0000}"/>
    <cellStyle name="_20061117Holux_FairPoint_IntialSetup_Focus_FairPoint_CampReport 3" xfId="12166" xr:uid="{00000000-0005-0000-0000-00002C2F0000}"/>
    <cellStyle name="_20061117Holux_FairPoint_IntialSetup_Focus_FairPoint_CampReport_Steps of Doneness" xfId="12167" xr:uid="{00000000-0005-0000-0000-00002D2F0000}"/>
    <cellStyle name="_20061117Holux_FairPoint_IntialSetup_Focus_FairPoint_FP comTechOps_ProgramWorkbook" xfId="12168" xr:uid="{00000000-0005-0000-0000-00002E2F0000}"/>
    <cellStyle name="_20061117Holux_FairPoint_IntialSetup_Focus_FairPoint_FP comTechOps_ProgramWorkbook 2" xfId="12169" xr:uid="{00000000-0005-0000-0000-00002F2F0000}"/>
    <cellStyle name="_20061117Holux_FairPoint_IntialSetup_Focus_FairPoint_FP comTechOps_ProgramWorkbook 2_Steps of Doneness" xfId="12170" xr:uid="{00000000-0005-0000-0000-0000302F0000}"/>
    <cellStyle name="_20061117Holux_FairPoint_IntialSetup_Focus_FairPoint_FP comTechOps_ProgramWorkbook 3" xfId="12171" xr:uid="{00000000-0005-0000-0000-0000312F0000}"/>
    <cellStyle name="_20061117Holux_FairPoint_IntialSetup_Focus_FairPoint_FP comTechOps_ProgramWorkbook_sachin" xfId="12172" xr:uid="{00000000-0005-0000-0000-0000322F0000}"/>
    <cellStyle name="_20061117Holux_FairPoint_IntialSetup_Focus_FairPoint_FP comTechOps_ProgramWorkbook_sachin 2" xfId="12173" xr:uid="{00000000-0005-0000-0000-0000332F0000}"/>
    <cellStyle name="_20061117Holux_FairPoint_IntialSetup_Focus_FairPoint_FP comTechOps_ProgramWorkbook_sachin 2_Steps of Doneness" xfId="12174" xr:uid="{00000000-0005-0000-0000-0000342F0000}"/>
    <cellStyle name="_20061117Holux_FairPoint_IntialSetup_Focus_FairPoint_FP comTechOps_ProgramWorkbook_sachin 3" xfId="12175" xr:uid="{00000000-0005-0000-0000-0000352F0000}"/>
    <cellStyle name="_20061117Holux_FairPoint_IntialSetup_Focus_FairPoint_FP comTechOps_ProgramWorkbook_sachin_Steps of Doneness" xfId="12176" xr:uid="{00000000-0005-0000-0000-0000362F0000}"/>
    <cellStyle name="_20061117Holux_FairPoint_IntialSetup_Focus_FairPoint_FP comTechOps_ProgramWorkbook_sachin_v1" xfId="12177" xr:uid="{00000000-0005-0000-0000-0000372F0000}"/>
    <cellStyle name="_20061117Holux_FairPoint_IntialSetup_Focus_FairPoint_FP comTechOps_ProgramWorkbook_sachin_v1 2" xfId="12178" xr:uid="{00000000-0005-0000-0000-0000382F0000}"/>
    <cellStyle name="_20061117Holux_FairPoint_IntialSetup_Focus_FairPoint_FP comTechOps_ProgramWorkbook_sachin_v1 2_Steps of Doneness" xfId="12179" xr:uid="{00000000-0005-0000-0000-0000392F0000}"/>
    <cellStyle name="_20061117Holux_FairPoint_IntialSetup_Focus_FairPoint_FP comTechOps_ProgramWorkbook_sachin_v1 3" xfId="12180" xr:uid="{00000000-0005-0000-0000-00003A2F0000}"/>
    <cellStyle name="_20061117Holux_FairPoint_IntialSetup_Focus_FairPoint_FP comTechOps_ProgramWorkbook_sachin_v1_Steps of Doneness" xfId="12181" xr:uid="{00000000-0005-0000-0000-00003B2F0000}"/>
    <cellStyle name="_20061117Holux_FairPoint_IntialSetup_Focus_FairPoint_FP comTechOps_ProgramWorkbook_Steps of Doneness" xfId="12182" xr:uid="{00000000-0005-0000-0000-00003C2F0000}"/>
    <cellStyle name="_20061117Holux_FairPoint_IntialSetup_Focus_FP_CAMP&amp;ITReporting_Maintenance_Dashboard" xfId="12183" xr:uid="{00000000-0005-0000-0000-00003D2F0000}"/>
    <cellStyle name="_20061117Holux_FairPoint_IntialSetup_Focus_FP_CAMP&amp;ITReporting_Maintenance_Dashboard 2" xfId="12184" xr:uid="{00000000-0005-0000-0000-00003E2F0000}"/>
    <cellStyle name="_20061117Holux_FairPoint_IntialSetup_Focus_FP_CAMP&amp;ITReporting_Maintenance_Dashboard 2_Steps of Doneness" xfId="12185" xr:uid="{00000000-0005-0000-0000-00003F2F0000}"/>
    <cellStyle name="_20061117Holux_FairPoint_IntialSetup_Focus_FP_CAMP&amp;ITReporting_Maintenance_Dashboard 3" xfId="12186" xr:uid="{00000000-0005-0000-0000-0000402F0000}"/>
    <cellStyle name="_20061117Holux_FairPoint_IntialSetup_Focus_FP_CAMP&amp;ITReporting_Maintenance_Dashboard_Steps of Doneness" xfId="12187" xr:uid="{00000000-0005-0000-0000-0000412F0000}"/>
    <cellStyle name="_20061117Holux_FairPoint_IntialSetup_Focus_FP_CAMPITReporting_Maintenance_Dashboard" xfId="12188" xr:uid="{00000000-0005-0000-0000-0000422F0000}"/>
    <cellStyle name="_20061117Holux_FairPoint_IntialSetup_Focus_FP_CAMPITReporting_Maintenance_Dashboard 2" xfId="12189" xr:uid="{00000000-0005-0000-0000-0000432F0000}"/>
    <cellStyle name="_20061117Holux_FairPoint_IntialSetup_Focus_FP_CAMPITReporting_Maintenance_Dashboard 2_Steps of Doneness" xfId="12190" xr:uid="{00000000-0005-0000-0000-0000442F0000}"/>
    <cellStyle name="_20061117Holux_FairPoint_IntialSetup_Focus_FP_CAMPITReporting_Maintenance_Dashboard 3" xfId="12191" xr:uid="{00000000-0005-0000-0000-0000452F0000}"/>
    <cellStyle name="_20061117Holux_FairPoint_IntialSetup_Focus_FP_CAMPITReporting_Maintenance_Dashboard_Steps of Doneness" xfId="12192" xr:uid="{00000000-0005-0000-0000-0000462F0000}"/>
    <cellStyle name="_20061117Holux_FairPoint_IntialSetup_Focus_FP_Commissions_Req_Dn_ProgramWorkBook_10-Dec-2010" xfId="12193" xr:uid="{00000000-0005-0000-0000-0000472F0000}"/>
    <cellStyle name="_20061117Holux_FairPoint_IntialSetup_Focus_FP_Commissions_Req_Dn_ProgramWorkBook_10-Dec-2010 2" xfId="12194" xr:uid="{00000000-0005-0000-0000-0000482F0000}"/>
    <cellStyle name="_20061117Holux_FairPoint_IntialSetup_Focus_FP_Commissions_Req_Dn_ProgramWorkBook_10-Dec-2010 2_Steps of Doneness" xfId="12195" xr:uid="{00000000-0005-0000-0000-0000492F0000}"/>
    <cellStyle name="_20061117Holux_FairPoint_IntialSetup_Focus_FP_Commissions_Req_Dn_ProgramWorkBook_10-Dec-2010 3" xfId="12196" xr:uid="{00000000-0005-0000-0000-00004A2F0000}"/>
    <cellStyle name="_20061117Holux_FairPoint_IntialSetup_Focus_FP_Commissions_Req_Dn_ProgramWorkBook_10-Dec-2010_Steps of Doneness" xfId="12197" xr:uid="{00000000-0005-0000-0000-00004B2F0000}"/>
    <cellStyle name="_20061117Holux_FairPoint_IntialSetup_Focus_FP_DW_Impl_ProgramWorkBook_07-Jan-2011" xfId="12198" xr:uid="{00000000-0005-0000-0000-00004C2F0000}"/>
    <cellStyle name="_20061117Holux_FairPoint_IntialSetup_Focus_FP_DW_Impl_ProgramWorkBook_07-Jan-2011 2" xfId="12199" xr:uid="{00000000-0005-0000-0000-00004D2F0000}"/>
    <cellStyle name="_20061117Holux_FairPoint_IntialSetup_Focus_FP_DW_Impl_ProgramWorkBook_07-Jan-2011 2 2" xfId="12200" xr:uid="{00000000-0005-0000-0000-00004E2F0000}"/>
    <cellStyle name="_20061117Holux_FairPoint_IntialSetup_Focus_FP_DW_Impl_ProgramWorkBook_07-Jan-2011 2 2_Steps of Doneness" xfId="12201" xr:uid="{00000000-0005-0000-0000-00004F2F0000}"/>
    <cellStyle name="_20061117Holux_FairPoint_IntialSetup_Focus_FP_DW_Impl_ProgramWorkBook_07-Jan-2011 2 3" xfId="12202" xr:uid="{00000000-0005-0000-0000-0000502F0000}"/>
    <cellStyle name="_20061117Holux_FairPoint_IntialSetup_Focus_FP_DW_Impl_ProgramWorkBook_07-Jan-2011 2_Steps of Doneness" xfId="12203" xr:uid="{00000000-0005-0000-0000-0000512F0000}"/>
    <cellStyle name="_20061117Holux_FairPoint_IntialSetup_Focus_FP_DW_Impl_ProgramWorkBook_07-Jan-2011 3" xfId="12204" xr:uid="{00000000-0005-0000-0000-0000522F0000}"/>
    <cellStyle name="_20061117Holux_FairPoint_IntialSetup_Focus_FP_DW_Impl_ProgramWorkBook_07-Jan-2011 3_Steps of Doneness" xfId="12205" xr:uid="{00000000-0005-0000-0000-0000532F0000}"/>
    <cellStyle name="_20061117Holux_FairPoint_IntialSetup_Focus_FP_DW_Impl_ProgramWorkBook_07-Jan-2011 4" xfId="12206" xr:uid="{00000000-0005-0000-0000-0000542F0000}"/>
    <cellStyle name="_20061117Holux_FairPoint_IntialSetup_Focus_FP_DW_Impl_ProgramWorkBook_07-Jan-2011_Steps of Doneness" xfId="12207" xr:uid="{00000000-0005-0000-0000-0000552F0000}"/>
    <cellStyle name="_20061117Holux_FairPoint_IntialSetup_Focus_FP_DW_Impl_ProgramWorkBook_11-Feb-2011" xfId="12208" xr:uid="{00000000-0005-0000-0000-0000562F0000}"/>
    <cellStyle name="_20061117Holux_FairPoint_IntialSetup_Focus_FP_DW_Impl_ProgramWorkBook_11-Feb-2011 2" xfId="12209" xr:uid="{00000000-0005-0000-0000-0000572F0000}"/>
    <cellStyle name="_20061117Holux_FairPoint_IntialSetup_Focus_FP_DW_Impl_ProgramWorkBook_11-Feb-2011 2_Steps of Doneness" xfId="12210" xr:uid="{00000000-0005-0000-0000-0000582F0000}"/>
    <cellStyle name="_20061117Holux_FairPoint_IntialSetup_Focus_FP_DW_Impl_ProgramWorkBook_11-Feb-2011 3" xfId="12211" xr:uid="{00000000-0005-0000-0000-0000592F0000}"/>
    <cellStyle name="_20061117Holux_FairPoint_IntialSetup_Focus_FP_DW_Impl_ProgramWorkBook_11-Feb-2011_Steps of Doneness" xfId="12212" xr:uid="{00000000-0005-0000-0000-00005A2F0000}"/>
    <cellStyle name="_20061117Holux_FairPoint_IntialSetup_Focus_FP_DW_Impl_ProgramWorkBook_18-Feb-2011 - Working" xfId="12213" xr:uid="{00000000-0005-0000-0000-00005B2F0000}"/>
    <cellStyle name="_20061117Holux_FairPoint_IntialSetup_Focus_FP_DW_Impl_ProgramWorkBook_18-Feb-2011 - Working 2" xfId="12214" xr:uid="{00000000-0005-0000-0000-00005C2F0000}"/>
    <cellStyle name="_20061117Holux_FairPoint_IntialSetup_Focus_FP_DW_Impl_ProgramWorkBook_18-Feb-2011 - Working 2_Steps of Doneness" xfId="12215" xr:uid="{00000000-0005-0000-0000-00005D2F0000}"/>
    <cellStyle name="_20061117Holux_FairPoint_IntialSetup_Focus_FP_DW_Impl_ProgramWorkBook_18-Feb-2011 - Working 3" xfId="12216" xr:uid="{00000000-0005-0000-0000-00005E2F0000}"/>
    <cellStyle name="_20061117Holux_FairPoint_IntialSetup_Focus_FP_DW_Impl_ProgramWorkBook_18-Feb-2011 - Working_Steps of Doneness" xfId="12217" xr:uid="{00000000-0005-0000-0000-00005F2F0000}"/>
    <cellStyle name="_20061117Holux_FairPoint_IntialSetup_Focus_FP_EnterprisePortal_ProgramWorkbook" xfId="12218" xr:uid="{00000000-0005-0000-0000-0000602F0000}"/>
    <cellStyle name="_20061117Holux_FairPoint_IntialSetup_Focus_FP_EnterprisePortal_ProgramWorkbook 2" xfId="12219" xr:uid="{00000000-0005-0000-0000-0000612F0000}"/>
    <cellStyle name="_20061117Holux_FairPoint_IntialSetup_Focus_FP_EnterprisePortal_ProgramWorkbook 2_Steps of Doneness" xfId="12220" xr:uid="{00000000-0005-0000-0000-0000622F0000}"/>
    <cellStyle name="_20061117Holux_FairPoint_IntialSetup_Focus_FP_EnterprisePortal_ProgramWorkbook 3" xfId="12221" xr:uid="{00000000-0005-0000-0000-0000632F0000}"/>
    <cellStyle name="_20061117Holux_FairPoint_IntialSetup_Focus_FP_EnterprisePortal_ProgramWorkbook_Steps of Doneness" xfId="12222" xr:uid="{00000000-0005-0000-0000-0000642F0000}"/>
    <cellStyle name="_20061117Holux_FairPoint_IntialSetup_Focus_FP_SAP_MLP v2" xfId="12223" xr:uid="{00000000-0005-0000-0000-0000652F0000}"/>
    <cellStyle name="_20061117Holux_FairPoint_IntialSetup_Focus_FP_SAP_MLP v2 2" xfId="12224" xr:uid="{00000000-0005-0000-0000-0000662F0000}"/>
    <cellStyle name="_20061117Holux_FairPoint_IntialSetup_Focus_FP_SAP_MLP v2 2_Steps of Doneness" xfId="12225" xr:uid="{00000000-0005-0000-0000-0000672F0000}"/>
    <cellStyle name="_20061117Holux_FairPoint_IntialSetup_Focus_FP_SAP_MLP v2 3" xfId="12226" xr:uid="{00000000-0005-0000-0000-0000682F0000}"/>
    <cellStyle name="_20061117Holux_FairPoint_IntialSetup_Focus_FP_SAP_MLP v2_Steps of Doneness" xfId="12227" xr:uid="{00000000-0005-0000-0000-0000692F0000}"/>
    <cellStyle name="_20061117Holux_FairPoint_IntialSetup_Focus_KeyDecisions" xfId="12228" xr:uid="{00000000-0005-0000-0000-00006A2F0000}"/>
    <cellStyle name="_20061117Holux_FairPoint_IntialSetup_Focus_KeyDecisions 2" xfId="12229" xr:uid="{00000000-0005-0000-0000-00006B2F0000}"/>
    <cellStyle name="_20061117Holux_FairPoint_IntialSetup_Focus_KeyDecisions 2_Steps of Doneness" xfId="12230" xr:uid="{00000000-0005-0000-0000-00006C2F0000}"/>
    <cellStyle name="_20061117Holux_FairPoint_IntialSetup_Focus_KeyDecisions 3" xfId="12231" xr:uid="{00000000-0005-0000-0000-00006D2F0000}"/>
    <cellStyle name="_20061117Holux_FairPoint_IntialSetup_Focus_KeyDecisions_Steps of Doneness" xfId="12232" xr:uid="{00000000-0005-0000-0000-00006E2F0000}"/>
    <cellStyle name="_20061117Holux_FairPoint_IntialSetup_Focus_Sophia_Imp_ProjectWorkBook_02_18_2011" xfId="12233" xr:uid="{00000000-0005-0000-0000-00006F2F0000}"/>
    <cellStyle name="_20061117Holux_FairPoint_IntialSetup_Focus_Sophia_Imp_ProjectWorkBook_02_18_2011 2" xfId="12234" xr:uid="{00000000-0005-0000-0000-0000702F0000}"/>
    <cellStyle name="_20061117Holux_FairPoint_IntialSetup_Focus_Sophia_Imp_ProjectWorkBook_02_18_2011 2_Steps of Doneness" xfId="12235" xr:uid="{00000000-0005-0000-0000-0000712F0000}"/>
    <cellStyle name="_20061117Holux_FairPoint_IntialSetup_Focus_Sophia_Imp_ProjectWorkBook_02_18_2011 3" xfId="12236" xr:uid="{00000000-0005-0000-0000-0000722F0000}"/>
    <cellStyle name="_20061117Holux_FairPoint_IntialSetup_Focus_Sophia_Imp_ProjectWorkBook_02_18_2011_Steps of Doneness" xfId="12237" xr:uid="{00000000-0005-0000-0000-0000732F0000}"/>
    <cellStyle name="_20061117Holux_FairPoint_IntialSetup_Focus_Steps of Doneness" xfId="12238" xr:uid="{00000000-0005-0000-0000-0000742F0000}"/>
    <cellStyle name="_20061117Holux_FairPoint_IntialSetup_Focus_t" xfId="12239" xr:uid="{00000000-0005-0000-0000-0000752F0000}"/>
    <cellStyle name="_20061117Holux_FairPoint_IntialSetup_Focus_t 2" xfId="12240" xr:uid="{00000000-0005-0000-0000-0000762F0000}"/>
    <cellStyle name="_20061117Holux_FairPoint_IntialSetup_Focus_t 2_Steps of Doneness" xfId="12241" xr:uid="{00000000-0005-0000-0000-0000772F0000}"/>
    <cellStyle name="_20061117Holux_FairPoint_IntialSetup_Focus_t 3" xfId="12242" xr:uid="{00000000-0005-0000-0000-0000782F0000}"/>
    <cellStyle name="_20061117Holux_FairPoint_IntialSetup_Focus_t_Steps of Doneness" xfId="12243" xr:uid="{00000000-0005-0000-0000-0000792F0000}"/>
    <cellStyle name="_20061117Holux_FairPoint_TechnicalImplementation_Plan" xfId="12244" xr:uid="{00000000-0005-0000-0000-00007A2F0000}"/>
    <cellStyle name="_20061117Holux_FairPoint_TechnicalImplementation_Plan 2" xfId="12245" xr:uid="{00000000-0005-0000-0000-00007B2F0000}"/>
    <cellStyle name="_20061117Holux_FairPoint_TechnicalImplementation_Plan 2 2" xfId="12246" xr:uid="{00000000-0005-0000-0000-00007C2F0000}"/>
    <cellStyle name="_20061117Holux_FairPoint_TechnicalImplementation_Plan 2 2_Steps of Doneness" xfId="12247" xr:uid="{00000000-0005-0000-0000-00007D2F0000}"/>
    <cellStyle name="_20061117Holux_FairPoint_TechnicalImplementation_Plan 2 3" xfId="12248" xr:uid="{00000000-0005-0000-0000-00007E2F0000}"/>
    <cellStyle name="_20061117Holux_FairPoint_TechnicalImplementation_Plan 2_Steps of Doneness" xfId="12249" xr:uid="{00000000-0005-0000-0000-00007F2F0000}"/>
    <cellStyle name="_20061117Holux_FairPoint_TechnicalImplementation_Plan 3" xfId="12250" xr:uid="{00000000-0005-0000-0000-0000802F0000}"/>
    <cellStyle name="_20061117Holux_FairPoint_TechnicalImplementation_Plan 3 2" xfId="12251" xr:uid="{00000000-0005-0000-0000-0000812F0000}"/>
    <cellStyle name="_20061117Holux_FairPoint_TechnicalImplementation_Plan 3 2_Steps of Doneness" xfId="12252" xr:uid="{00000000-0005-0000-0000-0000822F0000}"/>
    <cellStyle name="_20061117Holux_FairPoint_TechnicalImplementation_Plan 3 3" xfId="12253" xr:uid="{00000000-0005-0000-0000-0000832F0000}"/>
    <cellStyle name="_20061117Holux_FairPoint_TechnicalImplementation_Plan 3_Steps of Doneness" xfId="12254" xr:uid="{00000000-0005-0000-0000-0000842F0000}"/>
    <cellStyle name="_20061117Holux_FairPoint_TechnicalImplementation_Plan 4" xfId="12255" xr:uid="{00000000-0005-0000-0000-0000852F0000}"/>
    <cellStyle name="_20061117Holux_FairPoint_TechnicalImplementation_Plan 4_Steps of Doneness" xfId="12256" xr:uid="{00000000-0005-0000-0000-0000862F0000}"/>
    <cellStyle name="_20061117Holux_FairPoint_TechnicalImplementation_Plan 5" xfId="12257" xr:uid="{00000000-0005-0000-0000-0000872F0000}"/>
    <cellStyle name="_20061117Holux_FairPoint_TechnicalImplementation_Plan 6" xfId="12258" xr:uid="{00000000-0005-0000-0000-0000882F0000}"/>
    <cellStyle name="_20061117Holux_FairPoint_TechnicalImplementation_Plan_Commissioning System Implementation_Project Workbook_06_10_2011" xfId="12259" xr:uid="{00000000-0005-0000-0000-0000892F0000}"/>
    <cellStyle name="_20061117Holux_FairPoint_TechnicalImplementation_Plan_Commissioning System Implementation_Project Workbook_06_10_2011 2" xfId="12260" xr:uid="{00000000-0005-0000-0000-00008A2F0000}"/>
    <cellStyle name="_20061117Holux_FairPoint_TechnicalImplementation_Plan_Commissioning System Implementation_Project Workbook_06_10_2011 2_Steps of Doneness" xfId="12261" xr:uid="{00000000-0005-0000-0000-00008B2F0000}"/>
    <cellStyle name="_20061117Holux_FairPoint_TechnicalImplementation_Plan_Commissioning System Implementation_Project Workbook_06_10_2011 3" xfId="12262" xr:uid="{00000000-0005-0000-0000-00008C2F0000}"/>
    <cellStyle name="_20061117Holux_FairPoint_TechnicalImplementation_Plan_Commissioning System Implementation_Project Workbook_06_10_2011_Steps of Doneness" xfId="12263" xr:uid="{00000000-0005-0000-0000-00008D2F0000}"/>
    <cellStyle name="_20061117Holux_FairPoint_TechnicalImplementation_Plan_FairPoint_CampReport" xfId="12264" xr:uid="{00000000-0005-0000-0000-00008E2F0000}"/>
    <cellStyle name="_20061117Holux_FairPoint_TechnicalImplementation_Plan_FairPoint_CampReport 2" xfId="12265" xr:uid="{00000000-0005-0000-0000-00008F2F0000}"/>
    <cellStyle name="_20061117Holux_FairPoint_TechnicalImplementation_Plan_FairPoint_CampReport 2_Steps of Doneness" xfId="12266" xr:uid="{00000000-0005-0000-0000-0000902F0000}"/>
    <cellStyle name="_20061117Holux_FairPoint_TechnicalImplementation_Plan_FairPoint_CampReport 3" xfId="12267" xr:uid="{00000000-0005-0000-0000-0000912F0000}"/>
    <cellStyle name="_20061117Holux_FairPoint_TechnicalImplementation_Plan_FairPoint_CampReport_Steps of Doneness" xfId="12268" xr:uid="{00000000-0005-0000-0000-0000922F0000}"/>
    <cellStyle name="_20061117Holux_FairPoint_TechnicalImplementation_Plan_FairPoint_FP comTechOps_ProgramWorkbook" xfId="12269" xr:uid="{00000000-0005-0000-0000-0000932F0000}"/>
    <cellStyle name="_20061117Holux_FairPoint_TechnicalImplementation_Plan_FairPoint_FP comTechOps_ProgramWorkbook 2" xfId="12270" xr:uid="{00000000-0005-0000-0000-0000942F0000}"/>
    <cellStyle name="_20061117Holux_FairPoint_TechnicalImplementation_Plan_FairPoint_FP comTechOps_ProgramWorkbook 2_Steps of Doneness" xfId="12271" xr:uid="{00000000-0005-0000-0000-0000952F0000}"/>
    <cellStyle name="_20061117Holux_FairPoint_TechnicalImplementation_Plan_FairPoint_FP comTechOps_ProgramWorkbook 3" xfId="12272" xr:uid="{00000000-0005-0000-0000-0000962F0000}"/>
    <cellStyle name="_20061117Holux_FairPoint_TechnicalImplementation_Plan_FairPoint_FP comTechOps_ProgramWorkbook_sachin" xfId="12273" xr:uid="{00000000-0005-0000-0000-0000972F0000}"/>
    <cellStyle name="_20061117Holux_FairPoint_TechnicalImplementation_Plan_FairPoint_FP comTechOps_ProgramWorkbook_sachin 2" xfId="12274" xr:uid="{00000000-0005-0000-0000-0000982F0000}"/>
    <cellStyle name="_20061117Holux_FairPoint_TechnicalImplementation_Plan_FairPoint_FP comTechOps_ProgramWorkbook_sachin 2_Steps of Doneness" xfId="12275" xr:uid="{00000000-0005-0000-0000-0000992F0000}"/>
    <cellStyle name="_20061117Holux_FairPoint_TechnicalImplementation_Plan_FairPoint_FP comTechOps_ProgramWorkbook_sachin 3" xfId="12276" xr:uid="{00000000-0005-0000-0000-00009A2F0000}"/>
    <cellStyle name="_20061117Holux_FairPoint_TechnicalImplementation_Plan_FairPoint_FP comTechOps_ProgramWorkbook_sachin_Steps of Doneness" xfId="12277" xr:uid="{00000000-0005-0000-0000-00009B2F0000}"/>
    <cellStyle name="_20061117Holux_FairPoint_TechnicalImplementation_Plan_FairPoint_FP comTechOps_ProgramWorkbook_sachin_v1" xfId="12278" xr:uid="{00000000-0005-0000-0000-00009C2F0000}"/>
    <cellStyle name="_20061117Holux_FairPoint_TechnicalImplementation_Plan_FairPoint_FP comTechOps_ProgramWorkbook_sachin_v1 2" xfId="12279" xr:uid="{00000000-0005-0000-0000-00009D2F0000}"/>
    <cellStyle name="_20061117Holux_FairPoint_TechnicalImplementation_Plan_FairPoint_FP comTechOps_ProgramWorkbook_sachin_v1 2_Steps of Doneness" xfId="12280" xr:uid="{00000000-0005-0000-0000-00009E2F0000}"/>
    <cellStyle name="_20061117Holux_FairPoint_TechnicalImplementation_Plan_FairPoint_FP comTechOps_ProgramWorkbook_sachin_v1 3" xfId="12281" xr:uid="{00000000-0005-0000-0000-00009F2F0000}"/>
    <cellStyle name="_20061117Holux_FairPoint_TechnicalImplementation_Plan_FairPoint_FP comTechOps_ProgramWorkbook_sachin_v1_Steps of Doneness" xfId="12282" xr:uid="{00000000-0005-0000-0000-0000A02F0000}"/>
    <cellStyle name="_20061117Holux_FairPoint_TechnicalImplementation_Plan_FairPoint_FP comTechOps_ProgramWorkbook_Steps of Doneness" xfId="12283" xr:uid="{00000000-0005-0000-0000-0000A12F0000}"/>
    <cellStyle name="_20061117Holux_FairPoint_TechnicalImplementation_Plan_FP_CAMP&amp;ITReporting_Maintenance_Dashboard" xfId="12284" xr:uid="{00000000-0005-0000-0000-0000A22F0000}"/>
    <cellStyle name="_20061117Holux_FairPoint_TechnicalImplementation_Plan_FP_CAMP&amp;ITReporting_Maintenance_Dashboard 2" xfId="12285" xr:uid="{00000000-0005-0000-0000-0000A32F0000}"/>
    <cellStyle name="_20061117Holux_FairPoint_TechnicalImplementation_Plan_FP_CAMP&amp;ITReporting_Maintenance_Dashboard 2_Steps of Doneness" xfId="12286" xr:uid="{00000000-0005-0000-0000-0000A42F0000}"/>
    <cellStyle name="_20061117Holux_FairPoint_TechnicalImplementation_Plan_FP_CAMP&amp;ITReporting_Maintenance_Dashboard 3" xfId="12287" xr:uid="{00000000-0005-0000-0000-0000A52F0000}"/>
    <cellStyle name="_20061117Holux_FairPoint_TechnicalImplementation_Plan_FP_CAMP&amp;ITReporting_Maintenance_Dashboard_Steps of Doneness" xfId="12288" xr:uid="{00000000-0005-0000-0000-0000A62F0000}"/>
    <cellStyle name="_20061117Holux_FairPoint_TechnicalImplementation_Plan_FP_CAMPITReporting_Maintenance_Dashboard" xfId="12289" xr:uid="{00000000-0005-0000-0000-0000A72F0000}"/>
    <cellStyle name="_20061117Holux_FairPoint_TechnicalImplementation_Plan_FP_CAMPITReporting_Maintenance_Dashboard 2" xfId="12290" xr:uid="{00000000-0005-0000-0000-0000A82F0000}"/>
    <cellStyle name="_20061117Holux_FairPoint_TechnicalImplementation_Plan_FP_CAMPITReporting_Maintenance_Dashboard 2_Steps of Doneness" xfId="12291" xr:uid="{00000000-0005-0000-0000-0000A92F0000}"/>
    <cellStyle name="_20061117Holux_FairPoint_TechnicalImplementation_Plan_FP_CAMPITReporting_Maintenance_Dashboard 3" xfId="12292" xr:uid="{00000000-0005-0000-0000-0000AA2F0000}"/>
    <cellStyle name="_20061117Holux_FairPoint_TechnicalImplementation_Plan_FP_CAMPITReporting_Maintenance_Dashboard_Steps of Doneness" xfId="12293" xr:uid="{00000000-0005-0000-0000-0000AB2F0000}"/>
    <cellStyle name="_20061117Holux_FairPoint_TechnicalImplementation_Plan_FP_Commissions_Req_Dn_ProgramWorkBook_10-Dec-2010" xfId="12294" xr:uid="{00000000-0005-0000-0000-0000AC2F0000}"/>
    <cellStyle name="_20061117Holux_FairPoint_TechnicalImplementation_Plan_FP_Commissions_Req_Dn_ProgramWorkBook_10-Dec-2010 2" xfId="12295" xr:uid="{00000000-0005-0000-0000-0000AD2F0000}"/>
    <cellStyle name="_20061117Holux_FairPoint_TechnicalImplementation_Plan_FP_Commissions_Req_Dn_ProgramWorkBook_10-Dec-2010 2_Steps of Doneness" xfId="12296" xr:uid="{00000000-0005-0000-0000-0000AE2F0000}"/>
    <cellStyle name="_20061117Holux_FairPoint_TechnicalImplementation_Plan_FP_Commissions_Req_Dn_ProgramWorkBook_10-Dec-2010 3" xfId="12297" xr:uid="{00000000-0005-0000-0000-0000AF2F0000}"/>
    <cellStyle name="_20061117Holux_FairPoint_TechnicalImplementation_Plan_FP_Commissions_Req_Dn_ProgramWorkBook_10-Dec-2010_Steps of Doneness" xfId="12298" xr:uid="{00000000-0005-0000-0000-0000B02F0000}"/>
    <cellStyle name="_20061117Holux_FairPoint_TechnicalImplementation_Plan_FP_DW_Impl_ProgramWorkBook_07-Jan-2011" xfId="12299" xr:uid="{00000000-0005-0000-0000-0000B12F0000}"/>
    <cellStyle name="_20061117Holux_FairPoint_TechnicalImplementation_Plan_FP_DW_Impl_ProgramWorkBook_07-Jan-2011 2" xfId="12300" xr:uid="{00000000-0005-0000-0000-0000B22F0000}"/>
    <cellStyle name="_20061117Holux_FairPoint_TechnicalImplementation_Plan_FP_DW_Impl_ProgramWorkBook_07-Jan-2011 2 2" xfId="12301" xr:uid="{00000000-0005-0000-0000-0000B32F0000}"/>
    <cellStyle name="_20061117Holux_FairPoint_TechnicalImplementation_Plan_FP_DW_Impl_ProgramWorkBook_07-Jan-2011 2 2_Steps of Doneness" xfId="12302" xr:uid="{00000000-0005-0000-0000-0000B42F0000}"/>
    <cellStyle name="_20061117Holux_FairPoint_TechnicalImplementation_Plan_FP_DW_Impl_ProgramWorkBook_07-Jan-2011 2 3" xfId="12303" xr:uid="{00000000-0005-0000-0000-0000B52F0000}"/>
    <cellStyle name="_20061117Holux_FairPoint_TechnicalImplementation_Plan_FP_DW_Impl_ProgramWorkBook_07-Jan-2011 2_Steps of Doneness" xfId="12304" xr:uid="{00000000-0005-0000-0000-0000B62F0000}"/>
    <cellStyle name="_20061117Holux_FairPoint_TechnicalImplementation_Plan_FP_DW_Impl_ProgramWorkBook_07-Jan-2011 3" xfId="12305" xr:uid="{00000000-0005-0000-0000-0000B72F0000}"/>
    <cellStyle name="_20061117Holux_FairPoint_TechnicalImplementation_Plan_FP_DW_Impl_ProgramWorkBook_07-Jan-2011 3_Steps of Doneness" xfId="12306" xr:uid="{00000000-0005-0000-0000-0000B82F0000}"/>
    <cellStyle name="_20061117Holux_FairPoint_TechnicalImplementation_Plan_FP_DW_Impl_ProgramWorkBook_07-Jan-2011 4" xfId="12307" xr:uid="{00000000-0005-0000-0000-0000B92F0000}"/>
    <cellStyle name="_20061117Holux_FairPoint_TechnicalImplementation_Plan_FP_DW_Impl_ProgramWorkBook_07-Jan-2011_Steps of Doneness" xfId="12308" xr:uid="{00000000-0005-0000-0000-0000BA2F0000}"/>
    <cellStyle name="_20061117Holux_FairPoint_TechnicalImplementation_Plan_FP_DW_Impl_ProgramWorkBook_11-Feb-2011" xfId="12309" xr:uid="{00000000-0005-0000-0000-0000BB2F0000}"/>
    <cellStyle name="_20061117Holux_FairPoint_TechnicalImplementation_Plan_FP_DW_Impl_ProgramWorkBook_11-Feb-2011 2" xfId="12310" xr:uid="{00000000-0005-0000-0000-0000BC2F0000}"/>
    <cellStyle name="_20061117Holux_FairPoint_TechnicalImplementation_Plan_FP_DW_Impl_ProgramWorkBook_11-Feb-2011 2_Steps of Doneness" xfId="12311" xr:uid="{00000000-0005-0000-0000-0000BD2F0000}"/>
    <cellStyle name="_20061117Holux_FairPoint_TechnicalImplementation_Plan_FP_DW_Impl_ProgramWorkBook_11-Feb-2011 3" xfId="12312" xr:uid="{00000000-0005-0000-0000-0000BE2F0000}"/>
    <cellStyle name="_20061117Holux_FairPoint_TechnicalImplementation_Plan_FP_DW_Impl_ProgramWorkBook_11-Feb-2011_Steps of Doneness" xfId="12313" xr:uid="{00000000-0005-0000-0000-0000BF2F0000}"/>
    <cellStyle name="_20061117Holux_FairPoint_TechnicalImplementation_Plan_FP_DW_Impl_ProgramWorkBook_18-Feb-2011 - Working" xfId="12314" xr:uid="{00000000-0005-0000-0000-0000C02F0000}"/>
    <cellStyle name="_20061117Holux_FairPoint_TechnicalImplementation_Plan_FP_DW_Impl_ProgramWorkBook_18-Feb-2011 - Working 2" xfId="12315" xr:uid="{00000000-0005-0000-0000-0000C12F0000}"/>
    <cellStyle name="_20061117Holux_FairPoint_TechnicalImplementation_Plan_FP_DW_Impl_ProgramWorkBook_18-Feb-2011 - Working 2_Steps of Doneness" xfId="12316" xr:uid="{00000000-0005-0000-0000-0000C22F0000}"/>
    <cellStyle name="_20061117Holux_FairPoint_TechnicalImplementation_Plan_FP_DW_Impl_ProgramWorkBook_18-Feb-2011 - Working 3" xfId="12317" xr:uid="{00000000-0005-0000-0000-0000C32F0000}"/>
    <cellStyle name="_20061117Holux_FairPoint_TechnicalImplementation_Plan_FP_DW_Impl_ProgramWorkBook_18-Feb-2011 - Working_Steps of Doneness" xfId="12318" xr:uid="{00000000-0005-0000-0000-0000C42F0000}"/>
    <cellStyle name="_20061117Holux_FairPoint_TechnicalImplementation_Plan_FP_EnterprisePortal_ProgramWorkbook" xfId="12319" xr:uid="{00000000-0005-0000-0000-0000C52F0000}"/>
    <cellStyle name="_20061117Holux_FairPoint_TechnicalImplementation_Plan_FP_EnterprisePortal_ProgramWorkbook 2" xfId="12320" xr:uid="{00000000-0005-0000-0000-0000C62F0000}"/>
    <cellStyle name="_20061117Holux_FairPoint_TechnicalImplementation_Plan_FP_EnterprisePortal_ProgramWorkbook 2_Steps of Doneness" xfId="12321" xr:uid="{00000000-0005-0000-0000-0000C72F0000}"/>
    <cellStyle name="_20061117Holux_FairPoint_TechnicalImplementation_Plan_FP_EnterprisePortal_ProgramWorkbook 3" xfId="12322" xr:uid="{00000000-0005-0000-0000-0000C82F0000}"/>
    <cellStyle name="_20061117Holux_FairPoint_TechnicalImplementation_Plan_FP_EnterprisePortal_ProgramWorkbook_Steps of Doneness" xfId="12323" xr:uid="{00000000-0005-0000-0000-0000C92F0000}"/>
    <cellStyle name="_20061117Holux_FairPoint_TechnicalImplementation_Plan_FP_SAP_MLP v2" xfId="12324" xr:uid="{00000000-0005-0000-0000-0000CA2F0000}"/>
    <cellStyle name="_20061117Holux_FairPoint_TechnicalImplementation_Plan_FP_SAP_MLP v2 2" xfId="12325" xr:uid="{00000000-0005-0000-0000-0000CB2F0000}"/>
    <cellStyle name="_20061117Holux_FairPoint_TechnicalImplementation_Plan_FP_SAP_MLP v2 2_Steps of Doneness" xfId="12326" xr:uid="{00000000-0005-0000-0000-0000CC2F0000}"/>
    <cellStyle name="_20061117Holux_FairPoint_TechnicalImplementation_Plan_FP_SAP_MLP v2 3" xfId="12327" xr:uid="{00000000-0005-0000-0000-0000CD2F0000}"/>
    <cellStyle name="_20061117Holux_FairPoint_TechnicalImplementation_Plan_FP_SAP_MLP v2_Steps of Doneness" xfId="12328" xr:uid="{00000000-0005-0000-0000-0000CE2F0000}"/>
    <cellStyle name="_20061117Holux_FairPoint_TechnicalImplementation_Plan_KeyDecisions" xfId="12329" xr:uid="{00000000-0005-0000-0000-0000CF2F0000}"/>
    <cellStyle name="_20061117Holux_FairPoint_TechnicalImplementation_Plan_KeyDecisions 2" xfId="12330" xr:uid="{00000000-0005-0000-0000-0000D02F0000}"/>
    <cellStyle name="_20061117Holux_FairPoint_TechnicalImplementation_Plan_KeyDecisions 2_Steps of Doneness" xfId="12331" xr:uid="{00000000-0005-0000-0000-0000D12F0000}"/>
    <cellStyle name="_20061117Holux_FairPoint_TechnicalImplementation_Plan_KeyDecisions 3" xfId="12332" xr:uid="{00000000-0005-0000-0000-0000D22F0000}"/>
    <cellStyle name="_20061117Holux_FairPoint_TechnicalImplementation_Plan_KeyDecisions_Steps of Doneness" xfId="12333" xr:uid="{00000000-0005-0000-0000-0000D32F0000}"/>
    <cellStyle name="_20061117Holux_FairPoint_TechnicalImplementation_Plan_Sophia_Imp_ProjectWorkBook_02_18_2011" xfId="12334" xr:uid="{00000000-0005-0000-0000-0000D42F0000}"/>
    <cellStyle name="_20061117Holux_FairPoint_TechnicalImplementation_Plan_Sophia_Imp_ProjectWorkBook_02_18_2011 2" xfId="12335" xr:uid="{00000000-0005-0000-0000-0000D52F0000}"/>
    <cellStyle name="_20061117Holux_FairPoint_TechnicalImplementation_Plan_Sophia_Imp_ProjectWorkBook_02_18_2011 2_Steps of Doneness" xfId="12336" xr:uid="{00000000-0005-0000-0000-0000D62F0000}"/>
    <cellStyle name="_20061117Holux_FairPoint_TechnicalImplementation_Plan_Sophia_Imp_ProjectWorkBook_02_18_2011 3" xfId="12337" xr:uid="{00000000-0005-0000-0000-0000D72F0000}"/>
    <cellStyle name="_20061117Holux_FairPoint_TechnicalImplementation_Plan_Sophia_Imp_ProjectWorkBook_02_18_2011_Steps of Doneness" xfId="12338" xr:uid="{00000000-0005-0000-0000-0000D82F0000}"/>
    <cellStyle name="_20061117Holux_FairPoint_TechnicalImplementation_Plan_Steps of Doneness" xfId="12339" xr:uid="{00000000-0005-0000-0000-0000D92F0000}"/>
    <cellStyle name="_20061117Holux_FairPoint_TechnicalImplementation_Plan_t" xfId="12340" xr:uid="{00000000-0005-0000-0000-0000DA2F0000}"/>
    <cellStyle name="_20061117Holux_FairPoint_TechnicalImplementation_Plan_t 2" xfId="12341" xr:uid="{00000000-0005-0000-0000-0000DB2F0000}"/>
    <cellStyle name="_20061117Holux_FairPoint_TechnicalImplementation_Plan_t 2_Steps of Doneness" xfId="12342" xr:uid="{00000000-0005-0000-0000-0000DC2F0000}"/>
    <cellStyle name="_20061117Holux_FairPoint_TechnicalImplementation_Plan_t 3" xfId="12343" xr:uid="{00000000-0005-0000-0000-0000DD2F0000}"/>
    <cellStyle name="_20061117Holux_FairPoint_TechnicalImplementation_Plan_t_Steps of Doneness" xfId="12344" xr:uid="{00000000-0005-0000-0000-0000DE2F0000}"/>
    <cellStyle name="_20061117Holux_FP_CAMP&amp;ITReporting_Maintenance_Dashboard" xfId="12345" xr:uid="{00000000-0005-0000-0000-0000DF2F0000}"/>
    <cellStyle name="_20061117Holux_FP_CAMP&amp;ITReporting_Maintenance_Dashboard 2" xfId="12346" xr:uid="{00000000-0005-0000-0000-0000E02F0000}"/>
    <cellStyle name="_20061117Holux_FP_CAMP&amp;ITReporting_Maintenance_Dashboard 2_Steps of Doneness" xfId="12347" xr:uid="{00000000-0005-0000-0000-0000E12F0000}"/>
    <cellStyle name="_20061117Holux_FP_CAMP&amp;ITReporting_Maintenance_Dashboard 3" xfId="12348" xr:uid="{00000000-0005-0000-0000-0000E22F0000}"/>
    <cellStyle name="_20061117Holux_FP_CAMP&amp;ITReporting_Maintenance_Dashboard_Steps of Doneness" xfId="12349" xr:uid="{00000000-0005-0000-0000-0000E32F0000}"/>
    <cellStyle name="_20061117Holux_FP_CAMPITReporting_Maintenance_Dashboard" xfId="12350" xr:uid="{00000000-0005-0000-0000-0000E42F0000}"/>
    <cellStyle name="_20061117Holux_FP_CAMPITReporting_Maintenance_Dashboard 2" xfId="12351" xr:uid="{00000000-0005-0000-0000-0000E52F0000}"/>
    <cellStyle name="_20061117Holux_FP_CAMPITReporting_Maintenance_Dashboard 2_Steps of Doneness" xfId="12352" xr:uid="{00000000-0005-0000-0000-0000E62F0000}"/>
    <cellStyle name="_20061117Holux_FP_CAMPITReporting_Maintenance_Dashboard 3" xfId="12353" xr:uid="{00000000-0005-0000-0000-0000E72F0000}"/>
    <cellStyle name="_20061117Holux_FP_CAMPITReporting_Maintenance_Dashboard_Steps of Doneness" xfId="12354" xr:uid="{00000000-0005-0000-0000-0000E82F0000}"/>
    <cellStyle name="_20061117Holux_FP_Commissions_Req_Dn_ProgramWorkBook_10-Dec-2010" xfId="12355" xr:uid="{00000000-0005-0000-0000-0000E92F0000}"/>
    <cellStyle name="_20061117Holux_FP_Commissions_Req_Dn_ProgramWorkBook_10-Dec-2010 2" xfId="12356" xr:uid="{00000000-0005-0000-0000-0000EA2F0000}"/>
    <cellStyle name="_20061117Holux_FP_Commissions_Req_Dn_ProgramWorkBook_10-Dec-2010 2_Steps of Doneness" xfId="12357" xr:uid="{00000000-0005-0000-0000-0000EB2F0000}"/>
    <cellStyle name="_20061117Holux_FP_Commissions_Req_Dn_ProgramWorkBook_10-Dec-2010 3" xfId="12358" xr:uid="{00000000-0005-0000-0000-0000EC2F0000}"/>
    <cellStyle name="_20061117Holux_FP_Commissions_Req_Dn_ProgramWorkBook_10-Dec-2010_Steps of Doneness" xfId="12359" xr:uid="{00000000-0005-0000-0000-0000ED2F0000}"/>
    <cellStyle name="_20061117Holux_FP_DW_Impl_ProgramWorkBook_03-Dec-2010111" xfId="12360" xr:uid="{00000000-0005-0000-0000-0000EE2F0000}"/>
    <cellStyle name="_20061117Holux_FP_DW_Impl_ProgramWorkBook_03-Dec-2010111 2" xfId="12361" xr:uid="{00000000-0005-0000-0000-0000EF2F0000}"/>
    <cellStyle name="_20061117Holux_FP_DW_Impl_ProgramWorkBook_03-Dec-2010111 2_Steps of Doneness" xfId="12362" xr:uid="{00000000-0005-0000-0000-0000F02F0000}"/>
    <cellStyle name="_20061117Holux_FP_DW_Impl_ProgramWorkBook_03-Dec-2010111 3" xfId="12363" xr:uid="{00000000-0005-0000-0000-0000F12F0000}"/>
    <cellStyle name="_20061117Holux_FP_DW_Impl_ProgramWorkBook_03-Dec-2010111_Steps of Doneness" xfId="12364" xr:uid="{00000000-0005-0000-0000-0000F22F0000}"/>
    <cellStyle name="_20061117Holux_FP_DW_Impl_ProgramWorkBook_07-Jan-2011" xfId="12365" xr:uid="{00000000-0005-0000-0000-0000F32F0000}"/>
    <cellStyle name="_20061117Holux_FP_DW_Impl_ProgramWorkBook_07-Jan-2011 2" xfId="12366" xr:uid="{00000000-0005-0000-0000-0000F42F0000}"/>
    <cellStyle name="_20061117Holux_FP_DW_Impl_ProgramWorkBook_07-Jan-2011 2_Steps of Doneness" xfId="12367" xr:uid="{00000000-0005-0000-0000-0000F52F0000}"/>
    <cellStyle name="_20061117Holux_FP_DW_Impl_ProgramWorkBook_07-Jan-2011 3" xfId="12368" xr:uid="{00000000-0005-0000-0000-0000F62F0000}"/>
    <cellStyle name="_20061117Holux_FP_DW_Impl_ProgramWorkBook_07-Jan-2011_Steps of Doneness" xfId="12369" xr:uid="{00000000-0005-0000-0000-0000F72F0000}"/>
    <cellStyle name="_20061117Holux_FP_DW_Impl_ProgramWorkBook_11-Feb-2011" xfId="12370" xr:uid="{00000000-0005-0000-0000-0000F82F0000}"/>
    <cellStyle name="_20061117Holux_FP_DW_Impl_ProgramWorkBook_11-Feb-2011 2" xfId="12371" xr:uid="{00000000-0005-0000-0000-0000F92F0000}"/>
    <cellStyle name="_20061117Holux_FP_DW_Impl_ProgramWorkBook_11-Feb-2011 2_Steps of Doneness" xfId="12372" xr:uid="{00000000-0005-0000-0000-0000FA2F0000}"/>
    <cellStyle name="_20061117Holux_FP_DW_Impl_ProgramWorkBook_11-Feb-2011 3" xfId="12373" xr:uid="{00000000-0005-0000-0000-0000FB2F0000}"/>
    <cellStyle name="_20061117Holux_FP_DW_Impl_ProgramWorkBook_11-Feb-2011_Steps of Doneness" xfId="12374" xr:uid="{00000000-0005-0000-0000-0000FC2F0000}"/>
    <cellStyle name="_20061117Holux_FP_DW_Impl_ProgramWorkBook_18-Feb-2011 - Working" xfId="12375" xr:uid="{00000000-0005-0000-0000-0000FD2F0000}"/>
    <cellStyle name="_20061117Holux_FP_DW_Impl_ProgramWorkBook_18-Feb-2011 - Working 2" xfId="12376" xr:uid="{00000000-0005-0000-0000-0000FE2F0000}"/>
    <cellStyle name="_20061117Holux_FP_DW_Impl_ProgramWorkBook_18-Feb-2011 - Working 2_Steps of Doneness" xfId="12377" xr:uid="{00000000-0005-0000-0000-0000FF2F0000}"/>
    <cellStyle name="_20061117Holux_FP_DW_Impl_ProgramWorkBook_18-Feb-2011 - Working 3" xfId="12378" xr:uid="{00000000-0005-0000-0000-000000300000}"/>
    <cellStyle name="_20061117Holux_FP_DW_Impl_ProgramWorkBook_18-Feb-2011 - Working_Steps of Doneness" xfId="12379" xr:uid="{00000000-0005-0000-0000-000001300000}"/>
    <cellStyle name="_20061117Holux_FP_EnterprisePortal_ProgramWorkbook" xfId="12380" xr:uid="{00000000-0005-0000-0000-000002300000}"/>
    <cellStyle name="_20061117Holux_FP_EnterprisePortal_ProgramWorkbook 2" xfId="12381" xr:uid="{00000000-0005-0000-0000-000003300000}"/>
    <cellStyle name="_20061117Holux_FP_EnterprisePortal_ProgramWorkbook 2_Steps of Doneness" xfId="12382" xr:uid="{00000000-0005-0000-0000-000004300000}"/>
    <cellStyle name="_20061117Holux_FP_EnterprisePortal_ProgramWorkbook 3" xfId="12383" xr:uid="{00000000-0005-0000-0000-000005300000}"/>
    <cellStyle name="_20061117Holux_FP_EnterprisePortal_ProgramWorkbook_Steps of Doneness" xfId="12384" xr:uid="{00000000-0005-0000-0000-000006300000}"/>
    <cellStyle name="_20061117Holux_FP_SAP_MLP v2" xfId="12385" xr:uid="{00000000-0005-0000-0000-000007300000}"/>
    <cellStyle name="_20061117Holux_FP_SAP_MLP v2 2" xfId="12386" xr:uid="{00000000-0005-0000-0000-000008300000}"/>
    <cellStyle name="_20061117Holux_FP_SAP_MLP v2 2_Steps of Doneness" xfId="12387" xr:uid="{00000000-0005-0000-0000-000009300000}"/>
    <cellStyle name="_20061117Holux_FP_SAP_MLP v2 3" xfId="12388" xr:uid="{00000000-0005-0000-0000-00000A300000}"/>
    <cellStyle name="_20061117Holux_FP_SAP_MLP v2_Steps of Doneness" xfId="12389" xr:uid="{00000000-0005-0000-0000-00000B300000}"/>
    <cellStyle name="_20061117Holux_KeyDecisions" xfId="12390" xr:uid="{00000000-0005-0000-0000-00000C300000}"/>
    <cellStyle name="_20061117Holux_KeyDecisions 2" xfId="12391" xr:uid="{00000000-0005-0000-0000-00000D300000}"/>
    <cellStyle name="_20061117Holux_KeyDecisions 2_Steps of Doneness" xfId="12392" xr:uid="{00000000-0005-0000-0000-00000E300000}"/>
    <cellStyle name="_20061117Holux_KeyDecisions 3" xfId="12393" xr:uid="{00000000-0005-0000-0000-00000F300000}"/>
    <cellStyle name="_20061117Holux_KeyDecisions_Steps of Doneness" xfId="12394" xr:uid="{00000000-0005-0000-0000-000010300000}"/>
    <cellStyle name="_20061117Holux_LoanOriginationPMWorkbook 23Feb2010" xfId="12395" xr:uid="{00000000-0005-0000-0000-000011300000}"/>
    <cellStyle name="_20061117Holux_LoanOriginationPMWorkbook 23Feb2010 2" xfId="12396" xr:uid="{00000000-0005-0000-0000-000012300000}"/>
    <cellStyle name="_20061117Holux_LoanOriginationPMWorkbook 23Feb2010 2_Steps of Doneness" xfId="12397" xr:uid="{00000000-0005-0000-0000-000013300000}"/>
    <cellStyle name="_20061117Holux_LoanOriginationPMWorkbook 23Feb2010 3" xfId="12398" xr:uid="{00000000-0005-0000-0000-000014300000}"/>
    <cellStyle name="_20061117Holux_LoanOriginationPMWorkbook 23Feb2010_slm_llp_0520" xfId="12399" xr:uid="{00000000-0005-0000-0000-000015300000}"/>
    <cellStyle name="_20061117Holux_LoanOriginationPMWorkbook 23Feb2010_slm_llp_0520 2" xfId="12400" xr:uid="{00000000-0005-0000-0000-000016300000}"/>
    <cellStyle name="_20061117Holux_LoanOriginationPMWorkbook 23Feb2010_slm_llp_0520 2 2" xfId="12401" xr:uid="{00000000-0005-0000-0000-000017300000}"/>
    <cellStyle name="_20061117Holux_LoanOriginationPMWorkbook 23Feb2010_slm_llp_0520 2 2_Steps of Doneness" xfId="12402" xr:uid="{00000000-0005-0000-0000-000018300000}"/>
    <cellStyle name="_20061117Holux_LoanOriginationPMWorkbook 23Feb2010_slm_llp_0520 2 3" xfId="12403" xr:uid="{00000000-0005-0000-0000-000019300000}"/>
    <cellStyle name="_20061117Holux_LoanOriginationPMWorkbook 23Feb2010_slm_llp_0520 2_Steps of Doneness" xfId="12404" xr:uid="{00000000-0005-0000-0000-00001A300000}"/>
    <cellStyle name="_20061117Holux_LoanOriginationPMWorkbook 23Feb2010_slm_llp_0520 3" xfId="12405" xr:uid="{00000000-0005-0000-0000-00001B300000}"/>
    <cellStyle name="_20061117Holux_LoanOriginationPMWorkbook 23Feb2010_slm_llp_0520 3 2" xfId="12406" xr:uid="{00000000-0005-0000-0000-00001C300000}"/>
    <cellStyle name="_20061117Holux_LoanOriginationPMWorkbook 23Feb2010_slm_llp_0520 3 2_Steps of Doneness" xfId="12407" xr:uid="{00000000-0005-0000-0000-00001D300000}"/>
    <cellStyle name="_20061117Holux_LoanOriginationPMWorkbook 23Feb2010_slm_llp_0520 3 3" xfId="12408" xr:uid="{00000000-0005-0000-0000-00001E300000}"/>
    <cellStyle name="_20061117Holux_LoanOriginationPMWorkbook 23Feb2010_slm_llp_0520 3_Steps of Doneness" xfId="12409" xr:uid="{00000000-0005-0000-0000-00001F300000}"/>
    <cellStyle name="_20061117Holux_LoanOriginationPMWorkbook 23Feb2010_slm_llp_0520 4" xfId="12410" xr:uid="{00000000-0005-0000-0000-000020300000}"/>
    <cellStyle name="_20061117Holux_LoanOriginationPMWorkbook 23Feb2010_slm_llp_0520 4_Steps of Doneness" xfId="12411" xr:uid="{00000000-0005-0000-0000-000021300000}"/>
    <cellStyle name="_20061117Holux_LoanOriginationPMWorkbook 23Feb2010_slm_llp_0520 5" xfId="12412" xr:uid="{00000000-0005-0000-0000-000022300000}"/>
    <cellStyle name="_20061117Holux_LoanOriginationPMWorkbook 23Feb2010_slm_llp_0520 6" xfId="12413" xr:uid="{00000000-0005-0000-0000-000023300000}"/>
    <cellStyle name="_20061117Holux_LoanOriginationPMWorkbook 23Feb2010_slm_llp_0520_Commissioning System Implementation_Project Workbook_06_10_2011" xfId="12414" xr:uid="{00000000-0005-0000-0000-000024300000}"/>
    <cellStyle name="_20061117Holux_LoanOriginationPMWorkbook 23Feb2010_slm_llp_0520_Commissioning System Implementation_Project Workbook_06_10_2011 2" xfId="12415" xr:uid="{00000000-0005-0000-0000-000025300000}"/>
    <cellStyle name="_20061117Holux_LoanOriginationPMWorkbook 23Feb2010_slm_llp_0520_Commissioning System Implementation_Project Workbook_06_10_2011 2_Steps of Doneness" xfId="12416" xr:uid="{00000000-0005-0000-0000-000026300000}"/>
    <cellStyle name="_20061117Holux_LoanOriginationPMWorkbook 23Feb2010_slm_llp_0520_Commissioning System Implementation_Project Workbook_06_10_2011 3" xfId="12417" xr:uid="{00000000-0005-0000-0000-000027300000}"/>
    <cellStyle name="_20061117Holux_LoanOriginationPMWorkbook 23Feb2010_slm_llp_0520_Commissioning System Implementation_Project Workbook_06_10_2011_Steps of Doneness" xfId="12418" xr:uid="{00000000-0005-0000-0000-000028300000}"/>
    <cellStyle name="_20061117Holux_LoanOriginationPMWorkbook 23Feb2010_slm_llp_0520_FairPoint_CampReport" xfId="12419" xr:uid="{00000000-0005-0000-0000-000029300000}"/>
    <cellStyle name="_20061117Holux_LoanOriginationPMWorkbook 23Feb2010_slm_llp_0520_FairPoint_CampReport 2" xfId="12420" xr:uid="{00000000-0005-0000-0000-00002A300000}"/>
    <cellStyle name="_20061117Holux_LoanOriginationPMWorkbook 23Feb2010_slm_llp_0520_FairPoint_CampReport 2_Steps of Doneness" xfId="12421" xr:uid="{00000000-0005-0000-0000-00002B300000}"/>
    <cellStyle name="_20061117Holux_LoanOriginationPMWorkbook 23Feb2010_slm_llp_0520_FairPoint_CampReport 3" xfId="12422" xr:uid="{00000000-0005-0000-0000-00002C300000}"/>
    <cellStyle name="_20061117Holux_LoanOriginationPMWorkbook 23Feb2010_slm_llp_0520_FairPoint_CampReport_Steps of Doneness" xfId="12423" xr:uid="{00000000-0005-0000-0000-00002D300000}"/>
    <cellStyle name="_20061117Holux_LoanOriginationPMWorkbook 23Feb2010_slm_llp_0520_FairPoint_FP comTechOps_ProgramWorkbook" xfId="12424" xr:uid="{00000000-0005-0000-0000-00002E300000}"/>
    <cellStyle name="_20061117Holux_LoanOriginationPMWorkbook 23Feb2010_slm_llp_0520_FairPoint_FP comTechOps_ProgramWorkbook 2" xfId="12425" xr:uid="{00000000-0005-0000-0000-00002F300000}"/>
    <cellStyle name="_20061117Holux_LoanOriginationPMWorkbook 23Feb2010_slm_llp_0520_FairPoint_FP comTechOps_ProgramWorkbook 2_Steps of Doneness" xfId="12426" xr:uid="{00000000-0005-0000-0000-000030300000}"/>
    <cellStyle name="_20061117Holux_LoanOriginationPMWorkbook 23Feb2010_slm_llp_0520_FairPoint_FP comTechOps_ProgramWorkbook 3" xfId="12427" xr:uid="{00000000-0005-0000-0000-000031300000}"/>
    <cellStyle name="_20061117Holux_LoanOriginationPMWorkbook 23Feb2010_slm_llp_0520_FairPoint_FP comTechOps_ProgramWorkbook_sachin" xfId="12428" xr:uid="{00000000-0005-0000-0000-000032300000}"/>
    <cellStyle name="_20061117Holux_LoanOriginationPMWorkbook 23Feb2010_slm_llp_0520_FairPoint_FP comTechOps_ProgramWorkbook_sachin 2" xfId="12429" xr:uid="{00000000-0005-0000-0000-000033300000}"/>
    <cellStyle name="_20061117Holux_LoanOriginationPMWorkbook 23Feb2010_slm_llp_0520_FairPoint_FP comTechOps_ProgramWorkbook_sachin 2_Steps of Doneness" xfId="12430" xr:uid="{00000000-0005-0000-0000-000034300000}"/>
    <cellStyle name="_20061117Holux_LoanOriginationPMWorkbook 23Feb2010_slm_llp_0520_FairPoint_FP comTechOps_ProgramWorkbook_sachin 3" xfId="12431" xr:uid="{00000000-0005-0000-0000-000035300000}"/>
    <cellStyle name="_20061117Holux_LoanOriginationPMWorkbook 23Feb2010_slm_llp_0520_FairPoint_FP comTechOps_ProgramWorkbook_sachin_Steps of Doneness" xfId="12432" xr:uid="{00000000-0005-0000-0000-000036300000}"/>
    <cellStyle name="_20061117Holux_LoanOriginationPMWorkbook 23Feb2010_slm_llp_0520_FairPoint_FP comTechOps_ProgramWorkbook_sachin_v1" xfId="12433" xr:uid="{00000000-0005-0000-0000-000037300000}"/>
    <cellStyle name="_20061117Holux_LoanOriginationPMWorkbook 23Feb2010_slm_llp_0520_FairPoint_FP comTechOps_ProgramWorkbook_sachin_v1 2" xfId="12434" xr:uid="{00000000-0005-0000-0000-000038300000}"/>
    <cellStyle name="_20061117Holux_LoanOriginationPMWorkbook 23Feb2010_slm_llp_0520_FairPoint_FP comTechOps_ProgramWorkbook_sachin_v1 2_Steps of Doneness" xfId="12435" xr:uid="{00000000-0005-0000-0000-000039300000}"/>
    <cellStyle name="_20061117Holux_LoanOriginationPMWorkbook 23Feb2010_slm_llp_0520_FairPoint_FP comTechOps_ProgramWorkbook_sachin_v1 3" xfId="12436" xr:uid="{00000000-0005-0000-0000-00003A300000}"/>
    <cellStyle name="_20061117Holux_LoanOriginationPMWorkbook 23Feb2010_slm_llp_0520_FairPoint_FP comTechOps_ProgramWorkbook_sachin_v1_Steps of Doneness" xfId="12437" xr:uid="{00000000-0005-0000-0000-00003B300000}"/>
    <cellStyle name="_20061117Holux_LoanOriginationPMWorkbook 23Feb2010_slm_llp_0520_FairPoint_FP comTechOps_ProgramWorkbook_Steps of Doneness" xfId="12438" xr:uid="{00000000-0005-0000-0000-00003C300000}"/>
    <cellStyle name="_20061117Holux_LoanOriginationPMWorkbook 23Feb2010_slm_llp_0520_FP_CAMP&amp;ITReporting_Maintenance_Dashboard" xfId="12439" xr:uid="{00000000-0005-0000-0000-00003D300000}"/>
    <cellStyle name="_20061117Holux_LoanOriginationPMWorkbook 23Feb2010_slm_llp_0520_FP_CAMP&amp;ITReporting_Maintenance_Dashboard 2" xfId="12440" xr:uid="{00000000-0005-0000-0000-00003E300000}"/>
    <cellStyle name="_20061117Holux_LoanOriginationPMWorkbook 23Feb2010_slm_llp_0520_FP_CAMP&amp;ITReporting_Maintenance_Dashboard 2_Steps of Doneness" xfId="12441" xr:uid="{00000000-0005-0000-0000-00003F300000}"/>
    <cellStyle name="_20061117Holux_LoanOriginationPMWorkbook 23Feb2010_slm_llp_0520_FP_CAMP&amp;ITReporting_Maintenance_Dashboard 3" xfId="12442" xr:uid="{00000000-0005-0000-0000-000040300000}"/>
    <cellStyle name="_20061117Holux_LoanOriginationPMWorkbook 23Feb2010_slm_llp_0520_FP_CAMP&amp;ITReporting_Maintenance_Dashboard_Steps of Doneness" xfId="12443" xr:uid="{00000000-0005-0000-0000-000041300000}"/>
    <cellStyle name="_20061117Holux_LoanOriginationPMWorkbook 23Feb2010_slm_llp_0520_FP_CAMPITReporting_Maintenance_Dashboard" xfId="12444" xr:uid="{00000000-0005-0000-0000-000042300000}"/>
    <cellStyle name="_20061117Holux_LoanOriginationPMWorkbook 23Feb2010_slm_llp_0520_FP_CAMPITReporting_Maintenance_Dashboard 2" xfId="12445" xr:uid="{00000000-0005-0000-0000-000043300000}"/>
    <cellStyle name="_20061117Holux_LoanOriginationPMWorkbook 23Feb2010_slm_llp_0520_FP_CAMPITReporting_Maintenance_Dashboard 2_Steps of Doneness" xfId="12446" xr:uid="{00000000-0005-0000-0000-000044300000}"/>
    <cellStyle name="_20061117Holux_LoanOriginationPMWorkbook 23Feb2010_slm_llp_0520_FP_CAMPITReporting_Maintenance_Dashboard 3" xfId="12447" xr:uid="{00000000-0005-0000-0000-000045300000}"/>
    <cellStyle name="_20061117Holux_LoanOriginationPMWorkbook 23Feb2010_slm_llp_0520_FP_CAMPITReporting_Maintenance_Dashboard_Steps of Doneness" xfId="12448" xr:uid="{00000000-0005-0000-0000-000046300000}"/>
    <cellStyle name="_20061117Holux_LoanOriginationPMWorkbook 23Feb2010_slm_llp_0520_FP_Commissions_Req_Dn_ProgramWorkBook_10-Dec-2010" xfId="12449" xr:uid="{00000000-0005-0000-0000-000047300000}"/>
    <cellStyle name="_20061117Holux_LoanOriginationPMWorkbook 23Feb2010_slm_llp_0520_FP_Commissions_Req_Dn_ProgramWorkBook_10-Dec-2010 2" xfId="12450" xr:uid="{00000000-0005-0000-0000-000048300000}"/>
    <cellStyle name="_20061117Holux_LoanOriginationPMWorkbook 23Feb2010_slm_llp_0520_FP_Commissions_Req_Dn_ProgramWorkBook_10-Dec-2010 2_Steps of Doneness" xfId="12451" xr:uid="{00000000-0005-0000-0000-000049300000}"/>
    <cellStyle name="_20061117Holux_LoanOriginationPMWorkbook 23Feb2010_slm_llp_0520_FP_Commissions_Req_Dn_ProgramWorkBook_10-Dec-2010 3" xfId="12452" xr:uid="{00000000-0005-0000-0000-00004A300000}"/>
    <cellStyle name="_20061117Holux_LoanOriginationPMWorkbook 23Feb2010_slm_llp_0520_FP_Commissions_Req_Dn_ProgramWorkBook_10-Dec-2010_Steps of Doneness" xfId="12453" xr:uid="{00000000-0005-0000-0000-00004B300000}"/>
    <cellStyle name="_20061117Holux_LoanOriginationPMWorkbook 23Feb2010_slm_llp_0520_FP_DW_Impl_ProgramWorkBook_07-Jan-2011" xfId="12454" xr:uid="{00000000-0005-0000-0000-00004C300000}"/>
    <cellStyle name="_20061117Holux_LoanOriginationPMWorkbook 23Feb2010_slm_llp_0520_FP_DW_Impl_ProgramWorkBook_07-Jan-2011 2" xfId="12455" xr:uid="{00000000-0005-0000-0000-00004D300000}"/>
    <cellStyle name="_20061117Holux_LoanOriginationPMWorkbook 23Feb2010_slm_llp_0520_FP_DW_Impl_ProgramWorkBook_07-Jan-2011 2 2" xfId="12456" xr:uid="{00000000-0005-0000-0000-00004E300000}"/>
    <cellStyle name="_20061117Holux_LoanOriginationPMWorkbook 23Feb2010_slm_llp_0520_FP_DW_Impl_ProgramWorkBook_07-Jan-2011 2 2_Steps of Doneness" xfId="12457" xr:uid="{00000000-0005-0000-0000-00004F300000}"/>
    <cellStyle name="_20061117Holux_LoanOriginationPMWorkbook 23Feb2010_slm_llp_0520_FP_DW_Impl_ProgramWorkBook_07-Jan-2011 2 3" xfId="12458" xr:uid="{00000000-0005-0000-0000-000050300000}"/>
    <cellStyle name="_20061117Holux_LoanOriginationPMWorkbook 23Feb2010_slm_llp_0520_FP_DW_Impl_ProgramWorkBook_07-Jan-2011 2_Steps of Doneness" xfId="12459" xr:uid="{00000000-0005-0000-0000-000051300000}"/>
    <cellStyle name="_20061117Holux_LoanOriginationPMWorkbook 23Feb2010_slm_llp_0520_FP_DW_Impl_ProgramWorkBook_07-Jan-2011 3" xfId="12460" xr:uid="{00000000-0005-0000-0000-000052300000}"/>
    <cellStyle name="_20061117Holux_LoanOriginationPMWorkbook 23Feb2010_slm_llp_0520_FP_DW_Impl_ProgramWorkBook_07-Jan-2011 3_Steps of Doneness" xfId="12461" xr:uid="{00000000-0005-0000-0000-000053300000}"/>
    <cellStyle name="_20061117Holux_LoanOriginationPMWorkbook 23Feb2010_slm_llp_0520_FP_DW_Impl_ProgramWorkBook_07-Jan-2011 4" xfId="12462" xr:uid="{00000000-0005-0000-0000-000054300000}"/>
    <cellStyle name="_20061117Holux_LoanOriginationPMWorkbook 23Feb2010_slm_llp_0520_FP_DW_Impl_ProgramWorkBook_07-Jan-2011_Steps of Doneness" xfId="12463" xr:uid="{00000000-0005-0000-0000-000055300000}"/>
    <cellStyle name="_20061117Holux_LoanOriginationPMWorkbook 23Feb2010_slm_llp_0520_FP_DW_Impl_ProgramWorkBook_11-Feb-2011" xfId="12464" xr:uid="{00000000-0005-0000-0000-000056300000}"/>
    <cellStyle name="_20061117Holux_LoanOriginationPMWorkbook 23Feb2010_slm_llp_0520_FP_DW_Impl_ProgramWorkBook_11-Feb-2011 2" xfId="12465" xr:uid="{00000000-0005-0000-0000-000057300000}"/>
    <cellStyle name="_20061117Holux_LoanOriginationPMWorkbook 23Feb2010_slm_llp_0520_FP_DW_Impl_ProgramWorkBook_11-Feb-2011 2_Steps of Doneness" xfId="12466" xr:uid="{00000000-0005-0000-0000-000058300000}"/>
    <cellStyle name="_20061117Holux_LoanOriginationPMWorkbook 23Feb2010_slm_llp_0520_FP_DW_Impl_ProgramWorkBook_11-Feb-2011 3" xfId="12467" xr:uid="{00000000-0005-0000-0000-000059300000}"/>
    <cellStyle name="_20061117Holux_LoanOriginationPMWorkbook 23Feb2010_slm_llp_0520_FP_DW_Impl_ProgramWorkBook_11-Feb-2011_Steps of Doneness" xfId="12468" xr:uid="{00000000-0005-0000-0000-00005A300000}"/>
    <cellStyle name="_20061117Holux_LoanOriginationPMWorkbook 23Feb2010_slm_llp_0520_FP_DW_Impl_ProgramWorkBook_18-Feb-2011 - Working" xfId="12469" xr:uid="{00000000-0005-0000-0000-00005B300000}"/>
    <cellStyle name="_20061117Holux_LoanOriginationPMWorkbook 23Feb2010_slm_llp_0520_FP_DW_Impl_ProgramWorkBook_18-Feb-2011 - Working 2" xfId="12470" xr:uid="{00000000-0005-0000-0000-00005C300000}"/>
    <cellStyle name="_20061117Holux_LoanOriginationPMWorkbook 23Feb2010_slm_llp_0520_FP_DW_Impl_ProgramWorkBook_18-Feb-2011 - Working 2_Steps of Doneness" xfId="12471" xr:uid="{00000000-0005-0000-0000-00005D300000}"/>
    <cellStyle name="_20061117Holux_LoanOriginationPMWorkbook 23Feb2010_slm_llp_0520_FP_DW_Impl_ProgramWorkBook_18-Feb-2011 - Working 3" xfId="12472" xr:uid="{00000000-0005-0000-0000-00005E300000}"/>
    <cellStyle name="_20061117Holux_LoanOriginationPMWorkbook 23Feb2010_slm_llp_0520_FP_DW_Impl_ProgramWorkBook_18-Feb-2011 - Working_Steps of Doneness" xfId="12473" xr:uid="{00000000-0005-0000-0000-00005F300000}"/>
    <cellStyle name="_20061117Holux_LoanOriginationPMWorkbook 23Feb2010_slm_llp_0520_FP_EnterprisePortal_ProgramWorkbook" xfId="12474" xr:uid="{00000000-0005-0000-0000-000060300000}"/>
    <cellStyle name="_20061117Holux_LoanOriginationPMWorkbook 23Feb2010_slm_llp_0520_FP_EnterprisePortal_ProgramWorkbook 2" xfId="12475" xr:uid="{00000000-0005-0000-0000-000061300000}"/>
    <cellStyle name="_20061117Holux_LoanOriginationPMWorkbook 23Feb2010_slm_llp_0520_FP_EnterprisePortal_ProgramWorkbook 2_Steps of Doneness" xfId="12476" xr:uid="{00000000-0005-0000-0000-000062300000}"/>
    <cellStyle name="_20061117Holux_LoanOriginationPMWorkbook 23Feb2010_slm_llp_0520_FP_EnterprisePortal_ProgramWorkbook 3" xfId="12477" xr:uid="{00000000-0005-0000-0000-000063300000}"/>
    <cellStyle name="_20061117Holux_LoanOriginationPMWorkbook 23Feb2010_slm_llp_0520_FP_EnterprisePortal_ProgramWorkbook_Steps of Doneness" xfId="12478" xr:uid="{00000000-0005-0000-0000-000064300000}"/>
    <cellStyle name="_20061117Holux_LoanOriginationPMWorkbook 23Feb2010_slm_llp_0520_FP_SAP_MLP v2" xfId="12479" xr:uid="{00000000-0005-0000-0000-000065300000}"/>
    <cellStyle name="_20061117Holux_LoanOriginationPMWorkbook 23Feb2010_slm_llp_0520_FP_SAP_MLP v2 2" xfId="12480" xr:uid="{00000000-0005-0000-0000-000066300000}"/>
    <cellStyle name="_20061117Holux_LoanOriginationPMWorkbook 23Feb2010_slm_llp_0520_FP_SAP_MLP v2 2_Steps of Doneness" xfId="12481" xr:uid="{00000000-0005-0000-0000-000067300000}"/>
    <cellStyle name="_20061117Holux_LoanOriginationPMWorkbook 23Feb2010_slm_llp_0520_FP_SAP_MLP v2 3" xfId="12482" xr:uid="{00000000-0005-0000-0000-000068300000}"/>
    <cellStyle name="_20061117Holux_LoanOriginationPMWorkbook 23Feb2010_slm_llp_0520_FP_SAP_MLP v2_Steps of Doneness" xfId="12483" xr:uid="{00000000-0005-0000-0000-000069300000}"/>
    <cellStyle name="_20061117Holux_LoanOriginationPMWorkbook 23Feb2010_slm_llp_0520_KeyDecisions" xfId="12484" xr:uid="{00000000-0005-0000-0000-00006A300000}"/>
    <cellStyle name="_20061117Holux_LoanOriginationPMWorkbook 23Feb2010_slm_llp_0520_KeyDecisions 2" xfId="12485" xr:uid="{00000000-0005-0000-0000-00006B300000}"/>
    <cellStyle name="_20061117Holux_LoanOriginationPMWorkbook 23Feb2010_slm_llp_0520_KeyDecisions 2_Steps of Doneness" xfId="12486" xr:uid="{00000000-0005-0000-0000-00006C300000}"/>
    <cellStyle name="_20061117Holux_LoanOriginationPMWorkbook 23Feb2010_slm_llp_0520_KeyDecisions 3" xfId="12487" xr:uid="{00000000-0005-0000-0000-00006D300000}"/>
    <cellStyle name="_20061117Holux_LoanOriginationPMWorkbook 23Feb2010_slm_llp_0520_KeyDecisions_Steps of Doneness" xfId="12488" xr:uid="{00000000-0005-0000-0000-00006E300000}"/>
    <cellStyle name="_20061117Holux_LoanOriginationPMWorkbook 23Feb2010_slm_llp_0520_Sophia_Imp_ProjectWorkBook_02_18_2011" xfId="12489" xr:uid="{00000000-0005-0000-0000-00006F300000}"/>
    <cellStyle name="_20061117Holux_LoanOriginationPMWorkbook 23Feb2010_slm_llp_0520_Sophia_Imp_ProjectWorkBook_02_18_2011 2" xfId="12490" xr:uid="{00000000-0005-0000-0000-000070300000}"/>
    <cellStyle name="_20061117Holux_LoanOriginationPMWorkbook 23Feb2010_slm_llp_0520_Sophia_Imp_ProjectWorkBook_02_18_2011 2_Steps of Doneness" xfId="12491" xr:uid="{00000000-0005-0000-0000-000071300000}"/>
    <cellStyle name="_20061117Holux_LoanOriginationPMWorkbook 23Feb2010_slm_llp_0520_Sophia_Imp_ProjectWorkBook_02_18_2011 3" xfId="12492" xr:uid="{00000000-0005-0000-0000-000072300000}"/>
    <cellStyle name="_20061117Holux_LoanOriginationPMWorkbook 23Feb2010_slm_llp_0520_Sophia_Imp_ProjectWorkBook_02_18_2011_Steps of Doneness" xfId="12493" xr:uid="{00000000-0005-0000-0000-000073300000}"/>
    <cellStyle name="_20061117Holux_LoanOriginationPMWorkbook 23Feb2010_slm_llp_0520_Steps of Doneness" xfId="12494" xr:uid="{00000000-0005-0000-0000-000074300000}"/>
    <cellStyle name="_20061117Holux_LoanOriginationPMWorkbook 23Feb2010_slm_llp_0520_t" xfId="12495" xr:uid="{00000000-0005-0000-0000-000075300000}"/>
    <cellStyle name="_20061117Holux_LoanOriginationPMWorkbook 23Feb2010_slm_llp_0520_t 2" xfId="12496" xr:uid="{00000000-0005-0000-0000-000076300000}"/>
    <cellStyle name="_20061117Holux_LoanOriginationPMWorkbook 23Feb2010_slm_llp_0520_t 2_Steps of Doneness" xfId="12497" xr:uid="{00000000-0005-0000-0000-000077300000}"/>
    <cellStyle name="_20061117Holux_LoanOriginationPMWorkbook 23Feb2010_slm_llp_0520_t 3" xfId="12498" xr:uid="{00000000-0005-0000-0000-000078300000}"/>
    <cellStyle name="_20061117Holux_LoanOriginationPMWorkbook 23Feb2010_slm_llp_0520_t_Steps of Doneness" xfId="12499" xr:uid="{00000000-0005-0000-0000-000079300000}"/>
    <cellStyle name="_20061117Holux_LoanOriginationPMWorkbook 23Feb2010_Steps of Doneness" xfId="12500" xr:uid="{00000000-0005-0000-0000-00007A300000}"/>
    <cellStyle name="_20061117Holux_ProgramWorkBook" xfId="12501" xr:uid="{00000000-0005-0000-0000-00007B300000}"/>
    <cellStyle name="_20061117Holux_ProgramWorkBook 2" xfId="12502" xr:uid="{00000000-0005-0000-0000-00007C300000}"/>
    <cellStyle name="_20061117Holux_ProgramWorkBook 2 2" xfId="12503" xr:uid="{00000000-0005-0000-0000-00007D300000}"/>
    <cellStyle name="_20061117Holux_ProgramWorkBook 2 2_Steps of Doneness" xfId="12504" xr:uid="{00000000-0005-0000-0000-00007E300000}"/>
    <cellStyle name="_20061117Holux_ProgramWorkBook 2 3" xfId="12505" xr:uid="{00000000-0005-0000-0000-00007F300000}"/>
    <cellStyle name="_20061117Holux_ProgramWorkBook 2_Steps of Doneness" xfId="12506" xr:uid="{00000000-0005-0000-0000-000080300000}"/>
    <cellStyle name="_20061117Holux_ProgramWorkBook 3" xfId="12507" xr:uid="{00000000-0005-0000-0000-000081300000}"/>
    <cellStyle name="_20061117Holux_ProgramWorkBook 3 2" xfId="12508" xr:uid="{00000000-0005-0000-0000-000082300000}"/>
    <cellStyle name="_20061117Holux_ProgramWorkBook 3 2_Steps of Doneness" xfId="12509" xr:uid="{00000000-0005-0000-0000-000083300000}"/>
    <cellStyle name="_20061117Holux_ProgramWorkBook 3 3" xfId="12510" xr:uid="{00000000-0005-0000-0000-000084300000}"/>
    <cellStyle name="_20061117Holux_ProgramWorkBook 3_Steps of Doneness" xfId="12511" xr:uid="{00000000-0005-0000-0000-000085300000}"/>
    <cellStyle name="_20061117Holux_ProgramWorkBook 4" xfId="12512" xr:uid="{00000000-0005-0000-0000-000086300000}"/>
    <cellStyle name="_20061117Holux_ProgramWorkBook 4_Steps of Doneness" xfId="12513" xr:uid="{00000000-0005-0000-0000-000087300000}"/>
    <cellStyle name="_20061117Holux_ProgramWorkBook 5" xfId="12514" xr:uid="{00000000-0005-0000-0000-000088300000}"/>
    <cellStyle name="_20061117Holux_ProgramWorkBook_CMS_SOW_Deliverables_0430" xfId="12515" xr:uid="{00000000-0005-0000-0000-000089300000}"/>
    <cellStyle name="_20061117Holux_ProgramWorkBook_CMS_SOW_Deliverables_0430 2" xfId="12516" xr:uid="{00000000-0005-0000-0000-00008A300000}"/>
    <cellStyle name="_20061117Holux_ProgramWorkBook_CMS_SOW_Deliverables_0430 2 2" xfId="12517" xr:uid="{00000000-0005-0000-0000-00008B300000}"/>
    <cellStyle name="_20061117Holux_ProgramWorkBook_CMS_SOW_Deliverables_0430 2 2_Steps of Doneness" xfId="12518" xr:uid="{00000000-0005-0000-0000-00008C300000}"/>
    <cellStyle name="_20061117Holux_ProgramWorkBook_CMS_SOW_Deliverables_0430 2 3" xfId="12519" xr:uid="{00000000-0005-0000-0000-00008D300000}"/>
    <cellStyle name="_20061117Holux_ProgramWorkBook_CMS_SOW_Deliverables_0430 2_Steps of Doneness" xfId="12520" xr:uid="{00000000-0005-0000-0000-00008E300000}"/>
    <cellStyle name="_20061117Holux_ProgramWorkBook_CMS_SOW_Deliverables_0430 3" xfId="12521" xr:uid="{00000000-0005-0000-0000-00008F300000}"/>
    <cellStyle name="_20061117Holux_ProgramWorkBook_CMS_SOW_Deliverables_0430 3 2" xfId="12522" xr:uid="{00000000-0005-0000-0000-000090300000}"/>
    <cellStyle name="_20061117Holux_ProgramWorkBook_CMS_SOW_Deliverables_0430 3 2_Steps of Doneness" xfId="12523" xr:uid="{00000000-0005-0000-0000-000091300000}"/>
    <cellStyle name="_20061117Holux_ProgramWorkBook_CMS_SOW_Deliverables_0430 3 3" xfId="12524" xr:uid="{00000000-0005-0000-0000-000092300000}"/>
    <cellStyle name="_20061117Holux_ProgramWorkBook_CMS_SOW_Deliverables_0430 3_Steps of Doneness" xfId="12525" xr:uid="{00000000-0005-0000-0000-000093300000}"/>
    <cellStyle name="_20061117Holux_ProgramWorkBook_CMS_SOW_Deliverables_0430 4" xfId="12526" xr:uid="{00000000-0005-0000-0000-000094300000}"/>
    <cellStyle name="_20061117Holux_ProgramWorkBook_CMS_SOW_Deliverables_0430 4_Steps of Doneness" xfId="12527" xr:uid="{00000000-0005-0000-0000-000095300000}"/>
    <cellStyle name="_20061117Holux_ProgramWorkBook_CMS_SOW_Deliverables_0430 5" xfId="12528" xr:uid="{00000000-0005-0000-0000-000096300000}"/>
    <cellStyle name="_20061117Holux_ProgramWorkBook_CMS_SOW_Deliverables_0430 6" xfId="12529" xr:uid="{00000000-0005-0000-0000-000097300000}"/>
    <cellStyle name="_20061117Holux_ProgramWorkBook_CMS_SOW_Deliverables_0430_Commissioning System Implementation_Project Workbook_06_10_2011" xfId="12530" xr:uid="{00000000-0005-0000-0000-000098300000}"/>
    <cellStyle name="_20061117Holux_ProgramWorkBook_CMS_SOW_Deliverables_0430_Commissioning System Implementation_Project Workbook_06_10_2011 2" xfId="12531" xr:uid="{00000000-0005-0000-0000-000099300000}"/>
    <cellStyle name="_20061117Holux_ProgramWorkBook_CMS_SOW_Deliverables_0430_Commissioning System Implementation_Project Workbook_06_10_2011 2_Steps of Doneness" xfId="12532" xr:uid="{00000000-0005-0000-0000-00009A300000}"/>
    <cellStyle name="_20061117Holux_ProgramWorkBook_CMS_SOW_Deliverables_0430_Commissioning System Implementation_Project Workbook_06_10_2011 3" xfId="12533" xr:uid="{00000000-0005-0000-0000-00009B300000}"/>
    <cellStyle name="_20061117Holux_ProgramWorkBook_CMS_SOW_Deliverables_0430_Commissioning System Implementation_Project Workbook_06_10_2011_Steps of Doneness" xfId="12534" xr:uid="{00000000-0005-0000-0000-00009C300000}"/>
    <cellStyle name="_20061117Holux_ProgramWorkBook_CMS_SOW_Deliverables_0430_FairPoint_CampReport" xfId="12535" xr:uid="{00000000-0005-0000-0000-00009D300000}"/>
    <cellStyle name="_20061117Holux_ProgramWorkBook_CMS_SOW_Deliverables_0430_FairPoint_CampReport 2" xfId="12536" xr:uid="{00000000-0005-0000-0000-00009E300000}"/>
    <cellStyle name="_20061117Holux_ProgramWorkBook_CMS_SOW_Deliverables_0430_FairPoint_CampReport 2_Steps of Doneness" xfId="12537" xr:uid="{00000000-0005-0000-0000-00009F300000}"/>
    <cellStyle name="_20061117Holux_ProgramWorkBook_CMS_SOW_Deliverables_0430_FairPoint_CampReport 3" xfId="12538" xr:uid="{00000000-0005-0000-0000-0000A0300000}"/>
    <cellStyle name="_20061117Holux_ProgramWorkBook_CMS_SOW_Deliverables_0430_FairPoint_CampReport_Steps of Doneness" xfId="12539" xr:uid="{00000000-0005-0000-0000-0000A1300000}"/>
    <cellStyle name="_20061117Holux_ProgramWorkBook_CMS_SOW_Deliverables_0430_FairPoint_FP comTechOps_ProgramWorkbook" xfId="12540" xr:uid="{00000000-0005-0000-0000-0000A2300000}"/>
    <cellStyle name="_20061117Holux_ProgramWorkBook_CMS_SOW_Deliverables_0430_FairPoint_FP comTechOps_ProgramWorkbook 2" xfId="12541" xr:uid="{00000000-0005-0000-0000-0000A3300000}"/>
    <cellStyle name="_20061117Holux_ProgramWorkBook_CMS_SOW_Deliverables_0430_FairPoint_FP comTechOps_ProgramWorkbook 2_Steps of Doneness" xfId="12542" xr:uid="{00000000-0005-0000-0000-0000A4300000}"/>
    <cellStyle name="_20061117Holux_ProgramWorkBook_CMS_SOW_Deliverables_0430_FairPoint_FP comTechOps_ProgramWorkbook 3" xfId="12543" xr:uid="{00000000-0005-0000-0000-0000A5300000}"/>
    <cellStyle name="_20061117Holux_ProgramWorkBook_CMS_SOW_Deliverables_0430_FairPoint_FP comTechOps_ProgramWorkbook_sachin" xfId="12544" xr:uid="{00000000-0005-0000-0000-0000A6300000}"/>
    <cellStyle name="_20061117Holux_ProgramWorkBook_CMS_SOW_Deliverables_0430_FairPoint_FP comTechOps_ProgramWorkbook_sachin 2" xfId="12545" xr:uid="{00000000-0005-0000-0000-0000A7300000}"/>
    <cellStyle name="_20061117Holux_ProgramWorkBook_CMS_SOW_Deliverables_0430_FairPoint_FP comTechOps_ProgramWorkbook_sachin 2_Steps of Doneness" xfId="12546" xr:uid="{00000000-0005-0000-0000-0000A8300000}"/>
    <cellStyle name="_20061117Holux_ProgramWorkBook_CMS_SOW_Deliverables_0430_FairPoint_FP comTechOps_ProgramWorkbook_sachin 3" xfId="12547" xr:uid="{00000000-0005-0000-0000-0000A9300000}"/>
    <cellStyle name="_20061117Holux_ProgramWorkBook_CMS_SOW_Deliverables_0430_FairPoint_FP comTechOps_ProgramWorkbook_sachin_Steps of Doneness" xfId="12548" xr:uid="{00000000-0005-0000-0000-0000AA300000}"/>
    <cellStyle name="_20061117Holux_ProgramWorkBook_CMS_SOW_Deliverables_0430_FairPoint_FP comTechOps_ProgramWorkbook_sachin_v1" xfId="12549" xr:uid="{00000000-0005-0000-0000-0000AB300000}"/>
    <cellStyle name="_20061117Holux_ProgramWorkBook_CMS_SOW_Deliverables_0430_FairPoint_FP comTechOps_ProgramWorkbook_sachin_v1 2" xfId="12550" xr:uid="{00000000-0005-0000-0000-0000AC300000}"/>
    <cellStyle name="_20061117Holux_ProgramWorkBook_CMS_SOW_Deliverables_0430_FairPoint_FP comTechOps_ProgramWorkbook_sachin_v1 2_Steps of Doneness" xfId="12551" xr:uid="{00000000-0005-0000-0000-0000AD300000}"/>
    <cellStyle name="_20061117Holux_ProgramWorkBook_CMS_SOW_Deliverables_0430_FairPoint_FP comTechOps_ProgramWorkbook_sachin_v1 3" xfId="12552" xr:uid="{00000000-0005-0000-0000-0000AE300000}"/>
    <cellStyle name="_20061117Holux_ProgramWorkBook_CMS_SOW_Deliverables_0430_FairPoint_FP comTechOps_ProgramWorkbook_sachin_v1_Steps of Doneness" xfId="12553" xr:uid="{00000000-0005-0000-0000-0000AF300000}"/>
    <cellStyle name="_20061117Holux_ProgramWorkBook_CMS_SOW_Deliverables_0430_FairPoint_FP comTechOps_ProgramWorkbook_Steps of Doneness" xfId="12554" xr:uid="{00000000-0005-0000-0000-0000B0300000}"/>
    <cellStyle name="_20061117Holux_ProgramWorkBook_CMS_SOW_Deliverables_0430_FP_CAMP&amp;ITReporting_Maintenance_Dashboard" xfId="12555" xr:uid="{00000000-0005-0000-0000-0000B1300000}"/>
    <cellStyle name="_20061117Holux_ProgramWorkBook_CMS_SOW_Deliverables_0430_FP_CAMP&amp;ITReporting_Maintenance_Dashboard 2" xfId="12556" xr:uid="{00000000-0005-0000-0000-0000B2300000}"/>
    <cellStyle name="_20061117Holux_ProgramWorkBook_CMS_SOW_Deliverables_0430_FP_CAMP&amp;ITReporting_Maintenance_Dashboard 2_Steps of Doneness" xfId="12557" xr:uid="{00000000-0005-0000-0000-0000B3300000}"/>
    <cellStyle name="_20061117Holux_ProgramWorkBook_CMS_SOW_Deliverables_0430_FP_CAMP&amp;ITReporting_Maintenance_Dashboard 3" xfId="12558" xr:uid="{00000000-0005-0000-0000-0000B4300000}"/>
    <cellStyle name="_20061117Holux_ProgramWorkBook_CMS_SOW_Deliverables_0430_FP_CAMP&amp;ITReporting_Maintenance_Dashboard_Steps of Doneness" xfId="12559" xr:uid="{00000000-0005-0000-0000-0000B5300000}"/>
    <cellStyle name="_20061117Holux_ProgramWorkBook_CMS_SOW_Deliverables_0430_FP_CAMPITReporting_Maintenance_Dashboard" xfId="12560" xr:uid="{00000000-0005-0000-0000-0000B6300000}"/>
    <cellStyle name="_20061117Holux_ProgramWorkBook_CMS_SOW_Deliverables_0430_FP_CAMPITReporting_Maintenance_Dashboard 2" xfId="12561" xr:uid="{00000000-0005-0000-0000-0000B7300000}"/>
    <cellStyle name="_20061117Holux_ProgramWorkBook_CMS_SOW_Deliverables_0430_FP_CAMPITReporting_Maintenance_Dashboard 2_Steps of Doneness" xfId="12562" xr:uid="{00000000-0005-0000-0000-0000B8300000}"/>
    <cellStyle name="_20061117Holux_ProgramWorkBook_CMS_SOW_Deliverables_0430_FP_CAMPITReporting_Maintenance_Dashboard 3" xfId="12563" xr:uid="{00000000-0005-0000-0000-0000B9300000}"/>
    <cellStyle name="_20061117Holux_ProgramWorkBook_CMS_SOW_Deliverables_0430_FP_CAMPITReporting_Maintenance_Dashboard_Steps of Doneness" xfId="12564" xr:uid="{00000000-0005-0000-0000-0000BA300000}"/>
    <cellStyle name="_20061117Holux_ProgramWorkBook_CMS_SOW_Deliverables_0430_FP_Commissions_Req_Dn_ProgramWorkBook_10-Dec-2010" xfId="12565" xr:uid="{00000000-0005-0000-0000-0000BB300000}"/>
    <cellStyle name="_20061117Holux_ProgramWorkBook_CMS_SOW_Deliverables_0430_FP_Commissions_Req_Dn_ProgramWorkBook_10-Dec-2010 2" xfId="12566" xr:uid="{00000000-0005-0000-0000-0000BC300000}"/>
    <cellStyle name="_20061117Holux_ProgramWorkBook_CMS_SOW_Deliverables_0430_FP_Commissions_Req_Dn_ProgramWorkBook_10-Dec-2010 2_Steps of Doneness" xfId="12567" xr:uid="{00000000-0005-0000-0000-0000BD300000}"/>
    <cellStyle name="_20061117Holux_ProgramWorkBook_CMS_SOW_Deliverables_0430_FP_Commissions_Req_Dn_ProgramWorkBook_10-Dec-2010 3" xfId="12568" xr:uid="{00000000-0005-0000-0000-0000BE300000}"/>
    <cellStyle name="_20061117Holux_ProgramWorkBook_CMS_SOW_Deliverables_0430_FP_Commissions_Req_Dn_ProgramWorkBook_10-Dec-2010_Steps of Doneness" xfId="12569" xr:uid="{00000000-0005-0000-0000-0000BF300000}"/>
    <cellStyle name="_20061117Holux_ProgramWorkBook_CMS_SOW_Deliverables_0430_FP_DW_Impl_ProgramWorkBook_07-Jan-2011" xfId="12570" xr:uid="{00000000-0005-0000-0000-0000C0300000}"/>
    <cellStyle name="_20061117Holux_ProgramWorkBook_CMS_SOW_Deliverables_0430_FP_DW_Impl_ProgramWorkBook_07-Jan-2011 2" xfId="12571" xr:uid="{00000000-0005-0000-0000-0000C1300000}"/>
    <cellStyle name="_20061117Holux_ProgramWorkBook_CMS_SOW_Deliverables_0430_FP_DW_Impl_ProgramWorkBook_07-Jan-2011 2 2" xfId="12572" xr:uid="{00000000-0005-0000-0000-0000C2300000}"/>
    <cellStyle name="_20061117Holux_ProgramWorkBook_CMS_SOW_Deliverables_0430_FP_DW_Impl_ProgramWorkBook_07-Jan-2011 2 2_Steps of Doneness" xfId="12573" xr:uid="{00000000-0005-0000-0000-0000C3300000}"/>
    <cellStyle name="_20061117Holux_ProgramWorkBook_CMS_SOW_Deliverables_0430_FP_DW_Impl_ProgramWorkBook_07-Jan-2011 2 3" xfId="12574" xr:uid="{00000000-0005-0000-0000-0000C4300000}"/>
    <cellStyle name="_20061117Holux_ProgramWorkBook_CMS_SOW_Deliverables_0430_FP_DW_Impl_ProgramWorkBook_07-Jan-2011 2_Steps of Doneness" xfId="12575" xr:uid="{00000000-0005-0000-0000-0000C5300000}"/>
    <cellStyle name="_20061117Holux_ProgramWorkBook_CMS_SOW_Deliverables_0430_FP_DW_Impl_ProgramWorkBook_07-Jan-2011 3" xfId="12576" xr:uid="{00000000-0005-0000-0000-0000C6300000}"/>
    <cellStyle name="_20061117Holux_ProgramWorkBook_CMS_SOW_Deliverables_0430_FP_DW_Impl_ProgramWorkBook_07-Jan-2011 3_Steps of Doneness" xfId="12577" xr:uid="{00000000-0005-0000-0000-0000C7300000}"/>
    <cellStyle name="_20061117Holux_ProgramWorkBook_CMS_SOW_Deliverables_0430_FP_DW_Impl_ProgramWorkBook_07-Jan-2011 4" xfId="12578" xr:uid="{00000000-0005-0000-0000-0000C8300000}"/>
    <cellStyle name="_20061117Holux_ProgramWorkBook_CMS_SOW_Deliverables_0430_FP_DW_Impl_ProgramWorkBook_07-Jan-2011_Steps of Doneness" xfId="12579" xr:uid="{00000000-0005-0000-0000-0000C9300000}"/>
    <cellStyle name="_20061117Holux_ProgramWorkBook_CMS_SOW_Deliverables_0430_FP_DW_Impl_ProgramWorkBook_11-Feb-2011" xfId="12580" xr:uid="{00000000-0005-0000-0000-0000CA300000}"/>
    <cellStyle name="_20061117Holux_ProgramWorkBook_CMS_SOW_Deliverables_0430_FP_DW_Impl_ProgramWorkBook_11-Feb-2011 2" xfId="12581" xr:uid="{00000000-0005-0000-0000-0000CB300000}"/>
    <cellStyle name="_20061117Holux_ProgramWorkBook_CMS_SOW_Deliverables_0430_FP_DW_Impl_ProgramWorkBook_11-Feb-2011 2_Steps of Doneness" xfId="12582" xr:uid="{00000000-0005-0000-0000-0000CC300000}"/>
    <cellStyle name="_20061117Holux_ProgramWorkBook_CMS_SOW_Deliverables_0430_FP_DW_Impl_ProgramWorkBook_11-Feb-2011 3" xfId="12583" xr:uid="{00000000-0005-0000-0000-0000CD300000}"/>
    <cellStyle name="_20061117Holux_ProgramWorkBook_CMS_SOW_Deliverables_0430_FP_DW_Impl_ProgramWorkBook_11-Feb-2011_Steps of Doneness" xfId="12584" xr:uid="{00000000-0005-0000-0000-0000CE300000}"/>
    <cellStyle name="_20061117Holux_ProgramWorkBook_CMS_SOW_Deliverables_0430_FP_DW_Impl_ProgramWorkBook_18-Feb-2011 - Working" xfId="12585" xr:uid="{00000000-0005-0000-0000-0000CF300000}"/>
    <cellStyle name="_20061117Holux_ProgramWorkBook_CMS_SOW_Deliverables_0430_FP_DW_Impl_ProgramWorkBook_18-Feb-2011 - Working 2" xfId="12586" xr:uid="{00000000-0005-0000-0000-0000D0300000}"/>
    <cellStyle name="_20061117Holux_ProgramWorkBook_CMS_SOW_Deliverables_0430_FP_DW_Impl_ProgramWorkBook_18-Feb-2011 - Working 2_Steps of Doneness" xfId="12587" xr:uid="{00000000-0005-0000-0000-0000D1300000}"/>
    <cellStyle name="_20061117Holux_ProgramWorkBook_CMS_SOW_Deliverables_0430_FP_DW_Impl_ProgramWorkBook_18-Feb-2011 - Working 3" xfId="12588" xr:uid="{00000000-0005-0000-0000-0000D2300000}"/>
    <cellStyle name="_20061117Holux_ProgramWorkBook_CMS_SOW_Deliverables_0430_FP_DW_Impl_ProgramWorkBook_18-Feb-2011 - Working_Steps of Doneness" xfId="12589" xr:uid="{00000000-0005-0000-0000-0000D3300000}"/>
    <cellStyle name="_20061117Holux_ProgramWorkBook_CMS_SOW_Deliverables_0430_FP_EnterprisePortal_ProgramWorkbook" xfId="12590" xr:uid="{00000000-0005-0000-0000-0000D4300000}"/>
    <cellStyle name="_20061117Holux_ProgramWorkBook_CMS_SOW_Deliverables_0430_FP_EnterprisePortal_ProgramWorkbook 2" xfId="12591" xr:uid="{00000000-0005-0000-0000-0000D5300000}"/>
    <cellStyle name="_20061117Holux_ProgramWorkBook_CMS_SOW_Deliverables_0430_FP_EnterprisePortal_ProgramWorkbook 2_Steps of Doneness" xfId="12592" xr:uid="{00000000-0005-0000-0000-0000D6300000}"/>
    <cellStyle name="_20061117Holux_ProgramWorkBook_CMS_SOW_Deliverables_0430_FP_EnterprisePortal_ProgramWorkbook 3" xfId="12593" xr:uid="{00000000-0005-0000-0000-0000D7300000}"/>
    <cellStyle name="_20061117Holux_ProgramWorkBook_CMS_SOW_Deliverables_0430_FP_EnterprisePortal_ProgramWorkbook_Steps of Doneness" xfId="12594" xr:uid="{00000000-0005-0000-0000-0000D8300000}"/>
    <cellStyle name="_20061117Holux_ProgramWorkBook_CMS_SOW_Deliverables_0430_FP_SAP_MLP v2" xfId="12595" xr:uid="{00000000-0005-0000-0000-0000D9300000}"/>
    <cellStyle name="_20061117Holux_ProgramWorkBook_CMS_SOW_Deliverables_0430_FP_SAP_MLP v2 2" xfId="12596" xr:uid="{00000000-0005-0000-0000-0000DA300000}"/>
    <cellStyle name="_20061117Holux_ProgramWorkBook_CMS_SOW_Deliverables_0430_FP_SAP_MLP v2 2_Steps of Doneness" xfId="12597" xr:uid="{00000000-0005-0000-0000-0000DB300000}"/>
    <cellStyle name="_20061117Holux_ProgramWorkBook_CMS_SOW_Deliverables_0430_FP_SAP_MLP v2 3" xfId="12598" xr:uid="{00000000-0005-0000-0000-0000DC300000}"/>
    <cellStyle name="_20061117Holux_ProgramWorkBook_CMS_SOW_Deliverables_0430_FP_SAP_MLP v2_Steps of Doneness" xfId="12599" xr:uid="{00000000-0005-0000-0000-0000DD300000}"/>
    <cellStyle name="_20061117Holux_ProgramWorkBook_CMS_SOW_Deliverables_0430_KeyDecisions" xfId="12600" xr:uid="{00000000-0005-0000-0000-0000DE300000}"/>
    <cellStyle name="_20061117Holux_ProgramWorkBook_CMS_SOW_Deliverables_0430_KeyDecisions 2" xfId="12601" xr:uid="{00000000-0005-0000-0000-0000DF300000}"/>
    <cellStyle name="_20061117Holux_ProgramWorkBook_CMS_SOW_Deliverables_0430_KeyDecisions 2_Steps of Doneness" xfId="12602" xr:uid="{00000000-0005-0000-0000-0000E0300000}"/>
    <cellStyle name="_20061117Holux_ProgramWorkBook_CMS_SOW_Deliverables_0430_KeyDecisions 3" xfId="12603" xr:uid="{00000000-0005-0000-0000-0000E1300000}"/>
    <cellStyle name="_20061117Holux_ProgramWorkBook_CMS_SOW_Deliverables_0430_KeyDecisions_Steps of Doneness" xfId="12604" xr:uid="{00000000-0005-0000-0000-0000E2300000}"/>
    <cellStyle name="_20061117Holux_ProgramWorkBook_CMS_SOW_Deliverables_0430_Sophia_Imp_ProjectWorkBook_02_18_2011" xfId="12605" xr:uid="{00000000-0005-0000-0000-0000E3300000}"/>
    <cellStyle name="_20061117Holux_ProgramWorkBook_CMS_SOW_Deliverables_0430_Sophia_Imp_ProjectWorkBook_02_18_2011 2" xfId="12606" xr:uid="{00000000-0005-0000-0000-0000E4300000}"/>
    <cellStyle name="_20061117Holux_ProgramWorkBook_CMS_SOW_Deliverables_0430_Sophia_Imp_ProjectWorkBook_02_18_2011 2_Steps of Doneness" xfId="12607" xr:uid="{00000000-0005-0000-0000-0000E5300000}"/>
    <cellStyle name="_20061117Holux_ProgramWorkBook_CMS_SOW_Deliverables_0430_Sophia_Imp_ProjectWorkBook_02_18_2011 3" xfId="12608" xr:uid="{00000000-0005-0000-0000-0000E6300000}"/>
    <cellStyle name="_20061117Holux_ProgramWorkBook_CMS_SOW_Deliverables_0430_Sophia_Imp_ProjectWorkBook_02_18_2011_Steps of Doneness" xfId="12609" xr:uid="{00000000-0005-0000-0000-0000E7300000}"/>
    <cellStyle name="_20061117Holux_ProgramWorkBook_CMS_SOW_Deliverables_0430_Steps of Doneness" xfId="12610" xr:uid="{00000000-0005-0000-0000-0000E8300000}"/>
    <cellStyle name="_20061117Holux_ProgramWorkBook_CMS_SOW_Deliverables_0430_t" xfId="12611" xr:uid="{00000000-0005-0000-0000-0000E9300000}"/>
    <cellStyle name="_20061117Holux_ProgramWorkBook_CMS_SOW_Deliverables_0430_t 2" xfId="12612" xr:uid="{00000000-0005-0000-0000-0000EA300000}"/>
    <cellStyle name="_20061117Holux_ProgramWorkBook_CMS_SOW_Deliverables_0430_t 2_Steps of Doneness" xfId="12613" xr:uid="{00000000-0005-0000-0000-0000EB300000}"/>
    <cellStyle name="_20061117Holux_ProgramWorkBook_CMS_SOW_Deliverables_0430_t 3" xfId="12614" xr:uid="{00000000-0005-0000-0000-0000EC300000}"/>
    <cellStyle name="_20061117Holux_ProgramWorkBook_CMS_SOW_Deliverables_0430_t_Steps of Doneness" xfId="12615" xr:uid="{00000000-0005-0000-0000-0000ED300000}"/>
    <cellStyle name="_20061117Holux_ProgramWorkBook_CMS_Web_Design_Phase_Deliverables_0610" xfId="12616" xr:uid="{00000000-0005-0000-0000-0000EE300000}"/>
    <cellStyle name="_20061117Holux_ProgramWorkBook_CMS_Web_Design_Phase_Deliverables_0610 2" xfId="12617" xr:uid="{00000000-0005-0000-0000-0000EF300000}"/>
    <cellStyle name="_20061117Holux_ProgramWorkBook_CMS_Web_Design_Phase_Deliverables_0610 2 2" xfId="12618" xr:uid="{00000000-0005-0000-0000-0000F0300000}"/>
    <cellStyle name="_20061117Holux_ProgramWorkBook_CMS_Web_Design_Phase_Deliverables_0610 2 2_Steps of Doneness" xfId="12619" xr:uid="{00000000-0005-0000-0000-0000F1300000}"/>
    <cellStyle name="_20061117Holux_ProgramWorkBook_CMS_Web_Design_Phase_Deliverables_0610 2 3" xfId="12620" xr:uid="{00000000-0005-0000-0000-0000F2300000}"/>
    <cellStyle name="_20061117Holux_ProgramWorkBook_CMS_Web_Design_Phase_Deliverables_0610 2_Steps of Doneness" xfId="12621" xr:uid="{00000000-0005-0000-0000-0000F3300000}"/>
    <cellStyle name="_20061117Holux_ProgramWorkBook_CMS_Web_Design_Phase_Deliverables_0610 3" xfId="12622" xr:uid="{00000000-0005-0000-0000-0000F4300000}"/>
    <cellStyle name="_20061117Holux_ProgramWorkBook_CMS_Web_Design_Phase_Deliverables_0610 3 2" xfId="12623" xr:uid="{00000000-0005-0000-0000-0000F5300000}"/>
    <cellStyle name="_20061117Holux_ProgramWorkBook_CMS_Web_Design_Phase_Deliverables_0610 3 2_Steps of Doneness" xfId="12624" xr:uid="{00000000-0005-0000-0000-0000F6300000}"/>
    <cellStyle name="_20061117Holux_ProgramWorkBook_CMS_Web_Design_Phase_Deliverables_0610 3 3" xfId="12625" xr:uid="{00000000-0005-0000-0000-0000F7300000}"/>
    <cellStyle name="_20061117Holux_ProgramWorkBook_CMS_Web_Design_Phase_Deliverables_0610 3_Steps of Doneness" xfId="12626" xr:uid="{00000000-0005-0000-0000-0000F8300000}"/>
    <cellStyle name="_20061117Holux_ProgramWorkBook_CMS_Web_Design_Phase_Deliverables_0610 4" xfId="12627" xr:uid="{00000000-0005-0000-0000-0000F9300000}"/>
    <cellStyle name="_20061117Holux_ProgramWorkBook_CMS_Web_Design_Phase_Deliverables_0610 4_Steps of Doneness" xfId="12628" xr:uid="{00000000-0005-0000-0000-0000FA300000}"/>
    <cellStyle name="_20061117Holux_ProgramWorkBook_CMS_Web_Design_Phase_Deliverables_0610 5" xfId="12629" xr:uid="{00000000-0005-0000-0000-0000FB300000}"/>
    <cellStyle name="_20061117Holux_ProgramWorkBook_CMS_Web_Design_Phase_Deliverables_0610 6" xfId="12630" xr:uid="{00000000-0005-0000-0000-0000FC300000}"/>
    <cellStyle name="_20061117Holux_ProgramWorkBook_CMS_Web_Design_Phase_Deliverables_0610_Commissioning System Implementation_Project Workbook_06_10_2011" xfId="12631" xr:uid="{00000000-0005-0000-0000-0000FD300000}"/>
    <cellStyle name="_20061117Holux_ProgramWorkBook_CMS_Web_Design_Phase_Deliverables_0610_Commissioning System Implementation_Project Workbook_06_10_2011 2" xfId="12632" xr:uid="{00000000-0005-0000-0000-0000FE300000}"/>
    <cellStyle name="_20061117Holux_ProgramWorkBook_CMS_Web_Design_Phase_Deliverables_0610_Commissioning System Implementation_Project Workbook_06_10_2011 2_Steps of Doneness" xfId="12633" xr:uid="{00000000-0005-0000-0000-0000FF300000}"/>
    <cellStyle name="_20061117Holux_ProgramWorkBook_CMS_Web_Design_Phase_Deliverables_0610_Commissioning System Implementation_Project Workbook_06_10_2011 3" xfId="12634" xr:uid="{00000000-0005-0000-0000-000000310000}"/>
    <cellStyle name="_20061117Holux_ProgramWorkBook_CMS_Web_Design_Phase_Deliverables_0610_Commissioning System Implementation_Project Workbook_06_10_2011_Steps of Doneness" xfId="12635" xr:uid="{00000000-0005-0000-0000-000001310000}"/>
    <cellStyle name="_20061117Holux_ProgramWorkBook_CMS_Web_Design_Phase_Deliverables_0610_FairPoint_CampReport" xfId="12636" xr:uid="{00000000-0005-0000-0000-000002310000}"/>
    <cellStyle name="_20061117Holux_ProgramWorkBook_CMS_Web_Design_Phase_Deliverables_0610_FairPoint_CampReport 2" xfId="12637" xr:uid="{00000000-0005-0000-0000-000003310000}"/>
    <cellStyle name="_20061117Holux_ProgramWorkBook_CMS_Web_Design_Phase_Deliverables_0610_FairPoint_CampReport 2_Steps of Doneness" xfId="12638" xr:uid="{00000000-0005-0000-0000-000004310000}"/>
    <cellStyle name="_20061117Holux_ProgramWorkBook_CMS_Web_Design_Phase_Deliverables_0610_FairPoint_CampReport 3" xfId="12639" xr:uid="{00000000-0005-0000-0000-000005310000}"/>
    <cellStyle name="_20061117Holux_ProgramWorkBook_CMS_Web_Design_Phase_Deliverables_0610_FairPoint_CampReport_Steps of Doneness" xfId="12640" xr:uid="{00000000-0005-0000-0000-000006310000}"/>
    <cellStyle name="_20061117Holux_ProgramWorkBook_CMS_Web_Design_Phase_Deliverables_0610_FairPoint_FP comTechOps_ProgramWorkbook" xfId="12641" xr:uid="{00000000-0005-0000-0000-000007310000}"/>
    <cellStyle name="_20061117Holux_ProgramWorkBook_CMS_Web_Design_Phase_Deliverables_0610_FairPoint_FP comTechOps_ProgramWorkbook 2" xfId="12642" xr:uid="{00000000-0005-0000-0000-000008310000}"/>
    <cellStyle name="_20061117Holux_ProgramWorkBook_CMS_Web_Design_Phase_Deliverables_0610_FairPoint_FP comTechOps_ProgramWorkbook 2_Steps of Doneness" xfId="12643" xr:uid="{00000000-0005-0000-0000-000009310000}"/>
    <cellStyle name="_20061117Holux_ProgramWorkBook_CMS_Web_Design_Phase_Deliverables_0610_FairPoint_FP comTechOps_ProgramWorkbook 3" xfId="12644" xr:uid="{00000000-0005-0000-0000-00000A310000}"/>
    <cellStyle name="_20061117Holux_ProgramWorkBook_CMS_Web_Design_Phase_Deliverables_0610_FairPoint_FP comTechOps_ProgramWorkbook_sachin" xfId="12645" xr:uid="{00000000-0005-0000-0000-00000B310000}"/>
    <cellStyle name="_20061117Holux_ProgramWorkBook_CMS_Web_Design_Phase_Deliverables_0610_FairPoint_FP comTechOps_ProgramWorkbook_sachin 2" xfId="12646" xr:uid="{00000000-0005-0000-0000-00000C310000}"/>
    <cellStyle name="_20061117Holux_ProgramWorkBook_CMS_Web_Design_Phase_Deliverables_0610_FairPoint_FP comTechOps_ProgramWorkbook_sachin 2_Steps of Doneness" xfId="12647" xr:uid="{00000000-0005-0000-0000-00000D310000}"/>
    <cellStyle name="_20061117Holux_ProgramWorkBook_CMS_Web_Design_Phase_Deliverables_0610_FairPoint_FP comTechOps_ProgramWorkbook_sachin 3" xfId="12648" xr:uid="{00000000-0005-0000-0000-00000E310000}"/>
    <cellStyle name="_20061117Holux_ProgramWorkBook_CMS_Web_Design_Phase_Deliverables_0610_FairPoint_FP comTechOps_ProgramWorkbook_sachin_Steps of Doneness" xfId="12649" xr:uid="{00000000-0005-0000-0000-00000F310000}"/>
    <cellStyle name="_20061117Holux_ProgramWorkBook_CMS_Web_Design_Phase_Deliverables_0610_FairPoint_FP comTechOps_ProgramWorkbook_sachin_v1" xfId="12650" xr:uid="{00000000-0005-0000-0000-000010310000}"/>
    <cellStyle name="_20061117Holux_ProgramWorkBook_CMS_Web_Design_Phase_Deliverables_0610_FairPoint_FP comTechOps_ProgramWorkbook_sachin_v1 2" xfId="12651" xr:uid="{00000000-0005-0000-0000-000011310000}"/>
    <cellStyle name="_20061117Holux_ProgramWorkBook_CMS_Web_Design_Phase_Deliverables_0610_FairPoint_FP comTechOps_ProgramWorkbook_sachin_v1 2_Steps of Doneness" xfId="12652" xr:uid="{00000000-0005-0000-0000-000012310000}"/>
    <cellStyle name="_20061117Holux_ProgramWorkBook_CMS_Web_Design_Phase_Deliverables_0610_FairPoint_FP comTechOps_ProgramWorkbook_sachin_v1 3" xfId="12653" xr:uid="{00000000-0005-0000-0000-000013310000}"/>
    <cellStyle name="_20061117Holux_ProgramWorkBook_CMS_Web_Design_Phase_Deliverables_0610_FairPoint_FP comTechOps_ProgramWorkbook_sachin_v1_Steps of Doneness" xfId="12654" xr:uid="{00000000-0005-0000-0000-000014310000}"/>
    <cellStyle name="_20061117Holux_ProgramWorkBook_CMS_Web_Design_Phase_Deliverables_0610_FairPoint_FP comTechOps_ProgramWorkbook_Steps of Doneness" xfId="12655" xr:uid="{00000000-0005-0000-0000-000015310000}"/>
    <cellStyle name="_20061117Holux_ProgramWorkBook_CMS_Web_Design_Phase_Deliverables_0610_FP_CAMP&amp;ITReporting_Maintenance_Dashboard" xfId="12656" xr:uid="{00000000-0005-0000-0000-000016310000}"/>
    <cellStyle name="_20061117Holux_ProgramWorkBook_CMS_Web_Design_Phase_Deliverables_0610_FP_CAMP&amp;ITReporting_Maintenance_Dashboard 2" xfId="12657" xr:uid="{00000000-0005-0000-0000-000017310000}"/>
    <cellStyle name="_20061117Holux_ProgramWorkBook_CMS_Web_Design_Phase_Deliverables_0610_FP_CAMP&amp;ITReporting_Maintenance_Dashboard 2_Steps of Doneness" xfId="12658" xr:uid="{00000000-0005-0000-0000-000018310000}"/>
    <cellStyle name="_20061117Holux_ProgramWorkBook_CMS_Web_Design_Phase_Deliverables_0610_FP_CAMP&amp;ITReporting_Maintenance_Dashboard 3" xfId="12659" xr:uid="{00000000-0005-0000-0000-000019310000}"/>
    <cellStyle name="_20061117Holux_ProgramWorkBook_CMS_Web_Design_Phase_Deliverables_0610_FP_CAMP&amp;ITReporting_Maintenance_Dashboard_Steps of Doneness" xfId="12660" xr:uid="{00000000-0005-0000-0000-00001A310000}"/>
    <cellStyle name="_20061117Holux_ProgramWorkBook_CMS_Web_Design_Phase_Deliverables_0610_FP_CAMPITReporting_Maintenance_Dashboard" xfId="12661" xr:uid="{00000000-0005-0000-0000-00001B310000}"/>
    <cellStyle name="_20061117Holux_ProgramWorkBook_CMS_Web_Design_Phase_Deliverables_0610_FP_CAMPITReporting_Maintenance_Dashboard 2" xfId="12662" xr:uid="{00000000-0005-0000-0000-00001C310000}"/>
    <cellStyle name="_20061117Holux_ProgramWorkBook_CMS_Web_Design_Phase_Deliverables_0610_FP_CAMPITReporting_Maintenance_Dashboard 2_Steps of Doneness" xfId="12663" xr:uid="{00000000-0005-0000-0000-00001D310000}"/>
    <cellStyle name="_20061117Holux_ProgramWorkBook_CMS_Web_Design_Phase_Deliverables_0610_FP_CAMPITReporting_Maintenance_Dashboard 3" xfId="12664" xr:uid="{00000000-0005-0000-0000-00001E310000}"/>
    <cellStyle name="_20061117Holux_ProgramWorkBook_CMS_Web_Design_Phase_Deliverables_0610_FP_CAMPITReporting_Maintenance_Dashboard_Steps of Doneness" xfId="12665" xr:uid="{00000000-0005-0000-0000-00001F310000}"/>
    <cellStyle name="_20061117Holux_ProgramWorkBook_CMS_Web_Design_Phase_Deliverables_0610_FP_Commissions_Req_Dn_ProgramWorkBook_10-Dec-2010" xfId="12666" xr:uid="{00000000-0005-0000-0000-000020310000}"/>
    <cellStyle name="_20061117Holux_ProgramWorkBook_CMS_Web_Design_Phase_Deliverables_0610_FP_Commissions_Req_Dn_ProgramWorkBook_10-Dec-2010 2" xfId="12667" xr:uid="{00000000-0005-0000-0000-000021310000}"/>
    <cellStyle name="_20061117Holux_ProgramWorkBook_CMS_Web_Design_Phase_Deliverables_0610_FP_Commissions_Req_Dn_ProgramWorkBook_10-Dec-2010 2_Steps of Doneness" xfId="12668" xr:uid="{00000000-0005-0000-0000-000022310000}"/>
    <cellStyle name="_20061117Holux_ProgramWorkBook_CMS_Web_Design_Phase_Deliverables_0610_FP_Commissions_Req_Dn_ProgramWorkBook_10-Dec-2010 3" xfId="12669" xr:uid="{00000000-0005-0000-0000-000023310000}"/>
    <cellStyle name="_20061117Holux_ProgramWorkBook_CMS_Web_Design_Phase_Deliverables_0610_FP_Commissions_Req_Dn_ProgramWorkBook_10-Dec-2010_Steps of Doneness" xfId="12670" xr:uid="{00000000-0005-0000-0000-000024310000}"/>
    <cellStyle name="_20061117Holux_ProgramWorkBook_CMS_Web_Design_Phase_Deliverables_0610_FP_DW_Impl_ProgramWorkBook_07-Jan-2011" xfId="12671" xr:uid="{00000000-0005-0000-0000-000025310000}"/>
    <cellStyle name="_20061117Holux_ProgramWorkBook_CMS_Web_Design_Phase_Deliverables_0610_FP_DW_Impl_ProgramWorkBook_07-Jan-2011 2" xfId="12672" xr:uid="{00000000-0005-0000-0000-000026310000}"/>
    <cellStyle name="_20061117Holux_ProgramWorkBook_CMS_Web_Design_Phase_Deliverables_0610_FP_DW_Impl_ProgramWorkBook_07-Jan-2011 2 2" xfId="12673" xr:uid="{00000000-0005-0000-0000-000027310000}"/>
    <cellStyle name="_20061117Holux_ProgramWorkBook_CMS_Web_Design_Phase_Deliverables_0610_FP_DW_Impl_ProgramWorkBook_07-Jan-2011 2 2_Steps of Doneness" xfId="12674" xr:uid="{00000000-0005-0000-0000-000028310000}"/>
    <cellStyle name="_20061117Holux_ProgramWorkBook_CMS_Web_Design_Phase_Deliverables_0610_FP_DW_Impl_ProgramWorkBook_07-Jan-2011 2 3" xfId="12675" xr:uid="{00000000-0005-0000-0000-000029310000}"/>
    <cellStyle name="_20061117Holux_ProgramWorkBook_CMS_Web_Design_Phase_Deliverables_0610_FP_DW_Impl_ProgramWorkBook_07-Jan-2011 2_Steps of Doneness" xfId="12676" xr:uid="{00000000-0005-0000-0000-00002A310000}"/>
    <cellStyle name="_20061117Holux_ProgramWorkBook_CMS_Web_Design_Phase_Deliverables_0610_FP_DW_Impl_ProgramWorkBook_07-Jan-2011 3" xfId="12677" xr:uid="{00000000-0005-0000-0000-00002B310000}"/>
    <cellStyle name="_20061117Holux_ProgramWorkBook_CMS_Web_Design_Phase_Deliverables_0610_FP_DW_Impl_ProgramWorkBook_07-Jan-2011 3_Steps of Doneness" xfId="12678" xr:uid="{00000000-0005-0000-0000-00002C310000}"/>
    <cellStyle name="_20061117Holux_ProgramWorkBook_CMS_Web_Design_Phase_Deliverables_0610_FP_DW_Impl_ProgramWorkBook_07-Jan-2011 4" xfId="12679" xr:uid="{00000000-0005-0000-0000-00002D310000}"/>
    <cellStyle name="_20061117Holux_ProgramWorkBook_CMS_Web_Design_Phase_Deliverables_0610_FP_DW_Impl_ProgramWorkBook_07-Jan-2011_Steps of Doneness" xfId="12680" xr:uid="{00000000-0005-0000-0000-00002E310000}"/>
    <cellStyle name="_20061117Holux_ProgramWorkBook_CMS_Web_Design_Phase_Deliverables_0610_FP_DW_Impl_ProgramWorkBook_11-Feb-2011" xfId="12681" xr:uid="{00000000-0005-0000-0000-00002F310000}"/>
    <cellStyle name="_20061117Holux_ProgramWorkBook_CMS_Web_Design_Phase_Deliverables_0610_FP_DW_Impl_ProgramWorkBook_11-Feb-2011 2" xfId="12682" xr:uid="{00000000-0005-0000-0000-000030310000}"/>
    <cellStyle name="_20061117Holux_ProgramWorkBook_CMS_Web_Design_Phase_Deliverables_0610_FP_DW_Impl_ProgramWorkBook_11-Feb-2011 2_Steps of Doneness" xfId="12683" xr:uid="{00000000-0005-0000-0000-000031310000}"/>
    <cellStyle name="_20061117Holux_ProgramWorkBook_CMS_Web_Design_Phase_Deliverables_0610_FP_DW_Impl_ProgramWorkBook_11-Feb-2011 3" xfId="12684" xr:uid="{00000000-0005-0000-0000-000032310000}"/>
    <cellStyle name="_20061117Holux_ProgramWorkBook_CMS_Web_Design_Phase_Deliverables_0610_FP_DW_Impl_ProgramWorkBook_11-Feb-2011_Steps of Doneness" xfId="12685" xr:uid="{00000000-0005-0000-0000-000033310000}"/>
    <cellStyle name="_20061117Holux_ProgramWorkBook_CMS_Web_Design_Phase_Deliverables_0610_FP_DW_Impl_ProgramWorkBook_18-Feb-2011 - Working" xfId="12686" xr:uid="{00000000-0005-0000-0000-000034310000}"/>
    <cellStyle name="_20061117Holux_ProgramWorkBook_CMS_Web_Design_Phase_Deliverables_0610_FP_DW_Impl_ProgramWorkBook_18-Feb-2011 - Working 2" xfId="12687" xr:uid="{00000000-0005-0000-0000-000035310000}"/>
    <cellStyle name="_20061117Holux_ProgramWorkBook_CMS_Web_Design_Phase_Deliverables_0610_FP_DW_Impl_ProgramWorkBook_18-Feb-2011 - Working 2_Steps of Doneness" xfId="12688" xr:uid="{00000000-0005-0000-0000-000036310000}"/>
    <cellStyle name="_20061117Holux_ProgramWorkBook_CMS_Web_Design_Phase_Deliverables_0610_FP_DW_Impl_ProgramWorkBook_18-Feb-2011 - Working 3" xfId="12689" xr:uid="{00000000-0005-0000-0000-000037310000}"/>
    <cellStyle name="_20061117Holux_ProgramWorkBook_CMS_Web_Design_Phase_Deliverables_0610_FP_DW_Impl_ProgramWorkBook_18-Feb-2011 - Working_Steps of Doneness" xfId="12690" xr:uid="{00000000-0005-0000-0000-000038310000}"/>
    <cellStyle name="_20061117Holux_ProgramWorkBook_CMS_Web_Design_Phase_Deliverables_0610_FP_EnterprisePortal_ProgramWorkbook" xfId="12691" xr:uid="{00000000-0005-0000-0000-000039310000}"/>
    <cellStyle name="_20061117Holux_ProgramWorkBook_CMS_Web_Design_Phase_Deliverables_0610_FP_EnterprisePortal_ProgramWorkbook 2" xfId="12692" xr:uid="{00000000-0005-0000-0000-00003A310000}"/>
    <cellStyle name="_20061117Holux_ProgramWorkBook_CMS_Web_Design_Phase_Deliverables_0610_FP_EnterprisePortal_ProgramWorkbook 2_Steps of Doneness" xfId="12693" xr:uid="{00000000-0005-0000-0000-00003B310000}"/>
    <cellStyle name="_20061117Holux_ProgramWorkBook_CMS_Web_Design_Phase_Deliverables_0610_FP_EnterprisePortal_ProgramWorkbook 3" xfId="12694" xr:uid="{00000000-0005-0000-0000-00003C310000}"/>
    <cellStyle name="_20061117Holux_ProgramWorkBook_CMS_Web_Design_Phase_Deliverables_0610_FP_EnterprisePortal_ProgramWorkbook_Steps of Doneness" xfId="12695" xr:uid="{00000000-0005-0000-0000-00003D310000}"/>
    <cellStyle name="_20061117Holux_ProgramWorkBook_CMS_Web_Design_Phase_Deliverables_0610_FP_SAP_MLP v2" xfId="12696" xr:uid="{00000000-0005-0000-0000-00003E310000}"/>
    <cellStyle name="_20061117Holux_ProgramWorkBook_CMS_Web_Design_Phase_Deliverables_0610_FP_SAP_MLP v2 2" xfId="12697" xr:uid="{00000000-0005-0000-0000-00003F310000}"/>
    <cellStyle name="_20061117Holux_ProgramWorkBook_CMS_Web_Design_Phase_Deliverables_0610_FP_SAP_MLP v2 2_Steps of Doneness" xfId="12698" xr:uid="{00000000-0005-0000-0000-000040310000}"/>
    <cellStyle name="_20061117Holux_ProgramWorkBook_CMS_Web_Design_Phase_Deliverables_0610_FP_SAP_MLP v2 3" xfId="12699" xr:uid="{00000000-0005-0000-0000-000041310000}"/>
    <cellStyle name="_20061117Holux_ProgramWorkBook_CMS_Web_Design_Phase_Deliverables_0610_FP_SAP_MLP v2_Steps of Doneness" xfId="12700" xr:uid="{00000000-0005-0000-0000-000042310000}"/>
    <cellStyle name="_20061117Holux_ProgramWorkBook_CMS_Web_Design_Phase_Deliverables_0610_KeyDecisions" xfId="12701" xr:uid="{00000000-0005-0000-0000-000043310000}"/>
    <cellStyle name="_20061117Holux_ProgramWorkBook_CMS_Web_Design_Phase_Deliverables_0610_KeyDecisions 2" xfId="12702" xr:uid="{00000000-0005-0000-0000-000044310000}"/>
    <cellStyle name="_20061117Holux_ProgramWorkBook_CMS_Web_Design_Phase_Deliverables_0610_KeyDecisions 2_Steps of Doneness" xfId="12703" xr:uid="{00000000-0005-0000-0000-000045310000}"/>
    <cellStyle name="_20061117Holux_ProgramWorkBook_CMS_Web_Design_Phase_Deliverables_0610_KeyDecisions 3" xfId="12704" xr:uid="{00000000-0005-0000-0000-000046310000}"/>
    <cellStyle name="_20061117Holux_ProgramWorkBook_CMS_Web_Design_Phase_Deliverables_0610_KeyDecisions_Steps of Doneness" xfId="12705" xr:uid="{00000000-0005-0000-0000-000047310000}"/>
    <cellStyle name="_20061117Holux_ProgramWorkBook_CMS_Web_Design_Phase_Deliverables_0610_Sophia_Imp_ProjectWorkBook_02_18_2011" xfId="12706" xr:uid="{00000000-0005-0000-0000-000048310000}"/>
    <cellStyle name="_20061117Holux_ProgramWorkBook_CMS_Web_Design_Phase_Deliverables_0610_Sophia_Imp_ProjectWorkBook_02_18_2011 2" xfId="12707" xr:uid="{00000000-0005-0000-0000-000049310000}"/>
    <cellStyle name="_20061117Holux_ProgramWorkBook_CMS_Web_Design_Phase_Deliverables_0610_Sophia_Imp_ProjectWorkBook_02_18_2011 2_Steps of Doneness" xfId="12708" xr:uid="{00000000-0005-0000-0000-00004A310000}"/>
    <cellStyle name="_20061117Holux_ProgramWorkBook_CMS_Web_Design_Phase_Deliverables_0610_Sophia_Imp_ProjectWorkBook_02_18_2011 3" xfId="12709" xr:uid="{00000000-0005-0000-0000-00004B310000}"/>
    <cellStyle name="_20061117Holux_ProgramWorkBook_CMS_Web_Design_Phase_Deliverables_0610_Sophia_Imp_ProjectWorkBook_02_18_2011_Steps of Doneness" xfId="12710" xr:uid="{00000000-0005-0000-0000-00004C310000}"/>
    <cellStyle name="_20061117Holux_ProgramWorkBook_CMS_Web_Design_Phase_Deliverables_0610_Steps of Doneness" xfId="12711" xr:uid="{00000000-0005-0000-0000-00004D310000}"/>
    <cellStyle name="_20061117Holux_ProgramWorkBook_CMS_Web_Design_Phase_Deliverables_0610_t" xfId="12712" xr:uid="{00000000-0005-0000-0000-00004E310000}"/>
    <cellStyle name="_20061117Holux_ProgramWorkBook_CMS_Web_Design_Phase_Deliverables_0610_t 2" xfId="12713" xr:uid="{00000000-0005-0000-0000-00004F310000}"/>
    <cellStyle name="_20061117Holux_ProgramWorkBook_CMS_Web_Design_Phase_Deliverables_0610_t 2_Steps of Doneness" xfId="12714" xr:uid="{00000000-0005-0000-0000-000050310000}"/>
    <cellStyle name="_20061117Holux_ProgramWorkBook_CMS_Web_Design_Phase_Deliverables_0610_t 3" xfId="12715" xr:uid="{00000000-0005-0000-0000-000051310000}"/>
    <cellStyle name="_20061117Holux_ProgramWorkBook_CMS_Web_Design_Phase_Deliverables_0610_t_Steps of Doneness" xfId="12716" xr:uid="{00000000-0005-0000-0000-000052310000}"/>
    <cellStyle name="_20061117Holux_ProgramWorkBook_CMS_Web_Design_Phase_Deliverables_0618a" xfId="12717" xr:uid="{00000000-0005-0000-0000-000053310000}"/>
    <cellStyle name="_20061117Holux_ProgramWorkBook_CMS_Web_Design_Phase_Deliverables_0618a 2" xfId="12718" xr:uid="{00000000-0005-0000-0000-000054310000}"/>
    <cellStyle name="_20061117Holux_ProgramWorkBook_CMS_Web_Design_Phase_Deliverables_0618a 2 2" xfId="12719" xr:uid="{00000000-0005-0000-0000-000055310000}"/>
    <cellStyle name="_20061117Holux_ProgramWorkBook_CMS_Web_Design_Phase_Deliverables_0618a 2 2_Steps of Doneness" xfId="12720" xr:uid="{00000000-0005-0000-0000-000056310000}"/>
    <cellStyle name="_20061117Holux_ProgramWorkBook_CMS_Web_Design_Phase_Deliverables_0618a 2 3" xfId="12721" xr:uid="{00000000-0005-0000-0000-000057310000}"/>
    <cellStyle name="_20061117Holux_ProgramWorkBook_CMS_Web_Design_Phase_Deliverables_0618a 2_Steps of Doneness" xfId="12722" xr:uid="{00000000-0005-0000-0000-000058310000}"/>
    <cellStyle name="_20061117Holux_ProgramWorkBook_CMS_Web_Design_Phase_Deliverables_0618a 3" xfId="12723" xr:uid="{00000000-0005-0000-0000-000059310000}"/>
    <cellStyle name="_20061117Holux_ProgramWorkBook_CMS_Web_Design_Phase_Deliverables_0618a 3 2" xfId="12724" xr:uid="{00000000-0005-0000-0000-00005A310000}"/>
    <cellStyle name="_20061117Holux_ProgramWorkBook_CMS_Web_Design_Phase_Deliverables_0618a 3 2_Steps of Doneness" xfId="12725" xr:uid="{00000000-0005-0000-0000-00005B310000}"/>
    <cellStyle name="_20061117Holux_ProgramWorkBook_CMS_Web_Design_Phase_Deliverables_0618a 3 3" xfId="12726" xr:uid="{00000000-0005-0000-0000-00005C310000}"/>
    <cellStyle name="_20061117Holux_ProgramWorkBook_CMS_Web_Design_Phase_Deliverables_0618a 3_Steps of Doneness" xfId="12727" xr:uid="{00000000-0005-0000-0000-00005D310000}"/>
    <cellStyle name="_20061117Holux_ProgramWorkBook_CMS_Web_Design_Phase_Deliverables_0618a 4" xfId="12728" xr:uid="{00000000-0005-0000-0000-00005E310000}"/>
    <cellStyle name="_20061117Holux_ProgramWorkBook_CMS_Web_Design_Phase_Deliverables_0618a 4_Steps of Doneness" xfId="12729" xr:uid="{00000000-0005-0000-0000-00005F310000}"/>
    <cellStyle name="_20061117Holux_ProgramWorkBook_CMS_Web_Design_Phase_Deliverables_0618a 5" xfId="12730" xr:uid="{00000000-0005-0000-0000-000060310000}"/>
    <cellStyle name="_20061117Holux_ProgramWorkBook_CMS_Web_Design_Phase_Deliverables_0618a 6" xfId="12731" xr:uid="{00000000-0005-0000-0000-000061310000}"/>
    <cellStyle name="_20061117Holux_ProgramWorkBook_CMS_Web_Design_Phase_Deliverables_0618a_Commissioning System Implementation_Project Workbook_06_10_2011" xfId="12732" xr:uid="{00000000-0005-0000-0000-000062310000}"/>
    <cellStyle name="_20061117Holux_ProgramWorkBook_CMS_Web_Design_Phase_Deliverables_0618a_Commissioning System Implementation_Project Workbook_06_10_2011 2" xfId="12733" xr:uid="{00000000-0005-0000-0000-000063310000}"/>
    <cellStyle name="_20061117Holux_ProgramWorkBook_CMS_Web_Design_Phase_Deliverables_0618a_Commissioning System Implementation_Project Workbook_06_10_2011 2_Steps of Doneness" xfId="12734" xr:uid="{00000000-0005-0000-0000-000064310000}"/>
    <cellStyle name="_20061117Holux_ProgramWorkBook_CMS_Web_Design_Phase_Deliverables_0618a_Commissioning System Implementation_Project Workbook_06_10_2011 3" xfId="12735" xr:uid="{00000000-0005-0000-0000-000065310000}"/>
    <cellStyle name="_20061117Holux_ProgramWorkBook_CMS_Web_Design_Phase_Deliverables_0618a_Commissioning System Implementation_Project Workbook_06_10_2011_Steps of Doneness" xfId="12736" xr:uid="{00000000-0005-0000-0000-000066310000}"/>
    <cellStyle name="_20061117Holux_ProgramWorkBook_CMS_Web_Design_Phase_Deliverables_0618a_FairPoint_CampReport" xfId="12737" xr:uid="{00000000-0005-0000-0000-000067310000}"/>
    <cellStyle name="_20061117Holux_ProgramWorkBook_CMS_Web_Design_Phase_Deliverables_0618a_FairPoint_CampReport 2" xfId="12738" xr:uid="{00000000-0005-0000-0000-000068310000}"/>
    <cellStyle name="_20061117Holux_ProgramWorkBook_CMS_Web_Design_Phase_Deliverables_0618a_FairPoint_CampReport 2_Steps of Doneness" xfId="12739" xr:uid="{00000000-0005-0000-0000-000069310000}"/>
    <cellStyle name="_20061117Holux_ProgramWorkBook_CMS_Web_Design_Phase_Deliverables_0618a_FairPoint_CampReport 3" xfId="12740" xr:uid="{00000000-0005-0000-0000-00006A310000}"/>
    <cellStyle name="_20061117Holux_ProgramWorkBook_CMS_Web_Design_Phase_Deliverables_0618a_FairPoint_CampReport_Steps of Doneness" xfId="12741" xr:uid="{00000000-0005-0000-0000-00006B310000}"/>
    <cellStyle name="_20061117Holux_ProgramWorkBook_CMS_Web_Design_Phase_Deliverables_0618a_FairPoint_FP comTechOps_ProgramWorkbook" xfId="12742" xr:uid="{00000000-0005-0000-0000-00006C310000}"/>
    <cellStyle name="_20061117Holux_ProgramWorkBook_CMS_Web_Design_Phase_Deliverables_0618a_FairPoint_FP comTechOps_ProgramWorkbook 2" xfId="12743" xr:uid="{00000000-0005-0000-0000-00006D310000}"/>
    <cellStyle name="_20061117Holux_ProgramWorkBook_CMS_Web_Design_Phase_Deliverables_0618a_FairPoint_FP comTechOps_ProgramWorkbook 2_Steps of Doneness" xfId="12744" xr:uid="{00000000-0005-0000-0000-00006E310000}"/>
    <cellStyle name="_20061117Holux_ProgramWorkBook_CMS_Web_Design_Phase_Deliverables_0618a_FairPoint_FP comTechOps_ProgramWorkbook 3" xfId="12745" xr:uid="{00000000-0005-0000-0000-00006F310000}"/>
    <cellStyle name="_20061117Holux_ProgramWorkBook_CMS_Web_Design_Phase_Deliverables_0618a_FairPoint_FP comTechOps_ProgramWorkbook_sachin" xfId="12746" xr:uid="{00000000-0005-0000-0000-000070310000}"/>
    <cellStyle name="_20061117Holux_ProgramWorkBook_CMS_Web_Design_Phase_Deliverables_0618a_FairPoint_FP comTechOps_ProgramWorkbook_sachin 2" xfId="12747" xr:uid="{00000000-0005-0000-0000-000071310000}"/>
    <cellStyle name="_20061117Holux_ProgramWorkBook_CMS_Web_Design_Phase_Deliverables_0618a_FairPoint_FP comTechOps_ProgramWorkbook_sachin 2_Steps of Doneness" xfId="12748" xr:uid="{00000000-0005-0000-0000-000072310000}"/>
    <cellStyle name="_20061117Holux_ProgramWorkBook_CMS_Web_Design_Phase_Deliverables_0618a_FairPoint_FP comTechOps_ProgramWorkbook_sachin 3" xfId="12749" xr:uid="{00000000-0005-0000-0000-000073310000}"/>
    <cellStyle name="_20061117Holux_ProgramWorkBook_CMS_Web_Design_Phase_Deliverables_0618a_FairPoint_FP comTechOps_ProgramWorkbook_sachin_Steps of Doneness" xfId="12750" xr:uid="{00000000-0005-0000-0000-000074310000}"/>
    <cellStyle name="_20061117Holux_ProgramWorkBook_CMS_Web_Design_Phase_Deliverables_0618a_FairPoint_FP comTechOps_ProgramWorkbook_sachin_v1" xfId="12751" xr:uid="{00000000-0005-0000-0000-000075310000}"/>
    <cellStyle name="_20061117Holux_ProgramWorkBook_CMS_Web_Design_Phase_Deliverables_0618a_FairPoint_FP comTechOps_ProgramWorkbook_sachin_v1 2" xfId="12752" xr:uid="{00000000-0005-0000-0000-000076310000}"/>
    <cellStyle name="_20061117Holux_ProgramWorkBook_CMS_Web_Design_Phase_Deliverables_0618a_FairPoint_FP comTechOps_ProgramWorkbook_sachin_v1 2_Steps of Doneness" xfId="12753" xr:uid="{00000000-0005-0000-0000-000077310000}"/>
    <cellStyle name="_20061117Holux_ProgramWorkBook_CMS_Web_Design_Phase_Deliverables_0618a_FairPoint_FP comTechOps_ProgramWorkbook_sachin_v1 3" xfId="12754" xr:uid="{00000000-0005-0000-0000-000078310000}"/>
    <cellStyle name="_20061117Holux_ProgramWorkBook_CMS_Web_Design_Phase_Deliverables_0618a_FairPoint_FP comTechOps_ProgramWorkbook_sachin_v1_Steps of Doneness" xfId="12755" xr:uid="{00000000-0005-0000-0000-000079310000}"/>
    <cellStyle name="_20061117Holux_ProgramWorkBook_CMS_Web_Design_Phase_Deliverables_0618a_FairPoint_FP comTechOps_ProgramWorkbook_Steps of Doneness" xfId="12756" xr:uid="{00000000-0005-0000-0000-00007A310000}"/>
    <cellStyle name="_20061117Holux_ProgramWorkBook_CMS_Web_Design_Phase_Deliverables_0618a_FP_CAMP&amp;ITReporting_Maintenance_Dashboard" xfId="12757" xr:uid="{00000000-0005-0000-0000-00007B310000}"/>
    <cellStyle name="_20061117Holux_ProgramWorkBook_CMS_Web_Design_Phase_Deliverables_0618a_FP_CAMP&amp;ITReporting_Maintenance_Dashboard 2" xfId="12758" xr:uid="{00000000-0005-0000-0000-00007C310000}"/>
    <cellStyle name="_20061117Holux_ProgramWorkBook_CMS_Web_Design_Phase_Deliverables_0618a_FP_CAMP&amp;ITReporting_Maintenance_Dashboard 2_Steps of Doneness" xfId="12759" xr:uid="{00000000-0005-0000-0000-00007D310000}"/>
    <cellStyle name="_20061117Holux_ProgramWorkBook_CMS_Web_Design_Phase_Deliverables_0618a_FP_CAMP&amp;ITReporting_Maintenance_Dashboard 3" xfId="12760" xr:uid="{00000000-0005-0000-0000-00007E310000}"/>
    <cellStyle name="_20061117Holux_ProgramWorkBook_CMS_Web_Design_Phase_Deliverables_0618a_FP_CAMP&amp;ITReporting_Maintenance_Dashboard_Steps of Doneness" xfId="12761" xr:uid="{00000000-0005-0000-0000-00007F310000}"/>
    <cellStyle name="_20061117Holux_ProgramWorkBook_CMS_Web_Design_Phase_Deliverables_0618a_FP_CAMPITReporting_Maintenance_Dashboard" xfId="12762" xr:uid="{00000000-0005-0000-0000-000080310000}"/>
    <cellStyle name="_20061117Holux_ProgramWorkBook_CMS_Web_Design_Phase_Deliverables_0618a_FP_CAMPITReporting_Maintenance_Dashboard 2" xfId="12763" xr:uid="{00000000-0005-0000-0000-000081310000}"/>
    <cellStyle name="_20061117Holux_ProgramWorkBook_CMS_Web_Design_Phase_Deliverables_0618a_FP_CAMPITReporting_Maintenance_Dashboard 2_Steps of Doneness" xfId="12764" xr:uid="{00000000-0005-0000-0000-000082310000}"/>
    <cellStyle name="_20061117Holux_ProgramWorkBook_CMS_Web_Design_Phase_Deliverables_0618a_FP_CAMPITReporting_Maintenance_Dashboard 3" xfId="12765" xr:uid="{00000000-0005-0000-0000-000083310000}"/>
    <cellStyle name="_20061117Holux_ProgramWorkBook_CMS_Web_Design_Phase_Deliverables_0618a_FP_CAMPITReporting_Maintenance_Dashboard_Steps of Doneness" xfId="12766" xr:uid="{00000000-0005-0000-0000-000084310000}"/>
    <cellStyle name="_20061117Holux_ProgramWorkBook_CMS_Web_Design_Phase_Deliverables_0618a_FP_Commissions_Req_Dn_ProgramWorkBook_10-Dec-2010" xfId="12767" xr:uid="{00000000-0005-0000-0000-000085310000}"/>
    <cellStyle name="_20061117Holux_ProgramWorkBook_CMS_Web_Design_Phase_Deliverables_0618a_FP_Commissions_Req_Dn_ProgramWorkBook_10-Dec-2010 2" xfId="12768" xr:uid="{00000000-0005-0000-0000-000086310000}"/>
    <cellStyle name="_20061117Holux_ProgramWorkBook_CMS_Web_Design_Phase_Deliverables_0618a_FP_Commissions_Req_Dn_ProgramWorkBook_10-Dec-2010 2_Steps of Doneness" xfId="12769" xr:uid="{00000000-0005-0000-0000-000087310000}"/>
    <cellStyle name="_20061117Holux_ProgramWorkBook_CMS_Web_Design_Phase_Deliverables_0618a_FP_Commissions_Req_Dn_ProgramWorkBook_10-Dec-2010 3" xfId="12770" xr:uid="{00000000-0005-0000-0000-000088310000}"/>
    <cellStyle name="_20061117Holux_ProgramWorkBook_CMS_Web_Design_Phase_Deliverables_0618a_FP_Commissions_Req_Dn_ProgramWorkBook_10-Dec-2010_Steps of Doneness" xfId="12771" xr:uid="{00000000-0005-0000-0000-000089310000}"/>
    <cellStyle name="_20061117Holux_ProgramWorkBook_CMS_Web_Design_Phase_Deliverables_0618a_FP_DW_Impl_ProgramWorkBook_07-Jan-2011" xfId="12772" xr:uid="{00000000-0005-0000-0000-00008A310000}"/>
    <cellStyle name="_20061117Holux_ProgramWorkBook_CMS_Web_Design_Phase_Deliverables_0618a_FP_DW_Impl_ProgramWorkBook_07-Jan-2011 2" xfId="12773" xr:uid="{00000000-0005-0000-0000-00008B310000}"/>
    <cellStyle name="_20061117Holux_ProgramWorkBook_CMS_Web_Design_Phase_Deliverables_0618a_FP_DW_Impl_ProgramWorkBook_07-Jan-2011 2 2" xfId="12774" xr:uid="{00000000-0005-0000-0000-00008C310000}"/>
    <cellStyle name="_20061117Holux_ProgramWorkBook_CMS_Web_Design_Phase_Deliverables_0618a_FP_DW_Impl_ProgramWorkBook_07-Jan-2011 2 2_Steps of Doneness" xfId="12775" xr:uid="{00000000-0005-0000-0000-00008D310000}"/>
    <cellStyle name="_20061117Holux_ProgramWorkBook_CMS_Web_Design_Phase_Deliverables_0618a_FP_DW_Impl_ProgramWorkBook_07-Jan-2011 2 3" xfId="12776" xr:uid="{00000000-0005-0000-0000-00008E310000}"/>
    <cellStyle name="_20061117Holux_ProgramWorkBook_CMS_Web_Design_Phase_Deliverables_0618a_FP_DW_Impl_ProgramWorkBook_07-Jan-2011 2_Steps of Doneness" xfId="12777" xr:uid="{00000000-0005-0000-0000-00008F310000}"/>
    <cellStyle name="_20061117Holux_ProgramWorkBook_CMS_Web_Design_Phase_Deliverables_0618a_FP_DW_Impl_ProgramWorkBook_07-Jan-2011 3" xfId="12778" xr:uid="{00000000-0005-0000-0000-000090310000}"/>
    <cellStyle name="_20061117Holux_ProgramWorkBook_CMS_Web_Design_Phase_Deliverables_0618a_FP_DW_Impl_ProgramWorkBook_07-Jan-2011 3_Steps of Doneness" xfId="12779" xr:uid="{00000000-0005-0000-0000-000091310000}"/>
    <cellStyle name="_20061117Holux_ProgramWorkBook_CMS_Web_Design_Phase_Deliverables_0618a_FP_DW_Impl_ProgramWorkBook_07-Jan-2011 4" xfId="12780" xr:uid="{00000000-0005-0000-0000-000092310000}"/>
    <cellStyle name="_20061117Holux_ProgramWorkBook_CMS_Web_Design_Phase_Deliverables_0618a_FP_DW_Impl_ProgramWorkBook_07-Jan-2011_Steps of Doneness" xfId="12781" xr:uid="{00000000-0005-0000-0000-000093310000}"/>
    <cellStyle name="_20061117Holux_ProgramWorkBook_CMS_Web_Design_Phase_Deliverables_0618a_FP_DW_Impl_ProgramWorkBook_11-Feb-2011" xfId="12782" xr:uid="{00000000-0005-0000-0000-000094310000}"/>
    <cellStyle name="_20061117Holux_ProgramWorkBook_CMS_Web_Design_Phase_Deliverables_0618a_FP_DW_Impl_ProgramWorkBook_11-Feb-2011 2" xfId="12783" xr:uid="{00000000-0005-0000-0000-000095310000}"/>
    <cellStyle name="_20061117Holux_ProgramWorkBook_CMS_Web_Design_Phase_Deliverables_0618a_FP_DW_Impl_ProgramWorkBook_11-Feb-2011 2_Steps of Doneness" xfId="12784" xr:uid="{00000000-0005-0000-0000-000096310000}"/>
    <cellStyle name="_20061117Holux_ProgramWorkBook_CMS_Web_Design_Phase_Deliverables_0618a_FP_DW_Impl_ProgramWorkBook_11-Feb-2011 3" xfId="12785" xr:uid="{00000000-0005-0000-0000-000097310000}"/>
    <cellStyle name="_20061117Holux_ProgramWorkBook_CMS_Web_Design_Phase_Deliverables_0618a_FP_DW_Impl_ProgramWorkBook_11-Feb-2011_Steps of Doneness" xfId="12786" xr:uid="{00000000-0005-0000-0000-000098310000}"/>
    <cellStyle name="_20061117Holux_ProgramWorkBook_CMS_Web_Design_Phase_Deliverables_0618a_FP_DW_Impl_ProgramWorkBook_18-Feb-2011 - Working" xfId="12787" xr:uid="{00000000-0005-0000-0000-000099310000}"/>
    <cellStyle name="_20061117Holux_ProgramWorkBook_CMS_Web_Design_Phase_Deliverables_0618a_FP_DW_Impl_ProgramWorkBook_18-Feb-2011 - Working 2" xfId="12788" xr:uid="{00000000-0005-0000-0000-00009A310000}"/>
    <cellStyle name="_20061117Holux_ProgramWorkBook_CMS_Web_Design_Phase_Deliverables_0618a_FP_DW_Impl_ProgramWorkBook_18-Feb-2011 - Working 2_Steps of Doneness" xfId="12789" xr:uid="{00000000-0005-0000-0000-00009B310000}"/>
    <cellStyle name="_20061117Holux_ProgramWorkBook_CMS_Web_Design_Phase_Deliverables_0618a_FP_DW_Impl_ProgramWorkBook_18-Feb-2011 - Working 3" xfId="12790" xr:uid="{00000000-0005-0000-0000-00009C310000}"/>
    <cellStyle name="_20061117Holux_ProgramWorkBook_CMS_Web_Design_Phase_Deliverables_0618a_FP_DW_Impl_ProgramWorkBook_18-Feb-2011 - Working_Steps of Doneness" xfId="12791" xr:uid="{00000000-0005-0000-0000-00009D310000}"/>
    <cellStyle name="_20061117Holux_ProgramWorkBook_CMS_Web_Design_Phase_Deliverables_0618a_FP_EnterprisePortal_ProgramWorkbook" xfId="12792" xr:uid="{00000000-0005-0000-0000-00009E310000}"/>
    <cellStyle name="_20061117Holux_ProgramWorkBook_CMS_Web_Design_Phase_Deliverables_0618a_FP_EnterprisePortal_ProgramWorkbook 2" xfId="12793" xr:uid="{00000000-0005-0000-0000-00009F310000}"/>
    <cellStyle name="_20061117Holux_ProgramWorkBook_CMS_Web_Design_Phase_Deliverables_0618a_FP_EnterprisePortal_ProgramWorkbook 2_Steps of Doneness" xfId="12794" xr:uid="{00000000-0005-0000-0000-0000A0310000}"/>
    <cellStyle name="_20061117Holux_ProgramWorkBook_CMS_Web_Design_Phase_Deliverables_0618a_FP_EnterprisePortal_ProgramWorkbook 3" xfId="12795" xr:uid="{00000000-0005-0000-0000-0000A1310000}"/>
    <cellStyle name="_20061117Holux_ProgramWorkBook_CMS_Web_Design_Phase_Deliverables_0618a_FP_EnterprisePortal_ProgramWorkbook_Steps of Doneness" xfId="12796" xr:uid="{00000000-0005-0000-0000-0000A2310000}"/>
    <cellStyle name="_20061117Holux_ProgramWorkBook_CMS_Web_Design_Phase_Deliverables_0618a_FP_SAP_MLP v2" xfId="12797" xr:uid="{00000000-0005-0000-0000-0000A3310000}"/>
    <cellStyle name="_20061117Holux_ProgramWorkBook_CMS_Web_Design_Phase_Deliverables_0618a_FP_SAP_MLP v2 2" xfId="12798" xr:uid="{00000000-0005-0000-0000-0000A4310000}"/>
    <cellStyle name="_20061117Holux_ProgramWorkBook_CMS_Web_Design_Phase_Deliverables_0618a_FP_SAP_MLP v2 2_Steps of Doneness" xfId="12799" xr:uid="{00000000-0005-0000-0000-0000A5310000}"/>
    <cellStyle name="_20061117Holux_ProgramWorkBook_CMS_Web_Design_Phase_Deliverables_0618a_FP_SAP_MLP v2 3" xfId="12800" xr:uid="{00000000-0005-0000-0000-0000A6310000}"/>
    <cellStyle name="_20061117Holux_ProgramWorkBook_CMS_Web_Design_Phase_Deliverables_0618a_FP_SAP_MLP v2_Steps of Doneness" xfId="12801" xr:uid="{00000000-0005-0000-0000-0000A7310000}"/>
    <cellStyle name="_20061117Holux_ProgramWorkBook_CMS_Web_Design_Phase_Deliverables_0618a_KeyDecisions" xfId="12802" xr:uid="{00000000-0005-0000-0000-0000A8310000}"/>
    <cellStyle name="_20061117Holux_ProgramWorkBook_CMS_Web_Design_Phase_Deliverables_0618a_KeyDecisions 2" xfId="12803" xr:uid="{00000000-0005-0000-0000-0000A9310000}"/>
    <cellStyle name="_20061117Holux_ProgramWorkBook_CMS_Web_Design_Phase_Deliverables_0618a_KeyDecisions 2_Steps of Doneness" xfId="12804" xr:uid="{00000000-0005-0000-0000-0000AA310000}"/>
    <cellStyle name="_20061117Holux_ProgramWorkBook_CMS_Web_Design_Phase_Deliverables_0618a_KeyDecisions 3" xfId="12805" xr:uid="{00000000-0005-0000-0000-0000AB310000}"/>
    <cellStyle name="_20061117Holux_ProgramWorkBook_CMS_Web_Design_Phase_Deliverables_0618a_KeyDecisions_Steps of Doneness" xfId="12806" xr:uid="{00000000-0005-0000-0000-0000AC310000}"/>
    <cellStyle name="_20061117Holux_ProgramWorkBook_CMS_Web_Design_Phase_Deliverables_0618a_Sophia_Imp_ProjectWorkBook_02_18_2011" xfId="12807" xr:uid="{00000000-0005-0000-0000-0000AD310000}"/>
    <cellStyle name="_20061117Holux_ProgramWorkBook_CMS_Web_Design_Phase_Deliverables_0618a_Sophia_Imp_ProjectWorkBook_02_18_2011 2" xfId="12808" xr:uid="{00000000-0005-0000-0000-0000AE310000}"/>
    <cellStyle name="_20061117Holux_ProgramWorkBook_CMS_Web_Design_Phase_Deliverables_0618a_Sophia_Imp_ProjectWorkBook_02_18_2011 2_Steps of Doneness" xfId="12809" xr:uid="{00000000-0005-0000-0000-0000AF310000}"/>
    <cellStyle name="_20061117Holux_ProgramWorkBook_CMS_Web_Design_Phase_Deliverables_0618a_Sophia_Imp_ProjectWorkBook_02_18_2011 3" xfId="12810" xr:uid="{00000000-0005-0000-0000-0000B0310000}"/>
    <cellStyle name="_20061117Holux_ProgramWorkBook_CMS_Web_Design_Phase_Deliverables_0618a_Sophia_Imp_ProjectWorkBook_02_18_2011_Steps of Doneness" xfId="12811" xr:uid="{00000000-0005-0000-0000-0000B1310000}"/>
    <cellStyle name="_20061117Holux_ProgramWorkBook_CMS_Web_Design_Phase_Deliverables_0618a_Steps of Doneness" xfId="12812" xr:uid="{00000000-0005-0000-0000-0000B2310000}"/>
    <cellStyle name="_20061117Holux_ProgramWorkBook_CMS_Web_Design_Phase_Deliverables_0618a_t" xfId="12813" xr:uid="{00000000-0005-0000-0000-0000B3310000}"/>
    <cellStyle name="_20061117Holux_ProgramWorkBook_CMS_Web_Design_Phase_Deliverables_0618a_t 2" xfId="12814" xr:uid="{00000000-0005-0000-0000-0000B4310000}"/>
    <cellStyle name="_20061117Holux_ProgramWorkBook_CMS_Web_Design_Phase_Deliverables_0618a_t 2_Steps of Doneness" xfId="12815" xr:uid="{00000000-0005-0000-0000-0000B5310000}"/>
    <cellStyle name="_20061117Holux_ProgramWorkBook_CMS_Web_Design_Phase_Deliverables_0618a_t 3" xfId="12816" xr:uid="{00000000-0005-0000-0000-0000B6310000}"/>
    <cellStyle name="_20061117Holux_ProgramWorkBook_CMS_Web_Design_Phase_Deliverables_0618a_t_Steps of Doneness" xfId="12817" xr:uid="{00000000-0005-0000-0000-0000B7310000}"/>
    <cellStyle name="_20061117Holux_ProgramWorkBook_CMS_Web_Design_Phase_Deliverables_0621" xfId="12818" xr:uid="{00000000-0005-0000-0000-0000B8310000}"/>
    <cellStyle name="_20061117Holux_ProgramWorkBook_CMS_Web_Design_Phase_Deliverables_0621 2" xfId="12819" xr:uid="{00000000-0005-0000-0000-0000B9310000}"/>
    <cellStyle name="_20061117Holux_ProgramWorkBook_CMS_Web_Design_Phase_Deliverables_0621 2 2" xfId="12820" xr:uid="{00000000-0005-0000-0000-0000BA310000}"/>
    <cellStyle name="_20061117Holux_ProgramWorkBook_CMS_Web_Design_Phase_Deliverables_0621 2 2_Steps of Doneness" xfId="12821" xr:uid="{00000000-0005-0000-0000-0000BB310000}"/>
    <cellStyle name="_20061117Holux_ProgramWorkBook_CMS_Web_Design_Phase_Deliverables_0621 2 3" xfId="12822" xr:uid="{00000000-0005-0000-0000-0000BC310000}"/>
    <cellStyle name="_20061117Holux_ProgramWorkBook_CMS_Web_Design_Phase_Deliverables_0621 2_Steps of Doneness" xfId="12823" xr:uid="{00000000-0005-0000-0000-0000BD310000}"/>
    <cellStyle name="_20061117Holux_ProgramWorkBook_CMS_Web_Design_Phase_Deliverables_0621 3" xfId="12824" xr:uid="{00000000-0005-0000-0000-0000BE310000}"/>
    <cellStyle name="_20061117Holux_ProgramWorkBook_CMS_Web_Design_Phase_Deliverables_0621 3 2" xfId="12825" xr:uid="{00000000-0005-0000-0000-0000BF310000}"/>
    <cellStyle name="_20061117Holux_ProgramWorkBook_CMS_Web_Design_Phase_Deliverables_0621 3 2_Steps of Doneness" xfId="12826" xr:uid="{00000000-0005-0000-0000-0000C0310000}"/>
    <cellStyle name="_20061117Holux_ProgramWorkBook_CMS_Web_Design_Phase_Deliverables_0621 3 3" xfId="12827" xr:uid="{00000000-0005-0000-0000-0000C1310000}"/>
    <cellStyle name="_20061117Holux_ProgramWorkBook_CMS_Web_Design_Phase_Deliverables_0621 3_Steps of Doneness" xfId="12828" xr:uid="{00000000-0005-0000-0000-0000C2310000}"/>
    <cellStyle name="_20061117Holux_ProgramWorkBook_CMS_Web_Design_Phase_Deliverables_0621 4" xfId="12829" xr:uid="{00000000-0005-0000-0000-0000C3310000}"/>
    <cellStyle name="_20061117Holux_ProgramWorkBook_CMS_Web_Design_Phase_Deliverables_0621 4_Steps of Doneness" xfId="12830" xr:uid="{00000000-0005-0000-0000-0000C4310000}"/>
    <cellStyle name="_20061117Holux_ProgramWorkBook_CMS_Web_Design_Phase_Deliverables_0621 5" xfId="12831" xr:uid="{00000000-0005-0000-0000-0000C5310000}"/>
    <cellStyle name="_20061117Holux_ProgramWorkBook_CMS_Web_Design_Phase_Deliverables_0621 6" xfId="12832" xr:uid="{00000000-0005-0000-0000-0000C6310000}"/>
    <cellStyle name="_20061117Holux_ProgramWorkBook_CMS_Web_Design_Phase_Deliverables_0621_Commissioning System Implementation_Project Workbook_06_10_2011" xfId="12833" xr:uid="{00000000-0005-0000-0000-0000C7310000}"/>
    <cellStyle name="_20061117Holux_ProgramWorkBook_CMS_Web_Design_Phase_Deliverables_0621_Commissioning System Implementation_Project Workbook_06_10_2011 2" xfId="12834" xr:uid="{00000000-0005-0000-0000-0000C8310000}"/>
    <cellStyle name="_20061117Holux_ProgramWorkBook_CMS_Web_Design_Phase_Deliverables_0621_Commissioning System Implementation_Project Workbook_06_10_2011 2_Steps of Doneness" xfId="12835" xr:uid="{00000000-0005-0000-0000-0000C9310000}"/>
    <cellStyle name="_20061117Holux_ProgramWorkBook_CMS_Web_Design_Phase_Deliverables_0621_Commissioning System Implementation_Project Workbook_06_10_2011 3" xfId="12836" xr:uid="{00000000-0005-0000-0000-0000CA310000}"/>
    <cellStyle name="_20061117Holux_ProgramWorkBook_CMS_Web_Design_Phase_Deliverables_0621_Commissioning System Implementation_Project Workbook_06_10_2011_Steps of Doneness" xfId="12837" xr:uid="{00000000-0005-0000-0000-0000CB310000}"/>
    <cellStyle name="_20061117Holux_ProgramWorkBook_CMS_Web_Design_Phase_Deliverables_0621_FairPoint_CampReport" xfId="12838" xr:uid="{00000000-0005-0000-0000-0000CC310000}"/>
    <cellStyle name="_20061117Holux_ProgramWorkBook_CMS_Web_Design_Phase_Deliverables_0621_FairPoint_CampReport 2" xfId="12839" xr:uid="{00000000-0005-0000-0000-0000CD310000}"/>
    <cellStyle name="_20061117Holux_ProgramWorkBook_CMS_Web_Design_Phase_Deliverables_0621_FairPoint_CampReport 2_Steps of Doneness" xfId="12840" xr:uid="{00000000-0005-0000-0000-0000CE310000}"/>
    <cellStyle name="_20061117Holux_ProgramWorkBook_CMS_Web_Design_Phase_Deliverables_0621_FairPoint_CampReport 3" xfId="12841" xr:uid="{00000000-0005-0000-0000-0000CF310000}"/>
    <cellStyle name="_20061117Holux_ProgramWorkBook_CMS_Web_Design_Phase_Deliverables_0621_FairPoint_CampReport_Steps of Doneness" xfId="12842" xr:uid="{00000000-0005-0000-0000-0000D0310000}"/>
    <cellStyle name="_20061117Holux_ProgramWorkBook_CMS_Web_Design_Phase_Deliverables_0621_FairPoint_FP comTechOps_ProgramWorkbook" xfId="12843" xr:uid="{00000000-0005-0000-0000-0000D1310000}"/>
    <cellStyle name="_20061117Holux_ProgramWorkBook_CMS_Web_Design_Phase_Deliverables_0621_FairPoint_FP comTechOps_ProgramWorkbook 2" xfId="12844" xr:uid="{00000000-0005-0000-0000-0000D2310000}"/>
    <cellStyle name="_20061117Holux_ProgramWorkBook_CMS_Web_Design_Phase_Deliverables_0621_FairPoint_FP comTechOps_ProgramWorkbook 2_Steps of Doneness" xfId="12845" xr:uid="{00000000-0005-0000-0000-0000D3310000}"/>
    <cellStyle name="_20061117Holux_ProgramWorkBook_CMS_Web_Design_Phase_Deliverables_0621_FairPoint_FP comTechOps_ProgramWorkbook 3" xfId="12846" xr:uid="{00000000-0005-0000-0000-0000D4310000}"/>
    <cellStyle name="_20061117Holux_ProgramWorkBook_CMS_Web_Design_Phase_Deliverables_0621_FairPoint_FP comTechOps_ProgramWorkbook_sachin" xfId="12847" xr:uid="{00000000-0005-0000-0000-0000D5310000}"/>
    <cellStyle name="_20061117Holux_ProgramWorkBook_CMS_Web_Design_Phase_Deliverables_0621_FairPoint_FP comTechOps_ProgramWorkbook_sachin 2" xfId="12848" xr:uid="{00000000-0005-0000-0000-0000D6310000}"/>
    <cellStyle name="_20061117Holux_ProgramWorkBook_CMS_Web_Design_Phase_Deliverables_0621_FairPoint_FP comTechOps_ProgramWorkbook_sachin 2_Steps of Doneness" xfId="12849" xr:uid="{00000000-0005-0000-0000-0000D7310000}"/>
    <cellStyle name="_20061117Holux_ProgramWorkBook_CMS_Web_Design_Phase_Deliverables_0621_FairPoint_FP comTechOps_ProgramWorkbook_sachin 3" xfId="12850" xr:uid="{00000000-0005-0000-0000-0000D8310000}"/>
    <cellStyle name="_20061117Holux_ProgramWorkBook_CMS_Web_Design_Phase_Deliverables_0621_FairPoint_FP comTechOps_ProgramWorkbook_sachin_Steps of Doneness" xfId="12851" xr:uid="{00000000-0005-0000-0000-0000D9310000}"/>
    <cellStyle name="_20061117Holux_ProgramWorkBook_CMS_Web_Design_Phase_Deliverables_0621_FairPoint_FP comTechOps_ProgramWorkbook_sachin_v1" xfId="12852" xr:uid="{00000000-0005-0000-0000-0000DA310000}"/>
    <cellStyle name="_20061117Holux_ProgramWorkBook_CMS_Web_Design_Phase_Deliverables_0621_FairPoint_FP comTechOps_ProgramWorkbook_sachin_v1 2" xfId="12853" xr:uid="{00000000-0005-0000-0000-0000DB310000}"/>
    <cellStyle name="_20061117Holux_ProgramWorkBook_CMS_Web_Design_Phase_Deliverables_0621_FairPoint_FP comTechOps_ProgramWorkbook_sachin_v1 2_Steps of Doneness" xfId="12854" xr:uid="{00000000-0005-0000-0000-0000DC310000}"/>
    <cellStyle name="_20061117Holux_ProgramWorkBook_CMS_Web_Design_Phase_Deliverables_0621_FairPoint_FP comTechOps_ProgramWorkbook_sachin_v1 3" xfId="12855" xr:uid="{00000000-0005-0000-0000-0000DD310000}"/>
    <cellStyle name="_20061117Holux_ProgramWorkBook_CMS_Web_Design_Phase_Deliverables_0621_FairPoint_FP comTechOps_ProgramWorkbook_sachin_v1_Steps of Doneness" xfId="12856" xr:uid="{00000000-0005-0000-0000-0000DE310000}"/>
    <cellStyle name="_20061117Holux_ProgramWorkBook_CMS_Web_Design_Phase_Deliverables_0621_FairPoint_FP comTechOps_ProgramWorkbook_Steps of Doneness" xfId="12857" xr:uid="{00000000-0005-0000-0000-0000DF310000}"/>
    <cellStyle name="_20061117Holux_ProgramWorkBook_CMS_Web_Design_Phase_Deliverables_0621_FP_CAMP&amp;ITReporting_Maintenance_Dashboard" xfId="12858" xr:uid="{00000000-0005-0000-0000-0000E0310000}"/>
    <cellStyle name="_20061117Holux_ProgramWorkBook_CMS_Web_Design_Phase_Deliverables_0621_FP_CAMP&amp;ITReporting_Maintenance_Dashboard 2" xfId="12859" xr:uid="{00000000-0005-0000-0000-0000E1310000}"/>
    <cellStyle name="_20061117Holux_ProgramWorkBook_CMS_Web_Design_Phase_Deliverables_0621_FP_CAMP&amp;ITReporting_Maintenance_Dashboard 2_Steps of Doneness" xfId="12860" xr:uid="{00000000-0005-0000-0000-0000E2310000}"/>
    <cellStyle name="_20061117Holux_ProgramWorkBook_CMS_Web_Design_Phase_Deliverables_0621_FP_CAMP&amp;ITReporting_Maintenance_Dashboard 3" xfId="12861" xr:uid="{00000000-0005-0000-0000-0000E3310000}"/>
    <cellStyle name="_20061117Holux_ProgramWorkBook_CMS_Web_Design_Phase_Deliverables_0621_FP_CAMP&amp;ITReporting_Maintenance_Dashboard_Steps of Doneness" xfId="12862" xr:uid="{00000000-0005-0000-0000-0000E4310000}"/>
    <cellStyle name="_20061117Holux_ProgramWorkBook_CMS_Web_Design_Phase_Deliverables_0621_FP_CAMPITReporting_Maintenance_Dashboard" xfId="12863" xr:uid="{00000000-0005-0000-0000-0000E5310000}"/>
    <cellStyle name="_20061117Holux_ProgramWorkBook_CMS_Web_Design_Phase_Deliverables_0621_FP_CAMPITReporting_Maintenance_Dashboard 2" xfId="12864" xr:uid="{00000000-0005-0000-0000-0000E6310000}"/>
    <cellStyle name="_20061117Holux_ProgramWorkBook_CMS_Web_Design_Phase_Deliverables_0621_FP_CAMPITReporting_Maintenance_Dashboard 2_Steps of Doneness" xfId="12865" xr:uid="{00000000-0005-0000-0000-0000E7310000}"/>
    <cellStyle name="_20061117Holux_ProgramWorkBook_CMS_Web_Design_Phase_Deliverables_0621_FP_CAMPITReporting_Maintenance_Dashboard 3" xfId="12866" xr:uid="{00000000-0005-0000-0000-0000E8310000}"/>
    <cellStyle name="_20061117Holux_ProgramWorkBook_CMS_Web_Design_Phase_Deliverables_0621_FP_CAMPITReporting_Maintenance_Dashboard_Steps of Doneness" xfId="12867" xr:uid="{00000000-0005-0000-0000-0000E9310000}"/>
    <cellStyle name="_20061117Holux_ProgramWorkBook_CMS_Web_Design_Phase_Deliverables_0621_FP_Commissions_Req_Dn_ProgramWorkBook_10-Dec-2010" xfId="12868" xr:uid="{00000000-0005-0000-0000-0000EA310000}"/>
    <cellStyle name="_20061117Holux_ProgramWorkBook_CMS_Web_Design_Phase_Deliverables_0621_FP_Commissions_Req_Dn_ProgramWorkBook_10-Dec-2010 2" xfId="12869" xr:uid="{00000000-0005-0000-0000-0000EB310000}"/>
    <cellStyle name="_20061117Holux_ProgramWorkBook_CMS_Web_Design_Phase_Deliverables_0621_FP_Commissions_Req_Dn_ProgramWorkBook_10-Dec-2010 2_Steps of Doneness" xfId="12870" xr:uid="{00000000-0005-0000-0000-0000EC310000}"/>
    <cellStyle name="_20061117Holux_ProgramWorkBook_CMS_Web_Design_Phase_Deliverables_0621_FP_Commissions_Req_Dn_ProgramWorkBook_10-Dec-2010 3" xfId="12871" xr:uid="{00000000-0005-0000-0000-0000ED310000}"/>
    <cellStyle name="_20061117Holux_ProgramWorkBook_CMS_Web_Design_Phase_Deliverables_0621_FP_Commissions_Req_Dn_ProgramWorkBook_10-Dec-2010_Steps of Doneness" xfId="12872" xr:uid="{00000000-0005-0000-0000-0000EE310000}"/>
    <cellStyle name="_20061117Holux_ProgramWorkBook_CMS_Web_Design_Phase_Deliverables_0621_FP_DW_Impl_ProgramWorkBook_07-Jan-2011" xfId="12873" xr:uid="{00000000-0005-0000-0000-0000EF310000}"/>
    <cellStyle name="_20061117Holux_ProgramWorkBook_CMS_Web_Design_Phase_Deliverables_0621_FP_DW_Impl_ProgramWorkBook_07-Jan-2011 2" xfId="12874" xr:uid="{00000000-0005-0000-0000-0000F0310000}"/>
    <cellStyle name="_20061117Holux_ProgramWorkBook_CMS_Web_Design_Phase_Deliverables_0621_FP_DW_Impl_ProgramWorkBook_07-Jan-2011 2 2" xfId="12875" xr:uid="{00000000-0005-0000-0000-0000F1310000}"/>
    <cellStyle name="_20061117Holux_ProgramWorkBook_CMS_Web_Design_Phase_Deliverables_0621_FP_DW_Impl_ProgramWorkBook_07-Jan-2011 2 2_Steps of Doneness" xfId="12876" xr:uid="{00000000-0005-0000-0000-0000F2310000}"/>
    <cellStyle name="_20061117Holux_ProgramWorkBook_CMS_Web_Design_Phase_Deliverables_0621_FP_DW_Impl_ProgramWorkBook_07-Jan-2011 2 3" xfId="12877" xr:uid="{00000000-0005-0000-0000-0000F3310000}"/>
    <cellStyle name="_20061117Holux_ProgramWorkBook_CMS_Web_Design_Phase_Deliverables_0621_FP_DW_Impl_ProgramWorkBook_07-Jan-2011 2_Steps of Doneness" xfId="12878" xr:uid="{00000000-0005-0000-0000-0000F4310000}"/>
    <cellStyle name="_20061117Holux_ProgramWorkBook_CMS_Web_Design_Phase_Deliverables_0621_FP_DW_Impl_ProgramWorkBook_07-Jan-2011 3" xfId="12879" xr:uid="{00000000-0005-0000-0000-0000F5310000}"/>
    <cellStyle name="_20061117Holux_ProgramWorkBook_CMS_Web_Design_Phase_Deliverables_0621_FP_DW_Impl_ProgramWorkBook_07-Jan-2011 3_Steps of Doneness" xfId="12880" xr:uid="{00000000-0005-0000-0000-0000F6310000}"/>
    <cellStyle name="_20061117Holux_ProgramWorkBook_CMS_Web_Design_Phase_Deliverables_0621_FP_DW_Impl_ProgramWorkBook_07-Jan-2011 4" xfId="12881" xr:uid="{00000000-0005-0000-0000-0000F7310000}"/>
    <cellStyle name="_20061117Holux_ProgramWorkBook_CMS_Web_Design_Phase_Deliverables_0621_FP_DW_Impl_ProgramWorkBook_07-Jan-2011_Steps of Doneness" xfId="12882" xr:uid="{00000000-0005-0000-0000-0000F8310000}"/>
    <cellStyle name="_20061117Holux_ProgramWorkBook_CMS_Web_Design_Phase_Deliverables_0621_FP_DW_Impl_ProgramWorkBook_11-Feb-2011" xfId="12883" xr:uid="{00000000-0005-0000-0000-0000F9310000}"/>
    <cellStyle name="_20061117Holux_ProgramWorkBook_CMS_Web_Design_Phase_Deliverables_0621_FP_DW_Impl_ProgramWorkBook_11-Feb-2011 2" xfId="12884" xr:uid="{00000000-0005-0000-0000-0000FA310000}"/>
    <cellStyle name="_20061117Holux_ProgramWorkBook_CMS_Web_Design_Phase_Deliverables_0621_FP_DW_Impl_ProgramWorkBook_11-Feb-2011 2_Steps of Doneness" xfId="12885" xr:uid="{00000000-0005-0000-0000-0000FB310000}"/>
    <cellStyle name="_20061117Holux_ProgramWorkBook_CMS_Web_Design_Phase_Deliverables_0621_FP_DW_Impl_ProgramWorkBook_11-Feb-2011 3" xfId="12886" xr:uid="{00000000-0005-0000-0000-0000FC310000}"/>
    <cellStyle name="_20061117Holux_ProgramWorkBook_CMS_Web_Design_Phase_Deliverables_0621_FP_DW_Impl_ProgramWorkBook_11-Feb-2011_Steps of Doneness" xfId="12887" xr:uid="{00000000-0005-0000-0000-0000FD310000}"/>
    <cellStyle name="_20061117Holux_ProgramWorkBook_CMS_Web_Design_Phase_Deliverables_0621_FP_DW_Impl_ProgramWorkBook_18-Feb-2011 - Working" xfId="12888" xr:uid="{00000000-0005-0000-0000-0000FE310000}"/>
    <cellStyle name="_20061117Holux_ProgramWorkBook_CMS_Web_Design_Phase_Deliverables_0621_FP_DW_Impl_ProgramWorkBook_18-Feb-2011 - Working 2" xfId="12889" xr:uid="{00000000-0005-0000-0000-0000FF310000}"/>
    <cellStyle name="_20061117Holux_ProgramWorkBook_CMS_Web_Design_Phase_Deliverables_0621_FP_DW_Impl_ProgramWorkBook_18-Feb-2011 - Working 2_Steps of Doneness" xfId="12890" xr:uid="{00000000-0005-0000-0000-000000320000}"/>
    <cellStyle name="_20061117Holux_ProgramWorkBook_CMS_Web_Design_Phase_Deliverables_0621_FP_DW_Impl_ProgramWorkBook_18-Feb-2011 - Working 3" xfId="12891" xr:uid="{00000000-0005-0000-0000-000001320000}"/>
    <cellStyle name="_20061117Holux_ProgramWorkBook_CMS_Web_Design_Phase_Deliverables_0621_FP_DW_Impl_ProgramWorkBook_18-Feb-2011 - Working_Steps of Doneness" xfId="12892" xr:uid="{00000000-0005-0000-0000-000002320000}"/>
    <cellStyle name="_20061117Holux_ProgramWorkBook_CMS_Web_Design_Phase_Deliverables_0621_FP_EnterprisePortal_ProgramWorkbook" xfId="12893" xr:uid="{00000000-0005-0000-0000-000003320000}"/>
    <cellStyle name="_20061117Holux_ProgramWorkBook_CMS_Web_Design_Phase_Deliverables_0621_FP_EnterprisePortal_ProgramWorkbook 2" xfId="12894" xr:uid="{00000000-0005-0000-0000-000004320000}"/>
    <cellStyle name="_20061117Holux_ProgramWorkBook_CMS_Web_Design_Phase_Deliverables_0621_FP_EnterprisePortal_ProgramWorkbook 2_Steps of Doneness" xfId="12895" xr:uid="{00000000-0005-0000-0000-000005320000}"/>
    <cellStyle name="_20061117Holux_ProgramWorkBook_CMS_Web_Design_Phase_Deliverables_0621_FP_EnterprisePortal_ProgramWorkbook 3" xfId="12896" xr:uid="{00000000-0005-0000-0000-000006320000}"/>
    <cellStyle name="_20061117Holux_ProgramWorkBook_CMS_Web_Design_Phase_Deliverables_0621_FP_EnterprisePortal_ProgramWorkbook_Steps of Doneness" xfId="12897" xr:uid="{00000000-0005-0000-0000-000007320000}"/>
    <cellStyle name="_20061117Holux_ProgramWorkBook_CMS_Web_Design_Phase_Deliverables_0621_FP_SAP_MLP v2" xfId="12898" xr:uid="{00000000-0005-0000-0000-000008320000}"/>
    <cellStyle name="_20061117Holux_ProgramWorkBook_CMS_Web_Design_Phase_Deliverables_0621_FP_SAP_MLP v2 2" xfId="12899" xr:uid="{00000000-0005-0000-0000-000009320000}"/>
    <cellStyle name="_20061117Holux_ProgramWorkBook_CMS_Web_Design_Phase_Deliverables_0621_FP_SAP_MLP v2 2_Steps of Doneness" xfId="12900" xr:uid="{00000000-0005-0000-0000-00000A320000}"/>
    <cellStyle name="_20061117Holux_ProgramWorkBook_CMS_Web_Design_Phase_Deliverables_0621_FP_SAP_MLP v2 3" xfId="12901" xr:uid="{00000000-0005-0000-0000-00000B320000}"/>
    <cellStyle name="_20061117Holux_ProgramWorkBook_CMS_Web_Design_Phase_Deliverables_0621_FP_SAP_MLP v2_Steps of Doneness" xfId="12902" xr:uid="{00000000-0005-0000-0000-00000C320000}"/>
    <cellStyle name="_20061117Holux_ProgramWorkBook_CMS_Web_Design_Phase_Deliverables_0621_KeyDecisions" xfId="12903" xr:uid="{00000000-0005-0000-0000-00000D320000}"/>
    <cellStyle name="_20061117Holux_ProgramWorkBook_CMS_Web_Design_Phase_Deliverables_0621_KeyDecisions 2" xfId="12904" xr:uid="{00000000-0005-0000-0000-00000E320000}"/>
    <cellStyle name="_20061117Holux_ProgramWorkBook_CMS_Web_Design_Phase_Deliverables_0621_KeyDecisions 2_Steps of Doneness" xfId="12905" xr:uid="{00000000-0005-0000-0000-00000F320000}"/>
    <cellStyle name="_20061117Holux_ProgramWorkBook_CMS_Web_Design_Phase_Deliverables_0621_KeyDecisions 3" xfId="12906" xr:uid="{00000000-0005-0000-0000-000010320000}"/>
    <cellStyle name="_20061117Holux_ProgramWorkBook_CMS_Web_Design_Phase_Deliverables_0621_KeyDecisions_Steps of Doneness" xfId="12907" xr:uid="{00000000-0005-0000-0000-000011320000}"/>
    <cellStyle name="_20061117Holux_ProgramWorkBook_CMS_Web_Design_Phase_Deliverables_0621_Sophia_Imp_ProjectWorkBook_02_18_2011" xfId="12908" xr:uid="{00000000-0005-0000-0000-000012320000}"/>
    <cellStyle name="_20061117Holux_ProgramWorkBook_CMS_Web_Design_Phase_Deliverables_0621_Sophia_Imp_ProjectWorkBook_02_18_2011 2" xfId="12909" xr:uid="{00000000-0005-0000-0000-000013320000}"/>
    <cellStyle name="_20061117Holux_ProgramWorkBook_CMS_Web_Design_Phase_Deliverables_0621_Sophia_Imp_ProjectWorkBook_02_18_2011 2_Steps of Doneness" xfId="12910" xr:uid="{00000000-0005-0000-0000-000014320000}"/>
    <cellStyle name="_20061117Holux_ProgramWorkBook_CMS_Web_Design_Phase_Deliverables_0621_Sophia_Imp_ProjectWorkBook_02_18_2011 3" xfId="12911" xr:uid="{00000000-0005-0000-0000-000015320000}"/>
    <cellStyle name="_20061117Holux_ProgramWorkBook_CMS_Web_Design_Phase_Deliverables_0621_Sophia_Imp_ProjectWorkBook_02_18_2011_Steps of Doneness" xfId="12912" xr:uid="{00000000-0005-0000-0000-000016320000}"/>
    <cellStyle name="_20061117Holux_ProgramWorkBook_CMS_Web_Design_Phase_Deliverables_0621_Steps of Doneness" xfId="12913" xr:uid="{00000000-0005-0000-0000-000017320000}"/>
    <cellStyle name="_20061117Holux_ProgramWorkBook_CMS_Web_Design_Phase_Deliverables_0621_t" xfId="12914" xr:uid="{00000000-0005-0000-0000-000018320000}"/>
    <cellStyle name="_20061117Holux_ProgramWorkBook_CMS_Web_Design_Phase_Deliverables_0621_t 2" xfId="12915" xr:uid="{00000000-0005-0000-0000-000019320000}"/>
    <cellStyle name="_20061117Holux_ProgramWorkBook_CMS_Web_Design_Phase_Deliverables_0621_t 2_Steps of Doneness" xfId="12916" xr:uid="{00000000-0005-0000-0000-00001A320000}"/>
    <cellStyle name="_20061117Holux_ProgramWorkBook_CMS_Web_Design_Phase_Deliverables_0621_t 3" xfId="12917" xr:uid="{00000000-0005-0000-0000-00001B320000}"/>
    <cellStyle name="_20061117Holux_ProgramWorkBook_CMS_Web_Design_Phase_Deliverables_0621_t_Steps of Doneness" xfId="12918" xr:uid="{00000000-0005-0000-0000-00001C320000}"/>
    <cellStyle name="_20061117Holux_ProgramWorkBook_CMS_Web_Design_Phase_Deliverables_0625" xfId="12919" xr:uid="{00000000-0005-0000-0000-00001D320000}"/>
    <cellStyle name="_20061117Holux_ProgramWorkBook_CMS_Web_Design_Phase_Deliverables_0625 2" xfId="12920" xr:uid="{00000000-0005-0000-0000-00001E320000}"/>
    <cellStyle name="_20061117Holux_ProgramWorkBook_CMS_Web_Design_Phase_Deliverables_0625 2 2" xfId="12921" xr:uid="{00000000-0005-0000-0000-00001F320000}"/>
    <cellStyle name="_20061117Holux_ProgramWorkBook_CMS_Web_Design_Phase_Deliverables_0625 2 2_Steps of Doneness" xfId="12922" xr:uid="{00000000-0005-0000-0000-000020320000}"/>
    <cellStyle name="_20061117Holux_ProgramWorkBook_CMS_Web_Design_Phase_Deliverables_0625 2 3" xfId="12923" xr:uid="{00000000-0005-0000-0000-000021320000}"/>
    <cellStyle name="_20061117Holux_ProgramWorkBook_CMS_Web_Design_Phase_Deliverables_0625 2_Steps of Doneness" xfId="12924" xr:uid="{00000000-0005-0000-0000-000022320000}"/>
    <cellStyle name="_20061117Holux_ProgramWorkBook_CMS_Web_Design_Phase_Deliverables_0625 3" xfId="12925" xr:uid="{00000000-0005-0000-0000-000023320000}"/>
    <cellStyle name="_20061117Holux_ProgramWorkBook_CMS_Web_Design_Phase_Deliverables_0625 3 2" xfId="12926" xr:uid="{00000000-0005-0000-0000-000024320000}"/>
    <cellStyle name="_20061117Holux_ProgramWorkBook_CMS_Web_Design_Phase_Deliverables_0625 3 2_Steps of Doneness" xfId="12927" xr:uid="{00000000-0005-0000-0000-000025320000}"/>
    <cellStyle name="_20061117Holux_ProgramWorkBook_CMS_Web_Design_Phase_Deliverables_0625 3 3" xfId="12928" xr:uid="{00000000-0005-0000-0000-000026320000}"/>
    <cellStyle name="_20061117Holux_ProgramWorkBook_CMS_Web_Design_Phase_Deliverables_0625 3_Steps of Doneness" xfId="12929" xr:uid="{00000000-0005-0000-0000-000027320000}"/>
    <cellStyle name="_20061117Holux_ProgramWorkBook_CMS_Web_Design_Phase_Deliverables_0625 4" xfId="12930" xr:uid="{00000000-0005-0000-0000-000028320000}"/>
    <cellStyle name="_20061117Holux_ProgramWorkBook_CMS_Web_Design_Phase_Deliverables_0625 4_Steps of Doneness" xfId="12931" xr:uid="{00000000-0005-0000-0000-000029320000}"/>
    <cellStyle name="_20061117Holux_ProgramWorkBook_CMS_Web_Design_Phase_Deliverables_0625 5" xfId="12932" xr:uid="{00000000-0005-0000-0000-00002A320000}"/>
    <cellStyle name="_20061117Holux_ProgramWorkBook_CMS_Web_Design_Phase_Deliverables_0625 6" xfId="12933" xr:uid="{00000000-0005-0000-0000-00002B320000}"/>
    <cellStyle name="_20061117Holux_ProgramWorkBook_CMS_Web_Design_Phase_Deliverables_0625_Commissioning System Implementation_Project Workbook_06_10_2011" xfId="12934" xr:uid="{00000000-0005-0000-0000-00002C320000}"/>
    <cellStyle name="_20061117Holux_ProgramWorkBook_CMS_Web_Design_Phase_Deliverables_0625_Commissioning System Implementation_Project Workbook_06_10_2011 2" xfId="12935" xr:uid="{00000000-0005-0000-0000-00002D320000}"/>
    <cellStyle name="_20061117Holux_ProgramWorkBook_CMS_Web_Design_Phase_Deliverables_0625_Commissioning System Implementation_Project Workbook_06_10_2011 2_Steps of Doneness" xfId="12936" xr:uid="{00000000-0005-0000-0000-00002E320000}"/>
    <cellStyle name="_20061117Holux_ProgramWorkBook_CMS_Web_Design_Phase_Deliverables_0625_Commissioning System Implementation_Project Workbook_06_10_2011 3" xfId="12937" xr:uid="{00000000-0005-0000-0000-00002F320000}"/>
    <cellStyle name="_20061117Holux_ProgramWorkBook_CMS_Web_Design_Phase_Deliverables_0625_Commissioning System Implementation_Project Workbook_06_10_2011_Steps of Doneness" xfId="12938" xr:uid="{00000000-0005-0000-0000-000030320000}"/>
    <cellStyle name="_20061117Holux_ProgramWorkBook_CMS_Web_Design_Phase_Deliverables_0625_FairPoint_CampReport" xfId="12939" xr:uid="{00000000-0005-0000-0000-000031320000}"/>
    <cellStyle name="_20061117Holux_ProgramWorkBook_CMS_Web_Design_Phase_Deliverables_0625_FairPoint_CampReport 2" xfId="12940" xr:uid="{00000000-0005-0000-0000-000032320000}"/>
    <cellStyle name="_20061117Holux_ProgramWorkBook_CMS_Web_Design_Phase_Deliverables_0625_FairPoint_CampReport 2_Steps of Doneness" xfId="12941" xr:uid="{00000000-0005-0000-0000-000033320000}"/>
    <cellStyle name="_20061117Holux_ProgramWorkBook_CMS_Web_Design_Phase_Deliverables_0625_FairPoint_CampReport 3" xfId="12942" xr:uid="{00000000-0005-0000-0000-000034320000}"/>
    <cellStyle name="_20061117Holux_ProgramWorkBook_CMS_Web_Design_Phase_Deliverables_0625_FairPoint_CampReport_Steps of Doneness" xfId="12943" xr:uid="{00000000-0005-0000-0000-000035320000}"/>
    <cellStyle name="_20061117Holux_ProgramWorkBook_CMS_Web_Design_Phase_Deliverables_0625_FairPoint_FP comTechOps_ProgramWorkbook" xfId="12944" xr:uid="{00000000-0005-0000-0000-000036320000}"/>
    <cellStyle name="_20061117Holux_ProgramWorkBook_CMS_Web_Design_Phase_Deliverables_0625_FairPoint_FP comTechOps_ProgramWorkbook 2" xfId="12945" xr:uid="{00000000-0005-0000-0000-000037320000}"/>
    <cellStyle name="_20061117Holux_ProgramWorkBook_CMS_Web_Design_Phase_Deliverables_0625_FairPoint_FP comTechOps_ProgramWorkbook 2_Steps of Doneness" xfId="12946" xr:uid="{00000000-0005-0000-0000-000038320000}"/>
    <cellStyle name="_20061117Holux_ProgramWorkBook_CMS_Web_Design_Phase_Deliverables_0625_FairPoint_FP comTechOps_ProgramWorkbook 3" xfId="12947" xr:uid="{00000000-0005-0000-0000-000039320000}"/>
    <cellStyle name="_20061117Holux_ProgramWorkBook_CMS_Web_Design_Phase_Deliverables_0625_FairPoint_FP comTechOps_ProgramWorkbook_sachin" xfId="12948" xr:uid="{00000000-0005-0000-0000-00003A320000}"/>
    <cellStyle name="_20061117Holux_ProgramWorkBook_CMS_Web_Design_Phase_Deliverables_0625_FairPoint_FP comTechOps_ProgramWorkbook_sachin 2" xfId="12949" xr:uid="{00000000-0005-0000-0000-00003B320000}"/>
    <cellStyle name="_20061117Holux_ProgramWorkBook_CMS_Web_Design_Phase_Deliverables_0625_FairPoint_FP comTechOps_ProgramWorkbook_sachin 2_Steps of Doneness" xfId="12950" xr:uid="{00000000-0005-0000-0000-00003C320000}"/>
    <cellStyle name="_20061117Holux_ProgramWorkBook_CMS_Web_Design_Phase_Deliverables_0625_FairPoint_FP comTechOps_ProgramWorkbook_sachin 3" xfId="12951" xr:uid="{00000000-0005-0000-0000-00003D320000}"/>
    <cellStyle name="_20061117Holux_ProgramWorkBook_CMS_Web_Design_Phase_Deliverables_0625_FairPoint_FP comTechOps_ProgramWorkbook_sachin_Steps of Doneness" xfId="12952" xr:uid="{00000000-0005-0000-0000-00003E320000}"/>
    <cellStyle name="_20061117Holux_ProgramWorkBook_CMS_Web_Design_Phase_Deliverables_0625_FairPoint_FP comTechOps_ProgramWorkbook_sachin_v1" xfId="12953" xr:uid="{00000000-0005-0000-0000-00003F320000}"/>
    <cellStyle name="_20061117Holux_ProgramWorkBook_CMS_Web_Design_Phase_Deliverables_0625_FairPoint_FP comTechOps_ProgramWorkbook_sachin_v1 2" xfId="12954" xr:uid="{00000000-0005-0000-0000-000040320000}"/>
    <cellStyle name="_20061117Holux_ProgramWorkBook_CMS_Web_Design_Phase_Deliverables_0625_FairPoint_FP comTechOps_ProgramWorkbook_sachin_v1 2_Steps of Doneness" xfId="12955" xr:uid="{00000000-0005-0000-0000-000041320000}"/>
    <cellStyle name="_20061117Holux_ProgramWorkBook_CMS_Web_Design_Phase_Deliverables_0625_FairPoint_FP comTechOps_ProgramWorkbook_sachin_v1 3" xfId="12956" xr:uid="{00000000-0005-0000-0000-000042320000}"/>
    <cellStyle name="_20061117Holux_ProgramWorkBook_CMS_Web_Design_Phase_Deliverables_0625_FairPoint_FP comTechOps_ProgramWorkbook_sachin_v1_Steps of Doneness" xfId="12957" xr:uid="{00000000-0005-0000-0000-000043320000}"/>
    <cellStyle name="_20061117Holux_ProgramWorkBook_CMS_Web_Design_Phase_Deliverables_0625_FairPoint_FP comTechOps_ProgramWorkbook_Steps of Doneness" xfId="12958" xr:uid="{00000000-0005-0000-0000-000044320000}"/>
    <cellStyle name="_20061117Holux_ProgramWorkBook_CMS_Web_Design_Phase_Deliverables_0625_FP_CAMP&amp;ITReporting_Maintenance_Dashboard" xfId="12959" xr:uid="{00000000-0005-0000-0000-000045320000}"/>
    <cellStyle name="_20061117Holux_ProgramWorkBook_CMS_Web_Design_Phase_Deliverables_0625_FP_CAMP&amp;ITReporting_Maintenance_Dashboard 2" xfId="12960" xr:uid="{00000000-0005-0000-0000-000046320000}"/>
    <cellStyle name="_20061117Holux_ProgramWorkBook_CMS_Web_Design_Phase_Deliverables_0625_FP_CAMP&amp;ITReporting_Maintenance_Dashboard 2_Steps of Doneness" xfId="12961" xr:uid="{00000000-0005-0000-0000-000047320000}"/>
    <cellStyle name="_20061117Holux_ProgramWorkBook_CMS_Web_Design_Phase_Deliverables_0625_FP_CAMP&amp;ITReporting_Maintenance_Dashboard 3" xfId="12962" xr:uid="{00000000-0005-0000-0000-000048320000}"/>
    <cellStyle name="_20061117Holux_ProgramWorkBook_CMS_Web_Design_Phase_Deliverables_0625_FP_CAMP&amp;ITReporting_Maintenance_Dashboard_Steps of Doneness" xfId="12963" xr:uid="{00000000-0005-0000-0000-000049320000}"/>
    <cellStyle name="_20061117Holux_ProgramWorkBook_CMS_Web_Design_Phase_Deliverables_0625_FP_CAMPITReporting_Maintenance_Dashboard" xfId="12964" xr:uid="{00000000-0005-0000-0000-00004A320000}"/>
    <cellStyle name="_20061117Holux_ProgramWorkBook_CMS_Web_Design_Phase_Deliverables_0625_FP_CAMPITReporting_Maintenance_Dashboard 2" xfId="12965" xr:uid="{00000000-0005-0000-0000-00004B320000}"/>
    <cellStyle name="_20061117Holux_ProgramWorkBook_CMS_Web_Design_Phase_Deliverables_0625_FP_CAMPITReporting_Maintenance_Dashboard 2_Steps of Doneness" xfId="12966" xr:uid="{00000000-0005-0000-0000-00004C320000}"/>
    <cellStyle name="_20061117Holux_ProgramWorkBook_CMS_Web_Design_Phase_Deliverables_0625_FP_CAMPITReporting_Maintenance_Dashboard 3" xfId="12967" xr:uid="{00000000-0005-0000-0000-00004D320000}"/>
    <cellStyle name="_20061117Holux_ProgramWorkBook_CMS_Web_Design_Phase_Deliverables_0625_FP_CAMPITReporting_Maintenance_Dashboard_Steps of Doneness" xfId="12968" xr:uid="{00000000-0005-0000-0000-00004E320000}"/>
    <cellStyle name="_20061117Holux_ProgramWorkBook_CMS_Web_Design_Phase_Deliverables_0625_FP_Commissions_Req_Dn_ProgramWorkBook_10-Dec-2010" xfId="12969" xr:uid="{00000000-0005-0000-0000-00004F320000}"/>
    <cellStyle name="_20061117Holux_ProgramWorkBook_CMS_Web_Design_Phase_Deliverables_0625_FP_Commissions_Req_Dn_ProgramWorkBook_10-Dec-2010 2" xfId="12970" xr:uid="{00000000-0005-0000-0000-000050320000}"/>
    <cellStyle name="_20061117Holux_ProgramWorkBook_CMS_Web_Design_Phase_Deliverables_0625_FP_Commissions_Req_Dn_ProgramWorkBook_10-Dec-2010 2_Steps of Doneness" xfId="12971" xr:uid="{00000000-0005-0000-0000-000051320000}"/>
    <cellStyle name="_20061117Holux_ProgramWorkBook_CMS_Web_Design_Phase_Deliverables_0625_FP_Commissions_Req_Dn_ProgramWorkBook_10-Dec-2010 3" xfId="12972" xr:uid="{00000000-0005-0000-0000-000052320000}"/>
    <cellStyle name="_20061117Holux_ProgramWorkBook_CMS_Web_Design_Phase_Deliverables_0625_FP_Commissions_Req_Dn_ProgramWorkBook_10-Dec-2010_Steps of Doneness" xfId="12973" xr:uid="{00000000-0005-0000-0000-000053320000}"/>
    <cellStyle name="_20061117Holux_ProgramWorkBook_CMS_Web_Design_Phase_Deliverables_0625_FP_DW_Impl_ProgramWorkBook_07-Jan-2011" xfId="12974" xr:uid="{00000000-0005-0000-0000-000054320000}"/>
    <cellStyle name="_20061117Holux_ProgramWorkBook_CMS_Web_Design_Phase_Deliverables_0625_FP_DW_Impl_ProgramWorkBook_07-Jan-2011 2" xfId="12975" xr:uid="{00000000-0005-0000-0000-000055320000}"/>
    <cellStyle name="_20061117Holux_ProgramWorkBook_CMS_Web_Design_Phase_Deliverables_0625_FP_DW_Impl_ProgramWorkBook_07-Jan-2011 2 2" xfId="12976" xr:uid="{00000000-0005-0000-0000-000056320000}"/>
    <cellStyle name="_20061117Holux_ProgramWorkBook_CMS_Web_Design_Phase_Deliverables_0625_FP_DW_Impl_ProgramWorkBook_07-Jan-2011 2 2_Steps of Doneness" xfId="12977" xr:uid="{00000000-0005-0000-0000-000057320000}"/>
    <cellStyle name="_20061117Holux_ProgramWorkBook_CMS_Web_Design_Phase_Deliverables_0625_FP_DW_Impl_ProgramWorkBook_07-Jan-2011 2 3" xfId="12978" xr:uid="{00000000-0005-0000-0000-000058320000}"/>
    <cellStyle name="_20061117Holux_ProgramWorkBook_CMS_Web_Design_Phase_Deliverables_0625_FP_DW_Impl_ProgramWorkBook_07-Jan-2011 2_Steps of Doneness" xfId="12979" xr:uid="{00000000-0005-0000-0000-000059320000}"/>
    <cellStyle name="_20061117Holux_ProgramWorkBook_CMS_Web_Design_Phase_Deliverables_0625_FP_DW_Impl_ProgramWorkBook_07-Jan-2011 3" xfId="12980" xr:uid="{00000000-0005-0000-0000-00005A320000}"/>
    <cellStyle name="_20061117Holux_ProgramWorkBook_CMS_Web_Design_Phase_Deliverables_0625_FP_DW_Impl_ProgramWorkBook_07-Jan-2011 3_Steps of Doneness" xfId="12981" xr:uid="{00000000-0005-0000-0000-00005B320000}"/>
    <cellStyle name="_20061117Holux_ProgramWorkBook_CMS_Web_Design_Phase_Deliverables_0625_FP_DW_Impl_ProgramWorkBook_07-Jan-2011 4" xfId="12982" xr:uid="{00000000-0005-0000-0000-00005C320000}"/>
    <cellStyle name="_20061117Holux_ProgramWorkBook_CMS_Web_Design_Phase_Deliverables_0625_FP_DW_Impl_ProgramWorkBook_07-Jan-2011_Steps of Doneness" xfId="12983" xr:uid="{00000000-0005-0000-0000-00005D320000}"/>
    <cellStyle name="_20061117Holux_ProgramWorkBook_CMS_Web_Design_Phase_Deliverables_0625_FP_DW_Impl_ProgramWorkBook_11-Feb-2011" xfId="12984" xr:uid="{00000000-0005-0000-0000-00005E320000}"/>
    <cellStyle name="_20061117Holux_ProgramWorkBook_CMS_Web_Design_Phase_Deliverables_0625_FP_DW_Impl_ProgramWorkBook_11-Feb-2011 2" xfId="12985" xr:uid="{00000000-0005-0000-0000-00005F320000}"/>
    <cellStyle name="_20061117Holux_ProgramWorkBook_CMS_Web_Design_Phase_Deliverables_0625_FP_DW_Impl_ProgramWorkBook_11-Feb-2011 2_Steps of Doneness" xfId="12986" xr:uid="{00000000-0005-0000-0000-000060320000}"/>
    <cellStyle name="_20061117Holux_ProgramWorkBook_CMS_Web_Design_Phase_Deliverables_0625_FP_DW_Impl_ProgramWorkBook_11-Feb-2011 3" xfId="12987" xr:uid="{00000000-0005-0000-0000-000061320000}"/>
    <cellStyle name="_20061117Holux_ProgramWorkBook_CMS_Web_Design_Phase_Deliverables_0625_FP_DW_Impl_ProgramWorkBook_11-Feb-2011_Steps of Doneness" xfId="12988" xr:uid="{00000000-0005-0000-0000-000062320000}"/>
    <cellStyle name="_20061117Holux_ProgramWorkBook_CMS_Web_Design_Phase_Deliverables_0625_FP_DW_Impl_ProgramWorkBook_18-Feb-2011 - Working" xfId="12989" xr:uid="{00000000-0005-0000-0000-000063320000}"/>
    <cellStyle name="_20061117Holux_ProgramWorkBook_CMS_Web_Design_Phase_Deliverables_0625_FP_DW_Impl_ProgramWorkBook_18-Feb-2011 - Working 2" xfId="12990" xr:uid="{00000000-0005-0000-0000-000064320000}"/>
    <cellStyle name="_20061117Holux_ProgramWorkBook_CMS_Web_Design_Phase_Deliverables_0625_FP_DW_Impl_ProgramWorkBook_18-Feb-2011 - Working 2_Steps of Doneness" xfId="12991" xr:uid="{00000000-0005-0000-0000-000065320000}"/>
    <cellStyle name="_20061117Holux_ProgramWorkBook_CMS_Web_Design_Phase_Deliverables_0625_FP_DW_Impl_ProgramWorkBook_18-Feb-2011 - Working 3" xfId="12992" xr:uid="{00000000-0005-0000-0000-000066320000}"/>
    <cellStyle name="_20061117Holux_ProgramWorkBook_CMS_Web_Design_Phase_Deliverables_0625_FP_DW_Impl_ProgramWorkBook_18-Feb-2011 - Working_Steps of Doneness" xfId="12993" xr:uid="{00000000-0005-0000-0000-000067320000}"/>
    <cellStyle name="_20061117Holux_ProgramWorkBook_CMS_Web_Design_Phase_Deliverables_0625_FP_EnterprisePortal_ProgramWorkbook" xfId="12994" xr:uid="{00000000-0005-0000-0000-000068320000}"/>
    <cellStyle name="_20061117Holux_ProgramWorkBook_CMS_Web_Design_Phase_Deliverables_0625_FP_EnterprisePortal_ProgramWorkbook 2" xfId="12995" xr:uid="{00000000-0005-0000-0000-000069320000}"/>
    <cellStyle name="_20061117Holux_ProgramWorkBook_CMS_Web_Design_Phase_Deliverables_0625_FP_EnterprisePortal_ProgramWorkbook 2_Steps of Doneness" xfId="12996" xr:uid="{00000000-0005-0000-0000-00006A320000}"/>
    <cellStyle name="_20061117Holux_ProgramWorkBook_CMS_Web_Design_Phase_Deliverables_0625_FP_EnterprisePortal_ProgramWorkbook 3" xfId="12997" xr:uid="{00000000-0005-0000-0000-00006B320000}"/>
    <cellStyle name="_20061117Holux_ProgramWorkBook_CMS_Web_Design_Phase_Deliverables_0625_FP_EnterprisePortal_ProgramWorkbook_Steps of Doneness" xfId="12998" xr:uid="{00000000-0005-0000-0000-00006C320000}"/>
    <cellStyle name="_20061117Holux_ProgramWorkBook_CMS_Web_Design_Phase_Deliverables_0625_FP_SAP_MLP v2" xfId="12999" xr:uid="{00000000-0005-0000-0000-00006D320000}"/>
    <cellStyle name="_20061117Holux_ProgramWorkBook_CMS_Web_Design_Phase_Deliverables_0625_FP_SAP_MLP v2 2" xfId="13000" xr:uid="{00000000-0005-0000-0000-00006E320000}"/>
    <cellStyle name="_20061117Holux_ProgramWorkBook_CMS_Web_Design_Phase_Deliverables_0625_FP_SAP_MLP v2 2_Steps of Doneness" xfId="13001" xr:uid="{00000000-0005-0000-0000-00006F320000}"/>
    <cellStyle name="_20061117Holux_ProgramWorkBook_CMS_Web_Design_Phase_Deliverables_0625_FP_SAP_MLP v2 3" xfId="13002" xr:uid="{00000000-0005-0000-0000-000070320000}"/>
    <cellStyle name="_20061117Holux_ProgramWorkBook_CMS_Web_Design_Phase_Deliverables_0625_FP_SAP_MLP v2_Steps of Doneness" xfId="13003" xr:uid="{00000000-0005-0000-0000-000071320000}"/>
    <cellStyle name="_20061117Holux_ProgramWorkBook_CMS_Web_Design_Phase_Deliverables_0625_KeyDecisions" xfId="13004" xr:uid="{00000000-0005-0000-0000-000072320000}"/>
    <cellStyle name="_20061117Holux_ProgramWorkBook_CMS_Web_Design_Phase_Deliverables_0625_KeyDecisions 2" xfId="13005" xr:uid="{00000000-0005-0000-0000-000073320000}"/>
    <cellStyle name="_20061117Holux_ProgramWorkBook_CMS_Web_Design_Phase_Deliverables_0625_KeyDecisions 2_Steps of Doneness" xfId="13006" xr:uid="{00000000-0005-0000-0000-000074320000}"/>
    <cellStyle name="_20061117Holux_ProgramWorkBook_CMS_Web_Design_Phase_Deliverables_0625_KeyDecisions 3" xfId="13007" xr:uid="{00000000-0005-0000-0000-000075320000}"/>
    <cellStyle name="_20061117Holux_ProgramWorkBook_CMS_Web_Design_Phase_Deliverables_0625_KeyDecisions_Steps of Doneness" xfId="13008" xr:uid="{00000000-0005-0000-0000-000076320000}"/>
    <cellStyle name="_20061117Holux_ProgramWorkBook_CMS_Web_Design_Phase_Deliverables_0625_Sophia_Imp_ProjectWorkBook_02_18_2011" xfId="13009" xr:uid="{00000000-0005-0000-0000-000077320000}"/>
    <cellStyle name="_20061117Holux_ProgramWorkBook_CMS_Web_Design_Phase_Deliverables_0625_Sophia_Imp_ProjectWorkBook_02_18_2011 2" xfId="13010" xr:uid="{00000000-0005-0000-0000-000078320000}"/>
    <cellStyle name="_20061117Holux_ProgramWorkBook_CMS_Web_Design_Phase_Deliverables_0625_Sophia_Imp_ProjectWorkBook_02_18_2011 2_Steps of Doneness" xfId="13011" xr:uid="{00000000-0005-0000-0000-000079320000}"/>
    <cellStyle name="_20061117Holux_ProgramWorkBook_CMS_Web_Design_Phase_Deliverables_0625_Sophia_Imp_ProjectWorkBook_02_18_2011 3" xfId="13012" xr:uid="{00000000-0005-0000-0000-00007A320000}"/>
    <cellStyle name="_20061117Holux_ProgramWorkBook_CMS_Web_Design_Phase_Deliverables_0625_Sophia_Imp_ProjectWorkBook_02_18_2011_Steps of Doneness" xfId="13013" xr:uid="{00000000-0005-0000-0000-00007B320000}"/>
    <cellStyle name="_20061117Holux_ProgramWorkBook_CMS_Web_Design_Phase_Deliverables_0625_Steps of Doneness" xfId="13014" xr:uid="{00000000-0005-0000-0000-00007C320000}"/>
    <cellStyle name="_20061117Holux_ProgramWorkBook_CMS_Web_Design_Phase_Deliverables_0625_t" xfId="13015" xr:uid="{00000000-0005-0000-0000-00007D320000}"/>
    <cellStyle name="_20061117Holux_ProgramWorkBook_CMS_Web_Design_Phase_Deliverables_0625_t 2" xfId="13016" xr:uid="{00000000-0005-0000-0000-00007E320000}"/>
    <cellStyle name="_20061117Holux_ProgramWorkBook_CMS_Web_Design_Phase_Deliverables_0625_t 2_Steps of Doneness" xfId="13017" xr:uid="{00000000-0005-0000-0000-00007F320000}"/>
    <cellStyle name="_20061117Holux_ProgramWorkBook_CMS_Web_Design_Phase_Deliverables_0625_t 3" xfId="13018" xr:uid="{00000000-0005-0000-0000-000080320000}"/>
    <cellStyle name="_20061117Holux_ProgramWorkBook_CMS_Web_Design_Phase_Deliverables_0625_t_Steps of Doneness" xfId="13019" xr:uid="{00000000-0005-0000-0000-000081320000}"/>
    <cellStyle name="_20061117Holux_ProgramWorkBook_CMS_Web_Design_Phase_Deliverables_MLP_0627" xfId="13020" xr:uid="{00000000-0005-0000-0000-000082320000}"/>
    <cellStyle name="_20061117Holux_ProgramWorkBook_CMS_Web_Design_Phase_Deliverables_MLP_0627 2" xfId="13021" xr:uid="{00000000-0005-0000-0000-000083320000}"/>
    <cellStyle name="_20061117Holux_ProgramWorkBook_CMS_Web_Design_Phase_Deliverables_MLP_0627 2 2" xfId="13022" xr:uid="{00000000-0005-0000-0000-000084320000}"/>
    <cellStyle name="_20061117Holux_ProgramWorkBook_CMS_Web_Design_Phase_Deliverables_MLP_0627 2 2_Steps of Doneness" xfId="13023" xr:uid="{00000000-0005-0000-0000-000085320000}"/>
    <cellStyle name="_20061117Holux_ProgramWorkBook_CMS_Web_Design_Phase_Deliverables_MLP_0627 2 3" xfId="13024" xr:uid="{00000000-0005-0000-0000-000086320000}"/>
    <cellStyle name="_20061117Holux_ProgramWorkBook_CMS_Web_Design_Phase_Deliverables_MLP_0627 2_Steps of Doneness" xfId="13025" xr:uid="{00000000-0005-0000-0000-000087320000}"/>
    <cellStyle name="_20061117Holux_ProgramWorkBook_CMS_Web_Design_Phase_Deliverables_MLP_0627 3" xfId="13026" xr:uid="{00000000-0005-0000-0000-000088320000}"/>
    <cellStyle name="_20061117Holux_ProgramWorkBook_CMS_Web_Design_Phase_Deliverables_MLP_0627 3 2" xfId="13027" xr:uid="{00000000-0005-0000-0000-000089320000}"/>
    <cellStyle name="_20061117Holux_ProgramWorkBook_CMS_Web_Design_Phase_Deliverables_MLP_0627 3 2_Steps of Doneness" xfId="13028" xr:uid="{00000000-0005-0000-0000-00008A320000}"/>
    <cellStyle name="_20061117Holux_ProgramWorkBook_CMS_Web_Design_Phase_Deliverables_MLP_0627 3 3" xfId="13029" xr:uid="{00000000-0005-0000-0000-00008B320000}"/>
    <cellStyle name="_20061117Holux_ProgramWorkBook_CMS_Web_Design_Phase_Deliverables_MLP_0627 3_Steps of Doneness" xfId="13030" xr:uid="{00000000-0005-0000-0000-00008C320000}"/>
    <cellStyle name="_20061117Holux_ProgramWorkBook_CMS_Web_Design_Phase_Deliverables_MLP_0627 4" xfId="13031" xr:uid="{00000000-0005-0000-0000-00008D320000}"/>
    <cellStyle name="_20061117Holux_ProgramWorkBook_CMS_Web_Design_Phase_Deliverables_MLP_0627 4_Steps of Doneness" xfId="13032" xr:uid="{00000000-0005-0000-0000-00008E320000}"/>
    <cellStyle name="_20061117Holux_ProgramWorkBook_CMS_Web_Design_Phase_Deliverables_MLP_0627 5" xfId="13033" xr:uid="{00000000-0005-0000-0000-00008F320000}"/>
    <cellStyle name="_20061117Holux_ProgramWorkBook_CMS_Web_Design_Phase_Deliverables_MLP_0627 6" xfId="13034" xr:uid="{00000000-0005-0000-0000-000090320000}"/>
    <cellStyle name="_20061117Holux_ProgramWorkBook_CMS_Web_Design_Phase_Deliverables_MLP_0627_Commissioning System Implementation_Project Workbook_06_10_2011" xfId="13035" xr:uid="{00000000-0005-0000-0000-000091320000}"/>
    <cellStyle name="_20061117Holux_ProgramWorkBook_CMS_Web_Design_Phase_Deliverables_MLP_0627_Commissioning System Implementation_Project Workbook_06_10_2011 2" xfId="13036" xr:uid="{00000000-0005-0000-0000-000092320000}"/>
    <cellStyle name="_20061117Holux_ProgramWorkBook_CMS_Web_Design_Phase_Deliverables_MLP_0627_Commissioning System Implementation_Project Workbook_06_10_2011 2_Steps of Doneness" xfId="13037" xr:uid="{00000000-0005-0000-0000-000093320000}"/>
    <cellStyle name="_20061117Holux_ProgramWorkBook_CMS_Web_Design_Phase_Deliverables_MLP_0627_Commissioning System Implementation_Project Workbook_06_10_2011 3" xfId="13038" xr:uid="{00000000-0005-0000-0000-000094320000}"/>
    <cellStyle name="_20061117Holux_ProgramWorkBook_CMS_Web_Design_Phase_Deliverables_MLP_0627_Commissioning System Implementation_Project Workbook_06_10_2011_Steps of Doneness" xfId="13039" xr:uid="{00000000-0005-0000-0000-000095320000}"/>
    <cellStyle name="_20061117Holux_ProgramWorkBook_CMS_Web_Design_Phase_Deliverables_MLP_0627_FairPoint_CampReport" xfId="13040" xr:uid="{00000000-0005-0000-0000-000096320000}"/>
    <cellStyle name="_20061117Holux_ProgramWorkBook_CMS_Web_Design_Phase_Deliverables_MLP_0627_FairPoint_CampReport 2" xfId="13041" xr:uid="{00000000-0005-0000-0000-000097320000}"/>
    <cellStyle name="_20061117Holux_ProgramWorkBook_CMS_Web_Design_Phase_Deliverables_MLP_0627_FairPoint_CampReport 2_Steps of Doneness" xfId="13042" xr:uid="{00000000-0005-0000-0000-000098320000}"/>
    <cellStyle name="_20061117Holux_ProgramWorkBook_CMS_Web_Design_Phase_Deliverables_MLP_0627_FairPoint_CampReport 3" xfId="13043" xr:uid="{00000000-0005-0000-0000-000099320000}"/>
    <cellStyle name="_20061117Holux_ProgramWorkBook_CMS_Web_Design_Phase_Deliverables_MLP_0627_FairPoint_CampReport_Steps of Doneness" xfId="13044" xr:uid="{00000000-0005-0000-0000-00009A320000}"/>
    <cellStyle name="_20061117Holux_ProgramWorkBook_CMS_Web_Design_Phase_Deliverables_MLP_0627_FairPoint_FP comTechOps_ProgramWorkbook" xfId="13045" xr:uid="{00000000-0005-0000-0000-00009B320000}"/>
    <cellStyle name="_20061117Holux_ProgramWorkBook_CMS_Web_Design_Phase_Deliverables_MLP_0627_FairPoint_FP comTechOps_ProgramWorkbook 2" xfId="13046" xr:uid="{00000000-0005-0000-0000-00009C320000}"/>
    <cellStyle name="_20061117Holux_ProgramWorkBook_CMS_Web_Design_Phase_Deliverables_MLP_0627_FairPoint_FP comTechOps_ProgramWorkbook 2_Steps of Doneness" xfId="13047" xr:uid="{00000000-0005-0000-0000-00009D320000}"/>
    <cellStyle name="_20061117Holux_ProgramWorkBook_CMS_Web_Design_Phase_Deliverables_MLP_0627_FairPoint_FP comTechOps_ProgramWorkbook 3" xfId="13048" xr:uid="{00000000-0005-0000-0000-00009E320000}"/>
    <cellStyle name="_20061117Holux_ProgramWorkBook_CMS_Web_Design_Phase_Deliverables_MLP_0627_FairPoint_FP comTechOps_ProgramWorkbook_sachin" xfId="13049" xr:uid="{00000000-0005-0000-0000-00009F320000}"/>
    <cellStyle name="_20061117Holux_ProgramWorkBook_CMS_Web_Design_Phase_Deliverables_MLP_0627_FairPoint_FP comTechOps_ProgramWorkbook_sachin 2" xfId="13050" xr:uid="{00000000-0005-0000-0000-0000A0320000}"/>
    <cellStyle name="_20061117Holux_ProgramWorkBook_CMS_Web_Design_Phase_Deliverables_MLP_0627_FairPoint_FP comTechOps_ProgramWorkbook_sachin 2_Steps of Doneness" xfId="13051" xr:uid="{00000000-0005-0000-0000-0000A1320000}"/>
    <cellStyle name="_20061117Holux_ProgramWorkBook_CMS_Web_Design_Phase_Deliverables_MLP_0627_FairPoint_FP comTechOps_ProgramWorkbook_sachin 3" xfId="13052" xr:uid="{00000000-0005-0000-0000-0000A2320000}"/>
    <cellStyle name="_20061117Holux_ProgramWorkBook_CMS_Web_Design_Phase_Deliverables_MLP_0627_FairPoint_FP comTechOps_ProgramWorkbook_sachin_Steps of Doneness" xfId="13053" xr:uid="{00000000-0005-0000-0000-0000A3320000}"/>
    <cellStyle name="_20061117Holux_ProgramWorkBook_CMS_Web_Design_Phase_Deliverables_MLP_0627_FairPoint_FP comTechOps_ProgramWorkbook_sachin_v1" xfId="13054" xr:uid="{00000000-0005-0000-0000-0000A4320000}"/>
    <cellStyle name="_20061117Holux_ProgramWorkBook_CMS_Web_Design_Phase_Deliverables_MLP_0627_FairPoint_FP comTechOps_ProgramWorkbook_sachin_v1 2" xfId="13055" xr:uid="{00000000-0005-0000-0000-0000A5320000}"/>
    <cellStyle name="_20061117Holux_ProgramWorkBook_CMS_Web_Design_Phase_Deliverables_MLP_0627_FairPoint_FP comTechOps_ProgramWorkbook_sachin_v1 2_Steps of Doneness" xfId="13056" xr:uid="{00000000-0005-0000-0000-0000A6320000}"/>
    <cellStyle name="_20061117Holux_ProgramWorkBook_CMS_Web_Design_Phase_Deliverables_MLP_0627_FairPoint_FP comTechOps_ProgramWorkbook_sachin_v1 3" xfId="13057" xr:uid="{00000000-0005-0000-0000-0000A7320000}"/>
    <cellStyle name="_20061117Holux_ProgramWorkBook_CMS_Web_Design_Phase_Deliverables_MLP_0627_FairPoint_FP comTechOps_ProgramWorkbook_sachin_v1_Steps of Doneness" xfId="13058" xr:uid="{00000000-0005-0000-0000-0000A8320000}"/>
    <cellStyle name="_20061117Holux_ProgramWorkBook_CMS_Web_Design_Phase_Deliverables_MLP_0627_FairPoint_FP comTechOps_ProgramWorkbook_Steps of Doneness" xfId="13059" xr:uid="{00000000-0005-0000-0000-0000A9320000}"/>
    <cellStyle name="_20061117Holux_ProgramWorkBook_CMS_Web_Design_Phase_Deliverables_MLP_0627_FP_CAMP&amp;ITReporting_Maintenance_Dashboard" xfId="13060" xr:uid="{00000000-0005-0000-0000-0000AA320000}"/>
    <cellStyle name="_20061117Holux_ProgramWorkBook_CMS_Web_Design_Phase_Deliverables_MLP_0627_FP_CAMP&amp;ITReporting_Maintenance_Dashboard 2" xfId="13061" xr:uid="{00000000-0005-0000-0000-0000AB320000}"/>
    <cellStyle name="_20061117Holux_ProgramWorkBook_CMS_Web_Design_Phase_Deliverables_MLP_0627_FP_CAMP&amp;ITReporting_Maintenance_Dashboard 2_Steps of Doneness" xfId="13062" xr:uid="{00000000-0005-0000-0000-0000AC320000}"/>
    <cellStyle name="_20061117Holux_ProgramWorkBook_CMS_Web_Design_Phase_Deliverables_MLP_0627_FP_CAMP&amp;ITReporting_Maintenance_Dashboard 3" xfId="13063" xr:uid="{00000000-0005-0000-0000-0000AD320000}"/>
    <cellStyle name="_20061117Holux_ProgramWorkBook_CMS_Web_Design_Phase_Deliverables_MLP_0627_FP_CAMP&amp;ITReporting_Maintenance_Dashboard_Steps of Doneness" xfId="13064" xr:uid="{00000000-0005-0000-0000-0000AE320000}"/>
    <cellStyle name="_20061117Holux_ProgramWorkBook_CMS_Web_Design_Phase_Deliverables_MLP_0627_FP_CAMPITReporting_Maintenance_Dashboard" xfId="13065" xr:uid="{00000000-0005-0000-0000-0000AF320000}"/>
    <cellStyle name="_20061117Holux_ProgramWorkBook_CMS_Web_Design_Phase_Deliverables_MLP_0627_FP_CAMPITReporting_Maintenance_Dashboard 2" xfId="13066" xr:uid="{00000000-0005-0000-0000-0000B0320000}"/>
    <cellStyle name="_20061117Holux_ProgramWorkBook_CMS_Web_Design_Phase_Deliverables_MLP_0627_FP_CAMPITReporting_Maintenance_Dashboard 2_Steps of Doneness" xfId="13067" xr:uid="{00000000-0005-0000-0000-0000B1320000}"/>
    <cellStyle name="_20061117Holux_ProgramWorkBook_CMS_Web_Design_Phase_Deliverables_MLP_0627_FP_CAMPITReporting_Maintenance_Dashboard 3" xfId="13068" xr:uid="{00000000-0005-0000-0000-0000B2320000}"/>
    <cellStyle name="_20061117Holux_ProgramWorkBook_CMS_Web_Design_Phase_Deliverables_MLP_0627_FP_CAMPITReporting_Maintenance_Dashboard_Steps of Doneness" xfId="13069" xr:uid="{00000000-0005-0000-0000-0000B3320000}"/>
    <cellStyle name="_20061117Holux_ProgramWorkBook_CMS_Web_Design_Phase_Deliverables_MLP_0627_FP_Commissions_Req_Dn_ProgramWorkBook_10-Dec-2010" xfId="13070" xr:uid="{00000000-0005-0000-0000-0000B4320000}"/>
    <cellStyle name="_20061117Holux_ProgramWorkBook_CMS_Web_Design_Phase_Deliverables_MLP_0627_FP_Commissions_Req_Dn_ProgramWorkBook_10-Dec-2010 2" xfId="13071" xr:uid="{00000000-0005-0000-0000-0000B5320000}"/>
    <cellStyle name="_20061117Holux_ProgramWorkBook_CMS_Web_Design_Phase_Deliverables_MLP_0627_FP_Commissions_Req_Dn_ProgramWorkBook_10-Dec-2010 2_Steps of Doneness" xfId="13072" xr:uid="{00000000-0005-0000-0000-0000B6320000}"/>
    <cellStyle name="_20061117Holux_ProgramWorkBook_CMS_Web_Design_Phase_Deliverables_MLP_0627_FP_Commissions_Req_Dn_ProgramWorkBook_10-Dec-2010 3" xfId="13073" xr:uid="{00000000-0005-0000-0000-0000B7320000}"/>
    <cellStyle name="_20061117Holux_ProgramWorkBook_CMS_Web_Design_Phase_Deliverables_MLP_0627_FP_Commissions_Req_Dn_ProgramWorkBook_10-Dec-2010_Steps of Doneness" xfId="13074" xr:uid="{00000000-0005-0000-0000-0000B8320000}"/>
    <cellStyle name="_20061117Holux_ProgramWorkBook_CMS_Web_Design_Phase_Deliverables_MLP_0627_FP_DW_Impl_ProgramWorkBook_07-Jan-2011" xfId="13075" xr:uid="{00000000-0005-0000-0000-0000B9320000}"/>
    <cellStyle name="_20061117Holux_ProgramWorkBook_CMS_Web_Design_Phase_Deliverables_MLP_0627_FP_DW_Impl_ProgramWorkBook_07-Jan-2011 2" xfId="13076" xr:uid="{00000000-0005-0000-0000-0000BA320000}"/>
    <cellStyle name="_20061117Holux_ProgramWorkBook_CMS_Web_Design_Phase_Deliverables_MLP_0627_FP_DW_Impl_ProgramWorkBook_07-Jan-2011 2 2" xfId="13077" xr:uid="{00000000-0005-0000-0000-0000BB320000}"/>
    <cellStyle name="_20061117Holux_ProgramWorkBook_CMS_Web_Design_Phase_Deliverables_MLP_0627_FP_DW_Impl_ProgramWorkBook_07-Jan-2011 2 2_Steps of Doneness" xfId="13078" xr:uid="{00000000-0005-0000-0000-0000BC320000}"/>
    <cellStyle name="_20061117Holux_ProgramWorkBook_CMS_Web_Design_Phase_Deliverables_MLP_0627_FP_DW_Impl_ProgramWorkBook_07-Jan-2011 2 3" xfId="13079" xr:uid="{00000000-0005-0000-0000-0000BD320000}"/>
    <cellStyle name="_20061117Holux_ProgramWorkBook_CMS_Web_Design_Phase_Deliverables_MLP_0627_FP_DW_Impl_ProgramWorkBook_07-Jan-2011 2_Steps of Doneness" xfId="13080" xr:uid="{00000000-0005-0000-0000-0000BE320000}"/>
    <cellStyle name="_20061117Holux_ProgramWorkBook_CMS_Web_Design_Phase_Deliverables_MLP_0627_FP_DW_Impl_ProgramWorkBook_07-Jan-2011 3" xfId="13081" xr:uid="{00000000-0005-0000-0000-0000BF320000}"/>
    <cellStyle name="_20061117Holux_ProgramWorkBook_CMS_Web_Design_Phase_Deliverables_MLP_0627_FP_DW_Impl_ProgramWorkBook_07-Jan-2011 3_Steps of Doneness" xfId="13082" xr:uid="{00000000-0005-0000-0000-0000C0320000}"/>
    <cellStyle name="_20061117Holux_ProgramWorkBook_CMS_Web_Design_Phase_Deliverables_MLP_0627_FP_DW_Impl_ProgramWorkBook_07-Jan-2011 4" xfId="13083" xr:uid="{00000000-0005-0000-0000-0000C1320000}"/>
    <cellStyle name="_20061117Holux_ProgramWorkBook_CMS_Web_Design_Phase_Deliverables_MLP_0627_FP_DW_Impl_ProgramWorkBook_07-Jan-2011_Steps of Doneness" xfId="13084" xr:uid="{00000000-0005-0000-0000-0000C2320000}"/>
    <cellStyle name="_20061117Holux_ProgramWorkBook_CMS_Web_Design_Phase_Deliverables_MLP_0627_FP_DW_Impl_ProgramWorkBook_11-Feb-2011" xfId="13085" xr:uid="{00000000-0005-0000-0000-0000C3320000}"/>
    <cellStyle name="_20061117Holux_ProgramWorkBook_CMS_Web_Design_Phase_Deliverables_MLP_0627_FP_DW_Impl_ProgramWorkBook_11-Feb-2011 2" xfId="13086" xr:uid="{00000000-0005-0000-0000-0000C4320000}"/>
    <cellStyle name="_20061117Holux_ProgramWorkBook_CMS_Web_Design_Phase_Deliverables_MLP_0627_FP_DW_Impl_ProgramWorkBook_11-Feb-2011 2_Steps of Doneness" xfId="13087" xr:uid="{00000000-0005-0000-0000-0000C5320000}"/>
    <cellStyle name="_20061117Holux_ProgramWorkBook_CMS_Web_Design_Phase_Deliverables_MLP_0627_FP_DW_Impl_ProgramWorkBook_11-Feb-2011 3" xfId="13088" xr:uid="{00000000-0005-0000-0000-0000C6320000}"/>
    <cellStyle name="_20061117Holux_ProgramWorkBook_CMS_Web_Design_Phase_Deliverables_MLP_0627_FP_DW_Impl_ProgramWorkBook_11-Feb-2011_Steps of Doneness" xfId="13089" xr:uid="{00000000-0005-0000-0000-0000C7320000}"/>
    <cellStyle name="_20061117Holux_ProgramWorkBook_CMS_Web_Design_Phase_Deliverables_MLP_0627_FP_DW_Impl_ProgramWorkBook_18-Feb-2011 - Working" xfId="13090" xr:uid="{00000000-0005-0000-0000-0000C8320000}"/>
    <cellStyle name="_20061117Holux_ProgramWorkBook_CMS_Web_Design_Phase_Deliverables_MLP_0627_FP_DW_Impl_ProgramWorkBook_18-Feb-2011 - Working 2" xfId="13091" xr:uid="{00000000-0005-0000-0000-0000C9320000}"/>
    <cellStyle name="_20061117Holux_ProgramWorkBook_CMS_Web_Design_Phase_Deliverables_MLP_0627_FP_DW_Impl_ProgramWorkBook_18-Feb-2011 - Working 2_Steps of Doneness" xfId="13092" xr:uid="{00000000-0005-0000-0000-0000CA320000}"/>
    <cellStyle name="_20061117Holux_ProgramWorkBook_CMS_Web_Design_Phase_Deliverables_MLP_0627_FP_DW_Impl_ProgramWorkBook_18-Feb-2011 - Working 3" xfId="13093" xr:uid="{00000000-0005-0000-0000-0000CB320000}"/>
    <cellStyle name="_20061117Holux_ProgramWorkBook_CMS_Web_Design_Phase_Deliverables_MLP_0627_FP_DW_Impl_ProgramWorkBook_18-Feb-2011 - Working_Steps of Doneness" xfId="13094" xr:uid="{00000000-0005-0000-0000-0000CC320000}"/>
    <cellStyle name="_20061117Holux_ProgramWorkBook_CMS_Web_Design_Phase_Deliverables_MLP_0627_FP_EnterprisePortal_ProgramWorkbook" xfId="13095" xr:uid="{00000000-0005-0000-0000-0000CD320000}"/>
    <cellStyle name="_20061117Holux_ProgramWorkBook_CMS_Web_Design_Phase_Deliverables_MLP_0627_FP_EnterprisePortal_ProgramWorkbook 2" xfId="13096" xr:uid="{00000000-0005-0000-0000-0000CE320000}"/>
    <cellStyle name="_20061117Holux_ProgramWorkBook_CMS_Web_Design_Phase_Deliverables_MLP_0627_FP_EnterprisePortal_ProgramWorkbook 2_Steps of Doneness" xfId="13097" xr:uid="{00000000-0005-0000-0000-0000CF320000}"/>
    <cellStyle name="_20061117Holux_ProgramWorkBook_CMS_Web_Design_Phase_Deliverables_MLP_0627_FP_EnterprisePortal_ProgramWorkbook 3" xfId="13098" xr:uid="{00000000-0005-0000-0000-0000D0320000}"/>
    <cellStyle name="_20061117Holux_ProgramWorkBook_CMS_Web_Design_Phase_Deliverables_MLP_0627_FP_EnterprisePortal_ProgramWorkbook_Steps of Doneness" xfId="13099" xr:uid="{00000000-0005-0000-0000-0000D1320000}"/>
    <cellStyle name="_20061117Holux_ProgramWorkBook_CMS_Web_Design_Phase_Deliverables_MLP_0627_FP_SAP_MLP v2" xfId="13100" xr:uid="{00000000-0005-0000-0000-0000D2320000}"/>
    <cellStyle name="_20061117Holux_ProgramWorkBook_CMS_Web_Design_Phase_Deliverables_MLP_0627_FP_SAP_MLP v2 2" xfId="13101" xr:uid="{00000000-0005-0000-0000-0000D3320000}"/>
    <cellStyle name="_20061117Holux_ProgramWorkBook_CMS_Web_Design_Phase_Deliverables_MLP_0627_FP_SAP_MLP v2 2_Steps of Doneness" xfId="13102" xr:uid="{00000000-0005-0000-0000-0000D4320000}"/>
    <cellStyle name="_20061117Holux_ProgramWorkBook_CMS_Web_Design_Phase_Deliverables_MLP_0627_FP_SAP_MLP v2 3" xfId="13103" xr:uid="{00000000-0005-0000-0000-0000D5320000}"/>
    <cellStyle name="_20061117Holux_ProgramWorkBook_CMS_Web_Design_Phase_Deliverables_MLP_0627_FP_SAP_MLP v2_Steps of Doneness" xfId="13104" xr:uid="{00000000-0005-0000-0000-0000D6320000}"/>
    <cellStyle name="_20061117Holux_ProgramWorkBook_CMS_Web_Design_Phase_Deliverables_MLP_0627_KeyDecisions" xfId="13105" xr:uid="{00000000-0005-0000-0000-0000D7320000}"/>
    <cellStyle name="_20061117Holux_ProgramWorkBook_CMS_Web_Design_Phase_Deliverables_MLP_0627_KeyDecisions 2" xfId="13106" xr:uid="{00000000-0005-0000-0000-0000D8320000}"/>
    <cellStyle name="_20061117Holux_ProgramWorkBook_CMS_Web_Design_Phase_Deliverables_MLP_0627_KeyDecisions 2_Steps of Doneness" xfId="13107" xr:uid="{00000000-0005-0000-0000-0000D9320000}"/>
    <cellStyle name="_20061117Holux_ProgramWorkBook_CMS_Web_Design_Phase_Deliverables_MLP_0627_KeyDecisions 3" xfId="13108" xr:uid="{00000000-0005-0000-0000-0000DA320000}"/>
    <cellStyle name="_20061117Holux_ProgramWorkBook_CMS_Web_Design_Phase_Deliverables_MLP_0627_KeyDecisions_Steps of Doneness" xfId="13109" xr:uid="{00000000-0005-0000-0000-0000DB320000}"/>
    <cellStyle name="_20061117Holux_ProgramWorkBook_CMS_Web_Design_Phase_Deliverables_MLP_0627_Sophia_Imp_ProjectWorkBook_02_18_2011" xfId="13110" xr:uid="{00000000-0005-0000-0000-0000DC320000}"/>
    <cellStyle name="_20061117Holux_ProgramWorkBook_CMS_Web_Design_Phase_Deliverables_MLP_0627_Sophia_Imp_ProjectWorkBook_02_18_2011 2" xfId="13111" xr:uid="{00000000-0005-0000-0000-0000DD320000}"/>
    <cellStyle name="_20061117Holux_ProgramWorkBook_CMS_Web_Design_Phase_Deliverables_MLP_0627_Sophia_Imp_ProjectWorkBook_02_18_2011 2_Steps of Doneness" xfId="13112" xr:uid="{00000000-0005-0000-0000-0000DE320000}"/>
    <cellStyle name="_20061117Holux_ProgramWorkBook_CMS_Web_Design_Phase_Deliverables_MLP_0627_Sophia_Imp_ProjectWorkBook_02_18_2011 3" xfId="13113" xr:uid="{00000000-0005-0000-0000-0000DF320000}"/>
    <cellStyle name="_20061117Holux_ProgramWorkBook_CMS_Web_Design_Phase_Deliverables_MLP_0627_Sophia_Imp_ProjectWorkBook_02_18_2011_Steps of Doneness" xfId="13114" xr:uid="{00000000-0005-0000-0000-0000E0320000}"/>
    <cellStyle name="_20061117Holux_ProgramWorkBook_CMS_Web_Design_Phase_Deliverables_MLP_0627_Steps of Doneness" xfId="13115" xr:uid="{00000000-0005-0000-0000-0000E1320000}"/>
    <cellStyle name="_20061117Holux_ProgramWorkBook_CMS_Web_Design_Phase_Deliverables_MLP_0627_t" xfId="13116" xr:uid="{00000000-0005-0000-0000-0000E2320000}"/>
    <cellStyle name="_20061117Holux_ProgramWorkBook_CMS_Web_Design_Phase_Deliverables_MLP_0627_t 2" xfId="13117" xr:uid="{00000000-0005-0000-0000-0000E3320000}"/>
    <cellStyle name="_20061117Holux_ProgramWorkBook_CMS_Web_Design_Phase_Deliverables_MLP_0627_t 2_Steps of Doneness" xfId="13118" xr:uid="{00000000-0005-0000-0000-0000E4320000}"/>
    <cellStyle name="_20061117Holux_ProgramWorkBook_CMS_Web_Design_Phase_Deliverables_MLP_0627_t 3" xfId="13119" xr:uid="{00000000-0005-0000-0000-0000E5320000}"/>
    <cellStyle name="_20061117Holux_ProgramWorkBook_CMS_Web_Design_Phase_Deliverables_MLP_0627_t_Steps of Doneness" xfId="13120" xr:uid="{00000000-0005-0000-0000-0000E6320000}"/>
    <cellStyle name="_20061117Holux_ProgramWorkBook_CMS_Web_Design_Phase_Deliverables_MLP_LLP_7-12-2010_Combined" xfId="13121" xr:uid="{00000000-0005-0000-0000-0000E7320000}"/>
    <cellStyle name="_20061117Holux_ProgramWorkBook_CMS_Web_Design_Phase_Deliverables_MLP_LLP_7-12-2010_Combined 2" xfId="13122" xr:uid="{00000000-0005-0000-0000-0000E8320000}"/>
    <cellStyle name="_20061117Holux_ProgramWorkBook_CMS_Web_Design_Phase_Deliverables_MLP_LLP_7-12-2010_Combined 2 2" xfId="13123" xr:uid="{00000000-0005-0000-0000-0000E9320000}"/>
    <cellStyle name="_20061117Holux_ProgramWorkBook_CMS_Web_Design_Phase_Deliverables_MLP_LLP_7-12-2010_Combined 2 2_Steps of Doneness" xfId="13124" xr:uid="{00000000-0005-0000-0000-0000EA320000}"/>
    <cellStyle name="_20061117Holux_ProgramWorkBook_CMS_Web_Design_Phase_Deliverables_MLP_LLP_7-12-2010_Combined 2 3" xfId="13125" xr:uid="{00000000-0005-0000-0000-0000EB320000}"/>
    <cellStyle name="_20061117Holux_ProgramWorkBook_CMS_Web_Design_Phase_Deliverables_MLP_LLP_7-12-2010_Combined 2_Steps of Doneness" xfId="13126" xr:uid="{00000000-0005-0000-0000-0000EC320000}"/>
    <cellStyle name="_20061117Holux_ProgramWorkBook_CMS_Web_Design_Phase_Deliverables_MLP_LLP_7-12-2010_Combined 3" xfId="13127" xr:uid="{00000000-0005-0000-0000-0000ED320000}"/>
    <cellStyle name="_20061117Holux_ProgramWorkBook_CMS_Web_Design_Phase_Deliverables_MLP_LLP_7-12-2010_Combined 3 2" xfId="13128" xr:uid="{00000000-0005-0000-0000-0000EE320000}"/>
    <cellStyle name="_20061117Holux_ProgramWorkBook_CMS_Web_Design_Phase_Deliverables_MLP_LLP_7-12-2010_Combined 3 2_Steps of Doneness" xfId="13129" xr:uid="{00000000-0005-0000-0000-0000EF320000}"/>
    <cellStyle name="_20061117Holux_ProgramWorkBook_CMS_Web_Design_Phase_Deliverables_MLP_LLP_7-12-2010_Combined 3 3" xfId="13130" xr:uid="{00000000-0005-0000-0000-0000F0320000}"/>
    <cellStyle name="_20061117Holux_ProgramWorkBook_CMS_Web_Design_Phase_Deliverables_MLP_LLP_7-12-2010_Combined 3_Steps of Doneness" xfId="13131" xr:uid="{00000000-0005-0000-0000-0000F1320000}"/>
    <cellStyle name="_20061117Holux_ProgramWorkBook_CMS_Web_Design_Phase_Deliverables_MLP_LLP_7-12-2010_Combined 4" xfId="13132" xr:uid="{00000000-0005-0000-0000-0000F2320000}"/>
    <cellStyle name="_20061117Holux_ProgramWorkBook_CMS_Web_Design_Phase_Deliverables_MLP_LLP_7-12-2010_Combined 4_Steps of Doneness" xfId="13133" xr:uid="{00000000-0005-0000-0000-0000F3320000}"/>
    <cellStyle name="_20061117Holux_ProgramWorkBook_CMS_Web_Design_Phase_Deliverables_MLP_LLP_7-12-2010_Combined 5" xfId="13134" xr:uid="{00000000-0005-0000-0000-0000F4320000}"/>
    <cellStyle name="_20061117Holux_ProgramWorkBook_CMS_Web_Design_Phase_Deliverables_MLP_LLP_7-12-2010_Combined 6" xfId="13135" xr:uid="{00000000-0005-0000-0000-0000F5320000}"/>
    <cellStyle name="_20061117Holux_ProgramWorkBook_CMS_Web_Design_Phase_Deliverables_MLP_LLP_7-12-2010_Combined_Commissioning System Implementation_Project Workbook_06_10_2011" xfId="13136" xr:uid="{00000000-0005-0000-0000-0000F6320000}"/>
    <cellStyle name="_20061117Holux_ProgramWorkBook_CMS_Web_Design_Phase_Deliverables_MLP_LLP_7-12-2010_Combined_Commissioning System Implementation_Project Workbook_06_10_2011 2" xfId="13137" xr:uid="{00000000-0005-0000-0000-0000F7320000}"/>
    <cellStyle name="_20061117Holux_ProgramWorkBook_CMS_Web_Design_Phase_Deliverables_MLP_LLP_7-12-2010_Combined_Commissioning System Implementation_Project Workbook_06_10_2011 2_Steps of Doneness" xfId="13138" xr:uid="{00000000-0005-0000-0000-0000F8320000}"/>
    <cellStyle name="_20061117Holux_ProgramWorkBook_CMS_Web_Design_Phase_Deliverables_MLP_LLP_7-12-2010_Combined_Commissioning System Implementation_Project Workbook_06_10_2011 3" xfId="13139" xr:uid="{00000000-0005-0000-0000-0000F9320000}"/>
    <cellStyle name="_20061117Holux_ProgramWorkBook_CMS_Web_Design_Phase_Deliverables_MLP_LLP_7-12-2010_Combined_Commissioning System Implementation_Project Workbook_06_10_2011_Steps of Doneness" xfId="13140" xr:uid="{00000000-0005-0000-0000-0000FA320000}"/>
    <cellStyle name="_20061117Holux_ProgramWorkBook_CMS_Web_Design_Phase_Deliverables_MLP_LLP_7-12-2010_Combined_FairPoint_CampReport" xfId="13141" xr:uid="{00000000-0005-0000-0000-0000FB320000}"/>
    <cellStyle name="_20061117Holux_ProgramWorkBook_CMS_Web_Design_Phase_Deliverables_MLP_LLP_7-12-2010_Combined_FairPoint_CampReport 2" xfId="13142" xr:uid="{00000000-0005-0000-0000-0000FC320000}"/>
    <cellStyle name="_20061117Holux_ProgramWorkBook_CMS_Web_Design_Phase_Deliverables_MLP_LLP_7-12-2010_Combined_FairPoint_CampReport 2_Steps of Doneness" xfId="13143" xr:uid="{00000000-0005-0000-0000-0000FD320000}"/>
    <cellStyle name="_20061117Holux_ProgramWorkBook_CMS_Web_Design_Phase_Deliverables_MLP_LLP_7-12-2010_Combined_FairPoint_CampReport 3" xfId="13144" xr:uid="{00000000-0005-0000-0000-0000FE320000}"/>
    <cellStyle name="_20061117Holux_ProgramWorkBook_CMS_Web_Design_Phase_Deliverables_MLP_LLP_7-12-2010_Combined_FairPoint_CampReport_Steps of Doneness" xfId="13145" xr:uid="{00000000-0005-0000-0000-0000FF320000}"/>
    <cellStyle name="_20061117Holux_ProgramWorkBook_CMS_Web_Design_Phase_Deliverables_MLP_LLP_7-12-2010_Combined_FairPoint_FP comTechOps_ProgramWorkbook" xfId="13146" xr:uid="{00000000-0005-0000-0000-000000330000}"/>
    <cellStyle name="_20061117Holux_ProgramWorkBook_CMS_Web_Design_Phase_Deliverables_MLP_LLP_7-12-2010_Combined_FairPoint_FP comTechOps_ProgramWorkbook 2" xfId="13147" xr:uid="{00000000-0005-0000-0000-000001330000}"/>
    <cellStyle name="_20061117Holux_ProgramWorkBook_CMS_Web_Design_Phase_Deliverables_MLP_LLP_7-12-2010_Combined_FairPoint_FP comTechOps_ProgramWorkbook 2_Steps of Doneness" xfId="13148" xr:uid="{00000000-0005-0000-0000-000002330000}"/>
    <cellStyle name="_20061117Holux_ProgramWorkBook_CMS_Web_Design_Phase_Deliverables_MLP_LLP_7-12-2010_Combined_FairPoint_FP comTechOps_ProgramWorkbook 3" xfId="13149" xr:uid="{00000000-0005-0000-0000-000003330000}"/>
    <cellStyle name="_20061117Holux_ProgramWorkBook_CMS_Web_Design_Phase_Deliverables_MLP_LLP_7-12-2010_Combined_FairPoint_FP comTechOps_ProgramWorkbook_sachin" xfId="13150" xr:uid="{00000000-0005-0000-0000-000004330000}"/>
    <cellStyle name="_20061117Holux_ProgramWorkBook_CMS_Web_Design_Phase_Deliverables_MLP_LLP_7-12-2010_Combined_FairPoint_FP comTechOps_ProgramWorkbook_sachin 2" xfId="13151" xr:uid="{00000000-0005-0000-0000-000005330000}"/>
    <cellStyle name="_20061117Holux_ProgramWorkBook_CMS_Web_Design_Phase_Deliverables_MLP_LLP_7-12-2010_Combined_FairPoint_FP comTechOps_ProgramWorkbook_sachin 2_Steps of Doneness" xfId="13152" xr:uid="{00000000-0005-0000-0000-000006330000}"/>
    <cellStyle name="_20061117Holux_ProgramWorkBook_CMS_Web_Design_Phase_Deliverables_MLP_LLP_7-12-2010_Combined_FairPoint_FP comTechOps_ProgramWorkbook_sachin 3" xfId="13153" xr:uid="{00000000-0005-0000-0000-000007330000}"/>
    <cellStyle name="_20061117Holux_ProgramWorkBook_CMS_Web_Design_Phase_Deliverables_MLP_LLP_7-12-2010_Combined_FairPoint_FP comTechOps_ProgramWorkbook_sachin_Steps of Doneness" xfId="13154" xr:uid="{00000000-0005-0000-0000-000008330000}"/>
    <cellStyle name="_20061117Holux_ProgramWorkBook_CMS_Web_Design_Phase_Deliverables_MLP_LLP_7-12-2010_Combined_FairPoint_FP comTechOps_ProgramWorkbook_sachin_v1" xfId="13155" xr:uid="{00000000-0005-0000-0000-000009330000}"/>
    <cellStyle name="_20061117Holux_ProgramWorkBook_CMS_Web_Design_Phase_Deliverables_MLP_LLP_7-12-2010_Combined_FairPoint_FP comTechOps_ProgramWorkbook_sachin_v1 2" xfId="13156" xr:uid="{00000000-0005-0000-0000-00000A330000}"/>
    <cellStyle name="_20061117Holux_ProgramWorkBook_CMS_Web_Design_Phase_Deliverables_MLP_LLP_7-12-2010_Combined_FairPoint_FP comTechOps_ProgramWorkbook_sachin_v1 2_Steps of Doneness" xfId="13157" xr:uid="{00000000-0005-0000-0000-00000B330000}"/>
    <cellStyle name="_20061117Holux_ProgramWorkBook_CMS_Web_Design_Phase_Deliverables_MLP_LLP_7-12-2010_Combined_FairPoint_FP comTechOps_ProgramWorkbook_sachin_v1 3" xfId="13158" xr:uid="{00000000-0005-0000-0000-00000C330000}"/>
    <cellStyle name="_20061117Holux_ProgramWorkBook_CMS_Web_Design_Phase_Deliverables_MLP_LLP_7-12-2010_Combined_FairPoint_FP comTechOps_ProgramWorkbook_sachin_v1_Steps of Doneness" xfId="13159" xr:uid="{00000000-0005-0000-0000-00000D330000}"/>
    <cellStyle name="_20061117Holux_ProgramWorkBook_CMS_Web_Design_Phase_Deliverables_MLP_LLP_7-12-2010_Combined_FairPoint_FP comTechOps_ProgramWorkbook_Steps of Doneness" xfId="13160" xr:uid="{00000000-0005-0000-0000-00000E330000}"/>
    <cellStyle name="_20061117Holux_ProgramWorkBook_CMS_Web_Design_Phase_Deliverables_MLP_LLP_7-12-2010_Combined_FP_CAMP&amp;ITReporting_Maintenance_Dashboard" xfId="13161" xr:uid="{00000000-0005-0000-0000-00000F330000}"/>
    <cellStyle name="_20061117Holux_ProgramWorkBook_CMS_Web_Design_Phase_Deliverables_MLP_LLP_7-12-2010_Combined_FP_CAMP&amp;ITReporting_Maintenance_Dashboard 2" xfId="13162" xr:uid="{00000000-0005-0000-0000-000010330000}"/>
    <cellStyle name="_20061117Holux_ProgramWorkBook_CMS_Web_Design_Phase_Deliverables_MLP_LLP_7-12-2010_Combined_FP_CAMP&amp;ITReporting_Maintenance_Dashboard 2_Steps of Doneness" xfId="13163" xr:uid="{00000000-0005-0000-0000-000011330000}"/>
    <cellStyle name="_20061117Holux_ProgramWorkBook_CMS_Web_Design_Phase_Deliverables_MLP_LLP_7-12-2010_Combined_FP_CAMP&amp;ITReporting_Maintenance_Dashboard 3" xfId="13164" xr:uid="{00000000-0005-0000-0000-000012330000}"/>
    <cellStyle name="_20061117Holux_ProgramWorkBook_CMS_Web_Design_Phase_Deliverables_MLP_LLP_7-12-2010_Combined_FP_CAMP&amp;ITReporting_Maintenance_Dashboard_Steps of Doneness" xfId="13165" xr:uid="{00000000-0005-0000-0000-000013330000}"/>
    <cellStyle name="_20061117Holux_ProgramWorkBook_CMS_Web_Design_Phase_Deliverables_MLP_LLP_7-12-2010_Combined_FP_CAMPITReporting_Maintenance_Dashboard" xfId="13166" xr:uid="{00000000-0005-0000-0000-000014330000}"/>
    <cellStyle name="_20061117Holux_ProgramWorkBook_CMS_Web_Design_Phase_Deliverables_MLP_LLP_7-12-2010_Combined_FP_CAMPITReporting_Maintenance_Dashboard 2" xfId="13167" xr:uid="{00000000-0005-0000-0000-000015330000}"/>
    <cellStyle name="_20061117Holux_ProgramWorkBook_CMS_Web_Design_Phase_Deliverables_MLP_LLP_7-12-2010_Combined_FP_CAMPITReporting_Maintenance_Dashboard 2_Steps of Doneness" xfId="13168" xr:uid="{00000000-0005-0000-0000-000016330000}"/>
    <cellStyle name="_20061117Holux_ProgramWorkBook_CMS_Web_Design_Phase_Deliverables_MLP_LLP_7-12-2010_Combined_FP_CAMPITReporting_Maintenance_Dashboard 3" xfId="13169" xr:uid="{00000000-0005-0000-0000-000017330000}"/>
    <cellStyle name="_20061117Holux_ProgramWorkBook_CMS_Web_Design_Phase_Deliverables_MLP_LLP_7-12-2010_Combined_FP_CAMPITReporting_Maintenance_Dashboard_Steps of Doneness" xfId="13170" xr:uid="{00000000-0005-0000-0000-000018330000}"/>
    <cellStyle name="_20061117Holux_ProgramWorkBook_CMS_Web_Design_Phase_Deliverables_MLP_LLP_7-12-2010_Combined_FP_Commissions_Req_Dn_ProgramWorkBook_10-Dec-2010" xfId="13171" xr:uid="{00000000-0005-0000-0000-000019330000}"/>
    <cellStyle name="_20061117Holux_ProgramWorkBook_CMS_Web_Design_Phase_Deliverables_MLP_LLP_7-12-2010_Combined_FP_Commissions_Req_Dn_ProgramWorkBook_10-Dec-2010 2" xfId="13172" xr:uid="{00000000-0005-0000-0000-00001A330000}"/>
    <cellStyle name="_20061117Holux_ProgramWorkBook_CMS_Web_Design_Phase_Deliverables_MLP_LLP_7-12-2010_Combined_FP_Commissions_Req_Dn_ProgramWorkBook_10-Dec-2010 2_Steps of Doneness" xfId="13173" xr:uid="{00000000-0005-0000-0000-00001B330000}"/>
    <cellStyle name="_20061117Holux_ProgramWorkBook_CMS_Web_Design_Phase_Deliverables_MLP_LLP_7-12-2010_Combined_FP_Commissions_Req_Dn_ProgramWorkBook_10-Dec-2010 3" xfId="13174" xr:uid="{00000000-0005-0000-0000-00001C330000}"/>
    <cellStyle name="_20061117Holux_ProgramWorkBook_CMS_Web_Design_Phase_Deliverables_MLP_LLP_7-12-2010_Combined_FP_Commissions_Req_Dn_ProgramWorkBook_10-Dec-2010_Steps of Doneness" xfId="13175" xr:uid="{00000000-0005-0000-0000-00001D330000}"/>
    <cellStyle name="_20061117Holux_ProgramWorkBook_CMS_Web_Design_Phase_Deliverables_MLP_LLP_7-12-2010_Combined_FP_DW_Impl_ProgramWorkBook_07-Jan-2011" xfId="13176" xr:uid="{00000000-0005-0000-0000-00001E330000}"/>
    <cellStyle name="_20061117Holux_ProgramWorkBook_CMS_Web_Design_Phase_Deliverables_MLP_LLP_7-12-2010_Combined_FP_DW_Impl_ProgramWorkBook_07-Jan-2011 2" xfId="13177" xr:uid="{00000000-0005-0000-0000-00001F330000}"/>
    <cellStyle name="_20061117Holux_ProgramWorkBook_CMS_Web_Design_Phase_Deliverables_MLP_LLP_7-12-2010_Combined_FP_DW_Impl_ProgramWorkBook_07-Jan-2011 2 2" xfId="13178" xr:uid="{00000000-0005-0000-0000-000020330000}"/>
    <cellStyle name="_20061117Holux_ProgramWorkBook_CMS_Web_Design_Phase_Deliverables_MLP_LLP_7-12-2010_Combined_FP_DW_Impl_ProgramWorkBook_07-Jan-2011 2 2_Steps of Doneness" xfId="13179" xr:uid="{00000000-0005-0000-0000-000021330000}"/>
    <cellStyle name="_20061117Holux_ProgramWorkBook_CMS_Web_Design_Phase_Deliverables_MLP_LLP_7-12-2010_Combined_FP_DW_Impl_ProgramWorkBook_07-Jan-2011 2 3" xfId="13180" xr:uid="{00000000-0005-0000-0000-000022330000}"/>
    <cellStyle name="_20061117Holux_ProgramWorkBook_CMS_Web_Design_Phase_Deliverables_MLP_LLP_7-12-2010_Combined_FP_DW_Impl_ProgramWorkBook_07-Jan-2011 2_Steps of Doneness" xfId="13181" xr:uid="{00000000-0005-0000-0000-000023330000}"/>
    <cellStyle name="_20061117Holux_ProgramWorkBook_CMS_Web_Design_Phase_Deliverables_MLP_LLP_7-12-2010_Combined_FP_DW_Impl_ProgramWorkBook_07-Jan-2011 3" xfId="13182" xr:uid="{00000000-0005-0000-0000-000024330000}"/>
    <cellStyle name="_20061117Holux_ProgramWorkBook_CMS_Web_Design_Phase_Deliverables_MLP_LLP_7-12-2010_Combined_FP_DW_Impl_ProgramWorkBook_07-Jan-2011 3_Steps of Doneness" xfId="13183" xr:uid="{00000000-0005-0000-0000-000025330000}"/>
    <cellStyle name="_20061117Holux_ProgramWorkBook_CMS_Web_Design_Phase_Deliverables_MLP_LLP_7-12-2010_Combined_FP_DW_Impl_ProgramWorkBook_07-Jan-2011 4" xfId="13184" xr:uid="{00000000-0005-0000-0000-000026330000}"/>
    <cellStyle name="_20061117Holux_ProgramWorkBook_CMS_Web_Design_Phase_Deliverables_MLP_LLP_7-12-2010_Combined_FP_DW_Impl_ProgramWorkBook_07-Jan-2011_Steps of Doneness" xfId="13185" xr:uid="{00000000-0005-0000-0000-000027330000}"/>
    <cellStyle name="_20061117Holux_ProgramWorkBook_CMS_Web_Design_Phase_Deliverables_MLP_LLP_7-12-2010_Combined_FP_DW_Impl_ProgramWorkBook_11-Feb-2011" xfId="13186" xr:uid="{00000000-0005-0000-0000-000028330000}"/>
    <cellStyle name="_20061117Holux_ProgramWorkBook_CMS_Web_Design_Phase_Deliverables_MLP_LLP_7-12-2010_Combined_FP_DW_Impl_ProgramWorkBook_11-Feb-2011 2" xfId="13187" xr:uid="{00000000-0005-0000-0000-000029330000}"/>
    <cellStyle name="_20061117Holux_ProgramWorkBook_CMS_Web_Design_Phase_Deliverables_MLP_LLP_7-12-2010_Combined_FP_DW_Impl_ProgramWorkBook_11-Feb-2011 2_Steps of Doneness" xfId="13188" xr:uid="{00000000-0005-0000-0000-00002A330000}"/>
    <cellStyle name="_20061117Holux_ProgramWorkBook_CMS_Web_Design_Phase_Deliverables_MLP_LLP_7-12-2010_Combined_FP_DW_Impl_ProgramWorkBook_11-Feb-2011 3" xfId="13189" xr:uid="{00000000-0005-0000-0000-00002B330000}"/>
    <cellStyle name="_20061117Holux_ProgramWorkBook_CMS_Web_Design_Phase_Deliverables_MLP_LLP_7-12-2010_Combined_FP_DW_Impl_ProgramWorkBook_11-Feb-2011_Steps of Doneness" xfId="13190" xr:uid="{00000000-0005-0000-0000-00002C330000}"/>
    <cellStyle name="_20061117Holux_ProgramWorkBook_CMS_Web_Design_Phase_Deliverables_MLP_LLP_7-12-2010_Combined_FP_DW_Impl_ProgramWorkBook_18-Feb-2011 - Working" xfId="13191" xr:uid="{00000000-0005-0000-0000-00002D330000}"/>
    <cellStyle name="_20061117Holux_ProgramWorkBook_CMS_Web_Design_Phase_Deliverables_MLP_LLP_7-12-2010_Combined_FP_DW_Impl_ProgramWorkBook_18-Feb-2011 - Working 2" xfId="13192" xr:uid="{00000000-0005-0000-0000-00002E330000}"/>
    <cellStyle name="_20061117Holux_ProgramWorkBook_CMS_Web_Design_Phase_Deliverables_MLP_LLP_7-12-2010_Combined_FP_DW_Impl_ProgramWorkBook_18-Feb-2011 - Working 2_Steps of Doneness" xfId="13193" xr:uid="{00000000-0005-0000-0000-00002F330000}"/>
    <cellStyle name="_20061117Holux_ProgramWorkBook_CMS_Web_Design_Phase_Deliverables_MLP_LLP_7-12-2010_Combined_FP_DW_Impl_ProgramWorkBook_18-Feb-2011 - Working 3" xfId="13194" xr:uid="{00000000-0005-0000-0000-000030330000}"/>
    <cellStyle name="_20061117Holux_ProgramWorkBook_CMS_Web_Design_Phase_Deliverables_MLP_LLP_7-12-2010_Combined_FP_DW_Impl_ProgramWorkBook_18-Feb-2011 - Working_Steps of Doneness" xfId="13195" xr:uid="{00000000-0005-0000-0000-000031330000}"/>
    <cellStyle name="_20061117Holux_ProgramWorkBook_CMS_Web_Design_Phase_Deliverables_MLP_LLP_7-12-2010_Combined_FP_EnterprisePortal_ProgramWorkbook" xfId="13196" xr:uid="{00000000-0005-0000-0000-000032330000}"/>
    <cellStyle name="_20061117Holux_ProgramWorkBook_CMS_Web_Design_Phase_Deliverables_MLP_LLP_7-12-2010_Combined_FP_EnterprisePortal_ProgramWorkbook 2" xfId="13197" xr:uid="{00000000-0005-0000-0000-000033330000}"/>
    <cellStyle name="_20061117Holux_ProgramWorkBook_CMS_Web_Design_Phase_Deliverables_MLP_LLP_7-12-2010_Combined_FP_EnterprisePortal_ProgramWorkbook 2_Steps of Doneness" xfId="13198" xr:uid="{00000000-0005-0000-0000-000034330000}"/>
    <cellStyle name="_20061117Holux_ProgramWorkBook_CMS_Web_Design_Phase_Deliverables_MLP_LLP_7-12-2010_Combined_FP_EnterprisePortal_ProgramWorkbook 3" xfId="13199" xr:uid="{00000000-0005-0000-0000-000035330000}"/>
    <cellStyle name="_20061117Holux_ProgramWorkBook_CMS_Web_Design_Phase_Deliverables_MLP_LLP_7-12-2010_Combined_FP_EnterprisePortal_ProgramWorkbook_Steps of Doneness" xfId="13200" xr:uid="{00000000-0005-0000-0000-000036330000}"/>
    <cellStyle name="_20061117Holux_ProgramWorkBook_CMS_Web_Design_Phase_Deliverables_MLP_LLP_7-12-2010_Combined_FP_SAP_MLP v2" xfId="13201" xr:uid="{00000000-0005-0000-0000-000037330000}"/>
    <cellStyle name="_20061117Holux_ProgramWorkBook_CMS_Web_Design_Phase_Deliverables_MLP_LLP_7-12-2010_Combined_FP_SAP_MLP v2 2" xfId="13202" xr:uid="{00000000-0005-0000-0000-000038330000}"/>
    <cellStyle name="_20061117Holux_ProgramWorkBook_CMS_Web_Design_Phase_Deliverables_MLP_LLP_7-12-2010_Combined_FP_SAP_MLP v2 2_Steps of Doneness" xfId="13203" xr:uid="{00000000-0005-0000-0000-000039330000}"/>
    <cellStyle name="_20061117Holux_ProgramWorkBook_CMS_Web_Design_Phase_Deliverables_MLP_LLP_7-12-2010_Combined_FP_SAP_MLP v2 3" xfId="13204" xr:uid="{00000000-0005-0000-0000-00003A330000}"/>
    <cellStyle name="_20061117Holux_ProgramWorkBook_CMS_Web_Design_Phase_Deliverables_MLP_LLP_7-12-2010_Combined_FP_SAP_MLP v2_Steps of Doneness" xfId="13205" xr:uid="{00000000-0005-0000-0000-00003B330000}"/>
    <cellStyle name="_20061117Holux_ProgramWorkBook_CMS_Web_Design_Phase_Deliverables_MLP_LLP_7-12-2010_Combined_KeyDecisions" xfId="13206" xr:uid="{00000000-0005-0000-0000-00003C330000}"/>
    <cellStyle name="_20061117Holux_ProgramWorkBook_CMS_Web_Design_Phase_Deliverables_MLP_LLP_7-12-2010_Combined_KeyDecisions 2" xfId="13207" xr:uid="{00000000-0005-0000-0000-00003D330000}"/>
    <cellStyle name="_20061117Holux_ProgramWorkBook_CMS_Web_Design_Phase_Deliverables_MLP_LLP_7-12-2010_Combined_KeyDecisions 2_Steps of Doneness" xfId="13208" xr:uid="{00000000-0005-0000-0000-00003E330000}"/>
    <cellStyle name="_20061117Holux_ProgramWorkBook_CMS_Web_Design_Phase_Deliverables_MLP_LLP_7-12-2010_Combined_KeyDecisions 3" xfId="13209" xr:uid="{00000000-0005-0000-0000-00003F330000}"/>
    <cellStyle name="_20061117Holux_ProgramWorkBook_CMS_Web_Design_Phase_Deliverables_MLP_LLP_7-12-2010_Combined_KeyDecisions_Steps of Doneness" xfId="13210" xr:uid="{00000000-0005-0000-0000-000040330000}"/>
    <cellStyle name="_20061117Holux_ProgramWorkBook_CMS_Web_Design_Phase_Deliverables_MLP_LLP_7-12-2010_Combined_Sophia_Imp_ProjectWorkBook_02_18_2011" xfId="13211" xr:uid="{00000000-0005-0000-0000-000041330000}"/>
    <cellStyle name="_20061117Holux_ProgramWorkBook_CMS_Web_Design_Phase_Deliverables_MLP_LLP_7-12-2010_Combined_Sophia_Imp_ProjectWorkBook_02_18_2011 2" xfId="13212" xr:uid="{00000000-0005-0000-0000-000042330000}"/>
    <cellStyle name="_20061117Holux_ProgramWorkBook_CMS_Web_Design_Phase_Deliverables_MLP_LLP_7-12-2010_Combined_Sophia_Imp_ProjectWorkBook_02_18_2011 2_Steps of Doneness" xfId="13213" xr:uid="{00000000-0005-0000-0000-000043330000}"/>
    <cellStyle name="_20061117Holux_ProgramWorkBook_CMS_Web_Design_Phase_Deliverables_MLP_LLP_7-12-2010_Combined_Sophia_Imp_ProjectWorkBook_02_18_2011 3" xfId="13214" xr:uid="{00000000-0005-0000-0000-000044330000}"/>
    <cellStyle name="_20061117Holux_ProgramWorkBook_CMS_Web_Design_Phase_Deliverables_MLP_LLP_7-12-2010_Combined_Sophia_Imp_ProjectWorkBook_02_18_2011_Steps of Doneness" xfId="13215" xr:uid="{00000000-0005-0000-0000-000045330000}"/>
    <cellStyle name="_20061117Holux_ProgramWorkBook_CMS_Web_Design_Phase_Deliverables_MLP_LLP_7-12-2010_Combined_Steps of Doneness" xfId="13216" xr:uid="{00000000-0005-0000-0000-000046330000}"/>
    <cellStyle name="_20061117Holux_ProgramWorkBook_CMS_Web_Design_Phase_Deliverables_MLP_LLP_7-12-2010_Combined_t" xfId="13217" xr:uid="{00000000-0005-0000-0000-000047330000}"/>
    <cellStyle name="_20061117Holux_ProgramWorkBook_CMS_Web_Design_Phase_Deliverables_MLP_LLP_7-12-2010_Combined_t 2" xfId="13218" xr:uid="{00000000-0005-0000-0000-000048330000}"/>
    <cellStyle name="_20061117Holux_ProgramWorkBook_CMS_Web_Design_Phase_Deliverables_MLP_LLP_7-12-2010_Combined_t 2_Steps of Doneness" xfId="13219" xr:uid="{00000000-0005-0000-0000-000049330000}"/>
    <cellStyle name="_20061117Holux_ProgramWorkBook_CMS_Web_Design_Phase_Deliverables_MLP_LLP_7-12-2010_Combined_t 3" xfId="13220" xr:uid="{00000000-0005-0000-0000-00004A330000}"/>
    <cellStyle name="_20061117Holux_ProgramWorkBook_CMS_Web_Design_Phase_Deliverables_MLP_LLP_7-12-2010_Combined_t_Steps of Doneness" xfId="13221" xr:uid="{00000000-0005-0000-0000-00004B330000}"/>
    <cellStyle name="_20061117Holux_ProgramWorkBook_CMS_Web_Design_Phase_Deliverables_MLP_LLP_7-14-2010_Combined" xfId="13222" xr:uid="{00000000-0005-0000-0000-00004C330000}"/>
    <cellStyle name="_20061117Holux_ProgramWorkBook_CMS_Web_Design_Phase_Deliverables_MLP_LLP_7-14-2010_Combined 2" xfId="13223" xr:uid="{00000000-0005-0000-0000-00004D330000}"/>
    <cellStyle name="_20061117Holux_ProgramWorkBook_CMS_Web_Design_Phase_Deliverables_MLP_LLP_7-14-2010_Combined 2 2" xfId="13224" xr:uid="{00000000-0005-0000-0000-00004E330000}"/>
    <cellStyle name="_20061117Holux_ProgramWorkBook_CMS_Web_Design_Phase_Deliverables_MLP_LLP_7-14-2010_Combined 2 2_Steps of Doneness" xfId="13225" xr:uid="{00000000-0005-0000-0000-00004F330000}"/>
    <cellStyle name="_20061117Holux_ProgramWorkBook_CMS_Web_Design_Phase_Deliverables_MLP_LLP_7-14-2010_Combined 2 3" xfId="13226" xr:uid="{00000000-0005-0000-0000-000050330000}"/>
    <cellStyle name="_20061117Holux_ProgramWorkBook_CMS_Web_Design_Phase_Deliverables_MLP_LLP_7-14-2010_Combined 2_Steps of Doneness" xfId="13227" xr:uid="{00000000-0005-0000-0000-000051330000}"/>
    <cellStyle name="_20061117Holux_ProgramWorkBook_CMS_Web_Design_Phase_Deliverables_MLP_LLP_7-14-2010_Combined 3" xfId="13228" xr:uid="{00000000-0005-0000-0000-000052330000}"/>
    <cellStyle name="_20061117Holux_ProgramWorkBook_CMS_Web_Design_Phase_Deliverables_MLP_LLP_7-14-2010_Combined 3 2" xfId="13229" xr:uid="{00000000-0005-0000-0000-000053330000}"/>
    <cellStyle name="_20061117Holux_ProgramWorkBook_CMS_Web_Design_Phase_Deliverables_MLP_LLP_7-14-2010_Combined 3 2_Steps of Doneness" xfId="13230" xr:uid="{00000000-0005-0000-0000-000054330000}"/>
    <cellStyle name="_20061117Holux_ProgramWorkBook_CMS_Web_Design_Phase_Deliverables_MLP_LLP_7-14-2010_Combined 3 3" xfId="13231" xr:uid="{00000000-0005-0000-0000-000055330000}"/>
    <cellStyle name="_20061117Holux_ProgramWorkBook_CMS_Web_Design_Phase_Deliverables_MLP_LLP_7-14-2010_Combined 3_Steps of Doneness" xfId="13232" xr:uid="{00000000-0005-0000-0000-000056330000}"/>
    <cellStyle name="_20061117Holux_ProgramWorkBook_CMS_Web_Design_Phase_Deliverables_MLP_LLP_7-14-2010_Combined 4" xfId="13233" xr:uid="{00000000-0005-0000-0000-000057330000}"/>
    <cellStyle name="_20061117Holux_ProgramWorkBook_CMS_Web_Design_Phase_Deliverables_MLP_LLP_7-14-2010_Combined 4_Steps of Doneness" xfId="13234" xr:uid="{00000000-0005-0000-0000-000058330000}"/>
    <cellStyle name="_20061117Holux_ProgramWorkBook_CMS_Web_Design_Phase_Deliverables_MLP_LLP_7-14-2010_Combined 5" xfId="13235" xr:uid="{00000000-0005-0000-0000-000059330000}"/>
    <cellStyle name="_20061117Holux_ProgramWorkBook_CMS_Web_Design_Phase_Deliverables_MLP_LLP_7-14-2010_Combined 6" xfId="13236" xr:uid="{00000000-0005-0000-0000-00005A330000}"/>
    <cellStyle name="_20061117Holux_ProgramWorkBook_CMS_Web_Design_Phase_Deliverables_MLP_LLP_7-14-2010_Combined_Commissioning System Implementation_Project Workbook_06_10_2011" xfId="13237" xr:uid="{00000000-0005-0000-0000-00005B330000}"/>
    <cellStyle name="_20061117Holux_ProgramWorkBook_CMS_Web_Design_Phase_Deliverables_MLP_LLP_7-14-2010_Combined_Commissioning System Implementation_Project Workbook_06_10_2011 2" xfId="13238" xr:uid="{00000000-0005-0000-0000-00005C330000}"/>
    <cellStyle name="_20061117Holux_ProgramWorkBook_CMS_Web_Design_Phase_Deliverables_MLP_LLP_7-14-2010_Combined_Commissioning System Implementation_Project Workbook_06_10_2011 2_Steps of Doneness" xfId="13239" xr:uid="{00000000-0005-0000-0000-00005D330000}"/>
    <cellStyle name="_20061117Holux_ProgramWorkBook_CMS_Web_Design_Phase_Deliverables_MLP_LLP_7-14-2010_Combined_Commissioning System Implementation_Project Workbook_06_10_2011 3" xfId="13240" xr:uid="{00000000-0005-0000-0000-00005E330000}"/>
    <cellStyle name="_20061117Holux_ProgramWorkBook_CMS_Web_Design_Phase_Deliverables_MLP_LLP_7-14-2010_Combined_Commissioning System Implementation_Project Workbook_06_10_2011_Steps of Doneness" xfId="13241" xr:uid="{00000000-0005-0000-0000-00005F330000}"/>
    <cellStyle name="_20061117Holux_ProgramWorkBook_CMS_Web_Design_Phase_Deliverables_MLP_LLP_7-14-2010_Combined_FairPoint_CampReport" xfId="13242" xr:uid="{00000000-0005-0000-0000-000060330000}"/>
    <cellStyle name="_20061117Holux_ProgramWorkBook_CMS_Web_Design_Phase_Deliverables_MLP_LLP_7-14-2010_Combined_FairPoint_CampReport 2" xfId="13243" xr:uid="{00000000-0005-0000-0000-000061330000}"/>
    <cellStyle name="_20061117Holux_ProgramWorkBook_CMS_Web_Design_Phase_Deliverables_MLP_LLP_7-14-2010_Combined_FairPoint_CampReport 2_Steps of Doneness" xfId="13244" xr:uid="{00000000-0005-0000-0000-000062330000}"/>
    <cellStyle name="_20061117Holux_ProgramWorkBook_CMS_Web_Design_Phase_Deliverables_MLP_LLP_7-14-2010_Combined_FairPoint_CampReport 3" xfId="13245" xr:uid="{00000000-0005-0000-0000-000063330000}"/>
    <cellStyle name="_20061117Holux_ProgramWorkBook_CMS_Web_Design_Phase_Deliverables_MLP_LLP_7-14-2010_Combined_FairPoint_CampReport_Steps of Doneness" xfId="13246" xr:uid="{00000000-0005-0000-0000-000064330000}"/>
    <cellStyle name="_20061117Holux_ProgramWorkBook_CMS_Web_Design_Phase_Deliverables_MLP_LLP_7-14-2010_Combined_FairPoint_FP comTechOps_ProgramWorkbook" xfId="13247" xr:uid="{00000000-0005-0000-0000-000065330000}"/>
    <cellStyle name="_20061117Holux_ProgramWorkBook_CMS_Web_Design_Phase_Deliverables_MLP_LLP_7-14-2010_Combined_FairPoint_FP comTechOps_ProgramWorkbook 2" xfId="13248" xr:uid="{00000000-0005-0000-0000-000066330000}"/>
    <cellStyle name="_20061117Holux_ProgramWorkBook_CMS_Web_Design_Phase_Deliverables_MLP_LLP_7-14-2010_Combined_FairPoint_FP comTechOps_ProgramWorkbook 2_Steps of Doneness" xfId="13249" xr:uid="{00000000-0005-0000-0000-000067330000}"/>
    <cellStyle name="_20061117Holux_ProgramWorkBook_CMS_Web_Design_Phase_Deliverables_MLP_LLP_7-14-2010_Combined_FairPoint_FP comTechOps_ProgramWorkbook 3" xfId="13250" xr:uid="{00000000-0005-0000-0000-000068330000}"/>
    <cellStyle name="_20061117Holux_ProgramWorkBook_CMS_Web_Design_Phase_Deliverables_MLP_LLP_7-14-2010_Combined_FairPoint_FP comTechOps_ProgramWorkbook_sachin" xfId="13251" xr:uid="{00000000-0005-0000-0000-000069330000}"/>
    <cellStyle name="_20061117Holux_ProgramWorkBook_CMS_Web_Design_Phase_Deliverables_MLP_LLP_7-14-2010_Combined_FairPoint_FP comTechOps_ProgramWorkbook_sachin 2" xfId="13252" xr:uid="{00000000-0005-0000-0000-00006A330000}"/>
    <cellStyle name="_20061117Holux_ProgramWorkBook_CMS_Web_Design_Phase_Deliverables_MLP_LLP_7-14-2010_Combined_FairPoint_FP comTechOps_ProgramWorkbook_sachin 2_Steps of Doneness" xfId="13253" xr:uid="{00000000-0005-0000-0000-00006B330000}"/>
    <cellStyle name="_20061117Holux_ProgramWorkBook_CMS_Web_Design_Phase_Deliverables_MLP_LLP_7-14-2010_Combined_FairPoint_FP comTechOps_ProgramWorkbook_sachin 3" xfId="13254" xr:uid="{00000000-0005-0000-0000-00006C330000}"/>
    <cellStyle name="_20061117Holux_ProgramWorkBook_CMS_Web_Design_Phase_Deliverables_MLP_LLP_7-14-2010_Combined_FairPoint_FP comTechOps_ProgramWorkbook_sachin_Steps of Doneness" xfId="13255" xr:uid="{00000000-0005-0000-0000-00006D330000}"/>
    <cellStyle name="_20061117Holux_ProgramWorkBook_CMS_Web_Design_Phase_Deliverables_MLP_LLP_7-14-2010_Combined_FairPoint_FP comTechOps_ProgramWorkbook_sachin_v1" xfId="13256" xr:uid="{00000000-0005-0000-0000-00006E330000}"/>
    <cellStyle name="_20061117Holux_ProgramWorkBook_CMS_Web_Design_Phase_Deliverables_MLP_LLP_7-14-2010_Combined_FairPoint_FP comTechOps_ProgramWorkbook_sachin_v1 2" xfId="13257" xr:uid="{00000000-0005-0000-0000-00006F330000}"/>
    <cellStyle name="_20061117Holux_ProgramWorkBook_CMS_Web_Design_Phase_Deliverables_MLP_LLP_7-14-2010_Combined_FairPoint_FP comTechOps_ProgramWorkbook_sachin_v1 2_Steps of Doneness" xfId="13258" xr:uid="{00000000-0005-0000-0000-000070330000}"/>
    <cellStyle name="_20061117Holux_ProgramWorkBook_CMS_Web_Design_Phase_Deliverables_MLP_LLP_7-14-2010_Combined_FairPoint_FP comTechOps_ProgramWorkbook_sachin_v1 3" xfId="13259" xr:uid="{00000000-0005-0000-0000-000071330000}"/>
    <cellStyle name="_20061117Holux_ProgramWorkBook_CMS_Web_Design_Phase_Deliverables_MLP_LLP_7-14-2010_Combined_FairPoint_FP comTechOps_ProgramWorkbook_sachin_v1_Steps of Doneness" xfId="13260" xr:uid="{00000000-0005-0000-0000-000072330000}"/>
    <cellStyle name="_20061117Holux_ProgramWorkBook_CMS_Web_Design_Phase_Deliverables_MLP_LLP_7-14-2010_Combined_FairPoint_FP comTechOps_ProgramWorkbook_Steps of Doneness" xfId="13261" xr:uid="{00000000-0005-0000-0000-000073330000}"/>
    <cellStyle name="_20061117Holux_ProgramWorkBook_CMS_Web_Design_Phase_Deliverables_MLP_LLP_7-14-2010_Combined_FP_CAMP&amp;ITReporting_Maintenance_Dashboard" xfId="13262" xr:uid="{00000000-0005-0000-0000-000074330000}"/>
    <cellStyle name="_20061117Holux_ProgramWorkBook_CMS_Web_Design_Phase_Deliverables_MLP_LLP_7-14-2010_Combined_FP_CAMP&amp;ITReporting_Maintenance_Dashboard 2" xfId="13263" xr:uid="{00000000-0005-0000-0000-000075330000}"/>
    <cellStyle name="_20061117Holux_ProgramWorkBook_CMS_Web_Design_Phase_Deliverables_MLP_LLP_7-14-2010_Combined_FP_CAMP&amp;ITReporting_Maintenance_Dashboard 2_Steps of Doneness" xfId="13264" xr:uid="{00000000-0005-0000-0000-000076330000}"/>
    <cellStyle name="_20061117Holux_ProgramWorkBook_CMS_Web_Design_Phase_Deliverables_MLP_LLP_7-14-2010_Combined_FP_CAMP&amp;ITReporting_Maintenance_Dashboard 3" xfId="13265" xr:uid="{00000000-0005-0000-0000-000077330000}"/>
    <cellStyle name="_20061117Holux_ProgramWorkBook_CMS_Web_Design_Phase_Deliverables_MLP_LLP_7-14-2010_Combined_FP_CAMP&amp;ITReporting_Maintenance_Dashboard_Steps of Doneness" xfId="13266" xr:uid="{00000000-0005-0000-0000-000078330000}"/>
    <cellStyle name="_20061117Holux_ProgramWorkBook_CMS_Web_Design_Phase_Deliverables_MLP_LLP_7-14-2010_Combined_FP_CAMPITReporting_Maintenance_Dashboard" xfId="13267" xr:uid="{00000000-0005-0000-0000-000079330000}"/>
    <cellStyle name="_20061117Holux_ProgramWorkBook_CMS_Web_Design_Phase_Deliverables_MLP_LLP_7-14-2010_Combined_FP_CAMPITReporting_Maintenance_Dashboard 2" xfId="13268" xr:uid="{00000000-0005-0000-0000-00007A330000}"/>
    <cellStyle name="_20061117Holux_ProgramWorkBook_CMS_Web_Design_Phase_Deliverables_MLP_LLP_7-14-2010_Combined_FP_CAMPITReporting_Maintenance_Dashboard 2_Steps of Doneness" xfId="13269" xr:uid="{00000000-0005-0000-0000-00007B330000}"/>
    <cellStyle name="_20061117Holux_ProgramWorkBook_CMS_Web_Design_Phase_Deliverables_MLP_LLP_7-14-2010_Combined_FP_CAMPITReporting_Maintenance_Dashboard 3" xfId="13270" xr:uid="{00000000-0005-0000-0000-00007C330000}"/>
    <cellStyle name="_20061117Holux_ProgramWorkBook_CMS_Web_Design_Phase_Deliverables_MLP_LLP_7-14-2010_Combined_FP_CAMPITReporting_Maintenance_Dashboard_Steps of Doneness" xfId="13271" xr:uid="{00000000-0005-0000-0000-00007D330000}"/>
    <cellStyle name="_20061117Holux_ProgramWorkBook_CMS_Web_Design_Phase_Deliverables_MLP_LLP_7-14-2010_Combined_FP_Commissions_Req_Dn_ProgramWorkBook_10-Dec-2010" xfId="13272" xr:uid="{00000000-0005-0000-0000-00007E330000}"/>
    <cellStyle name="_20061117Holux_ProgramWorkBook_CMS_Web_Design_Phase_Deliverables_MLP_LLP_7-14-2010_Combined_FP_Commissions_Req_Dn_ProgramWorkBook_10-Dec-2010 2" xfId="13273" xr:uid="{00000000-0005-0000-0000-00007F330000}"/>
    <cellStyle name="_20061117Holux_ProgramWorkBook_CMS_Web_Design_Phase_Deliverables_MLP_LLP_7-14-2010_Combined_FP_Commissions_Req_Dn_ProgramWorkBook_10-Dec-2010 2_Steps of Doneness" xfId="13274" xr:uid="{00000000-0005-0000-0000-000080330000}"/>
    <cellStyle name="_20061117Holux_ProgramWorkBook_CMS_Web_Design_Phase_Deliverables_MLP_LLP_7-14-2010_Combined_FP_Commissions_Req_Dn_ProgramWorkBook_10-Dec-2010 3" xfId="13275" xr:uid="{00000000-0005-0000-0000-000081330000}"/>
    <cellStyle name="_20061117Holux_ProgramWorkBook_CMS_Web_Design_Phase_Deliverables_MLP_LLP_7-14-2010_Combined_FP_Commissions_Req_Dn_ProgramWorkBook_10-Dec-2010_Steps of Doneness" xfId="13276" xr:uid="{00000000-0005-0000-0000-000082330000}"/>
    <cellStyle name="_20061117Holux_ProgramWorkBook_CMS_Web_Design_Phase_Deliverables_MLP_LLP_7-14-2010_Combined_FP_DW_Impl_ProgramWorkBook_07-Jan-2011" xfId="13277" xr:uid="{00000000-0005-0000-0000-000083330000}"/>
    <cellStyle name="_20061117Holux_ProgramWorkBook_CMS_Web_Design_Phase_Deliverables_MLP_LLP_7-14-2010_Combined_FP_DW_Impl_ProgramWorkBook_07-Jan-2011 2" xfId="13278" xr:uid="{00000000-0005-0000-0000-000084330000}"/>
    <cellStyle name="_20061117Holux_ProgramWorkBook_CMS_Web_Design_Phase_Deliverables_MLP_LLP_7-14-2010_Combined_FP_DW_Impl_ProgramWorkBook_07-Jan-2011 2 2" xfId="13279" xr:uid="{00000000-0005-0000-0000-000085330000}"/>
    <cellStyle name="_20061117Holux_ProgramWorkBook_CMS_Web_Design_Phase_Deliverables_MLP_LLP_7-14-2010_Combined_FP_DW_Impl_ProgramWorkBook_07-Jan-2011 2 2_Steps of Doneness" xfId="13280" xr:uid="{00000000-0005-0000-0000-000086330000}"/>
    <cellStyle name="_20061117Holux_ProgramWorkBook_CMS_Web_Design_Phase_Deliverables_MLP_LLP_7-14-2010_Combined_FP_DW_Impl_ProgramWorkBook_07-Jan-2011 2 3" xfId="13281" xr:uid="{00000000-0005-0000-0000-000087330000}"/>
    <cellStyle name="_20061117Holux_ProgramWorkBook_CMS_Web_Design_Phase_Deliverables_MLP_LLP_7-14-2010_Combined_FP_DW_Impl_ProgramWorkBook_07-Jan-2011 2_Steps of Doneness" xfId="13282" xr:uid="{00000000-0005-0000-0000-000088330000}"/>
    <cellStyle name="_20061117Holux_ProgramWorkBook_CMS_Web_Design_Phase_Deliverables_MLP_LLP_7-14-2010_Combined_FP_DW_Impl_ProgramWorkBook_07-Jan-2011 3" xfId="13283" xr:uid="{00000000-0005-0000-0000-000089330000}"/>
    <cellStyle name="_20061117Holux_ProgramWorkBook_CMS_Web_Design_Phase_Deliverables_MLP_LLP_7-14-2010_Combined_FP_DW_Impl_ProgramWorkBook_07-Jan-2011 3_Steps of Doneness" xfId="13284" xr:uid="{00000000-0005-0000-0000-00008A330000}"/>
    <cellStyle name="_20061117Holux_ProgramWorkBook_CMS_Web_Design_Phase_Deliverables_MLP_LLP_7-14-2010_Combined_FP_DW_Impl_ProgramWorkBook_07-Jan-2011 4" xfId="13285" xr:uid="{00000000-0005-0000-0000-00008B330000}"/>
    <cellStyle name="_20061117Holux_ProgramWorkBook_CMS_Web_Design_Phase_Deliverables_MLP_LLP_7-14-2010_Combined_FP_DW_Impl_ProgramWorkBook_07-Jan-2011_Steps of Doneness" xfId="13286" xr:uid="{00000000-0005-0000-0000-00008C330000}"/>
    <cellStyle name="_20061117Holux_ProgramWorkBook_CMS_Web_Design_Phase_Deliverables_MLP_LLP_7-14-2010_Combined_FP_DW_Impl_ProgramWorkBook_11-Feb-2011" xfId="13287" xr:uid="{00000000-0005-0000-0000-00008D330000}"/>
    <cellStyle name="_20061117Holux_ProgramWorkBook_CMS_Web_Design_Phase_Deliverables_MLP_LLP_7-14-2010_Combined_FP_DW_Impl_ProgramWorkBook_11-Feb-2011 2" xfId="13288" xr:uid="{00000000-0005-0000-0000-00008E330000}"/>
    <cellStyle name="_20061117Holux_ProgramWorkBook_CMS_Web_Design_Phase_Deliverables_MLP_LLP_7-14-2010_Combined_FP_DW_Impl_ProgramWorkBook_11-Feb-2011 2_Steps of Doneness" xfId="13289" xr:uid="{00000000-0005-0000-0000-00008F330000}"/>
    <cellStyle name="_20061117Holux_ProgramWorkBook_CMS_Web_Design_Phase_Deliverables_MLP_LLP_7-14-2010_Combined_FP_DW_Impl_ProgramWorkBook_11-Feb-2011 3" xfId="13290" xr:uid="{00000000-0005-0000-0000-000090330000}"/>
    <cellStyle name="_20061117Holux_ProgramWorkBook_CMS_Web_Design_Phase_Deliverables_MLP_LLP_7-14-2010_Combined_FP_DW_Impl_ProgramWorkBook_11-Feb-2011_Steps of Doneness" xfId="13291" xr:uid="{00000000-0005-0000-0000-000091330000}"/>
    <cellStyle name="_20061117Holux_ProgramWorkBook_CMS_Web_Design_Phase_Deliverables_MLP_LLP_7-14-2010_Combined_FP_DW_Impl_ProgramWorkBook_18-Feb-2011 - Working" xfId="13292" xr:uid="{00000000-0005-0000-0000-000092330000}"/>
    <cellStyle name="_20061117Holux_ProgramWorkBook_CMS_Web_Design_Phase_Deliverables_MLP_LLP_7-14-2010_Combined_FP_DW_Impl_ProgramWorkBook_18-Feb-2011 - Working 2" xfId="13293" xr:uid="{00000000-0005-0000-0000-000093330000}"/>
    <cellStyle name="_20061117Holux_ProgramWorkBook_CMS_Web_Design_Phase_Deliverables_MLP_LLP_7-14-2010_Combined_FP_DW_Impl_ProgramWorkBook_18-Feb-2011 - Working 2_Steps of Doneness" xfId="13294" xr:uid="{00000000-0005-0000-0000-000094330000}"/>
    <cellStyle name="_20061117Holux_ProgramWorkBook_CMS_Web_Design_Phase_Deliverables_MLP_LLP_7-14-2010_Combined_FP_DW_Impl_ProgramWorkBook_18-Feb-2011 - Working 3" xfId="13295" xr:uid="{00000000-0005-0000-0000-000095330000}"/>
    <cellStyle name="_20061117Holux_ProgramWorkBook_CMS_Web_Design_Phase_Deliverables_MLP_LLP_7-14-2010_Combined_FP_DW_Impl_ProgramWorkBook_18-Feb-2011 - Working_Steps of Doneness" xfId="13296" xr:uid="{00000000-0005-0000-0000-000096330000}"/>
    <cellStyle name="_20061117Holux_ProgramWorkBook_CMS_Web_Design_Phase_Deliverables_MLP_LLP_7-14-2010_Combined_FP_EnterprisePortal_ProgramWorkbook" xfId="13297" xr:uid="{00000000-0005-0000-0000-000097330000}"/>
    <cellStyle name="_20061117Holux_ProgramWorkBook_CMS_Web_Design_Phase_Deliverables_MLP_LLP_7-14-2010_Combined_FP_EnterprisePortal_ProgramWorkbook 2" xfId="13298" xr:uid="{00000000-0005-0000-0000-000098330000}"/>
    <cellStyle name="_20061117Holux_ProgramWorkBook_CMS_Web_Design_Phase_Deliverables_MLP_LLP_7-14-2010_Combined_FP_EnterprisePortal_ProgramWorkbook 2_Steps of Doneness" xfId="13299" xr:uid="{00000000-0005-0000-0000-000099330000}"/>
    <cellStyle name="_20061117Holux_ProgramWorkBook_CMS_Web_Design_Phase_Deliverables_MLP_LLP_7-14-2010_Combined_FP_EnterprisePortal_ProgramWorkbook 3" xfId="13300" xr:uid="{00000000-0005-0000-0000-00009A330000}"/>
    <cellStyle name="_20061117Holux_ProgramWorkBook_CMS_Web_Design_Phase_Deliverables_MLP_LLP_7-14-2010_Combined_FP_EnterprisePortal_ProgramWorkbook_Steps of Doneness" xfId="13301" xr:uid="{00000000-0005-0000-0000-00009B330000}"/>
    <cellStyle name="_20061117Holux_ProgramWorkBook_CMS_Web_Design_Phase_Deliverables_MLP_LLP_7-14-2010_Combined_FP_SAP_MLP v2" xfId="13302" xr:uid="{00000000-0005-0000-0000-00009C330000}"/>
    <cellStyle name="_20061117Holux_ProgramWorkBook_CMS_Web_Design_Phase_Deliverables_MLP_LLP_7-14-2010_Combined_FP_SAP_MLP v2 2" xfId="13303" xr:uid="{00000000-0005-0000-0000-00009D330000}"/>
    <cellStyle name="_20061117Holux_ProgramWorkBook_CMS_Web_Design_Phase_Deliverables_MLP_LLP_7-14-2010_Combined_FP_SAP_MLP v2 2_Steps of Doneness" xfId="13304" xr:uid="{00000000-0005-0000-0000-00009E330000}"/>
    <cellStyle name="_20061117Holux_ProgramWorkBook_CMS_Web_Design_Phase_Deliverables_MLP_LLP_7-14-2010_Combined_FP_SAP_MLP v2 3" xfId="13305" xr:uid="{00000000-0005-0000-0000-00009F330000}"/>
    <cellStyle name="_20061117Holux_ProgramWorkBook_CMS_Web_Design_Phase_Deliverables_MLP_LLP_7-14-2010_Combined_FP_SAP_MLP v2_Steps of Doneness" xfId="13306" xr:uid="{00000000-0005-0000-0000-0000A0330000}"/>
    <cellStyle name="_20061117Holux_ProgramWorkBook_CMS_Web_Design_Phase_Deliverables_MLP_LLP_7-14-2010_Combined_KeyDecisions" xfId="13307" xr:uid="{00000000-0005-0000-0000-0000A1330000}"/>
    <cellStyle name="_20061117Holux_ProgramWorkBook_CMS_Web_Design_Phase_Deliverables_MLP_LLP_7-14-2010_Combined_KeyDecisions 2" xfId="13308" xr:uid="{00000000-0005-0000-0000-0000A2330000}"/>
    <cellStyle name="_20061117Holux_ProgramWorkBook_CMS_Web_Design_Phase_Deliverables_MLP_LLP_7-14-2010_Combined_KeyDecisions 2_Steps of Doneness" xfId="13309" xr:uid="{00000000-0005-0000-0000-0000A3330000}"/>
    <cellStyle name="_20061117Holux_ProgramWorkBook_CMS_Web_Design_Phase_Deliverables_MLP_LLP_7-14-2010_Combined_KeyDecisions 3" xfId="13310" xr:uid="{00000000-0005-0000-0000-0000A4330000}"/>
    <cellStyle name="_20061117Holux_ProgramWorkBook_CMS_Web_Design_Phase_Deliverables_MLP_LLP_7-14-2010_Combined_KeyDecisions_Steps of Doneness" xfId="13311" xr:uid="{00000000-0005-0000-0000-0000A5330000}"/>
    <cellStyle name="_20061117Holux_ProgramWorkBook_CMS_Web_Design_Phase_Deliverables_MLP_LLP_7-14-2010_Combined_Sophia_Imp_ProjectWorkBook_02_18_2011" xfId="13312" xr:uid="{00000000-0005-0000-0000-0000A6330000}"/>
    <cellStyle name="_20061117Holux_ProgramWorkBook_CMS_Web_Design_Phase_Deliverables_MLP_LLP_7-14-2010_Combined_Sophia_Imp_ProjectWorkBook_02_18_2011 2" xfId="13313" xr:uid="{00000000-0005-0000-0000-0000A7330000}"/>
    <cellStyle name="_20061117Holux_ProgramWorkBook_CMS_Web_Design_Phase_Deliverables_MLP_LLP_7-14-2010_Combined_Sophia_Imp_ProjectWorkBook_02_18_2011 2_Steps of Doneness" xfId="13314" xr:uid="{00000000-0005-0000-0000-0000A8330000}"/>
    <cellStyle name="_20061117Holux_ProgramWorkBook_CMS_Web_Design_Phase_Deliverables_MLP_LLP_7-14-2010_Combined_Sophia_Imp_ProjectWorkBook_02_18_2011 3" xfId="13315" xr:uid="{00000000-0005-0000-0000-0000A9330000}"/>
    <cellStyle name="_20061117Holux_ProgramWorkBook_CMS_Web_Design_Phase_Deliverables_MLP_LLP_7-14-2010_Combined_Sophia_Imp_ProjectWorkBook_02_18_2011_Steps of Doneness" xfId="13316" xr:uid="{00000000-0005-0000-0000-0000AA330000}"/>
    <cellStyle name="_20061117Holux_ProgramWorkBook_CMS_Web_Design_Phase_Deliverables_MLP_LLP_7-14-2010_Combined_Steps of Doneness" xfId="13317" xr:uid="{00000000-0005-0000-0000-0000AB330000}"/>
    <cellStyle name="_20061117Holux_ProgramWorkBook_CMS_Web_Design_Phase_Deliverables_MLP_LLP_7-14-2010_Combined_t" xfId="13318" xr:uid="{00000000-0005-0000-0000-0000AC330000}"/>
    <cellStyle name="_20061117Holux_ProgramWorkBook_CMS_Web_Design_Phase_Deliverables_MLP_LLP_7-14-2010_Combined_t 2" xfId="13319" xr:uid="{00000000-0005-0000-0000-0000AD330000}"/>
    <cellStyle name="_20061117Holux_ProgramWorkBook_CMS_Web_Design_Phase_Deliverables_MLP_LLP_7-14-2010_Combined_t 2_Steps of Doneness" xfId="13320" xr:uid="{00000000-0005-0000-0000-0000AE330000}"/>
    <cellStyle name="_20061117Holux_ProgramWorkBook_CMS_Web_Design_Phase_Deliverables_MLP_LLP_7-14-2010_Combined_t 3" xfId="13321" xr:uid="{00000000-0005-0000-0000-0000AF330000}"/>
    <cellStyle name="_20061117Holux_ProgramWorkBook_CMS_Web_Design_Phase_Deliverables_MLP_LLP_7-14-2010_Combined_t_Steps of Doneness" xfId="13322" xr:uid="{00000000-0005-0000-0000-0000B0330000}"/>
    <cellStyle name="_20061117Holux_ProgramWorkBook_Commissioning System Implementation_Project Workbook_06_10_2011" xfId="13323" xr:uid="{00000000-0005-0000-0000-0000B1330000}"/>
    <cellStyle name="_20061117Holux_ProgramWorkBook_Commissioning System Implementation_Project Workbook_06_10_2011 2" xfId="13324" xr:uid="{00000000-0005-0000-0000-0000B2330000}"/>
    <cellStyle name="_20061117Holux_ProgramWorkBook_Commissioning System Implementation_Project Workbook_06_10_2011 2_Steps of Doneness" xfId="13325" xr:uid="{00000000-0005-0000-0000-0000B3330000}"/>
    <cellStyle name="_20061117Holux_ProgramWorkBook_Commissioning System Implementation_Project Workbook_06_10_2011 3" xfId="13326" xr:uid="{00000000-0005-0000-0000-0000B4330000}"/>
    <cellStyle name="_20061117Holux_ProgramWorkBook_Commissioning System Implementation_Project Workbook_06_10_2011_Steps of Doneness" xfId="13327" xr:uid="{00000000-0005-0000-0000-0000B5330000}"/>
    <cellStyle name="_20061117Holux_ProgramWorkBook_Detailed_Requirements_Plan" xfId="13328" xr:uid="{00000000-0005-0000-0000-0000B6330000}"/>
    <cellStyle name="_20061117Holux_ProgramWorkBook_Detailed_Requirements_Plan 2" xfId="13329" xr:uid="{00000000-0005-0000-0000-0000B7330000}"/>
    <cellStyle name="_20061117Holux_ProgramWorkBook_Detailed_Requirements_Plan 2_Steps of Doneness" xfId="13330" xr:uid="{00000000-0005-0000-0000-0000B8330000}"/>
    <cellStyle name="_20061117Holux_ProgramWorkBook_Detailed_Requirements_Plan 3" xfId="13331" xr:uid="{00000000-0005-0000-0000-0000B9330000}"/>
    <cellStyle name="_20061117Holux_ProgramWorkBook_Detailed_Requirements_Plan_Steps of Doneness" xfId="13332" xr:uid="{00000000-0005-0000-0000-0000BA330000}"/>
    <cellStyle name="_20061117Holux_ProgramWorkBook_Doneness Matrix v2" xfId="13333" xr:uid="{00000000-0005-0000-0000-0000BB330000}"/>
    <cellStyle name="_20061117Holux_ProgramWorkBook_Doneness Matrix v2 2" xfId="13334" xr:uid="{00000000-0005-0000-0000-0000BC330000}"/>
    <cellStyle name="_20061117Holux_ProgramWorkBook_Doneness Matrix v2 2 2" xfId="13335" xr:uid="{00000000-0005-0000-0000-0000BD330000}"/>
    <cellStyle name="_20061117Holux_ProgramWorkBook_Doneness Matrix v2 2 2_Steps of Doneness" xfId="13336" xr:uid="{00000000-0005-0000-0000-0000BE330000}"/>
    <cellStyle name="_20061117Holux_ProgramWorkBook_Doneness Matrix v2 2 3" xfId="13337" xr:uid="{00000000-0005-0000-0000-0000BF330000}"/>
    <cellStyle name="_20061117Holux_ProgramWorkBook_Doneness Matrix v2 2_Steps of Doneness" xfId="13338" xr:uid="{00000000-0005-0000-0000-0000C0330000}"/>
    <cellStyle name="_20061117Holux_ProgramWorkBook_Doneness Matrix v2 3" xfId="13339" xr:uid="{00000000-0005-0000-0000-0000C1330000}"/>
    <cellStyle name="_20061117Holux_ProgramWorkBook_Doneness Matrix v2 3 2" xfId="13340" xr:uid="{00000000-0005-0000-0000-0000C2330000}"/>
    <cellStyle name="_20061117Holux_ProgramWorkBook_Doneness Matrix v2 3 2_Steps of Doneness" xfId="13341" xr:uid="{00000000-0005-0000-0000-0000C3330000}"/>
    <cellStyle name="_20061117Holux_ProgramWorkBook_Doneness Matrix v2 3 3" xfId="13342" xr:uid="{00000000-0005-0000-0000-0000C4330000}"/>
    <cellStyle name="_20061117Holux_ProgramWorkBook_Doneness Matrix v2 3_Steps of Doneness" xfId="13343" xr:uid="{00000000-0005-0000-0000-0000C5330000}"/>
    <cellStyle name="_20061117Holux_ProgramWorkBook_Doneness Matrix v2 4" xfId="13344" xr:uid="{00000000-0005-0000-0000-0000C6330000}"/>
    <cellStyle name="_20061117Holux_ProgramWorkBook_Doneness Matrix v2 4_Steps of Doneness" xfId="13345" xr:uid="{00000000-0005-0000-0000-0000C7330000}"/>
    <cellStyle name="_20061117Holux_ProgramWorkBook_Doneness Matrix v2 5" xfId="13346" xr:uid="{00000000-0005-0000-0000-0000C8330000}"/>
    <cellStyle name="_20061117Holux_ProgramWorkBook_Doneness Matrix v2 6" xfId="13347" xr:uid="{00000000-0005-0000-0000-0000C9330000}"/>
    <cellStyle name="_20061117Holux_ProgramWorkBook_Doneness Matrix v2_Commissioning System Implementation_Project Workbook_06_10_2011" xfId="13348" xr:uid="{00000000-0005-0000-0000-0000CA330000}"/>
    <cellStyle name="_20061117Holux_ProgramWorkBook_Doneness Matrix v2_Commissioning System Implementation_Project Workbook_06_10_2011 2" xfId="13349" xr:uid="{00000000-0005-0000-0000-0000CB330000}"/>
    <cellStyle name="_20061117Holux_ProgramWorkBook_Doneness Matrix v2_Commissioning System Implementation_Project Workbook_06_10_2011 2_Steps of Doneness" xfId="13350" xr:uid="{00000000-0005-0000-0000-0000CC330000}"/>
    <cellStyle name="_20061117Holux_ProgramWorkBook_Doneness Matrix v2_Commissioning System Implementation_Project Workbook_06_10_2011 3" xfId="13351" xr:uid="{00000000-0005-0000-0000-0000CD330000}"/>
    <cellStyle name="_20061117Holux_ProgramWorkBook_Doneness Matrix v2_Commissioning System Implementation_Project Workbook_06_10_2011_Steps of Doneness" xfId="13352" xr:uid="{00000000-0005-0000-0000-0000CE330000}"/>
    <cellStyle name="_20061117Holux_ProgramWorkBook_Doneness Matrix v2_FairPoint_CampReport" xfId="13353" xr:uid="{00000000-0005-0000-0000-0000CF330000}"/>
    <cellStyle name="_20061117Holux_ProgramWorkBook_Doneness Matrix v2_FairPoint_CampReport 2" xfId="13354" xr:uid="{00000000-0005-0000-0000-0000D0330000}"/>
    <cellStyle name="_20061117Holux_ProgramWorkBook_Doneness Matrix v2_FairPoint_CampReport 2_Steps of Doneness" xfId="13355" xr:uid="{00000000-0005-0000-0000-0000D1330000}"/>
    <cellStyle name="_20061117Holux_ProgramWorkBook_Doneness Matrix v2_FairPoint_CampReport 3" xfId="13356" xr:uid="{00000000-0005-0000-0000-0000D2330000}"/>
    <cellStyle name="_20061117Holux_ProgramWorkBook_Doneness Matrix v2_FairPoint_CampReport_Steps of Doneness" xfId="13357" xr:uid="{00000000-0005-0000-0000-0000D3330000}"/>
    <cellStyle name="_20061117Holux_ProgramWorkBook_Doneness Matrix v2_FairPoint_FP comTechOps_ProgramWorkbook" xfId="13358" xr:uid="{00000000-0005-0000-0000-0000D4330000}"/>
    <cellStyle name="_20061117Holux_ProgramWorkBook_Doneness Matrix v2_FairPoint_FP comTechOps_ProgramWorkbook 2" xfId="13359" xr:uid="{00000000-0005-0000-0000-0000D5330000}"/>
    <cellStyle name="_20061117Holux_ProgramWorkBook_Doneness Matrix v2_FairPoint_FP comTechOps_ProgramWorkbook 2_Steps of Doneness" xfId="13360" xr:uid="{00000000-0005-0000-0000-0000D6330000}"/>
    <cellStyle name="_20061117Holux_ProgramWorkBook_Doneness Matrix v2_FairPoint_FP comTechOps_ProgramWorkbook 3" xfId="13361" xr:uid="{00000000-0005-0000-0000-0000D7330000}"/>
    <cellStyle name="_20061117Holux_ProgramWorkBook_Doneness Matrix v2_FairPoint_FP comTechOps_ProgramWorkbook_sachin" xfId="13362" xr:uid="{00000000-0005-0000-0000-0000D8330000}"/>
    <cellStyle name="_20061117Holux_ProgramWorkBook_Doneness Matrix v2_FairPoint_FP comTechOps_ProgramWorkbook_sachin 2" xfId="13363" xr:uid="{00000000-0005-0000-0000-0000D9330000}"/>
    <cellStyle name="_20061117Holux_ProgramWorkBook_Doneness Matrix v2_FairPoint_FP comTechOps_ProgramWorkbook_sachin 2_Steps of Doneness" xfId="13364" xr:uid="{00000000-0005-0000-0000-0000DA330000}"/>
    <cellStyle name="_20061117Holux_ProgramWorkBook_Doneness Matrix v2_FairPoint_FP comTechOps_ProgramWorkbook_sachin 3" xfId="13365" xr:uid="{00000000-0005-0000-0000-0000DB330000}"/>
    <cellStyle name="_20061117Holux_ProgramWorkBook_Doneness Matrix v2_FairPoint_FP comTechOps_ProgramWorkbook_sachin_Steps of Doneness" xfId="13366" xr:uid="{00000000-0005-0000-0000-0000DC330000}"/>
    <cellStyle name="_20061117Holux_ProgramWorkBook_Doneness Matrix v2_FairPoint_FP comTechOps_ProgramWorkbook_sachin_v1" xfId="13367" xr:uid="{00000000-0005-0000-0000-0000DD330000}"/>
    <cellStyle name="_20061117Holux_ProgramWorkBook_Doneness Matrix v2_FairPoint_FP comTechOps_ProgramWorkbook_sachin_v1 2" xfId="13368" xr:uid="{00000000-0005-0000-0000-0000DE330000}"/>
    <cellStyle name="_20061117Holux_ProgramWorkBook_Doneness Matrix v2_FairPoint_FP comTechOps_ProgramWorkbook_sachin_v1 2_Steps of Doneness" xfId="13369" xr:uid="{00000000-0005-0000-0000-0000DF330000}"/>
    <cellStyle name="_20061117Holux_ProgramWorkBook_Doneness Matrix v2_FairPoint_FP comTechOps_ProgramWorkbook_sachin_v1 3" xfId="13370" xr:uid="{00000000-0005-0000-0000-0000E0330000}"/>
    <cellStyle name="_20061117Holux_ProgramWorkBook_Doneness Matrix v2_FairPoint_FP comTechOps_ProgramWorkbook_sachin_v1_Steps of Doneness" xfId="13371" xr:uid="{00000000-0005-0000-0000-0000E1330000}"/>
    <cellStyle name="_20061117Holux_ProgramWorkBook_Doneness Matrix v2_FairPoint_FP comTechOps_ProgramWorkbook_Steps of Doneness" xfId="13372" xr:uid="{00000000-0005-0000-0000-0000E2330000}"/>
    <cellStyle name="_20061117Holux_ProgramWorkBook_Doneness Matrix v2_FP_CAMP&amp;ITReporting_Maintenance_Dashboard" xfId="13373" xr:uid="{00000000-0005-0000-0000-0000E3330000}"/>
    <cellStyle name="_20061117Holux_ProgramWorkBook_Doneness Matrix v2_FP_CAMP&amp;ITReporting_Maintenance_Dashboard 2" xfId="13374" xr:uid="{00000000-0005-0000-0000-0000E4330000}"/>
    <cellStyle name="_20061117Holux_ProgramWorkBook_Doneness Matrix v2_FP_CAMP&amp;ITReporting_Maintenance_Dashboard 2_Steps of Doneness" xfId="13375" xr:uid="{00000000-0005-0000-0000-0000E5330000}"/>
    <cellStyle name="_20061117Holux_ProgramWorkBook_Doneness Matrix v2_FP_CAMP&amp;ITReporting_Maintenance_Dashboard 3" xfId="13376" xr:uid="{00000000-0005-0000-0000-0000E6330000}"/>
    <cellStyle name="_20061117Holux_ProgramWorkBook_Doneness Matrix v2_FP_CAMP&amp;ITReporting_Maintenance_Dashboard_Steps of Doneness" xfId="13377" xr:uid="{00000000-0005-0000-0000-0000E7330000}"/>
    <cellStyle name="_20061117Holux_ProgramWorkBook_Doneness Matrix v2_FP_CAMPITReporting_Maintenance_Dashboard" xfId="13378" xr:uid="{00000000-0005-0000-0000-0000E8330000}"/>
    <cellStyle name="_20061117Holux_ProgramWorkBook_Doneness Matrix v2_FP_CAMPITReporting_Maintenance_Dashboard 2" xfId="13379" xr:uid="{00000000-0005-0000-0000-0000E9330000}"/>
    <cellStyle name="_20061117Holux_ProgramWorkBook_Doneness Matrix v2_FP_CAMPITReporting_Maintenance_Dashboard 2_Steps of Doneness" xfId="13380" xr:uid="{00000000-0005-0000-0000-0000EA330000}"/>
    <cellStyle name="_20061117Holux_ProgramWorkBook_Doneness Matrix v2_FP_CAMPITReporting_Maintenance_Dashboard 3" xfId="13381" xr:uid="{00000000-0005-0000-0000-0000EB330000}"/>
    <cellStyle name="_20061117Holux_ProgramWorkBook_Doneness Matrix v2_FP_CAMPITReporting_Maintenance_Dashboard_Steps of Doneness" xfId="13382" xr:uid="{00000000-0005-0000-0000-0000EC330000}"/>
    <cellStyle name="_20061117Holux_ProgramWorkBook_Doneness Matrix v2_FP_Commissions_Req_Dn_ProgramWorkBook_10-Dec-2010" xfId="13383" xr:uid="{00000000-0005-0000-0000-0000ED330000}"/>
    <cellStyle name="_20061117Holux_ProgramWorkBook_Doneness Matrix v2_FP_Commissions_Req_Dn_ProgramWorkBook_10-Dec-2010 2" xfId="13384" xr:uid="{00000000-0005-0000-0000-0000EE330000}"/>
    <cellStyle name="_20061117Holux_ProgramWorkBook_Doneness Matrix v2_FP_Commissions_Req_Dn_ProgramWorkBook_10-Dec-2010 2_Steps of Doneness" xfId="13385" xr:uid="{00000000-0005-0000-0000-0000EF330000}"/>
    <cellStyle name="_20061117Holux_ProgramWorkBook_Doneness Matrix v2_FP_Commissions_Req_Dn_ProgramWorkBook_10-Dec-2010 3" xfId="13386" xr:uid="{00000000-0005-0000-0000-0000F0330000}"/>
    <cellStyle name="_20061117Holux_ProgramWorkBook_Doneness Matrix v2_FP_Commissions_Req_Dn_ProgramWorkBook_10-Dec-2010_Steps of Doneness" xfId="13387" xr:uid="{00000000-0005-0000-0000-0000F1330000}"/>
    <cellStyle name="_20061117Holux_ProgramWorkBook_Doneness Matrix v2_FP_DW_Impl_ProgramWorkBook_07-Jan-2011" xfId="13388" xr:uid="{00000000-0005-0000-0000-0000F2330000}"/>
    <cellStyle name="_20061117Holux_ProgramWorkBook_Doneness Matrix v2_FP_DW_Impl_ProgramWorkBook_07-Jan-2011 2" xfId="13389" xr:uid="{00000000-0005-0000-0000-0000F3330000}"/>
    <cellStyle name="_20061117Holux_ProgramWorkBook_Doneness Matrix v2_FP_DW_Impl_ProgramWorkBook_07-Jan-2011 2 2" xfId="13390" xr:uid="{00000000-0005-0000-0000-0000F4330000}"/>
    <cellStyle name="_20061117Holux_ProgramWorkBook_Doneness Matrix v2_FP_DW_Impl_ProgramWorkBook_07-Jan-2011 2 2_Steps of Doneness" xfId="13391" xr:uid="{00000000-0005-0000-0000-0000F5330000}"/>
    <cellStyle name="_20061117Holux_ProgramWorkBook_Doneness Matrix v2_FP_DW_Impl_ProgramWorkBook_07-Jan-2011 2 3" xfId="13392" xr:uid="{00000000-0005-0000-0000-0000F6330000}"/>
    <cellStyle name="_20061117Holux_ProgramWorkBook_Doneness Matrix v2_FP_DW_Impl_ProgramWorkBook_07-Jan-2011 2_Steps of Doneness" xfId="13393" xr:uid="{00000000-0005-0000-0000-0000F7330000}"/>
    <cellStyle name="_20061117Holux_ProgramWorkBook_Doneness Matrix v2_FP_DW_Impl_ProgramWorkBook_07-Jan-2011 3" xfId="13394" xr:uid="{00000000-0005-0000-0000-0000F8330000}"/>
    <cellStyle name="_20061117Holux_ProgramWorkBook_Doneness Matrix v2_FP_DW_Impl_ProgramWorkBook_07-Jan-2011 3_Steps of Doneness" xfId="13395" xr:uid="{00000000-0005-0000-0000-0000F9330000}"/>
    <cellStyle name="_20061117Holux_ProgramWorkBook_Doneness Matrix v2_FP_DW_Impl_ProgramWorkBook_07-Jan-2011 4" xfId="13396" xr:uid="{00000000-0005-0000-0000-0000FA330000}"/>
    <cellStyle name="_20061117Holux_ProgramWorkBook_Doneness Matrix v2_FP_DW_Impl_ProgramWorkBook_07-Jan-2011_Steps of Doneness" xfId="13397" xr:uid="{00000000-0005-0000-0000-0000FB330000}"/>
    <cellStyle name="_20061117Holux_ProgramWorkBook_Doneness Matrix v2_FP_DW_Impl_ProgramWorkBook_11-Feb-2011" xfId="13398" xr:uid="{00000000-0005-0000-0000-0000FC330000}"/>
    <cellStyle name="_20061117Holux_ProgramWorkBook_Doneness Matrix v2_FP_DW_Impl_ProgramWorkBook_11-Feb-2011 2" xfId="13399" xr:uid="{00000000-0005-0000-0000-0000FD330000}"/>
    <cellStyle name="_20061117Holux_ProgramWorkBook_Doneness Matrix v2_FP_DW_Impl_ProgramWorkBook_11-Feb-2011 2_Steps of Doneness" xfId="13400" xr:uid="{00000000-0005-0000-0000-0000FE330000}"/>
    <cellStyle name="_20061117Holux_ProgramWorkBook_Doneness Matrix v2_FP_DW_Impl_ProgramWorkBook_11-Feb-2011 3" xfId="13401" xr:uid="{00000000-0005-0000-0000-0000FF330000}"/>
    <cellStyle name="_20061117Holux_ProgramWorkBook_Doneness Matrix v2_FP_DW_Impl_ProgramWorkBook_11-Feb-2011_Steps of Doneness" xfId="13402" xr:uid="{00000000-0005-0000-0000-000000340000}"/>
    <cellStyle name="_20061117Holux_ProgramWorkBook_Doneness Matrix v2_FP_DW_Impl_ProgramWorkBook_18-Feb-2011 - Working" xfId="13403" xr:uid="{00000000-0005-0000-0000-000001340000}"/>
    <cellStyle name="_20061117Holux_ProgramWorkBook_Doneness Matrix v2_FP_DW_Impl_ProgramWorkBook_18-Feb-2011 - Working 2" xfId="13404" xr:uid="{00000000-0005-0000-0000-000002340000}"/>
    <cellStyle name="_20061117Holux_ProgramWorkBook_Doneness Matrix v2_FP_DW_Impl_ProgramWorkBook_18-Feb-2011 - Working 2_Steps of Doneness" xfId="13405" xr:uid="{00000000-0005-0000-0000-000003340000}"/>
    <cellStyle name="_20061117Holux_ProgramWorkBook_Doneness Matrix v2_FP_DW_Impl_ProgramWorkBook_18-Feb-2011 - Working 3" xfId="13406" xr:uid="{00000000-0005-0000-0000-000004340000}"/>
    <cellStyle name="_20061117Holux_ProgramWorkBook_Doneness Matrix v2_FP_DW_Impl_ProgramWorkBook_18-Feb-2011 - Working_Steps of Doneness" xfId="13407" xr:uid="{00000000-0005-0000-0000-000005340000}"/>
    <cellStyle name="_20061117Holux_ProgramWorkBook_Doneness Matrix v2_FP_EnterprisePortal_ProgramWorkbook" xfId="13408" xr:uid="{00000000-0005-0000-0000-000006340000}"/>
    <cellStyle name="_20061117Holux_ProgramWorkBook_Doneness Matrix v2_FP_EnterprisePortal_ProgramWorkbook 2" xfId="13409" xr:uid="{00000000-0005-0000-0000-000007340000}"/>
    <cellStyle name="_20061117Holux_ProgramWorkBook_Doneness Matrix v2_FP_EnterprisePortal_ProgramWorkbook 2_Steps of Doneness" xfId="13410" xr:uid="{00000000-0005-0000-0000-000008340000}"/>
    <cellStyle name="_20061117Holux_ProgramWorkBook_Doneness Matrix v2_FP_EnterprisePortal_ProgramWorkbook 3" xfId="13411" xr:uid="{00000000-0005-0000-0000-000009340000}"/>
    <cellStyle name="_20061117Holux_ProgramWorkBook_Doneness Matrix v2_FP_EnterprisePortal_ProgramWorkbook_Steps of Doneness" xfId="13412" xr:uid="{00000000-0005-0000-0000-00000A340000}"/>
    <cellStyle name="_20061117Holux_ProgramWorkBook_Doneness Matrix v2_FP_SAP_MLP v2" xfId="13413" xr:uid="{00000000-0005-0000-0000-00000B340000}"/>
    <cellStyle name="_20061117Holux_ProgramWorkBook_Doneness Matrix v2_FP_SAP_MLP v2 2" xfId="13414" xr:uid="{00000000-0005-0000-0000-00000C340000}"/>
    <cellStyle name="_20061117Holux_ProgramWorkBook_Doneness Matrix v2_FP_SAP_MLP v2 2_Steps of Doneness" xfId="13415" xr:uid="{00000000-0005-0000-0000-00000D340000}"/>
    <cellStyle name="_20061117Holux_ProgramWorkBook_Doneness Matrix v2_FP_SAP_MLP v2 3" xfId="13416" xr:uid="{00000000-0005-0000-0000-00000E340000}"/>
    <cellStyle name="_20061117Holux_ProgramWorkBook_Doneness Matrix v2_FP_SAP_MLP v2_Steps of Doneness" xfId="13417" xr:uid="{00000000-0005-0000-0000-00000F340000}"/>
    <cellStyle name="_20061117Holux_ProgramWorkBook_Doneness Matrix v2_KeyDecisions" xfId="13418" xr:uid="{00000000-0005-0000-0000-000010340000}"/>
    <cellStyle name="_20061117Holux_ProgramWorkBook_Doneness Matrix v2_KeyDecisions 2" xfId="13419" xr:uid="{00000000-0005-0000-0000-000011340000}"/>
    <cellStyle name="_20061117Holux_ProgramWorkBook_Doneness Matrix v2_KeyDecisions 2_Steps of Doneness" xfId="13420" xr:uid="{00000000-0005-0000-0000-000012340000}"/>
    <cellStyle name="_20061117Holux_ProgramWorkBook_Doneness Matrix v2_KeyDecisions 3" xfId="13421" xr:uid="{00000000-0005-0000-0000-000013340000}"/>
    <cellStyle name="_20061117Holux_ProgramWorkBook_Doneness Matrix v2_KeyDecisions_Steps of Doneness" xfId="13422" xr:uid="{00000000-0005-0000-0000-000014340000}"/>
    <cellStyle name="_20061117Holux_ProgramWorkBook_Doneness Matrix v2_Sophia_Imp_ProjectWorkBook_02_18_2011" xfId="13423" xr:uid="{00000000-0005-0000-0000-000015340000}"/>
    <cellStyle name="_20061117Holux_ProgramWorkBook_Doneness Matrix v2_Sophia_Imp_ProjectWorkBook_02_18_2011 2" xfId="13424" xr:uid="{00000000-0005-0000-0000-000016340000}"/>
    <cellStyle name="_20061117Holux_ProgramWorkBook_Doneness Matrix v2_Sophia_Imp_ProjectWorkBook_02_18_2011 2_Steps of Doneness" xfId="13425" xr:uid="{00000000-0005-0000-0000-000017340000}"/>
    <cellStyle name="_20061117Holux_ProgramWorkBook_Doneness Matrix v2_Sophia_Imp_ProjectWorkBook_02_18_2011 3" xfId="13426" xr:uid="{00000000-0005-0000-0000-000018340000}"/>
    <cellStyle name="_20061117Holux_ProgramWorkBook_Doneness Matrix v2_Sophia_Imp_ProjectWorkBook_02_18_2011_Steps of Doneness" xfId="13427" xr:uid="{00000000-0005-0000-0000-000019340000}"/>
    <cellStyle name="_20061117Holux_ProgramWorkBook_Doneness Matrix v2_Steps of Doneness" xfId="13428" xr:uid="{00000000-0005-0000-0000-00001A340000}"/>
    <cellStyle name="_20061117Holux_ProgramWorkBook_Doneness Matrix v2_t" xfId="13429" xr:uid="{00000000-0005-0000-0000-00001B340000}"/>
    <cellStyle name="_20061117Holux_ProgramWorkBook_Doneness Matrix v2_t 2" xfId="13430" xr:uid="{00000000-0005-0000-0000-00001C340000}"/>
    <cellStyle name="_20061117Holux_ProgramWorkBook_Doneness Matrix v2_t 2_Steps of Doneness" xfId="13431" xr:uid="{00000000-0005-0000-0000-00001D340000}"/>
    <cellStyle name="_20061117Holux_ProgramWorkBook_Doneness Matrix v2_t 3" xfId="13432" xr:uid="{00000000-0005-0000-0000-00001E340000}"/>
    <cellStyle name="_20061117Holux_ProgramWorkBook_Doneness Matrix v2_t_Steps of Doneness" xfId="13433" xr:uid="{00000000-0005-0000-0000-00001F340000}"/>
    <cellStyle name="_20061117Holux_ProgramWorkBook_EnterprisePortalRequirements_PMWorkbook" xfId="13434" xr:uid="{00000000-0005-0000-0000-000020340000}"/>
    <cellStyle name="_20061117Holux_ProgramWorkBook_EnterprisePortalRequirements_PMWorkbook (2)" xfId="13435" xr:uid="{00000000-0005-0000-0000-000021340000}"/>
    <cellStyle name="_20061117Holux_ProgramWorkBook_EnterprisePortalRequirements_PMWorkbook (2) 2" xfId="13436" xr:uid="{00000000-0005-0000-0000-000022340000}"/>
    <cellStyle name="_20061117Holux_ProgramWorkBook_EnterprisePortalRequirements_PMWorkbook (2) 2_Steps of Doneness" xfId="13437" xr:uid="{00000000-0005-0000-0000-000023340000}"/>
    <cellStyle name="_20061117Holux_ProgramWorkBook_EnterprisePortalRequirements_PMWorkbook (2) 3" xfId="13438" xr:uid="{00000000-0005-0000-0000-000024340000}"/>
    <cellStyle name="_20061117Holux_ProgramWorkBook_EnterprisePortalRequirements_PMWorkbook (2)_Steps of Doneness" xfId="13439" xr:uid="{00000000-0005-0000-0000-000025340000}"/>
    <cellStyle name="_20061117Holux_ProgramWorkBook_EnterprisePortalRequirements_PMWorkbook 10" xfId="13440" xr:uid="{00000000-0005-0000-0000-000026340000}"/>
    <cellStyle name="_20061117Holux_ProgramWorkBook_EnterprisePortalRequirements_PMWorkbook 2" xfId="13441" xr:uid="{00000000-0005-0000-0000-000027340000}"/>
    <cellStyle name="_20061117Holux_ProgramWorkBook_EnterprisePortalRequirements_PMWorkbook 2_Steps of Doneness" xfId="13442" xr:uid="{00000000-0005-0000-0000-000028340000}"/>
    <cellStyle name="_20061117Holux_ProgramWorkBook_EnterprisePortalRequirements_PMWorkbook 3" xfId="13443" xr:uid="{00000000-0005-0000-0000-000029340000}"/>
    <cellStyle name="_20061117Holux_ProgramWorkBook_EnterprisePortalRequirements_PMWorkbook 3_Steps of Doneness" xfId="13444" xr:uid="{00000000-0005-0000-0000-00002A340000}"/>
    <cellStyle name="_20061117Holux_ProgramWorkBook_EnterprisePortalRequirements_PMWorkbook 4" xfId="13445" xr:uid="{00000000-0005-0000-0000-00002B340000}"/>
    <cellStyle name="_20061117Holux_ProgramWorkBook_EnterprisePortalRequirements_PMWorkbook 4_Steps of Doneness" xfId="13446" xr:uid="{00000000-0005-0000-0000-00002C340000}"/>
    <cellStyle name="_20061117Holux_ProgramWorkBook_EnterprisePortalRequirements_PMWorkbook 5" xfId="13447" xr:uid="{00000000-0005-0000-0000-00002D340000}"/>
    <cellStyle name="_20061117Holux_ProgramWorkBook_EnterprisePortalRequirements_PMWorkbook 6" xfId="13448" xr:uid="{00000000-0005-0000-0000-00002E340000}"/>
    <cellStyle name="_20061117Holux_ProgramWorkBook_EnterprisePortalRequirements_PMWorkbook 7" xfId="13449" xr:uid="{00000000-0005-0000-0000-00002F340000}"/>
    <cellStyle name="_20061117Holux_ProgramWorkBook_EnterprisePortalRequirements_PMWorkbook 8" xfId="13450" xr:uid="{00000000-0005-0000-0000-000030340000}"/>
    <cellStyle name="_20061117Holux_ProgramWorkBook_EnterprisePortalRequirements_PMWorkbook 9" xfId="13451" xr:uid="{00000000-0005-0000-0000-000031340000}"/>
    <cellStyle name="_20061117Holux_ProgramWorkBook_EnterprisePortalRequirements_PMWorkbook_Steps of Doneness" xfId="13452" xr:uid="{00000000-0005-0000-0000-000032340000}"/>
    <cellStyle name="_20061117Holux_ProgramWorkBook_FairPoint_CampReport" xfId="13453" xr:uid="{00000000-0005-0000-0000-000033340000}"/>
    <cellStyle name="_20061117Holux_ProgramWorkBook_FairPoint_CampReport 2" xfId="13454" xr:uid="{00000000-0005-0000-0000-000034340000}"/>
    <cellStyle name="_20061117Holux_ProgramWorkBook_FairPoint_CampReport 2_Steps of Doneness" xfId="13455" xr:uid="{00000000-0005-0000-0000-000035340000}"/>
    <cellStyle name="_20061117Holux_ProgramWorkBook_FairPoint_CampReport 3" xfId="13456" xr:uid="{00000000-0005-0000-0000-000036340000}"/>
    <cellStyle name="_20061117Holux_ProgramWorkBook_FairPoint_CampReport_Steps of Doneness" xfId="13457" xr:uid="{00000000-0005-0000-0000-000037340000}"/>
    <cellStyle name="_20061117Holux_ProgramWorkBook_FairPoint_FP comTechOps_ProgramWorkbook" xfId="13458" xr:uid="{00000000-0005-0000-0000-000038340000}"/>
    <cellStyle name="_20061117Holux_ProgramWorkBook_FairPoint_FP comTechOps_ProgramWorkbook 2" xfId="13459" xr:uid="{00000000-0005-0000-0000-000039340000}"/>
    <cellStyle name="_20061117Holux_ProgramWorkBook_FairPoint_FP comTechOps_ProgramWorkbook 2_Steps of Doneness" xfId="13460" xr:uid="{00000000-0005-0000-0000-00003A340000}"/>
    <cellStyle name="_20061117Holux_ProgramWorkBook_FairPoint_FP comTechOps_ProgramWorkbook 3" xfId="13461" xr:uid="{00000000-0005-0000-0000-00003B340000}"/>
    <cellStyle name="_20061117Holux_ProgramWorkBook_FairPoint_FP comTechOps_ProgramWorkbook_sachin" xfId="13462" xr:uid="{00000000-0005-0000-0000-00003C340000}"/>
    <cellStyle name="_20061117Holux_ProgramWorkBook_FairPoint_FP comTechOps_ProgramWorkbook_sachin 2" xfId="13463" xr:uid="{00000000-0005-0000-0000-00003D340000}"/>
    <cellStyle name="_20061117Holux_ProgramWorkBook_FairPoint_FP comTechOps_ProgramWorkbook_sachin 2_Steps of Doneness" xfId="13464" xr:uid="{00000000-0005-0000-0000-00003E340000}"/>
    <cellStyle name="_20061117Holux_ProgramWorkBook_FairPoint_FP comTechOps_ProgramWorkbook_sachin 3" xfId="13465" xr:uid="{00000000-0005-0000-0000-00003F340000}"/>
    <cellStyle name="_20061117Holux_ProgramWorkBook_FairPoint_FP comTechOps_ProgramWorkbook_sachin_Steps of Doneness" xfId="13466" xr:uid="{00000000-0005-0000-0000-000040340000}"/>
    <cellStyle name="_20061117Holux_ProgramWorkBook_FairPoint_FP comTechOps_ProgramWorkbook_sachin_v1" xfId="13467" xr:uid="{00000000-0005-0000-0000-000041340000}"/>
    <cellStyle name="_20061117Holux_ProgramWorkBook_FairPoint_FP comTechOps_ProgramWorkbook_sachin_v1 2" xfId="13468" xr:uid="{00000000-0005-0000-0000-000042340000}"/>
    <cellStyle name="_20061117Holux_ProgramWorkBook_FairPoint_FP comTechOps_ProgramWorkbook_sachin_v1 2_Steps of Doneness" xfId="13469" xr:uid="{00000000-0005-0000-0000-000043340000}"/>
    <cellStyle name="_20061117Holux_ProgramWorkBook_FairPoint_FP comTechOps_ProgramWorkbook_sachin_v1 3" xfId="13470" xr:uid="{00000000-0005-0000-0000-000044340000}"/>
    <cellStyle name="_20061117Holux_ProgramWorkBook_FairPoint_FP comTechOps_ProgramWorkbook_sachin_v1_Steps of Doneness" xfId="13471" xr:uid="{00000000-0005-0000-0000-000045340000}"/>
    <cellStyle name="_20061117Holux_ProgramWorkBook_FairPoint_FP comTechOps_ProgramWorkbook_Steps of Doneness" xfId="13472" xr:uid="{00000000-0005-0000-0000-000046340000}"/>
    <cellStyle name="_20061117Holux_ProgramWorkBook_FairPoint_IntialSetup_Focus" xfId="13473" xr:uid="{00000000-0005-0000-0000-000047340000}"/>
    <cellStyle name="_20061117Holux_ProgramWorkBook_FairPoint_IntialSetup_Focus 2" xfId="13474" xr:uid="{00000000-0005-0000-0000-000048340000}"/>
    <cellStyle name="_20061117Holux_ProgramWorkBook_FairPoint_IntialSetup_Focus 2 2" xfId="13475" xr:uid="{00000000-0005-0000-0000-000049340000}"/>
    <cellStyle name="_20061117Holux_ProgramWorkBook_FairPoint_IntialSetup_Focus 2 2_Steps of Doneness" xfId="13476" xr:uid="{00000000-0005-0000-0000-00004A340000}"/>
    <cellStyle name="_20061117Holux_ProgramWorkBook_FairPoint_IntialSetup_Focus 2 3" xfId="13477" xr:uid="{00000000-0005-0000-0000-00004B340000}"/>
    <cellStyle name="_20061117Holux_ProgramWorkBook_FairPoint_IntialSetup_Focus 2_Steps of Doneness" xfId="13478" xr:uid="{00000000-0005-0000-0000-00004C340000}"/>
    <cellStyle name="_20061117Holux_ProgramWorkBook_FairPoint_IntialSetup_Focus 3" xfId="13479" xr:uid="{00000000-0005-0000-0000-00004D340000}"/>
    <cellStyle name="_20061117Holux_ProgramWorkBook_FairPoint_IntialSetup_Focus 3 2" xfId="13480" xr:uid="{00000000-0005-0000-0000-00004E340000}"/>
    <cellStyle name="_20061117Holux_ProgramWorkBook_FairPoint_IntialSetup_Focus 3 2_Steps of Doneness" xfId="13481" xr:uid="{00000000-0005-0000-0000-00004F340000}"/>
    <cellStyle name="_20061117Holux_ProgramWorkBook_FairPoint_IntialSetup_Focus 3 3" xfId="13482" xr:uid="{00000000-0005-0000-0000-000050340000}"/>
    <cellStyle name="_20061117Holux_ProgramWorkBook_FairPoint_IntialSetup_Focus 3_Steps of Doneness" xfId="13483" xr:uid="{00000000-0005-0000-0000-000051340000}"/>
    <cellStyle name="_20061117Holux_ProgramWorkBook_FairPoint_IntialSetup_Focus 4" xfId="13484" xr:uid="{00000000-0005-0000-0000-000052340000}"/>
    <cellStyle name="_20061117Holux_ProgramWorkBook_FairPoint_IntialSetup_Focus 4_Steps of Doneness" xfId="13485" xr:uid="{00000000-0005-0000-0000-000053340000}"/>
    <cellStyle name="_20061117Holux_ProgramWorkBook_FairPoint_IntialSetup_Focus 5" xfId="13486" xr:uid="{00000000-0005-0000-0000-000054340000}"/>
    <cellStyle name="_20061117Holux_ProgramWorkBook_FairPoint_IntialSetup_Focus 6" xfId="13487" xr:uid="{00000000-0005-0000-0000-000055340000}"/>
    <cellStyle name="_20061117Holux_ProgramWorkBook_FairPoint_IntialSetup_Focus_Commissioning System Implementation_Project Workbook_06_10_2011" xfId="13488" xr:uid="{00000000-0005-0000-0000-000056340000}"/>
    <cellStyle name="_20061117Holux_ProgramWorkBook_FairPoint_IntialSetup_Focus_Commissioning System Implementation_Project Workbook_06_10_2011 2" xfId="13489" xr:uid="{00000000-0005-0000-0000-000057340000}"/>
    <cellStyle name="_20061117Holux_ProgramWorkBook_FairPoint_IntialSetup_Focus_Commissioning System Implementation_Project Workbook_06_10_2011 2_Steps of Doneness" xfId="13490" xr:uid="{00000000-0005-0000-0000-000058340000}"/>
    <cellStyle name="_20061117Holux_ProgramWorkBook_FairPoint_IntialSetup_Focus_Commissioning System Implementation_Project Workbook_06_10_2011 3" xfId="13491" xr:uid="{00000000-0005-0000-0000-000059340000}"/>
    <cellStyle name="_20061117Holux_ProgramWorkBook_FairPoint_IntialSetup_Focus_Commissioning System Implementation_Project Workbook_06_10_2011_Steps of Doneness" xfId="13492" xr:uid="{00000000-0005-0000-0000-00005A340000}"/>
    <cellStyle name="_20061117Holux_ProgramWorkBook_FairPoint_IntialSetup_Focus_FairPoint_CampReport" xfId="13493" xr:uid="{00000000-0005-0000-0000-00005B340000}"/>
    <cellStyle name="_20061117Holux_ProgramWorkBook_FairPoint_IntialSetup_Focus_FairPoint_CampReport 2" xfId="13494" xr:uid="{00000000-0005-0000-0000-00005C340000}"/>
    <cellStyle name="_20061117Holux_ProgramWorkBook_FairPoint_IntialSetup_Focus_FairPoint_CampReport 2_Steps of Doneness" xfId="13495" xr:uid="{00000000-0005-0000-0000-00005D340000}"/>
    <cellStyle name="_20061117Holux_ProgramWorkBook_FairPoint_IntialSetup_Focus_FairPoint_CampReport 3" xfId="13496" xr:uid="{00000000-0005-0000-0000-00005E340000}"/>
    <cellStyle name="_20061117Holux_ProgramWorkBook_FairPoint_IntialSetup_Focus_FairPoint_CampReport_Steps of Doneness" xfId="13497" xr:uid="{00000000-0005-0000-0000-00005F340000}"/>
    <cellStyle name="_20061117Holux_ProgramWorkBook_FairPoint_IntialSetup_Focus_FairPoint_FP comTechOps_ProgramWorkbook" xfId="13498" xr:uid="{00000000-0005-0000-0000-000060340000}"/>
    <cellStyle name="_20061117Holux_ProgramWorkBook_FairPoint_IntialSetup_Focus_FairPoint_FP comTechOps_ProgramWorkbook 2" xfId="13499" xr:uid="{00000000-0005-0000-0000-000061340000}"/>
    <cellStyle name="_20061117Holux_ProgramWorkBook_FairPoint_IntialSetup_Focus_FairPoint_FP comTechOps_ProgramWorkbook 2_Steps of Doneness" xfId="13500" xr:uid="{00000000-0005-0000-0000-000062340000}"/>
    <cellStyle name="_20061117Holux_ProgramWorkBook_FairPoint_IntialSetup_Focus_FairPoint_FP comTechOps_ProgramWorkbook 3" xfId="13501" xr:uid="{00000000-0005-0000-0000-000063340000}"/>
    <cellStyle name="_20061117Holux_ProgramWorkBook_FairPoint_IntialSetup_Focus_FairPoint_FP comTechOps_ProgramWorkbook_sachin" xfId="13502" xr:uid="{00000000-0005-0000-0000-000064340000}"/>
    <cellStyle name="_20061117Holux_ProgramWorkBook_FairPoint_IntialSetup_Focus_FairPoint_FP comTechOps_ProgramWorkbook_sachin 2" xfId="13503" xr:uid="{00000000-0005-0000-0000-000065340000}"/>
    <cellStyle name="_20061117Holux_ProgramWorkBook_FairPoint_IntialSetup_Focus_FairPoint_FP comTechOps_ProgramWorkbook_sachin 2_Steps of Doneness" xfId="13504" xr:uid="{00000000-0005-0000-0000-000066340000}"/>
    <cellStyle name="_20061117Holux_ProgramWorkBook_FairPoint_IntialSetup_Focus_FairPoint_FP comTechOps_ProgramWorkbook_sachin 3" xfId="13505" xr:uid="{00000000-0005-0000-0000-000067340000}"/>
    <cellStyle name="_20061117Holux_ProgramWorkBook_FairPoint_IntialSetup_Focus_FairPoint_FP comTechOps_ProgramWorkbook_sachin_Steps of Doneness" xfId="13506" xr:uid="{00000000-0005-0000-0000-000068340000}"/>
    <cellStyle name="_20061117Holux_ProgramWorkBook_FairPoint_IntialSetup_Focus_FairPoint_FP comTechOps_ProgramWorkbook_sachin_v1" xfId="13507" xr:uid="{00000000-0005-0000-0000-000069340000}"/>
    <cellStyle name="_20061117Holux_ProgramWorkBook_FairPoint_IntialSetup_Focus_FairPoint_FP comTechOps_ProgramWorkbook_sachin_v1 2" xfId="13508" xr:uid="{00000000-0005-0000-0000-00006A340000}"/>
    <cellStyle name="_20061117Holux_ProgramWorkBook_FairPoint_IntialSetup_Focus_FairPoint_FP comTechOps_ProgramWorkbook_sachin_v1 2_Steps of Doneness" xfId="13509" xr:uid="{00000000-0005-0000-0000-00006B340000}"/>
    <cellStyle name="_20061117Holux_ProgramWorkBook_FairPoint_IntialSetup_Focus_FairPoint_FP comTechOps_ProgramWorkbook_sachin_v1 3" xfId="13510" xr:uid="{00000000-0005-0000-0000-00006C340000}"/>
    <cellStyle name="_20061117Holux_ProgramWorkBook_FairPoint_IntialSetup_Focus_FairPoint_FP comTechOps_ProgramWorkbook_sachin_v1_Steps of Doneness" xfId="13511" xr:uid="{00000000-0005-0000-0000-00006D340000}"/>
    <cellStyle name="_20061117Holux_ProgramWorkBook_FairPoint_IntialSetup_Focus_FairPoint_FP comTechOps_ProgramWorkbook_Steps of Doneness" xfId="13512" xr:uid="{00000000-0005-0000-0000-00006E340000}"/>
    <cellStyle name="_20061117Holux_ProgramWorkBook_FairPoint_IntialSetup_Focus_FP_CAMP&amp;ITReporting_Maintenance_Dashboard" xfId="13513" xr:uid="{00000000-0005-0000-0000-00006F340000}"/>
    <cellStyle name="_20061117Holux_ProgramWorkBook_FairPoint_IntialSetup_Focus_FP_CAMP&amp;ITReporting_Maintenance_Dashboard 2" xfId="13514" xr:uid="{00000000-0005-0000-0000-000070340000}"/>
    <cellStyle name="_20061117Holux_ProgramWorkBook_FairPoint_IntialSetup_Focus_FP_CAMP&amp;ITReporting_Maintenance_Dashboard 2_Steps of Doneness" xfId="13515" xr:uid="{00000000-0005-0000-0000-000071340000}"/>
    <cellStyle name="_20061117Holux_ProgramWorkBook_FairPoint_IntialSetup_Focus_FP_CAMP&amp;ITReporting_Maintenance_Dashboard 3" xfId="13516" xr:uid="{00000000-0005-0000-0000-000072340000}"/>
    <cellStyle name="_20061117Holux_ProgramWorkBook_FairPoint_IntialSetup_Focus_FP_CAMP&amp;ITReporting_Maintenance_Dashboard_Steps of Doneness" xfId="13517" xr:uid="{00000000-0005-0000-0000-000073340000}"/>
    <cellStyle name="_20061117Holux_ProgramWorkBook_FairPoint_IntialSetup_Focus_FP_CAMPITReporting_Maintenance_Dashboard" xfId="13518" xr:uid="{00000000-0005-0000-0000-000074340000}"/>
    <cellStyle name="_20061117Holux_ProgramWorkBook_FairPoint_IntialSetup_Focus_FP_CAMPITReporting_Maintenance_Dashboard 2" xfId="13519" xr:uid="{00000000-0005-0000-0000-000075340000}"/>
    <cellStyle name="_20061117Holux_ProgramWorkBook_FairPoint_IntialSetup_Focus_FP_CAMPITReporting_Maintenance_Dashboard 2_Steps of Doneness" xfId="13520" xr:uid="{00000000-0005-0000-0000-000076340000}"/>
    <cellStyle name="_20061117Holux_ProgramWorkBook_FairPoint_IntialSetup_Focus_FP_CAMPITReporting_Maintenance_Dashboard 3" xfId="13521" xr:uid="{00000000-0005-0000-0000-000077340000}"/>
    <cellStyle name="_20061117Holux_ProgramWorkBook_FairPoint_IntialSetup_Focus_FP_CAMPITReporting_Maintenance_Dashboard_Steps of Doneness" xfId="13522" xr:uid="{00000000-0005-0000-0000-000078340000}"/>
    <cellStyle name="_20061117Holux_ProgramWorkBook_FairPoint_IntialSetup_Focus_FP_Commissions_Req_Dn_ProgramWorkBook_10-Dec-2010" xfId="13523" xr:uid="{00000000-0005-0000-0000-000079340000}"/>
    <cellStyle name="_20061117Holux_ProgramWorkBook_FairPoint_IntialSetup_Focus_FP_Commissions_Req_Dn_ProgramWorkBook_10-Dec-2010 2" xfId="13524" xr:uid="{00000000-0005-0000-0000-00007A340000}"/>
    <cellStyle name="_20061117Holux_ProgramWorkBook_FairPoint_IntialSetup_Focus_FP_Commissions_Req_Dn_ProgramWorkBook_10-Dec-2010 2_Steps of Doneness" xfId="13525" xr:uid="{00000000-0005-0000-0000-00007B340000}"/>
    <cellStyle name="_20061117Holux_ProgramWorkBook_FairPoint_IntialSetup_Focus_FP_Commissions_Req_Dn_ProgramWorkBook_10-Dec-2010 3" xfId="13526" xr:uid="{00000000-0005-0000-0000-00007C340000}"/>
    <cellStyle name="_20061117Holux_ProgramWorkBook_FairPoint_IntialSetup_Focus_FP_Commissions_Req_Dn_ProgramWorkBook_10-Dec-2010_Steps of Doneness" xfId="13527" xr:uid="{00000000-0005-0000-0000-00007D340000}"/>
    <cellStyle name="_20061117Holux_ProgramWorkBook_FairPoint_IntialSetup_Focus_FP_DW_Impl_ProgramWorkBook_07-Jan-2011" xfId="13528" xr:uid="{00000000-0005-0000-0000-00007E340000}"/>
    <cellStyle name="_20061117Holux_ProgramWorkBook_FairPoint_IntialSetup_Focus_FP_DW_Impl_ProgramWorkBook_07-Jan-2011 2" xfId="13529" xr:uid="{00000000-0005-0000-0000-00007F340000}"/>
    <cellStyle name="_20061117Holux_ProgramWorkBook_FairPoint_IntialSetup_Focus_FP_DW_Impl_ProgramWorkBook_07-Jan-2011 2 2" xfId="13530" xr:uid="{00000000-0005-0000-0000-000080340000}"/>
    <cellStyle name="_20061117Holux_ProgramWorkBook_FairPoint_IntialSetup_Focus_FP_DW_Impl_ProgramWorkBook_07-Jan-2011 2 2_Steps of Doneness" xfId="13531" xr:uid="{00000000-0005-0000-0000-000081340000}"/>
    <cellStyle name="_20061117Holux_ProgramWorkBook_FairPoint_IntialSetup_Focus_FP_DW_Impl_ProgramWorkBook_07-Jan-2011 2 3" xfId="13532" xr:uid="{00000000-0005-0000-0000-000082340000}"/>
    <cellStyle name="_20061117Holux_ProgramWorkBook_FairPoint_IntialSetup_Focus_FP_DW_Impl_ProgramWorkBook_07-Jan-2011 2_Steps of Doneness" xfId="13533" xr:uid="{00000000-0005-0000-0000-000083340000}"/>
    <cellStyle name="_20061117Holux_ProgramWorkBook_FairPoint_IntialSetup_Focus_FP_DW_Impl_ProgramWorkBook_07-Jan-2011 3" xfId="13534" xr:uid="{00000000-0005-0000-0000-000084340000}"/>
    <cellStyle name="_20061117Holux_ProgramWorkBook_FairPoint_IntialSetup_Focus_FP_DW_Impl_ProgramWorkBook_07-Jan-2011 3_Steps of Doneness" xfId="13535" xr:uid="{00000000-0005-0000-0000-000085340000}"/>
    <cellStyle name="_20061117Holux_ProgramWorkBook_FairPoint_IntialSetup_Focus_FP_DW_Impl_ProgramWorkBook_07-Jan-2011 4" xfId="13536" xr:uid="{00000000-0005-0000-0000-000086340000}"/>
    <cellStyle name="_20061117Holux_ProgramWorkBook_FairPoint_IntialSetup_Focus_FP_DW_Impl_ProgramWorkBook_07-Jan-2011_Steps of Doneness" xfId="13537" xr:uid="{00000000-0005-0000-0000-000087340000}"/>
    <cellStyle name="_20061117Holux_ProgramWorkBook_FairPoint_IntialSetup_Focus_FP_DW_Impl_ProgramWorkBook_11-Feb-2011" xfId="13538" xr:uid="{00000000-0005-0000-0000-000088340000}"/>
    <cellStyle name="_20061117Holux_ProgramWorkBook_FairPoint_IntialSetup_Focus_FP_DW_Impl_ProgramWorkBook_11-Feb-2011 2" xfId="13539" xr:uid="{00000000-0005-0000-0000-000089340000}"/>
    <cellStyle name="_20061117Holux_ProgramWorkBook_FairPoint_IntialSetup_Focus_FP_DW_Impl_ProgramWorkBook_11-Feb-2011 2_Steps of Doneness" xfId="13540" xr:uid="{00000000-0005-0000-0000-00008A340000}"/>
    <cellStyle name="_20061117Holux_ProgramWorkBook_FairPoint_IntialSetup_Focus_FP_DW_Impl_ProgramWorkBook_11-Feb-2011 3" xfId="13541" xr:uid="{00000000-0005-0000-0000-00008B340000}"/>
    <cellStyle name="_20061117Holux_ProgramWorkBook_FairPoint_IntialSetup_Focus_FP_DW_Impl_ProgramWorkBook_11-Feb-2011_Steps of Doneness" xfId="13542" xr:uid="{00000000-0005-0000-0000-00008C340000}"/>
    <cellStyle name="_20061117Holux_ProgramWorkBook_FairPoint_IntialSetup_Focus_FP_DW_Impl_ProgramWorkBook_18-Feb-2011 - Working" xfId="13543" xr:uid="{00000000-0005-0000-0000-00008D340000}"/>
    <cellStyle name="_20061117Holux_ProgramWorkBook_FairPoint_IntialSetup_Focus_FP_DW_Impl_ProgramWorkBook_18-Feb-2011 - Working 2" xfId="13544" xr:uid="{00000000-0005-0000-0000-00008E340000}"/>
    <cellStyle name="_20061117Holux_ProgramWorkBook_FairPoint_IntialSetup_Focus_FP_DW_Impl_ProgramWorkBook_18-Feb-2011 - Working 2_Steps of Doneness" xfId="13545" xr:uid="{00000000-0005-0000-0000-00008F340000}"/>
    <cellStyle name="_20061117Holux_ProgramWorkBook_FairPoint_IntialSetup_Focus_FP_DW_Impl_ProgramWorkBook_18-Feb-2011 - Working 3" xfId="13546" xr:uid="{00000000-0005-0000-0000-000090340000}"/>
    <cellStyle name="_20061117Holux_ProgramWorkBook_FairPoint_IntialSetup_Focus_FP_DW_Impl_ProgramWorkBook_18-Feb-2011 - Working_Steps of Doneness" xfId="13547" xr:uid="{00000000-0005-0000-0000-000091340000}"/>
    <cellStyle name="_20061117Holux_ProgramWorkBook_FairPoint_IntialSetup_Focus_FP_EnterprisePortal_ProgramWorkbook" xfId="13548" xr:uid="{00000000-0005-0000-0000-000092340000}"/>
    <cellStyle name="_20061117Holux_ProgramWorkBook_FairPoint_IntialSetup_Focus_FP_EnterprisePortal_ProgramWorkbook 2" xfId="13549" xr:uid="{00000000-0005-0000-0000-000093340000}"/>
    <cellStyle name="_20061117Holux_ProgramWorkBook_FairPoint_IntialSetup_Focus_FP_EnterprisePortal_ProgramWorkbook 2_Steps of Doneness" xfId="13550" xr:uid="{00000000-0005-0000-0000-000094340000}"/>
    <cellStyle name="_20061117Holux_ProgramWorkBook_FairPoint_IntialSetup_Focus_FP_EnterprisePortal_ProgramWorkbook 3" xfId="13551" xr:uid="{00000000-0005-0000-0000-000095340000}"/>
    <cellStyle name="_20061117Holux_ProgramWorkBook_FairPoint_IntialSetup_Focus_FP_EnterprisePortal_ProgramWorkbook_Steps of Doneness" xfId="13552" xr:uid="{00000000-0005-0000-0000-000096340000}"/>
    <cellStyle name="_20061117Holux_ProgramWorkBook_FairPoint_IntialSetup_Focus_FP_SAP_MLP v2" xfId="13553" xr:uid="{00000000-0005-0000-0000-000097340000}"/>
    <cellStyle name="_20061117Holux_ProgramWorkBook_FairPoint_IntialSetup_Focus_FP_SAP_MLP v2 2" xfId="13554" xr:uid="{00000000-0005-0000-0000-000098340000}"/>
    <cellStyle name="_20061117Holux_ProgramWorkBook_FairPoint_IntialSetup_Focus_FP_SAP_MLP v2 2_Steps of Doneness" xfId="13555" xr:uid="{00000000-0005-0000-0000-000099340000}"/>
    <cellStyle name="_20061117Holux_ProgramWorkBook_FairPoint_IntialSetup_Focus_FP_SAP_MLP v2 3" xfId="13556" xr:uid="{00000000-0005-0000-0000-00009A340000}"/>
    <cellStyle name="_20061117Holux_ProgramWorkBook_FairPoint_IntialSetup_Focus_FP_SAP_MLP v2_Steps of Doneness" xfId="13557" xr:uid="{00000000-0005-0000-0000-00009B340000}"/>
    <cellStyle name="_20061117Holux_ProgramWorkBook_FairPoint_IntialSetup_Focus_KeyDecisions" xfId="13558" xr:uid="{00000000-0005-0000-0000-00009C340000}"/>
    <cellStyle name="_20061117Holux_ProgramWorkBook_FairPoint_IntialSetup_Focus_KeyDecisions 2" xfId="13559" xr:uid="{00000000-0005-0000-0000-00009D340000}"/>
    <cellStyle name="_20061117Holux_ProgramWorkBook_FairPoint_IntialSetup_Focus_KeyDecisions 2_Steps of Doneness" xfId="13560" xr:uid="{00000000-0005-0000-0000-00009E340000}"/>
    <cellStyle name="_20061117Holux_ProgramWorkBook_FairPoint_IntialSetup_Focus_KeyDecisions 3" xfId="13561" xr:uid="{00000000-0005-0000-0000-00009F340000}"/>
    <cellStyle name="_20061117Holux_ProgramWorkBook_FairPoint_IntialSetup_Focus_KeyDecisions_Steps of Doneness" xfId="13562" xr:uid="{00000000-0005-0000-0000-0000A0340000}"/>
    <cellStyle name="_20061117Holux_ProgramWorkBook_FairPoint_IntialSetup_Focus_Sophia_Imp_ProjectWorkBook_02_18_2011" xfId="13563" xr:uid="{00000000-0005-0000-0000-0000A1340000}"/>
    <cellStyle name="_20061117Holux_ProgramWorkBook_FairPoint_IntialSetup_Focus_Sophia_Imp_ProjectWorkBook_02_18_2011 2" xfId="13564" xr:uid="{00000000-0005-0000-0000-0000A2340000}"/>
    <cellStyle name="_20061117Holux_ProgramWorkBook_FairPoint_IntialSetup_Focus_Sophia_Imp_ProjectWorkBook_02_18_2011 2_Steps of Doneness" xfId="13565" xr:uid="{00000000-0005-0000-0000-0000A3340000}"/>
    <cellStyle name="_20061117Holux_ProgramWorkBook_FairPoint_IntialSetup_Focus_Sophia_Imp_ProjectWorkBook_02_18_2011 3" xfId="13566" xr:uid="{00000000-0005-0000-0000-0000A4340000}"/>
    <cellStyle name="_20061117Holux_ProgramWorkBook_FairPoint_IntialSetup_Focus_Sophia_Imp_ProjectWorkBook_02_18_2011_Steps of Doneness" xfId="13567" xr:uid="{00000000-0005-0000-0000-0000A5340000}"/>
    <cellStyle name="_20061117Holux_ProgramWorkBook_FairPoint_IntialSetup_Focus_Steps of Doneness" xfId="13568" xr:uid="{00000000-0005-0000-0000-0000A6340000}"/>
    <cellStyle name="_20061117Holux_ProgramWorkBook_FairPoint_IntialSetup_Focus_t" xfId="13569" xr:uid="{00000000-0005-0000-0000-0000A7340000}"/>
    <cellStyle name="_20061117Holux_ProgramWorkBook_FairPoint_IntialSetup_Focus_t 2" xfId="13570" xr:uid="{00000000-0005-0000-0000-0000A8340000}"/>
    <cellStyle name="_20061117Holux_ProgramWorkBook_FairPoint_IntialSetup_Focus_t 2_Steps of Doneness" xfId="13571" xr:uid="{00000000-0005-0000-0000-0000A9340000}"/>
    <cellStyle name="_20061117Holux_ProgramWorkBook_FairPoint_IntialSetup_Focus_t 3" xfId="13572" xr:uid="{00000000-0005-0000-0000-0000AA340000}"/>
    <cellStyle name="_20061117Holux_ProgramWorkBook_FairPoint_IntialSetup_Focus_t_Steps of Doneness" xfId="13573" xr:uid="{00000000-0005-0000-0000-0000AB340000}"/>
    <cellStyle name="_20061117Holux_ProgramWorkBook_FairPoint_TechnicalImplementation_Plan" xfId="13574" xr:uid="{00000000-0005-0000-0000-0000AC340000}"/>
    <cellStyle name="_20061117Holux_ProgramWorkBook_FairPoint_TechnicalImplementation_Plan 2" xfId="13575" xr:uid="{00000000-0005-0000-0000-0000AD340000}"/>
    <cellStyle name="_20061117Holux_ProgramWorkBook_FairPoint_TechnicalImplementation_Plan 2 2" xfId="13576" xr:uid="{00000000-0005-0000-0000-0000AE340000}"/>
    <cellStyle name="_20061117Holux_ProgramWorkBook_FairPoint_TechnicalImplementation_Plan 2 2_Steps of Doneness" xfId="13577" xr:uid="{00000000-0005-0000-0000-0000AF340000}"/>
    <cellStyle name="_20061117Holux_ProgramWorkBook_FairPoint_TechnicalImplementation_Plan 2 3" xfId="13578" xr:uid="{00000000-0005-0000-0000-0000B0340000}"/>
    <cellStyle name="_20061117Holux_ProgramWorkBook_FairPoint_TechnicalImplementation_Plan 2_Steps of Doneness" xfId="13579" xr:uid="{00000000-0005-0000-0000-0000B1340000}"/>
    <cellStyle name="_20061117Holux_ProgramWorkBook_FairPoint_TechnicalImplementation_Plan 3" xfId="13580" xr:uid="{00000000-0005-0000-0000-0000B2340000}"/>
    <cellStyle name="_20061117Holux_ProgramWorkBook_FairPoint_TechnicalImplementation_Plan 3 2" xfId="13581" xr:uid="{00000000-0005-0000-0000-0000B3340000}"/>
    <cellStyle name="_20061117Holux_ProgramWorkBook_FairPoint_TechnicalImplementation_Plan 3 2_Steps of Doneness" xfId="13582" xr:uid="{00000000-0005-0000-0000-0000B4340000}"/>
    <cellStyle name="_20061117Holux_ProgramWorkBook_FairPoint_TechnicalImplementation_Plan 3 3" xfId="13583" xr:uid="{00000000-0005-0000-0000-0000B5340000}"/>
    <cellStyle name="_20061117Holux_ProgramWorkBook_FairPoint_TechnicalImplementation_Plan 3_Steps of Doneness" xfId="13584" xr:uid="{00000000-0005-0000-0000-0000B6340000}"/>
    <cellStyle name="_20061117Holux_ProgramWorkBook_FairPoint_TechnicalImplementation_Plan 4" xfId="13585" xr:uid="{00000000-0005-0000-0000-0000B7340000}"/>
    <cellStyle name="_20061117Holux_ProgramWorkBook_FairPoint_TechnicalImplementation_Plan 4_Steps of Doneness" xfId="13586" xr:uid="{00000000-0005-0000-0000-0000B8340000}"/>
    <cellStyle name="_20061117Holux_ProgramWorkBook_FairPoint_TechnicalImplementation_Plan 5" xfId="13587" xr:uid="{00000000-0005-0000-0000-0000B9340000}"/>
    <cellStyle name="_20061117Holux_ProgramWorkBook_FairPoint_TechnicalImplementation_Plan 6" xfId="13588" xr:uid="{00000000-0005-0000-0000-0000BA340000}"/>
    <cellStyle name="_20061117Holux_ProgramWorkBook_FairPoint_TechnicalImplementation_Plan_Commissioning System Implementation_Project Workbook_06_10_2011" xfId="13589" xr:uid="{00000000-0005-0000-0000-0000BB340000}"/>
    <cellStyle name="_20061117Holux_ProgramWorkBook_FairPoint_TechnicalImplementation_Plan_Commissioning System Implementation_Project Workbook_06_10_2011 2" xfId="13590" xr:uid="{00000000-0005-0000-0000-0000BC340000}"/>
    <cellStyle name="_20061117Holux_ProgramWorkBook_FairPoint_TechnicalImplementation_Plan_Commissioning System Implementation_Project Workbook_06_10_2011 2_Steps of Doneness" xfId="13591" xr:uid="{00000000-0005-0000-0000-0000BD340000}"/>
    <cellStyle name="_20061117Holux_ProgramWorkBook_FairPoint_TechnicalImplementation_Plan_Commissioning System Implementation_Project Workbook_06_10_2011 3" xfId="13592" xr:uid="{00000000-0005-0000-0000-0000BE340000}"/>
    <cellStyle name="_20061117Holux_ProgramWorkBook_FairPoint_TechnicalImplementation_Plan_Commissioning System Implementation_Project Workbook_06_10_2011_Steps of Doneness" xfId="13593" xr:uid="{00000000-0005-0000-0000-0000BF340000}"/>
    <cellStyle name="_20061117Holux_ProgramWorkBook_FairPoint_TechnicalImplementation_Plan_FairPoint_CampReport" xfId="13594" xr:uid="{00000000-0005-0000-0000-0000C0340000}"/>
    <cellStyle name="_20061117Holux_ProgramWorkBook_FairPoint_TechnicalImplementation_Plan_FairPoint_CampReport 2" xfId="13595" xr:uid="{00000000-0005-0000-0000-0000C1340000}"/>
    <cellStyle name="_20061117Holux_ProgramWorkBook_FairPoint_TechnicalImplementation_Plan_FairPoint_CampReport 2_Steps of Doneness" xfId="13596" xr:uid="{00000000-0005-0000-0000-0000C2340000}"/>
    <cellStyle name="_20061117Holux_ProgramWorkBook_FairPoint_TechnicalImplementation_Plan_FairPoint_CampReport 3" xfId="13597" xr:uid="{00000000-0005-0000-0000-0000C3340000}"/>
    <cellStyle name="_20061117Holux_ProgramWorkBook_FairPoint_TechnicalImplementation_Plan_FairPoint_CampReport_Steps of Doneness" xfId="13598" xr:uid="{00000000-0005-0000-0000-0000C4340000}"/>
    <cellStyle name="_20061117Holux_ProgramWorkBook_FairPoint_TechnicalImplementation_Plan_FairPoint_FP comTechOps_ProgramWorkbook" xfId="13599" xr:uid="{00000000-0005-0000-0000-0000C5340000}"/>
    <cellStyle name="_20061117Holux_ProgramWorkBook_FairPoint_TechnicalImplementation_Plan_FairPoint_FP comTechOps_ProgramWorkbook 2" xfId="13600" xr:uid="{00000000-0005-0000-0000-0000C6340000}"/>
    <cellStyle name="_20061117Holux_ProgramWorkBook_FairPoint_TechnicalImplementation_Plan_FairPoint_FP comTechOps_ProgramWorkbook 2_Steps of Doneness" xfId="13601" xr:uid="{00000000-0005-0000-0000-0000C7340000}"/>
    <cellStyle name="_20061117Holux_ProgramWorkBook_FairPoint_TechnicalImplementation_Plan_FairPoint_FP comTechOps_ProgramWorkbook 3" xfId="13602" xr:uid="{00000000-0005-0000-0000-0000C8340000}"/>
    <cellStyle name="_20061117Holux_ProgramWorkBook_FairPoint_TechnicalImplementation_Plan_FairPoint_FP comTechOps_ProgramWorkbook_sachin" xfId="13603" xr:uid="{00000000-0005-0000-0000-0000C9340000}"/>
    <cellStyle name="_20061117Holux_ProgramWorkBook_FairPoint_TechnicalImplementation_Plan_FairPoint_FP comTechOps_ProgramWorkbook_sachin 2" xfId="13604" xr:uid="{00000000-0005-0000-0000-0000CA340000}"/>
    <cellStyle name="_20061117Holux_ProgramWorkBook_FairPoint_TechnicalImplementation_Plan_FairPoint_FP comTechOps_ProgramWorkbook_sachin 2_Steps of Doneness" xfId="13605" xr:uid="{00000000-0005-0000-0000-0000CB340000}"/>
    <cellStyle name="_20061117Holux_ProgramWorkBook_FairPoint_TechnicalImplementation_Plan_FairPoint_FP comTechOps_ProgramWorkbook_sachin 3" xfId="13606" xr:uid="{00000000-0005-0000-0000-0000CC340000}"/>
    <cellStyle name="_20061117Holux_ProgramWorkBook_FairPoint_TechnicalImplementation_Plan_FairPoint_FP comTechOps_ProgramWorkbook_sachin_Steps of Doneness" xfId="13607" xr:uid="{00000000-0005-0000-0000-0000CD340000}"/>
    <cellStyle name="_20061117Holux_ProgramWorkBook_FairPoint_TechnicalImplementation_Plan_FairPoint_FP comTechOps_ProgramWorkbook_sachin_v1" xfId="13608" xr:uid="{00000000-0005-0000-0000-0000CE340000}"/>
    <cellStyle name="_20061117Holux_ProgramWorkBook_FairPoint_TechnicalImplementation_Plan_FairPoint_FP comTechOps_ProgramWorkbook_sachin_v1 2" xfId="13609" xr:uid="{00000000-0005-0000-0000-0000CF340000}"/>
    <cellStyle name="_20061117Holux_ProgramWorkBook_FairPoint_TechnicalImplementation_Plan_FairPoint_FP comTechOps_ProgramWorkbook_sachin_v1 2_Steps of Doneness" xfId="13610" xr:uid="{00000000-0005-0000-0000-0000D0340000}"/>
    <cellStyle name="_20061117Holux_ProgramWorkBook_FairPoint_TechnicalImplementation_Plan_FairPoint_FP comTechOps_ProgramWorkbook_sachin_v1 3" xfId="13611" xr:uid="{00000000-0005-0000-0000-0000D1340000}"/>
    <cellStyle name="_20061117Holux_ProgramWorkBook_FairPoint_TechnicalImplementation_Plan_FairPoint_FP comTechOps_ProgramWorkbook_sachin_v1_Steps of Doneness" xfId="13612" xr:uid="{00000000-0005-0000-0000-0000D2340000}"/>
    <cellStyle name="_20061117Holux_ProgramWorkBook_FairPoint_TechnicalImplementation_Plan_FairPoint_FP comTechOps_ProgramWorkbook_Steps of Doneness" xfId="13613" xr:uid="{00000000-0005-0000-0000-0000D3340000}"/>
    <cellStyle name="_20061117Holux_ProgramWorkBook_FairPoint_TechnicalImplementation_Plan_FP_CAMP&amp;ITReporting_Maintenance_Dashboard" xfId="13614" xr:uid="{00000000-0005-0000-0000-0000D4340000}"/>
    <cellStyle name="_20061117Holux_ProgramWorkBook_FairPoint_TechnicalImplementation_Plan_FP_CAMP&amp;ITReporting_Maintenance_Dashboard 2" xfId="13615" xr:uid="{00000000-0005-0000-0000-0000D5340000}"/>
    <cellStyle name="_20061117Holux_ProgramWorkBook_FairPoint_TechnicalImplementation_Plan_FP_CAMP&amp;ITReporting_Maintenance_Dashboard 2_Steps of Doneness" xfId="13616" xr:uid="{00000000-0005-0000-0000-0000D6340000}"/>
    <cellStyle name="_20061117Holux_ProgramWorkBook_FairPoint_TechnicalImplementation_Plan_FP_CAMP&amp;ITReporting_Maintenance_Dashboard 3" xfId="13617" xr:uid="{00000000-0005-0000-0000-0000D7340000}"/>
    <cellStyle name="_20061117Holux_ProgramWorkBook_FairPoint_TechnicalImplementation_Plan_FP_CAMP&amp;ITReporting_Maintenance_Dashboard_Steps of Doneness" xfId="13618" xr:uid="{00000000-0005-0000-0000-0000D8340000}"/>
    <cellStyle name="_20061117Holux_ProgramWorkBook_FairPoint_TechnicalImplementation_Plan_FP_CAMPITReporting_Maintenance_Dashboard" xfId="13619" xr:uid="{00000000-0005-0000-0000-0000D9340000}"/>
    <cellStyle name="_20061117Holux_ProgramWorkBook_FairPoint_TechnicalImplementation_Plan_FP_CAMPITReporting_Maintenance_Dashboard 2" xfId="13620" xr:uid="{00000000-0005-0000-0000-0000DA340000}"/>
    <cellStyle name="_20061117Holux_ProgramWorkBook_FairPoint_TechnicalImplementation_Plan_FP_CAMPITReporting_Maintenance_Dashboard 2_Steps of Doneness" xfId="13621" xr:uid="{00000000-0005-0000-0000-0000DB340000}"/>
    <cellStyle name="_20061117Holux_ProgramWorkBook_FairPoint_TechnicalImplementation_Plan_FP_CAMPITReporting_Maintenance_Dashboard 3" xfId="13622" xr:uid="{00000000-0005-0000-0000-0000DC340000}"/>
    <cellStyle name="_20061117Holux_ProgramWorkBook_FairPoint_TechnicalImplementation_Plan_FP_CAMPITReporting_Maintenance_Dashboard_Steps of Doneness" xfId="13623" xr:uid="{00000000-0005-0000-0000-0000DD340000}"/>
    <cellStyle name="_20061117Holux_ProgramWorkBook_FairPoint_TechnicalImplementation_Plan_FP_Commissions_Req_Dn_ProgramWorkBook_10-Dec-2010" xfId="13624" xr:uid="{00000000-0005-0000-0000-0000DE340000}"/>
    <cellStyle name="_20061117Holux_ProgramWorkBook_FairPoint_TechnicalImplementation_Plan_FP_Commissions_Req_Dn_ProgramWorkBook_10-Dec-2010 2" xfId="13625" xr:uid="{00000000-0005-0000-0000-0000DF340000}"/>
    <cellStyle name="_20061117Holux_ProgramWorkBook_FairPoint_TechnicalImplementation_Plan_FP_Commissions_Req_Dn_ProgramWorkBook_10-Dec-2010 2_Steps of Doneness" xfId="13626" xr:uid="{00000000-0005-0000-0000-0000E0340000}"/>
    <cellStyle name="_20061117Holux_ProgramWorkBook_FairPoint_TechnicalImplementation_Plan_FP_Commissions_Req_Dn_ProgramWorkBook_10-Dec-2010 3" xfId="13627" xr:uid="{00000000-0005-0000-0000-0000E1340000}"/>
    <cellStyle name="_20061117Holux_ProgramWorkBook_FairPoint_TechnicalImplementation_Plan_FP_Commissions_Req_Dn_ProgramWorkBook_10-Dec-2010_Steps of Doneness" xfId="13628" xr:uid="{00000000-0005-0000-0000-0000E2340000}"/>
    <cellStyle name="_20061117Holux_ProgramWorkBook_FairPoint_TechnicalImplementation_Plan_FP_DW_Impl_ProgramWorkBook_07-Jan-2011" xfId="13629" xr:uid="{00000000-0005-0000-0000-0000E3340000}"/>
    <cellStyle name="_20061117Holux_ProgramWorkBook_FairPoint_TechnicalImplementation_Plan_FP_DW_Impl_ProgramWorkBook_07-Jan-2011 2" xfId="13630" xr:uid="{00000000-0005-0000-0000-0000E4340000}"/>
    <cellStyle name="_20061117Holux_ProgramWorkBook_FairPoint_TechnicalImplementation_Plan_FP_DW_Impl_ProgramWorkBook_07-Jan-2011 2 2" xfId="13631" xr:uid="{00000000-0005-0000-0000-0000E5340000}"/>
    <cellStyle name="_20061117Holux_ProgramWorkBook_FairPoint_TechnicalImplementation_Plan_FP_DW_Impl_ProgramWorkBook_07-Jan-2011 2 2_Steps of Doneness" xfId="13632" xr:uid="{00000000-0005-0000-0000-0000E6340000}"/>
    <cellStyle name="_20061117Holux_ProgramWorkBook_FairPoint_TechnicalImplementation_Plan_FP_DW_Impl_ProgramWorkBook_07-Jan-2011 2 3" xfId="13633" xr:uid="{00000000-0005-0000-0000-0000E7340000}"/>
    <cellStyle name="_20061117Holux_ProgramWorkBook_FairPoint_TechnicalImplementation_Plan_FP_DW_Impl_ProgramWorkBook_07-Jan-2011 2_Steps of Doneness" xfId="13634" xr:uid="{00000000-0005-0000-0000-0000E8340000}"/>
    <cellStyle name="_20061117Holux_ProgramWorkBook_FairPoint_TechnicalImplementation_Plan_FP_DW_Impl_ProgramWorkBook_07-Jan-2011 3" xfId="13635" xr:uid="{00000000-0005-0000-0000-0000E9340000}"/>
    <cellStyle name="_20061117Holux_ProgramWorkBook_FairPoint_TechnicalImplementation_Plan_FP_DW_Impl_ProgramWorkBook_07-Jan-2011 3_Steps of Doneness" xfId="13636" xr:uid="{00000000-0005-0000-0000-0000EA340000}"/>
    <cellStyle name="_20061117Holux_ProgramWorkBook_FairPoint_TechnicalImplementation_Plan_FP_DW_Impl_ProgramWorkBook_07-Jan-2011 4" xfId="13637" xr:uid="{00000000-0005-0000-0000-0000EB340000}"/>
    <cellStyle name="_20061117Holux_ProgramWorkBook_FairPoint_TechnicalImplementation_Plan_FP_DW_Impl_ProgramWorkBook_07-Jan-2011_Steps of Doneness" xfId="13638" xr:uid="{00000000-0005-0000-0000-0000EC340000}"/>
    <cellStyle name="_20061117Holux_ProgramWorkBook_FairPoint_TechnicalImplementation_Plan_FP_DW_Impl_ProgramWorkBook_11-Feb-2011" xfId="13639" xr:uid="{00000000-0005-0000-0000-0000ED340000}"/>
    <cellStyle name="_20061117Holux_ProgramWorkBook_FairPoint_TechnicalImplementation_Plan_FP_DW_Impl_ProgramWorkBook_11-Feb-2011 2" xfId="13640" xr:uid="{00000000-0005-0000-0000-0000EE340000}"/>
    <cellStyle name="_20061117Holux_ProgramWorkBook_FairPoint_TechnicalImplementation_Plan_FP_DW_Impl_ProgramWorkBook_11-Feb-2011 2_Steps of Doneness" xfId="13641" xr:uid="{00000000-0005-0000-0000-0000EF340000}"/>
    <cellStyle name="_20061117Holux_ProgramWorkBook_FairPoint_TechnicalImplementation_Plan_FP_DW_Impl_ProgramWorkBook_11-Feb-2011 3" xfId="13642" xr:uid="{00000000-0005-0000-0000-0000F0340000}"/>
    <cellStyle name="_20061117Holux_ProgramWorkBook_FairPoint_TechnicalImplementation_Plan_FP_DW_Impl_ProgramWorkBook_11-Feb-2011_Steps of Doneness" xfId="13643" xr:uid="{00000000-0005-0000-0000-0000F1340000}"/>
    <cellStyle name="_20061117Holux_ProgramWorkBook_FairPoint_TechnicalImplementation_Plan_FP_DW_Impl_ProgramWorkBook_18-Feb-2011 - Working" xfId="13644" xr:uid="{00000000-0005-0000-0000-0000F2340000}"/>
    <cellStyle name="_20061117Holux_ProgramWorkBook_FairPoint_TechnicalImplementation_Plan_FP_DW_Impl_ProgramWorkBook_18-Feb-2011 - Working 2" xfId="13645" xr:uid="{00000000-0005-0000-0000-0000F3340000}"/>
    <cellStyle name="_20061117Holux_ProgramWorkBook_FairPoint_TechnicalImplementation_Plan_FP_DW_Impl_ProgramWorkBook_18-Feb-2011 - Working 2_Steps of Doneness" xfId="13646" xr:uid="{00000000-0005-0000-0000-0000F4340000}"/>
    <cellStyle name="_20061117Holux_ProgramWorkBook_FairPoint_TechnicalImplementation_Plan_FP_DW_Impl_ProgramWorkBook_18-Feb-2011 - Working 3" xfId="13647" xr:uid="{00000000-0005-0000-0000-0000F5340000}"/>
    <cellStyle name="_20061117Holux_ProgramWorkBook_FairPoint_TechnicalImplementation_Plan_FP_DW_Impl_ProgramWorkBook_18-Feb-2011 - Working_Steps of Doneness" xfId="13648" xr:uid="{00000000-0005-0000-0000-0000F6340000}"/>
    <cellStyle name="_20061117Holux_ProgramWorkBook_FairPoint_TechnicalImplementation_Plan_FP_EnterprisePortal_ProgramWorkbook" xfId="13649" xr:uid="{00000000-0005-0000-0000-0000F7340000}"/>
    <cellStyle name="_20061117Holux_ProgramWorkBook_FairPoint_TechnicalImplementation_Plan_FP_EnterprisePortal_ProgramWorkbook 2" xfId="13650" xr:uid="{00000000-0005-0000-0000-0000F8340000}"/>
    <cellStyle name="_20061117Holux_ProgramWorkBook_FairPoint_TechnicalImplementation_Plan_FP_EnterprisePortal_ProgramWorkbook 2_Steps of Doneness" xfId="13651" xr:uid="{00000000-0005-0000-0000-0000F9340000}"/>
    <cellStyle name="_20061117Holux_ProgramWorkBook_FairPoint_TechnicalImplementation_Plan_FP_EnterprisePortal_ProgramWorkbook 3" xfId="13652" xr:uid="{00000000-0005-0000-0000-0000FA340000}"/>
    <cellStyle name="_20061117Holux_ProgramWorkBook_FairPoint_TechnicalImplementation_Plan_FP_EnterprisePortal_ProgramWorkbook_Steps of Doneness" xfId="13653" xr:uid="{00000000-0005-0000-0000-0000FB340000}"/>
    <cellStyle name="_20061117Holux_ProgramWorkBook_FairPoint_TechnicalImplementation_Plan_FP_SAP_MLP v2" xfId="13654" xr:uid="{00000000-0005-0000-0000-0000FC340000}"/>
    <cellStyle name="_20061117Holux_ProgramWorkBook_FairPoint_TechnicalImplementation_Plan_FP_SAP_MLP v2 2" xfId="13655" xr:uid="{00000000-0005-0000-0000-0000FD340000}"/>
    <cellStyle name="_20061117Holux_ProgramWorkBook_FairPoint_TechnicalImplementation_Plan_FP_SAP_MLP v2 2_Steps of Doneness" xfId="13656" xr:uid="{00000000-0005-0000-0000-0000FE340000}"/>
    <cellStyle name="_20061117Holux_ProgramWorkBook_FairPoint_TechnicalImplementation_Plan_FP_SAP_MLP v2 3" xfId="13657" xr:uid="{00000000-0005-0000-0000-0000FF340000}"/>
    <cellStyle name="_20061117Holux_ProgramWorkBook_FairPoint_TechnicalImplementation_Plan_FP_SAP_MLP v2_Steps of Doneness" xfId="13658" xr:uid="{00000000-0005-0000-0000-000000350000}"/>
    <cellStyle name="_20061117Holux_ProgramWorkBook_FairPoint_TechnicalImplementation_Plan_KeyDecisions" xfId="13659" xr:uid="{00000000-0005-0000-0000-000001350000}"/>
    <cellStyle name="_20061117Holux_ProgramWorkBook_FairPoint_TechnicalImplementation_Plan_KeyDecisions 2" xfId="13660" xr:uid="{00000000-0005-0000-0000-000002350000}"/>
    <cellStyle name="_20061117Holux_ProgramWorkBook_FairPoint_TechnicalImplementation_Plan_KeyDecisions 2_Steps of Doneness" xfId="13661" xr:uid="{00000000-0005-0000-0000-000003350000}"/>
    <cellStyle name="_20061117Holux_ProgramWorkBook_FairPoint_TechnicalImplementation_Plan_KeyDecisions 3" xfId="13662" xr:uid="{00000000-0005-0000-0000-000004350000}"/>
    <cellStyle name="_20061117Holux_ProgramWorkBook_FairPoint_TechnicalImplementation_Plan_KeyDecisions_Steps of Doneness" xfId="13663" xr:uid="{00000000-0005-0000-0000-000005350000}"/>
    <cellStyle name="_20061117Holux_ProgramWorkBook_FairPoint_TechnicalImplementation_Plan_Sophia_Imp_ProjectWorkBook_02_18_2011" xfId="13664" xr:uid="{00000000-0005-0000-0000-000006350000}"/>
    <cellStyle name="_20061117Holux_ProgramWorkBook_FairPoint_TechnicalImplementation_Plan_Sophia_Imp_ProjectWorkBook_02_18_2011 2" xfId="13665" xr:uid="{00000000-0005-0000-0000-000007350000}"/>
    <cellStyle name="_20061117Holux_ProgramWorkBook_FairPoint_TechnicalImplementation_Plan_Sophia_Imp_ProjectWorkBook_02_18_2011 2_Steps of Doneness" xfId="13666" xr:uid="{00000000-0005-0000-0000-000008350000}"/>
    <cellStyle name="_20061117Holux_ProgramWorkBook_FairPoint_TechnicalImplementation_Plan_Sophia_Imp_ProjectWorkBook_02_18_2011 3" xfId="13667" xr:uid="{00000000-0005-0000-0000-000009350000}"/>
    <cellStyle name="_20061117Holux_ProgramWorkBook_FairPoint_TechnicalImplementation_Plan_Sophia_Imp_ProjectWorkBook_02_18_2011_Steps of Doneness" xfId="13668" xr:uid="{00000000-0005-0000-0000-00000A350000}"/>
    <cellStyle name="_20061117Holux_ProgramWorkBook_FairPoint_TechnicalImplementation_Plan_Steps of Doneness" xfId="13669" xr:uid="{00000000-0005-0000-0000-00000B350000}"/>
    <cellStyle name="_20061117Holux_ProgramWorkBook_FairPoint_TechnicalImplementation_Plan_t" xfId="13670" xr:uid="{00000000-0005-0000-0000-00000C350000}"/>
    <cellStyle name="_20061117Holux_ProgramWorkBook_FairPoint_TechnicalImplementation_Plan_t 2" xfId="13671" xr:uid="{00000000-0005-0000-0000-00000D350000}"/>
    <cellStyle name="_20061117Holux_ProgramWorkBook_FairPoint_TechnicalImplementation_Plan_t 2_Steps of Doneness" xfId="13672" xr:uid="{00000000-0005-0000-0000-00000E350000}"/>
    <cellStyle name="_20061117Holux_ProgramWorkBook_FairPoint_TechnicalImplementation_Plan_t 3" xfId="13673" xr:uid="{00000000-0005-0000-0000-00000F350000}"/>
    <cellStyle name="_20061117Holux_ProgramWorkBook_FairPoint_TechnicalImplementation_Plan_t_Steps of Doneness" xfId="13674" xr:uid="{00000000-0005-0000-0000-000010350000}"/>
    <cellStyle name="_20061117Holux_ProgramWorkBook_FP_CAMP&amp;ITReporting_Maintenance_Dashboard" xfId="13675" xr:uid="{00000000-0005-0000-0000-000011350000}"/>
    <cellStyle name="_20061117Holux_ProgramWorkBook_FP_CAMP&amp;ITReporting_Maintenance_Dashboard 2" xfId="13676" xr:uid="{00000000-0005-0000-0000-000012350000}"/>
    <cellStyle name="_20061117Holux_ProgramWorkBook_FP_CAMP&amp;ITReporting_Maintenance_Dashboard 2_Steps of Doneness" xfId="13677" xr:uid="{00000000-0005-0000-0000-000013350000}"/>
    <cellStyle name="_20061117Holux_ProgramWorkBook_FP_CAMP&amp;ITReporting_Maintenance_Dashboard 3" xfId="13678" xr:uid="{00000000-0005-0000-0000-000014350000}"/>
    <cellStyle name="_20061117Holux_ProgramWorkBook_FP_CAMP&amp;ITReporting_Maintenance_Dashboard_Steps of Doneness" xfId="13679" xr:uid="{00000000-0005-0000-0000-000015350000}"/>
    <cellStyle name="_20061117Holux_ProgramWorkBook_FP_CAMPITReporting_Maintenance_Dashboard" xfId="13680" xr:uid="{00000000-0005-0000-0000-000016350000}"/>
    <cellStyle name="_20061117Holux_ProgramWorkBook_FP_CAMPITReporting_Maintenance_Dashboard 2" xfId="13681" xr:uid="{00000000-0005-0000-0000-000017350000}"/>
    <cellStyle name="_20061117Holux_ProgramWorkBook_FP_CAMPITReporting_Maintenance_Dashboard 2_Steps of Doneness" xfId="13682" xr:uid="{00000000-0005-0000-0000-000018350000}"/>
    <cellStyle name="_20061117Holux_ProgramWorkBook_FP_CAMPITReporting_Maintenance_Dashboard 3" xfId="13683" xr:uid="{00000000-0005-0000-0000-000019350000}"/>
    <cellStyle name="_20061117Holux_ProgramWorkBook_FP_CAMPITReporting_Maintenance_Dashboard_Steps of Doneness" xfId="13684" xr:uid="{00000000-0005-0000-0000-00001A350000}"/>
    <cellStyle name="_20061117Holux_ProgramWorkBook_FP_Commissions_Req_Dn_ProgramWorkBook_10-Dec-2010" xfId="13685" xr:uid="{00000000-0005-0000-0000-00001B350000}"/>
    <cellStyle name="_20061117Holux_ProgramWorkBook_FP_Commissions_Req_Dn_ProgramWorkBook_10-Dec-2010 2" xfId="13686" xr:uid="{00000000-0005-0000-0000-00001C350000}"/>
    <cellStyle name="_20061117Holux_ProgramWorkBook_FP_Commissions_Req_Dn_ProgramWorkBook_10-Dec-2010 2_Steps of Doneness" xfId="13687" xr:uid="{00000000-0005-0000-0000-00001D350000}"/>
    <cellStyle name="_20061117Holux_ProgramWorkBook_FP_Commissions_Req_Dn_ProgramWorkBook_10-Dec-2010 3" xfId="13688" xr:uid="{00000000-0005-0000-0000-00001E350000}"/>
    <cellStyle name="_20061117Holux_ProgramWorkBook_FP_Commissions_Req_Dn_ProgramWorkBook_10-Dec-2010_Steps of Doneness" xfId="13689" xr:uid="{00000000-0005-0000-0000-00001F350000}"/>
    <cellStyle name="_20061117Holux_ProgramWorkBook_FP_DW_Impl_ProgramWorkBook_03-Dec-2010111" xfId="13690" xr:uid="{00000000-0005-0000-0000-000020350000}"/>
    <cellStyle name="_20061117Holux_ProgramWorkBook_FP_DW_Impl_ProgramWorkBook_03-Dec-2010111 2" xfId="13691" xr:uid="{00000000-0005-0000-0000-000021350000}"/>
    <cellStyle name="_20061117Holux_ProgramWorkBook_FP_DW_Impl_ProgramWorkBook_03-Dec-2010111 2_Steps of Doneness" xfId="13692" xr:uid="{00000000-0005-0000-0000-000022350000}"/>
    <cellStyle name="_20061117Holux_ProgramWorkBook_FP_DW_Impl_ProgramWorkBook_03-Dec-2010111 3" xfId="13693" xr:uid="{00000000-0005-0000-0000-000023350000}"/>
    <cellStyle name="_20061117Holux_ProgramWorkBook_FP_DW_Impl_ProgramWorkBook_03-Dec-2010111_Steps of Doneness" xfId="13694" xr:uid="{00000000-0005-0000-0000-000024350000}"/>
    <cellStyle name="_20061117Holux_ProgramWorkBook_FP_DW_Impl_ProgramWorkBook_07-Jan-2011" xfId="13695" xr:uid="{00000000-0005-0000-0000-000025350000}"/>
    <cellStyle name="_20061117Holux_ProgramWorkBook_FP_DW_Impl_ProgramWorkBook_07-Jan-2011 2" xfId="13696" xr:uid="{00000000-0005-0000-0000-000026350000}"/>
    <cellStyle name="_20061117Holux_ProgramWorkBook_FP_DW_Impl_ProgramWorkBook_07-Jan-2011 2_Steps of Doneness" xfId="13697" xr:uid="{00000000-0005-0000-0000-000027350000}"/>
    <cellStyle name="_20061117Holux_ProgramWorkBook_FP_DW_Impl_ProgramWorkBook_07-Jan-2011 3" xfId="13698" xr:uid="{00000000-0005-0000-0000-000028350000}"/>
    <cellStyle name="_20061117Holux_ProgramWorkBook_FP_DW_Impl_ProgramWorkBook_07-Jan-2011_Steps of Doneness" xfId="13699" xr:uid="{00000000-0005-0000-0000-000029350000}"/>
    <cellStyle name="_20061117Holux_ProgramWorkBook_FP_DW_Impl_ProgramWorkBook_11-Feb-2011" xfId="13700" xr:uid="{00000000-0005-0000-0000-00002A350000}"/>
    <cellStyle name="_20061117Holux_ProgramWorkBook_FP_DW_Impl_ProgramWorkBook_11-Feb-2011 2" xfId="13701" xr:uid="{00000000-0005-0000-0000-00002B350000}"/>
    <cellStyle name="_20061117Holux_ProgramWorkBook_FP_DW_Impl_ProgramWorkBook_11-Feb-2011 2_Steps of Doneness" xfId="13702" xr:uid="{00000000-0005-0000-0000-00002C350000}"/>
    <cellStyle name="_20061117Holux_ProgramWorkBook_FP_DW_Impl_ProgramWorkBook_11-Feb-2011 3" xfId="13703" xr:uid="{00000000-0005-0000-0000-00002D350000}"/>
    <cellStyle name="_20061117Holux_ProgramWorkBook_FP_DW_Impl_ProgramWorkBook_11-Feb-2011_Steps of Doneness" xfId="13704" xr:uid="{00000000-0005-0000-0000-00002E350000}"/>
    <cellStyle name="_20061117Holux_ProgramWorkBook_FP_DW_Impl_ProgramWorkBook_18-Feb-2011 - Working" xfId="13705" xr:uid="{00000000-0005-0000-0000-00002F350000}"/>
    <cellStyle name="_20061117Holux_ProgramWorkBook_FP_DW_Impl_ProgramWorkBook_18-Feb-2011 - Working 2" xfId="13706" xr:uid="{00000000-0005-0000-0000-000030350000}"/>
    <cellStyle name="_20061117Holux_ProgramWorkBook_FP_DW_Impl_ProgramWorkBook_18-Feb-2011 - Working 2_Steps of Doneness" xfId="13707" xr:uid="{00000000-0005-0000-0000-000031350000}"/>
    <cellStyle name="_20061117Holux_ProgramWorkBook_FP_DW_Impl_ProgramWorkBook_18-Feb-2011 - Working 3" xfId="13708" xr:uid="{00000000-0005-0000-0000-000032350000}"/>
    <cellStyle name="_20061117Holux_ProgramWorkBook_FP_DW_Impl_ProgramWorkBook_18-Feb-2011 - Working_Steps of Doneness" xfId="13709" xr:uid="{00000000-0005-0000-0000-000033350000}"/>
    <cellStyle name="_20061117Holux_ProgramWorkBook_FP_EnterprisePortal_ProgramWorkbook" xfId="13710" xr:uid="{00000000-0005-0000-0000-000034350000}"/>
    <cellStyle name="_20061117Holux_ProgramWorkBook_FP_EnterprisePortal_ProgramWorkbook 2" xfId="13711" xr:uid="{00000000-0005-0000-0000-000035350000}"/>
    <cellStyle name="_20061117Holux_ProgramWorkBook_FP_EnterprisePortal_ProgramWorkbook 2_Steps of Doneness" xfId="13712" xr:uid="{00000000-0005-0000-0000-000036350000}"/>
    <cellStyle name="_20061117Holux_ProgramWorkBook_FP_EnterprisePortal_ProgramWorkbook 3" xfId="13713" xr:uid="{00000000-0005-0000-0000-000037350000}"/>
    <cellStyle name="_20061117Holux_ProgramWorkBook_FP_EnterprisePortal_ProgramWorkbook_Steps of Doneness" xfId="13714" xr:uid="{00000000-0005-0000-0000-000038350000}"/>
    <cellStyle name="_20061117Holux_ProgramWorkBook_FP_SAP_MLP v2" xfId="13715" xr:uid="{00000000-0005-0000-0000-000039350000}"/>
    <cellStyle name="_20061117Holux_ProgramWorkBook_FP_SAP_MLP v2 2" xfId="13716" xr:uid="{00000000-0005-0000-0000-00003A350000}"/>
    <cellStyle name="_20061117Holux_ProgramWorkBook_FP_SAP_MLP v2 2_Steps of Doneness" xfId="13717" xr:uid="{00000000-0005-0000-0000-00003B350000}"/>
    <cellStyle name="_20061117Holux_ProgramWorkBook_FP_SAP_MLP v2 3" xfId="13718" xr:uid="{00000000-0005-0000-0000-00003C350000}"/>
    <cellStyle name="_20061117Holux_ProgramWorkBook_FP_SAP_MLP v2_Steps of Doneness" xfId="13719" xr:uid="{00000000-0005-0000-0000-00003D350000}"/>
    <cellStyle name="_20061117Holux_ProgramWorkBook_KeyDecisions" xfId="13720" xr:uid="{00000000-0005-0000-0000-00003E350000}"/>
    <cellStyle name="_20061117Holux_ProgramWorkBook_KeyDecisions 2" xfId="13721" xr:uid="{00000000-0005-0000-0000-00003F350000}"/>
    <cellStyle name="_20061117Holux_ProgramWorkBook_KeyDecisions 2_Steps of Doneness" xfId="13722" xr:uid="{00000000-0005-0000-0000-000040350000}"/>
    <cellStyle name="_20061117Holux_ProgramWorkBook_KeyDecisions 3" xfId="13723" xr:uid="{00000000-0005-0000-0000-000041350000}"/>
    <cellStyle name="_20061117Holux_ProgramWorkBook_KeyDecisions_Steps of Doneness" xfId="13724" xr:uid="{00000000-0005-0000-0000-000042350000}"/>
    <cellStyle name="_20061117Holux_ProgramWorkBook_LoanOriginationPMWorkbook 23Feb2010" xfId="13725" xr:uid="{00000000-0005-0000-0000-000043350000}"/>
    <cellStyle name="_20061117Holux_ProgramWorkBook_LoanOriginationPMWorkbook 23Feb2010 2" xfId="13726" xr:uid="{00000000-0005-0000-0000-000044350000}"/>
    <cellStyle name="_20061117Holux_ProgramWorkBook_LoanOriginationPMWorkbook 23Feb2010 2_Steps of Doneness" xfId="13727" xr:uid="{00000000-0005-0000-0000-000045350000}"/>
    <cellStyle name="_20061117Holux_ProgramWorkBook_LoanOriginationPMWorkbook 23Feb2010 3" xfId="13728" xr:uid="{00000000-0005-0000-0000-000046350000}"/>
    <cellStyle name="_20061117Holux_ProgramWorkBook_LoanOriginationPMWorkbook 23Feb2010_slm_llp_0520" xfId="13729" xr:uid="{00000000-0005-0000-0000-000047350000}"/>
    <cellStyle name="_20061117Holux_ProgramWorkBook_LoanOriginationPMWorkbook 23Feb2010_slm_llp_0520 2" xfId="13730" xr:uid="{00000000-0005-0000-0000-000048350000}"/>
    <cellStyle name="_20061117Holux_ProgramWorkBook_LoanOriginationPMWorkbook 23Feb2010_slm_llp_0520 2 2" xfId="13731" xr:uid="{00000000-0005-0000-0000-000049350000}"/>
    <cellStyle name="_20061117Holux_ProgramWorkBook_LoanOriginationPMWorkbook 23Feb2010_slm_llp_0520 2 2_Steps of Doneness" xfId="13732" xr:uid="{00000000-0005-0000-0000-00004A350000}"/>
    <cellStyle name="_20061117Holux_ProgramWorkBook_LoanOriginationPMWorkbook 23Feb2010_slm_llp_0520 2 3" xfId="13733" xr:uid="{00000000-0005-0000-0000-00004B350000}"/>
    <cellStyle name="_20061117Holux_ProgramWorkBook_LoanOriginationPMWorkbook 23Feb2010_slm_llp_0520 2_Steps of Doneness" xfId="13734" xr:uid="{00000000-0005-0000-0000-00004C350000}"/>
    <cellStyle name="_20061117Holux_ProgramWorkBook_LoanOriginationPMWorkbook 23Feb2010_slm_llp_0520 3" xfId="13735" xr:uid="{00000000-0005-0000-0000-00004D350000}"/>
    <cellStyle name="_20061117Holux_ProgramWorkBook_LoanOriginationPMWorkbook 23Feb2010_slm_llp_0520 3 2" xfId="13736" xr:uid="{00000000-0005-0000-0000-00004E350000}"/>
    <cellStyle name="_20061117Holux_ProgramWorkBook_LoanOriginationPMWorkbook 23Feb2010_slm_llp_0520 3 2_Steps of Doneness" xfId="13737" xr:uid="{00000000-0005-0000-0000-00004F350000}"/>
    <cellStyle name="_20061117Holux_ProgramWorkBook_LoanOriginationPMWorkbook 23Feb2010_slm_llp_0520 3 3" xfId="13738" xr:uid="{00000000-0005-0000-0000-000050350000}"/>
    <cellStyle name="_20061117Holux_ProgramWorkBook_LoanOriginationPMWorkbook 23Feb2010_slm_llp_0520 3_Steps of Doneness" xfId="13739" xr:uid="{00000000-0005-0000-0000-000051350000}"/>
    <cellStyle name="_20061117Holux_ProgramWorkBook_LoanOriginationPMWorkbook 23Feb2010_slm_llp_0520 4" xfId="13740" xr:uid="{00000000-0005-0000-0000-000052350000}"/>
    <cellStyle name="_20061117Holux_ProgramWorkBook_LoanOriginationPMWorkbook 23Feb2010_slm_llp_0520 4_Steps of Doneness" xfId="13741" xr:uid="{00000000-0005-0000-0000-000053350000}"/>
    <cellStyle name="_20061117Holux_ProgramWorkBook_LoanOriginationPMWorkbook 23Feb2010_slm_llp_0520 5" xfId="13742" xr:uid="{00000000-0005-0000-0000-000054350000}"/>
    <cellStyle name="_20061117Holux_ProgramWorkBook_LoanOriginationPMWorkbook 23Feb2010_slm_llp_0520 6" xfId="13743" xr:uid="{00000000-0005-0000-0000-000055350000}"/>
    <cellStyle name="_20061117Holux_ProgramWorkBook_LoanOriginationPMWorkbook 23Feb2010_slm_llp_0520_Commissioning System Implementation_Project Workbook_06_10_2011" xfId="13744" xr:uid="{00000000-0005-0000-0000-000056350000}"/>
    <cellStyle name="_20061117Holux_ProgramWorkBook_LoanOriginationPMWorkbook 23Feb2010_slm_llp_0520_Commissioning System Implementation_Project Workbook_06_10_2011 2" xfId="13745" xr:uid="{00000000-0005-0000-0000-000057350000}"/>
    <cellStyle name="_20061117Holux_ProgramWorkBook_LoanOriginationPMWorkbook 23Feb2010_slm_llp_0520_Commissioning System Implementation_Project Workbook_06_10_2011 2_Steps of Doneness" xfId="13746" xr:uid="{00000000-0005-0000-0000-000058350000}"/>
    <cellStyle name="_20061117Holux_ProgramWorkBook_LoanOriginationPMWorkbook 23Feb2010_slm_llp_0520_Commissioning System Implementation_Project Workbook_06_10_2011 3" xfId="13747" xr:uid="{00000000-0005-0000-0000-000059350000}"/>
    <cellStyle name="_20061117Holux_ProgramWorkBook_LoanOriginationPMWorkbook 23Feb2010_slm_llp_0520_Commissioning System Implementation_Project Workbook_06_10_2011_Steps of Doneness" xfId="13748" xr:uid="{00000000-0005-0000-0000-00005A350000}"/>
    <cellStyle name="_20061117Holux_ProgramWorkBook_LoanOriginationPMWorkbook 23Feb2010_slm_llp_0520_FairPoint_CampReport" xfId="13749" xr:uid="{00000000-0005-0000-0000-00005B350000}"/>
    <cellStyle name="_20061117Holux_ProgramWorkBook_LoanOriginationPMWorkbook 23Feb2010_slm_llp_0520_FairPoint_CampReport 2" xfId="13750" xr:uid="{00000000-0005-0000-0000-00005C350000}"/>
    <cellStyle name="_20061117Holux_ProgramWorkBook_LoanOriginationPMWorkbook 23Feb2010_slm_llp_0520_FairPoint_CampReport 2_Steps of Doneness" xfId="13751" xr:uid="{00000000-0005-0000-0000-00005D350000}"/>
    <cellStyle name="_20061117Holux_ProgramWorkBook_LoanOriginationPMWorkbook 23Feb2010_slm_llp_0520_FairPoint_CampReport 3" xfId="13752" xr:uid="{00000000-0005-0000-0000-00005E350000}"/>
    <cellStyle name="_20061117Holux_ProgramWorkBook_LoanOriginationPMWorkbook 23Feb2010_slm_llp_0520_FairPoint_CampReport_Steps of Doneness" xfId="13753" xr:uid="{00000000-0005-0000-0000-00005F350000}"/>
    <cellStyle name="_20061117Holux_ProgramWorkBook_LoanOriginationPMWorkbook 23Feb2010_slm_llp_0520_FairPoint_FP comTechOps_ProgramWorkbook" xfId="13754" xr:uid="{00000000-0005-0000-0000-000060350000}"/>
    <cellStyle name="_20061117Holux_ProgramWorkBook_LoanOriginationPMWorkbook 23Feb2010_slm_llp_0520_FairPoint_FP comTechOps_ProgramWorkbook 2" xfId="13755" xr:uid="{00000000-0005-0000-0000-000061350000}"/>
    <cellStyle name="_20061117Holux_ProgramWorkBook_LoanOriginationPMWorkbook 23Feb2010_slm_llp_0520_FairPoint_FP comTechOps_ProgramWorkbook 2_Steps of Doneness" xfId="13756" xr:uid="{00000000-0005-0000-0000-000062350000}"/>
    <cellStyle name="_20061117Holux_ProgramWorkBook_LoanOriginationPMWorkbook 23Feb2010_slm_llp_0520_FairPoint_FP comTechOps_ProgramWorkbook 3" xfId="13757" xr:uid="{00000000-0005-0000-0000-000063350000}"/>
    <cellStyle name="_20061117Holux_ProgramWorkBook_LoanOriginationPMWorkbook 23Feb2010_slm_llp_0520_FairPoint_FP comTechOps_ProgramWorkbook_sachin" xfId="13758" xr:uid="{00000000-0005-0000-0000-000064350000}"/>
    <cellStyle name="_20061117Holux_ProgramWorkBook_LoanOriginationPMWorkbook 23Feb2010_slm_llp_0520_FairPoint_FP comTechOps_ProgramWorkbook_sachin 2" xfId="13759" xr:uid="{00000000-0005-0000-0000-000065350000}"/>
    <cellStyle name="_20061117Holux_ProgramWorkBook_LoanOriginationPMWorkbook 23Feb2010_slm_llp_0520_FairPoint_FP comTechOps_ProgramWorkbook_sachin 2_Steps of Doneness" xfId="13760" xr:uid="{00000000-0005-0000-0000-000066350000}"/>
    <cellStyle name="_20061117Holux_ProgramWorkBook_LoanOriginationPMWorkbook 23Feb2010_slm_llp_0520_FairPoint_FP comTechOps_ProgramWorkbook_sachin 3" xfId="13761" xr:uid="{00000000-0005-0000-0000-000067350000}"/>
    <cellStyle name="_20061117Holux_ProgramWorkBook_LoanOriginationPMWorkbook 23Feb2010_slm_llp_0520_FairPoint_FP comTechOps_ProgramWorkbook_sachin_Steps of Doneness" xfId="13762" xr:uid="{00000000-0005-0000-0000-000068350000}"/>
    <cellStyle name="_20061117Holux_ProgramWorkBook_LoanOriginationPMWorkbook 23Feb2010_slm_llp_0520_FairPoint_FP comTechOps_ProgramWorkbook_sachin_v1" xfId="13763" xr:uid="{00000000-0005-0000-0000-000069350000}"/>
    <cellStyle name="_20061117Holux_ProgramWorkBook_LoanOriginationPMWorkbook 23Feb2010_slm_llp_0520_FairPoint_FP comTechOps_ProgramWorkbook_sachin_v1 2" xfId="13764" xr:uid="{00000000-0005-0000-0000-00006A350000}"/>
    <cellStyle name="_20061117Holux_ProgramWorkBook_LoanOriginationPMWorkbook 23Feb2010_slm_llp_0520_FairPoint_FP comTechOps_ProgramWorkbook_sachin_v1 2_Steps of Doneness" xfId="13765" xr:uid="{00000000-0005-0000-0000-00006B350000}"/>
    <cellStyle name="_20061117Holux_ProgramWorkBook_LoanOriginationPMWorkbook 23Feb2010_slm_llp_0520_FairPoint_FP comTechOps_ProgramWorkbook_sachin_v1 3" xfId="13766" xr:uid="{00000000-0005-0000-0000-00006C350000}"/>
    <cellStyle name="_20061117Holux_ProgramWorkBook_LoanOriginationPMWorkbook 23Feb2010_slm_llp_0520_FairPoint_FP comTechOps_ProgramWorkbook_sachin_v1_Steps of Doneness" xfId="13767" xr:uid="{00000000-0005-0000-0000-00006D350000}"/>
    <cellStyle name="_20061117Holux_ProgramWorkBook_LoanOriginationPMWorkbook 23Feb2010_slm_llp_0520_FairPoint_FP comTechOps_ProgramWorkbook_Steps of Doneness" xfId="13768" xr:uid="{00000000-0005-0000-0000-00006E350000}"/>
    <cellStyle name="_20061117Holux_ProgramWorkBook_LoanOriginationPMWorkbook 23Feb2010_slm_llp_0520_FP_CAMP&amp;ITReporting_Maintenance_Dashboard" xfId="13769" xr:uid="{00000000-0005-0000-0000-00006F350000}"/>
    <cellStyle name="_20061117Holux_ProgramWorkBook_LoanOriginationPMWorkbook 23Feb2010_slm_llp_0520_FP_CAMP&amp;ITReporting_Maintenance_Dashboard 2" xfId="13770" xr:uid="{00000000-0005-0000-0000-000070350000}"/>
    <cellStyle name="_20061117Holux_ProgramWorkBook_LoanOriginationPMWorkbook 23Feb2010_slm_llp_0520_FP_CAMP&amp;ITReporting_Maintenance_Dashboard 2_Steps of Doneness" xfId="13771" xr:uid="{00000000-0005-0000-0000-000071350000}"/>
    <cellStyle name="_20061117Holux_ProgramWorkBook_LoanOriginationPMWorkbook 23Feb2010_slm_llp_0520_FP_CAMP&amp;ITReporting_Maintenance_Dashboard 3" xfId="13772" xr:uid="{00000000-0005-0000-0000-000072350000}"/>
    <cellStyle name="_20061117Holux_ProgramWorkBook_LoanOriginationPMWorkbook 23Feb2010_slm_llp_0520_FP_CAMP&amp;ITReporting_Maintenance_Dashboard_Steps of Doneness" xfId="13773" xr:uid="{00000000-0005-0000-0000-000073350000}"/>
    <cellStyle name="_20061117Holux_ProgramWorkBook_LoanOriginationPMWorkbook 23Feb2010_slm_llp_0520_FP_CAMPITReporting_Maintenance_Dashboard" xfId="13774" xr:uid="{00000000-0005-0000-0000-000074350000}"/>
    <cellStyle name="_20061117Holux_ProgramWorkBook_LoanOriginationPMWorkbook 23Feb2010_slm_llp_0520_FP_CAMPITReporting_Maintenance_Dashboard 2" xfId="13775" xr:uid="{00000000-0005-0000-0000-000075350000}"/>
    <cellStyle name="_20061117Holux_ProgramWorkBook_LoanOriginationPMWorkbook 23Feb2010_slm_llp_0520_FP_CAMPITReporting_Maintenance_Dashboard 2_Steps of Doneness" xfId="13776" xr:uid="{00000000-0005-0000-0000-000076350000}"/>
    <cellStyle name="_20061117Holux_ProgramWorkBook_LoanOriginationPMWorkbook 23Feb2010_slm_llp_0520_FP_CAMPITReporting_Maintenance_Dashboard 3" xfId="13777" xr:uid="{00000000-0005-0000-0000-000077350000}"/>
    <cellStyle name="_20061117Holux_ProgramWorkBook_LoanOriginationPMWorkbook 23Feb2010_slm_llp_0520_FP_CAMPITReporting_Maintenance_Dashboard_Steps of Doneness" xfId="13778" xr:uid="{00000000-0005-0000-0000-000078350000}"/>
    <cellStyle name="_20061117Holux_ProgramWorkBook_LoanOriginationPMWorkbook 23Feb2010_slm_llp_0520_FP_Commissions_Req_Dn_ProgramWorkBook_10-Dec-2010" xfId="13779" xr:uid="{00000000-0005-0000-0000-000079350000}"/>
    <cellStyle name="_20061117Holux_ProgramWorkBook_LoanOriginationPMWorkbook 23Feb2010_slm_llp_0520_FP_Commissions_Req_Dn_ProgramWorkBook_10-Dec-2010 2" xfId="13780" xr:uid="{00000000-0005-0000-0000-00007A350000}"/>
    <cellStyle name="_20061117Holux_ProgramWorkBook_LoanOriginationPMWorkbook 23Feb2010_slm_llp_0520_FP_Commissions_Req_Dn_ProgramWorkBook_10-Dec-2010 2_Steps of Doneness" xfId="13781" xr:uid="{00000000-0005-0000-0000-00007B350000}"/>
    <cellStyle name="_20061117Holux_ProgramWorkBook_LoanOriginationPMWorkbook 23Feb2010_slm_llp_0520_FP_Commissions_Req_Dn_ProgramWorkBook_10-Dec-2010 3" xfId="13782" xr:uid="{00000000-0005-0000-0000-00007C350000}"/>
    <cellStyle name="_20061117Holux_ProgramWorkBook_LoanOriginationPMWorkbook 23Feb2010_slm_llp_0520_FP_Commissions_Req_Dn_ProgramWorkBook_10-Dec-2010_Steps of Doneness" xfId="13783" xr:uid="{00000000-0005-0000-0000-00007D350000}"/>
    <cellStyle name="_20061117Holux_ProgramWorkBook_LoanOriginationPMWorkbook 23Feb2010_slm_llp_0520_FP_DW_Impl_ProgramWorkBook_07-Jan-2011" xfId="13784" xr:uid="{00000000-0005-0000-0000-00007E350000}"/>
    <cellStyle name="_20061117Holux_ProgramWorkBook_LoanOriginationPMWorkbook 23Feb2010_slm_llp_0520_FP_DW_Impl_ProgramWorkBook_07-Jan-2011 2" xfId="13785" xr:uid="{00000000-0005-0000-0000-00007F350000}"/>
    <cellStyle name="_20061117Holux_ProgramWorkBook_LoanOriginationPMWorkbook 23Feb2010_slm_llp_0520_FP_DW_Impl_ProgramWorkBook_07-Jan-2011 2 2" xfId="13786" xr:uid="{00000000-0005-0000-0000-000080350000}"/>
    <cellStyle name="_20061117Holux_ProgramWorkBook_LoanOriginationPMWorkbook 23Feb2010_slm_llp_0520_FP_DW_Impl_ProgramWorkBook_07-Jan-2011 2 2_Steps of Doneness" xfId="13787" xr:uid="{00000000-0005-0000-0000-000081350000}"/>
    <cellStyle name="_20061117Holux_ProgramWorkBook_LoanOriginationPMWorkbook 23Feb2010_slm_llp_0520_FP_DW_Impl_ProgramWorkBook_07-Jan-2011 2 3" xfId="13788" xr:uid="{00000000-0005-0000-0000-000082350000}"/>
    <cellStyle name="_20061117Holux_ProgramWorkBook_LoanOriginationPMWorkbook 23Feb2010_slm_llp_0520_FP_DW_Impl_ProgramWorkBook_07-Jan-2011 2_Steps of Doneness" xfId="13789" xr:uid="{00000000-0005-0000-0000-000083350000}"/>
    <cellStyle name="_20061117Holux_ProgramWorkBook_LoanOriginationPMWorkbook 23Feb2010_slm_llp_0520_FP_DW_Impl_ProgramWorkBook_07-Jan-2011 3" xfId="13790" xr:uid="{00000000-0005-0000-0000-000084350000}"/>
    <cellStyle name="_20061117Holux_ProgramWorkBook_LoanOriginationPMWorkbook 23Feb2010_slm_llp_0520_FP_DW_Impl_ProgramWorkBook_07-Jan-2011 3_Steps of Doneness" xfId="13791" xr:uid="{00000000-0005-0000-0000-000085350000}"/>
    <cellStyle name="_20061117Holux_ProgramWorkBook_LoanOriginationPMWorkbook 23Feb2010_slm_llp_0520_FP_DW_Impl_ProgramWorkBook_07-Jan-2011 4" xfId="13792" xr:uid="{00000000-0005-0000-0000-000086350000}"/>
    <cellStyle name="_20061117Holux_ProgramWorkBook_LoanOriginationPMWorkbook 23Feb2010_slm_llp_0520_FP_DW_Impl_ProgramWorkBook_07-Jan-2011_Steps of Doneness" xfId="13793" xr:uid="{00000000-0005-0000-0000-000087350000}"/>
    <cellStyle name="_20061117Holux_ProgramWorkBook_LoanOriginationPMWorkbook 23Feb2010_slm_llp_0520_FP_DW_Impl_ProgramWorkBook_11-Feb-2011" xfId="13794" xr:uid="{00000000-0005-0000-0000-000088350000}"/>
    <cellStyle name="_20061117Holux_ProgramWorkBook_LoanOriginationPMWorkbook 23Feb2010_slm_llp_0520_FP_DW_Impl_ProgramWorkBook_11-Feb-2011 2" xfId="13795" xr:uid="{00000000-0005-0000-0000-000089350000}"/>
    <cellStyle name="_20061117Holux_ProgramWorkBook_LoanOriginationPMWorkbook 23Feb2010_slm_llp_0520_FP_DW_Impl_ProgramWorkBook_11-Feb-2011 2_Steps of Doneness" xfId="13796" xr:uid="{00000000-0005-0000-0000-00008A350000}"/>
    <cellStyle name="_20061117Holux_ProgramWorkBook_LoanOriginationPMWorkbook 23Feb2010_slm_llp_0520_FP_DW_Impl_ProgramWorkBook_11-Feb-2011 3" xfId="13797" xr:uid="{00000000-0005-0000-0000-00008B350000}"/>
    <cellStyle name="_20061117Holux_ProgramWorkBook_LoanOriginationPMWorkbook 23Feb2010_slm_llp_0520_FP_DW_Impl_ProgramWorkBook_11-Feb-2011_Steps of Doneness" xfId="13798" xr:uid="{00000000-0005-0000-0000-00008C350000}"/>
    <cellStyle name="_20061117Holux_ProgramWorkBook_LoanOriginationPMWorkbook 23Feb2010_slm_llp_0520_FP_DW_Impl_ProgramWorkBook_18-Feb-2011 - Working" xfId="13799" xr:uid="{00000000-0005-0000-0000-00008D350000}"/>
    <cellStyle name="_20061117Holux_ProgramWorkBook_LoanOriginationPMWorkbook 23Feb2010_slm_llp_0520_FP_DW_Impl_ProgramWorkBook_18-Feb-2011 - Working 2" xfId="13800" xr:uid="{00000000-0005-0000-0000-00008E350000}"/>
    <cellStyle name="_20061117Holux_ProgramWorkBook_LoanOriginationPMWorkbook 23Feb2010_slm_llp_0520_FP_DW_Impl_ProgramWorkBook_18-Feb-2011 - Working 2_Steps of Doneness" xfId="13801" xr:uid="{00000000-0005-0000-0000-00008F350000}"/>
    <cellStyle name="_20061117Holux_ProgramWorkBook_LoanOriginationPMWorkbook 23Feb2010_slm_llp_0520_FP_DW_Impl_ProgramWorkBook_18-Feb-2011 - Working 3" xfId="13802" xr:uid="{00000000-0005-0000-0000-000090350000}"/>
    <cellStyle name="_20061117Holux_ProgramWorkBook_LoanOriginationPMWorkbook 23Feb2010_slm_llp_0520_FP_DW_Impl_ProgramWorkBook_18-Feb-2011 - Working_Steps of Doneness" xfId="13803" xr:uid="{00000000-0005-0000-0000-000091350000}"/>
    <cellStyle name="_20061117Holux_ProgramWorkBook_LoanOriginationPMWorkbook 23Feb2010_slm_llp_0520_FP_EnterprisePortal_ProgramWorkbook" xfId="13804" xr:uid="{00000000-0005-0000-0000-000092350000}"/>
    <cellStyle name="_20061117Holux_ProgramWorkBook_LoanOriginationPMWorkbook 23Feb2010_slm_llp_0520_FP_EnterprisePortal_ProgramWorkbook 2" xfId="13805" xr:uid="{00000000-0005-0000-0000-000093350000}"/>
    <cellStyle name="_20061117Holux_ProgramWorkBook_LoanOriginationPMWorkbook 23Feb2010_slm_llp_0520_FP_EnterprisePortal_ProgramWorkbook 2_Steps of Doneness" xfId="13806" xr:uid="{00000000-0005-0000-0000-000094350000}"/>
    <cellStyle name="_20061117Holux_ProgramWorkBook_LoanOriginationPMWorkbook 23Feb2010_slm_llp_0520_FP_EnterprisePortal_ProgramWorkbook 3" xfId="13807" xr:uid="{00000000-0005-0000-0000-000095350000}"/>
    <cellStyle name="_20061117Holux_ProgramWorkBook_LoanOriginationPMWorkbook 23Feb2010_slm_llp_0520_FP_EnterprisePortal_ProgramWorkbook_Steps of Doneness" xfId="13808" xr:uid="{00000000-0005-0000-0000-000096350000}"/>
    <cellStyle name="_20061117Holux_ProgramWorkBook_LoanOriginationPMWorkbook 23Feb2010_slm_llp_0520_FP_SAP_MLP v2" xfId="13809" xr:uid="{00000000-0005-0000-0000-000097350000}"/>
    <cellStyle name="_20061117Holux_ProgramWorkBook_LoanOriginationPMWorkbook 23Feb2010_slm_llp_0520_FP_SAP_MLP v2 2" xfId="13810" xr:uid="{00000000-0005-0000-0000-000098350000}"/>
    <cellStyle name="_20061117Holux_ProgramWorkBook_LoanOriginationPMWorkbook 23Feb2010_slm_llp_0520_FP_SAP_MLP v2 2_Steps of Doneness" xfId="13811" xr:uid="{00000000-0005-0000-0000-000099350000}"/>
    <cellStyle name="_20061117Holux_ProgramWorkBook_LoanOriginationPMWorkbook 23Feb2010_slm_llp_0520_FP_SAP_MLP v2 3" xfId="13812" xr:uid="{00000000-0005-0000-0000-00009A350000}"/>
    <cellStyle name="_20061117Holux_ProgramWorkBook_LoanOriginationPMWorkbook 23Feb2010_slm_llp_0520_FP_SAP_MLP v2_Steps of Doneness" xfId="13813" xr:uid="{00000000-0005-0000-0000-00009B350000}"/>
    <cellStyle name="_20061117Holux_ProgramWorkBook_LoanOriginationPMWorkbook 23Feb2010_slm_llp_0520_KeyDecisions" xfId="13814" xr:uid="{00000000-0005-0000-0000-00009C350000}"/>
    <cellStyle name="_20061117Holux_ProgramWorkBook_LoanOriginationPMWorkbook 23Feb2010_slm_llp_0520_KeyDecisions 2" xfId="13815" xr:uid="{00000000-0005-0000-0000-00009D350000}"/>
    <cellStyle name="_20061117Holux_ProgramWorkBook_LoanOriginationPMWorkbook 23Feb2010_slm_llp_0520_KeyDecisions 2_Steps of Doneness" xfId="13816" xr:uid="{00000000-0005-0000-0000-00009E350000}"/>
    <cellStyle name="_20061117Holux_ProgramWorkBook_LoanOriginationPMWorkbook 23Feb2010_slm_llp_0520_KeyDecisions 3" xfId="13817" xr:uid="{00000000-0005-0000-0000-00009F350000}"/>
    <cellStyle name="_20061117Holux_ProgramWorkBook_LoanOriginationPMWorkbook 23Feb2010_slm_llp_0520_KeyDecisions_Steps of Doneness" xfId="13818" xr:uid="{00000000-0005-0000-0000-0000A0350000}"/>
    <cellStyle name="_20061117Holux_ProgramWorkBook_LoanOriginationPMWorkbook 23Feb2010_slm_llp_0520_Sophia_Imp_ProjectWorkBook_02_18_2011" xfId="13819" xr:uid="{00000000-0005-0000-0000-0000A1350000}"/>
    <cellStyle name="_20061117Holux_ProgramWorkBook_LoanOriginationPMWorkbook 23Feb2010_slm_llp_0520_Sophia_Imp_ProjectWorkBook_02_18_2011 2" xfId="13820" xr:uid="{00000000-0005-0000-0000-0000A2350000}"/>
    <cellStyle name="_20061117Holux_ProgramWorkBook_LoanOriginationPMWorkbook 23Feb2010_slm_llp_0520_Sophia_Imp_ProjectWorkBook_02_18_2011 2_Steps of Doneness" xfId="13821" xr:uid="{00000000-0005-0000-0000-0000A3350000}"/>
    <cellStyle name="_20061117Holux_ProgramWorkBook_LoanOriginationPMWorkbook 23Feb2010_slm_llp_0520_Sophia_Imp_ProjectWorkBook_02_18_2011 3" xfId="13822" xr:uid="{00000000-0005-0000-0000-0000A4350000}"/>
    <cellStyle name="_20061117Holux_ProgramWorkBook_LoanOriginationPMWorkbook 23Feb2010_slm_llp_0520_Sophia_Imp_ProjectWorkBook_02_18_2011_Steps of Doneness" xfId="13823" xr:uid="{00000000-0005-0000-0000-0000A5350000}"/>
    <cellStyle name="_20061117Holux_ProgramWorkBook_LoanOriginationPMWorkbook 23Feb2010_slm_llp_0520_Steps of Doneness" xfId="13824" xr:uid="{00000000-0005-0000-0000-0000A6350000}"/>
    <cellStyle name="_20061117Holux_ProgramWorkBook_LoanOriginationPMWorkbook 23Feb2010_slm_llp_0520_t" xfId="13825" xr:uid="{00000000-0005-0000-0000-0000A7350000}"/>
    <cellStyle name="_20061117Holux_ProgramWorkBook_LoanOriginationPMWorkbook 23Feb2010_slm_llp_0520_t 2" xfId="13826" xr:uid="{00000000-0005-0000-0000-0000A8350000}"/>
    <cellStyle name="_20061117Holux_ProgramWorkBook_LoanOriginationPMWorkbook 23Feb2010_slm_llp_0520_t 2_Steps of Doneness" xfId="13827" xr:uid="{00000000-0005-0000-0000-0000A9350000}"/>
    <cellStyle name="_20061117Holux_ProgramWorkBook_LoanOriginationPMWorkbook 23Feb2010_slm_llp_0520_t 3" xfId="13828" xr:uid="{00000000-0005-0000-0000-0000AA350000}"/>
    <cellStyle name="_20061117Holux_ProgramWorkBook_LoanOriginationPMWorkbook 23Feb2010_slm_llp_0520_t_Steps of Doneness" xfId="13829" xr:uid="{00000000-0005-0000-0000-0000AB350000}"/>
    <cellStyle name="_20061117Holux_ProgramWorkBook_LoanOriginationPMWorkbook 23Feb2010_Steps of Doneness" xfId="13830" xr:uid="{00000000-0005-0000-0000-0000AC350000}"/>
    <cellStyle name="_20061117Holux_ProgramWorkBook_Re-engineering SLM_PM_Workbook_01252010" xfId="13831" xr:uid="{00000000-0005-0000-0000-0000AD350000}"/>
    <cellStyle name="_20061117Holux_ProgramWorkBook_Re-engineering SLM_PM_Workbook_01252010 2" xfId="13832" xr:uid="{00000000-0005-0000-0000-0000AE350000}"/>
    <cellStyle name="_20061117Holux_ProgramWorkBook_Re-engineering SLM_PM_Workbook_01252010 2 2" xfId="13833" xr:uid="{00000000-0005-0000-0000-0000AF350000}"/>
    <cellStyle name="_20061117Holux_ProgramWorkBook_Re-engineering SLM_PM_Workbook_01252010 2 2_Steps of Doneness" xfId="13834" xr:uid="{00000000-0005-0000-0000-0000B0350000}"/>
    <cellStyle name="_20061117Holux_ProgramWorkBook_Re-engineering SLM_PM_Workbook_01252010 2 3" xfId="13835" xr:uid="{00000000-0005-0000-0000-0000B1350000}"/>
    <cellStyle name="_20061117Holux_ProgramWorkBook_Re-engineering SLM_PM_Workbook_01252010 2_Steps of Doneness" xfId="13836" xr:uid="{00000000-0005-0000-0000-0000B2350000}"/>
    <cellStyle name="_20061117Holux_ProgramWorkBook_Re-engineering SLM_PM_Workbook_01252010 3" xfId="13837" xr:uid="{00000000-0005-0000-0000-0000B3350000}"/>
    <cellStyle name="_20061117Holux_ProgramWorkBook_Re-engineering SLM_PM_Workbook_01252010 3 2" xfId="13838" xr:uid="{00000000-0005-0000-0000-0000B4350000}"/>
    <cellStyle name="_20061117Holux_ProgramWorkBook_Re-engineering SLM_PM_Workbook_01252010 3 2_Steps of Doneness" xfId="13839" xr:uid="{00000000-0005-0000-0000-0000B5350000}"/>
    <cellStyle name="_20061117Holux_ProgramWorkBook_Re-engineering SLM_PM_Workbook_01252010 3 3" xfId="13840" xr:uid="{00000000-0005-0000-0000-0000B6350000}"/>
    <cellStyle name="_20061117Holux_ProgramWorkBook_Re-engineering SLM_PM_Workbook_01252010 3_Steps of Doneness" xfId="13841" xr:uid="{00000000-0005-0000-0000-0000B7350000}"/>
    <cellStyle name="_20061117Holux_ProgramWorkBook_Re-engineering SLM_PM_Workbook_01252010 4" xfId="13842" xr:uid="{00000000-0005-0000-0000-0000B8350000}"/>
    <cellStyle name="_20061117Holux_ProgramWorkBook_Re-engineering SLM_PM_Workbook_01252010 4_Steps of Doneness" xfId="13843" xr:uid="{00000000-0005-0000-0000-0000B9350000}"/>
    <cellStyle name="_20061117Holux_ProgramWorkBook_Re-engineering SLM_PM_Workbook_01252010 5" xfId="13844" xr:uid="{00000000-0005-0000-0000-0000BA350000}"/>
    <cellStyle name="_20061117Holux_ProgramWorkBook_Re-engineering SLM_PM_Workbook_01252010 6" xfId="13845" xr:uid="{00000000-0005-0000-0000-0000BB350000}"/>
    <cellStyle name="_20061117Holux_ProgramWorkBook_Re-engineering SLM_PM_Workbook_01252010_Commissioning System Implementation_Project Workbook_06_10_2011" xfId="13846" xr:uid="{00000000-0005-0000-0000-0000BC350000}"/>
    <cellStyle name="_20061117Holux_ProgramWorkBook_Re-engineering SLM_PM_Workbook_01252010_Commissioning System Implementation_Project Workbook_06_10_2011 2" xfId="13847" xr:uid="{00000000-0005-0000-0000-0000BD350000}"/>
    <cellStyle name="_20061117Holux_ProgramWorkBook_Re-engineering SLM_PM_Workbook_01252010_Commissioning System Implementation_Project Workbook_06_10_2011 2_Steps of Doneness" xfId="13848" xr:uid="{00000000-0005-0000-0000-0000BE350000}"/>
    <cellStyle name="_20061117Holux_ProgramWorkBook_Re-engineering SLM_PM_Workbook_01252010_Commissioning System Implementation_Project Workbook_06_10_2011 3" xfId="13849" xr:uid="{00000000-0005-0000-0000-0000BF350000}"/>
    <cellStyle name="_20061117Holux_ProgramWorkBook_Re-engineering SLM_PM_Workbook_01252010_Commissioning System Implementation_Project Workbook_06_10_2011_Steps of Doneness" xfId="13850" xr:uid="{00000000-0005-0000-0000-0000C0350000}"/>
    <cellStyle name="_20061117Holux_ProgramWorkBook_Re-engineering SLM_PM_Workbook_01252010_FairPoint_CampReport" xfId="13851" xr:uid="{00000000-0005-0000-0000-0000C1350000}"/>
    <cellStyle name="_20061117Holux_ProgramWorkBook_Re-engineering SLM_PM_Workbook_01252010_FairPoint_CampReport 2" xfId="13852" xr:uid="{00000000-0005-0000-0000-0000C2350000}"/>
    <cellStyle name="_20061117Holux_ProgramWorkBook_Re-engineering SLM_PM_Workbook_01252010_FairPoint_CampReport 2_Steps of Doneness" xfId="13853" xr:uid="{00000000-0005-0000-0000-0000C3350000}"/>
    <cellStyle name="_20061117Holux_ProgramWorkBook_Re-engineering SLM_PM_Workbook_01252010_FairPoint_CampReport 3" xfId="13854" xr:uid="{00000000-0005-0000-0000-0000C4350000}"/>
    <cellStyle name="_20061117Holux_ProgramWorkBook_Re-engineering SLM_PM_Workbook_01252010_FairPoint_CampReport_Steps of Doneness" xfId="13855" xr:uid="{00000000-0005-0000-0000-0000C5350000}"/>
    <cellStyle name="_20061117Holux_ProgramWorkBook_Re-engineering SLM_PM_Workbook_01252010_FairPoint_FP comTechOps_ProgramWorkbook" xfId="13856" xr:uid="{00000000-0005-0000-0000-0000C6350000}"/>
    <cellStyle name="_20061117Holux_ProgramWorkBook_Re-engineering SLM_PM_Workbook_01252010_FairPoint_FP comTechOps_ProgramWorkbook 2" xfId="13857" xr:uid="{00000000-0005-0000-0000-0000C7350000}"/>
    <cellStyle name="_20061117Holux_ProgramWorkBook_Re-engineering SLM_PM_Workbook_01252010_FairPoint_FP comTechOps_ProgramWorkbook 2_Steps of Doneness" xfId="13858" xr:uid="{00000000-0005-0000-0000-0000C8350000}"/>
    <cellStyle name="_20061117Holux_ProgramWorkBook_Re-engineering SLM_PM_Workbook_01252010_FairPoint_FP comTechOps_ProgramWorkbook 3" xfId="13859" xr:uid="{00000000-0005-0000-0000-0000C9350000}"/>
    <cellStyle name="_20061117Holux_ProgramWorkBook_Re-engineering SLM_PM_Workbook_01252010_FairPoint_FP comTechOps_ProgramWorkbook_sachin" xfId="13860" xr:uid="{00000000-0005-0000-0000-0000CA350000}"/>
    <cellStyle name="_20061117Holux_ProgramWorkBook_Re-engineering SLM_PM_Workbook_01252010_FairPoint_FP comTechOps_ProgramWorkbook_sachin 2" xfId="13861" xr:uid="{00000000-0005-0000-0000-0000CB350000}"/>
    <cellStyle name="_20061117Holux_ProgramWorkBook_Re-engineering SLM_PM_Workbook_01252010_FairPoint_FP comTechOps_ProgramWorkbook_sachin 2_Steps of Doneness" xfId="13862" xr:uid="{00000000-0005-0000-0000-0000CC350000}"/>
    <cellStyle name="_20061117Holux_ProgramWorkBook_Re-engineering SLM_PM_Workbook_01252010_FairPoint_FP comTechOps_ProgramWorkbook_sachin 3" xfId="13863" xr:uid="{00000000-0005-0000-0000-0000CD350000}"/>
    <cellStyle name="_20061117Holux_ProgramWorkBook_Re-engineering SLM_PM_Workbook_01252010_FairPoint_FP comTechOps_ProgramWorkbook_sachin_Steps of Doneness" xfId="13864" xr:uid="{00000000-0005-0000-0000-0000CE350000}"/>
    <cellStyle name="_20061117Holux_ProgramWorkBook_Re-engineering SLM_PM_Workbook_01252010_FairPoint_FP comTechOps_ProgramWorkbook_sachin_v1" xfId="13865" xr:uid="{00000000-0005-0000-0000-0000CF350000}"/>
    <cellStyle name="_20061117Holux_ProgramWorkBook_Re-engineering SLM_PM_Workbook_01252010_FairPoint_FP comTechOps_ProgramWorkbook_sachin_v1 2" xfId="13866" xr:uid="{00000000-0005-0000-0000-0000D0350000}"/>
    <cellStyle name="_20061117Holux_ProgramWorkBook_Re-engineering SLM_PM_Workbook_01252010_FairPoint_FP comTechOps_ProgramWorkbook_sachin_v1 2_Steps of Doneness" xfId="13867" xr:uid="{00000000-0005-0000-0000-0000D1350000}"/>
    <cellStyle name="_20061117Holux_ProgramWorkBook_Re-engineering SLM_PM_Workbook_01252010_FairPoint_FP comTechOps_ProgramWorkbook_sachin_v1 3" xfId="13868" xr:uid="{00000000-0005-0000-0000-0000D2350000}"/>
    <cellStyle name="_20061117Holux_ProgramWorkBook_Re-engineering SLM_PM_Workbook_01252010_FairPoint_FP comTechOps_ProgramWorkbook_sachin_v1_Steps of Doneness" xfId="13869" xr:uid="{00000000-0005-0000-0000-0000D3350000}"/>
    <cellStyle name="_20061117Holux_ProgramWorkBook_Re-engineering SLM_PM_Workbook_01252010_FairPoint_FP comTechOps_ProgramWorkbook_Steps of Doneness" xfId="13870" xr:uid="{00000000-0005-0000-0000-0000D4350000}"/>
    <cellStyle name="_20061117Holux_ProgramWorkBook_Re-engineering SLM_PM_Workbook_01252010_FP_CAMP&amp;ITReporting_Maintenance_Dashboard" xfId="13871" xr:uid="{00000000-0005-0000-0000-0000D5350000}"/>
    <cellStyle name="_20061117Holux_ProgramWorkBook_Re-engineering SLM_PM_Workbook_01252010_FP_CAMP&amp;ITReporting_Maintenance_Dashboard 2" xfId="13872" xr:uid="{00000000-0005-0000-0000-0000D6350000}"/>
    <cellStyle name="_20061117Holux_ProgramWorkBook_Re-engineering SLM_PM_Workbook_01252010_FP_CAMP&amp;ITReporting_Maintenance_Dashboard 2_Steps of Doneness" xfId="13873" xr:uid="{00000000-0005-0000-0000-0000D7350000}"/>
    <cellStyle name="_20061117Holux_ProgramWorkBook_Re-engineering SLM_PM_Workbook_01252010_FP_CAMP&amp;ITReporting_Maintenance_Dashboard 3" xfId="13874" xr:uid="{00000000-0005-0000-0000-0000D8350000}"/>
    <cellStyle name="_20061117Holux_ProgramWorkBook_Re-engineering SLM_PM_Workbook_01252010_FP_CAMP&amp;ITReporting_Maintenance_Dashboard_Steps of Doneness" xfId="13875" xr:uid="{00000000-0005-0000-0000-0000D9350000}"/>
    <cellStyle name="_20061117Holux_ProgramWorkBook_Re-engineering SLM_PM_Workbook_01252010_FP_CAMPITReporting_Maintenance_Dashboard" xfId="13876" xr:uid="{00000000-0005-0000-0000-0000DA350000}"/>
    <cellStyle name="_20061117Holux_ProgramWorkBook_Re-engineering SLM_PM_Workbook_01252010_FP_CAMPITReporting_Maintenance_Dashboard 2" xfId="13877" xr:uid="{00000000-0005-0000-0000-0000DB350000}"/>
    <cellStyle name="_20061117Holux_ProgramWorkBook_Re-engineering SLM_PM_Workbook_01252010_FP_CAMPITReporting_Maintenance_Dashboard 2_Steps of Doneness" xfId="13878" xr:uid="{00000000-0005-0000-0000-0000DC350000}"/>
    <cellStyle name="_20061117Holux_ProgramWorkBook_Re-engineering SLM_PM_Workbook_01252010_FP_CAMPITReporting_Maintenance_Dashboard 3" xfId="13879" xr:uid="{00000000-0005-0000-0000-0000DD350000}"/>
    <cellStyle name="_20061117Holux_ProgramWorkBook_Re-engineering SLM_PM_Workbook_01252010_FP_CAMPITReporting_Maintenance_Dashboard_Steps of Doneness" xfId="13880" xr:uid="{00000000-0005-0000-0000-0000DE350000}"/>
    <cellStyle name="_20061117Holux_ProgramWorkBook_Re-engineering SLM_PM_Workbook_01252010_FP_Commissions_Req_Dn_ProgramWorkBook_10-Dec-2010" xfId="13881" xr:uid="{00000000-0005-0000-0000-0000DF350000}"/>
    <cellStyle name="_20061117Holux_ProgramWorkBook_Re-engineering SLM_PM_Workbook_01252010_FP_Commissions_Req_Dn_ProgramWorkBook_10-Dec-2010 2" xfId="13882" xr:uid="{00000000-0005-0000-0000-0000E0350000}"/>
    <cellStyle name="_20061117Holux_ProgramWorkBook_Re-engineering SLM_PM_Workbook_01252010_FP_Commissions_Req_Dn_ProgramWorkBook_10-Dec-2010 2_Steps of Doneness" xfId="13883" xr:uid="{00000000-0005-0000-0000-0000E1350000}"/>
    <cellStyle name="_20061117Holux_ProgramWorkBook_Re-engineering SLM_PM_Workbook_01252010_FP_Commissions_Req_Dn_ProgramWorkBook_10-Dec-2010 3" xfId="13884" xr:uid="{00000000-0005-0000-0000-0000E2350000}"/>
    <cellStyle name="_20061117Holux_ProgramWorkBook_Re-engineering SLM_PM_Workbook_01252010_FP_Commissions_Req_Dn_ProgramWorkBook_10-Dec-2010_Steps of Doneness" xfId="13885" xr:uid="{00000000-0005-0000-0000-0000E3350000}"/>
    <cellStyle name="_20061117Holux_ProgramWorkBook_Re-engineering SLM_PM_Workbook_01252010_FP_DW_Impl_ProgramWorkBook_07-Jan-2011" xfId="13886" xr:uid="{00000000-0005-0000-0000-0000E4350000}"/>
    <cellStyle name="_20061117Holux_ProgramWorkBook_Re-engineering SLM_PM_Workbook_01252010_FP_DW_Impl_ProgramWorkBook_07-Jan-2011 2" xfId="13887" xr:uid="{00000000-0005-0000-0000-0000E5350000}"/>
    <cellStyle name="_20061117Holux_ProgramWorkBook_Re-engineering SLM_PM_Workbook_01252010_FP_DW_Impl_ProgramWorkBook_07-Jan-2011 2 2" xfId="13888" xr:uid="{00000000-0005-0000-0000-0000E6350000}"/>
    <cellStyle name="_20061117Holux_ProgramWorkBook_Re-engineering SLM_PM_Workbook_01252010_FP_DW_Impl_ProgramWorkBook_07-Jan-2011 2 2_Steps of Doneness" xfId="13889" xr:uid="{00000000-0005-0000-0000-0000E7350000}"/>
    <cellStyle name="_20061117Holux_ProgramWorkBook_Re-engineering SLM_PM_Workbook_01252010_FP_DW_Impl_ProgramWorkBook_07-Jan-2011 2 3" xfId="13890" xr:uid="{00000000-0005-0000-0000-0000E8350000}"/>
    <cellStyle name="_20061117Holux_ProgramWorkBook_Re-engineering SLM_PM_Workbook_01252010_FP_DW_Impl_ProgramWorkBook_07-Jan-2011 2_Steps of Doneness" xfId="13891" xr:uid="{00000000-0005-0000-0000-0000E9350000}"/>
    <cellStyle name="_20061117Holux_ProgramWorkBook_Re-engineering SLM_PM_Workbook_01252010_FP_DW_Impl_ProgramWorkBook_07-Jan-2011 3" xfId="13892" xr:uid="{00000000-0005-0000-0000-0000EA350000}"/>
    <cellStyle name="_20061117Holux_ProgramWorkBook_Re-engineering SLM_PM_Workbook_01252010_FP_DW_Impl_ProgramWorkBook_07-Jan-2011 3_Steps of Doneness" xfId="13893" xr:uid="{00000000-0005-0000-0000-0000EB350000}"/>
    <cellStyle name="_20061117Holux_ProgramWorkBook_Re-engineering SLM_PM_Workbook_01252010_FP_DW_Impl_ProgramWorkBook_07-Jan-2011 4" xfId="13894" xr:uid="{00000000-0005-0000-0000-0000EC350000}"/>
    <cellStyle name="_20061117Holux_ProgramWorkBook_Re-engineering SLM_PM_Workbook_01252010_FP_DW_Impl_ProgramWorkBook_07-Jan-2011_Steps of Doneness" xfId="13895" xr:uid="{00000000-0005-0000-0000-0000ED350000}"/>
    <cellStyle name="_20061117Holux_ProgramWorkBook_Re-engineering SLM_PM_Workbook_01252010_FP_DW_Impl_ProgramWorkBook_11-Feb-2011" xfId="13896" xr:uid="{00000000-0005-0000-0000-0000EE350000}"/>
    <cellStyle name="_20061117Holux_ProgramWorkBook_Re-engineering SLM_PM_Workbook_01252010_FP_DW_Impl_ProgramWorkBook_11-Feb-2011 2" xfId="13897" xr:uid="{00000000-0005-0000-0000-0000EF350000}"/>
    <cellStyle name="_20061117Holux_ProgramWorkBook_Re-engineering SLM_PM_Workbook_01252010_FP_DW_Impl_ProgramWorkBook_11-Feb-2011 2_Steps of Doneness" xfId="13898" xr:uid="{00000000-0005-0000-0000-0000F0350000}"/>
    <cellStyle name="_20061117Holux_ProgramWorkBook_Re-engineering SLM_PM_Workbook_01252010_FP_DW_Impl_ProgramWorkBook_11-Feb-2011 3" xfId="13899" xr:uid="{00000000-0005-0000-0000-0000F1350000}"/>
    <cellStyle name="_20061117Holux_ProgramWorkBook_Re-engineering SLM_PM_Workbook_01252010_FP_DW_Impl_ProgramWorkBook_11-Feb-2011_Steps of Doneness" xfId="13900" xr:uid="{00000000-0005-0000-0000-0000F2350000}"/>
    <cellStyle name="_20061117Holux_ProgramWorkBook_Re-engineering SLM_PM_Workbook_01252010_FP_DW_Impl_ProgramWorkBook_18-Feb-2011 - Working" xfId="13901" xr:uid="{00000000-0005-0000-0000-0000F3350000}"/>
    <cellStyle name="_20061117Holux_ProgramWorkBook_Re-engineering SLM_PM_Workbook_01252010_FP_DW_Impl_ProgramWorkBook_18-Feb-2011 - Working 2" xfId="13902" xr:uid="{00000000-0005-0000-0000-0000F4350000}"/>
    <cellStyle name="_20061117Holux_ProgramWorkBook_Re-engineering SLM_PM_Workbook_01252010_FP_DW_Impl_ProgramWorkBook_18-Feb-2011 - Working 2_Steps of Doneness" xfId="13903" xr:uid="{00000000-0005-0000-0000-0000F5350000}"/>
    <cellStyle name="_20061117Holux_ProgramWorkBook_Re-engineering SLM_PM_Workbook_01252010_FP_DW_Impl_ProgramWorkBook_18-Feb-2011 - Working 3" xfId="13904" xr:uid="{00000000-0005-0000-0000-0000F6350000}"/>
    <cellStyle name="_20061117Holux_ProgramWorkBook_Re-engineering SLM_PM_Workbook_01252010_FP_DW_Impl_ProgramWorkBook_18-Feb-2011 - Working_Steps of Doneness" xfId="13905" xr:uid="{00000000-0005-0000-0000-0000F7350000}"/>
    <cellStyle name="_20061117Holux_ProgramWorkBook_Re-engineering SLM_PM_Workbook_01252010_FP_EnterprisePortal_ProgramWorkbook" xfId="13906" xr:uid="{00000000-0005-0000-0000-0000F8350000}"/>
    <cellStyle name="_20061117Holux_ProgramWorkBook_Re-engineering SLM_PM_Workbook_01252010_FP_EnterprisePortal_ProgramWorkbook 2" xfId="13907" xr:uid="{00000000-0005-0000-0000-0000F9350000}"/>
    <cellStyle name="_20061117Holux_ProgramWorkBook_Re-engineering SLM_PM_Workbook_01252010_FP_EnterprisePortal_ProgramWorkbook 2_Steps of Doneness" xfId="13908" xr:uid="{00000000-0005-0000-0000-0000FA350000}"/>
    <cellStyle name="_20061117Holux_ProgramWorkBook_Re-engineering SLM_PM_Workbook_01252010_FP_EnterprisePortal_ProgramWorkbook 3" xfId="13909" xr:uid="{00000000-0005-0000-0000-0000FB350000}"/>
    <cellStyle name="_20061117Holux_ProgramWorkBook_Re-engineering SLM_PM_Workbook_01252010_FP_EnterprisePortal_ProgramWorkbook_Steps of Doneness" xfId="13910" xr:uid="{00000000-0005-0000-0000-0000FC350000}"/>
    <cellStyle name="_20061117Holux_ProgramWorkBook_Re-engineering SLM_PM_Workbook_01252010_FP_SAP_MLP v2" xfId="13911" xr:uid="{00000000-0005-0000-0000-0000FD350000}"/>
    <cellStyle name="_20061117Holux_ProgramWorkBook_Re-engineering SLM_PM_Workbook_01252010_FP_SAP_MLP v2 2" xfId="13912" xr:uid="{00000000-0005-0000-0000-0000FE350000}"/>
    <cellStyle name="_20061117Holux_ProgramWorkBook_Re-engineering SLM_PM_Workbook_01252010_FP_SAP_MLP v2 2_Steps of Doneness" xfId="13913" xr:uid="{00000000-0005-0000-0000-0000FF350000}"/>
    <cellStyle name="_20061117Holux_ProgramWorkBook_Re-engineering SLM_PM_Workbook_01252010_FP_SAP_MLP v2 3" xfId="13914" xr:uid="{00000000-0005-0000-0000-000000360000}"/>
    <cellStyle name="_20061117Holux_ProgramWorkBook_Re-engineering SLM_PM_Workbook_01252010_FP_SAP_MLP v2_Steps of Doneness" xfId="13915" xr:uid="{00000000-0005-0000-0000-000001360000}"/>
    <cellStyle name="_20061117Holux_ProgramWorkBook_Re-engineering SLM_PM_Workbook_01252010_KeyDecisions" xfId="13916" xr:uid="{00000000-0005-0000-0000-000002360000}"/>
    <cellStyle name="_20061117Holux_ProgramWorkBook_Re-engineering SLM_PM_Workbook_01252010_KeyDecisions 2" xfId="13917" xr:uid="{00000000-0005-0000-0000-000003360000}"/>
    <cellStyle name="_20061117Holux_ProgramWorkBook_Re-engineering SLM_PM_Workbook_01252010_KeyDecisions 2_Steps of Doneness" xfId="13918" xr:uid="{00000000-0005-0000-0000-000004360000}"/>
    <cellStyle name="_20061117Holux_ProgramWorkBook_Re-engineering SLM_PM_Workbook_01252010_KeyDecisions 3" xfId="13919" xr:uid="{00000000-0005-0000-0000-000005360000}"/>
    <cellStyle name="_20061117Holux_ProgramWorkBook_Re-engineering SLM_PM_Workbook_01252010_KeyDecisions_Steps of Doneness" xfId="13920" xr:uid="{00000000-0005-0000-0000-000006360000}"/>
    <cellStyle name="_20061117Holux_ProgramWorkBook_Re-engineering SLM_PM_Workbook_01252010_Sophia_Imp_ProjectWorkBook_02_18_2011" xfId="13921" xr:uid="{00000000-0005-0000-0000-000007360000}"/>
    <cellStyle name="_20061117Holux_ProgramWorkBook_Re-engineering SLM_PM_Workbook_01252010_Sophia_Imp_ProjectWorkBook_02_18_2011 2" xfId="13922" xr:uid="{00000000-0005-0000-0000-000008360000}"/>
    <cellStyle name="_20061117Holux_ProgramWorkBook_Re-engineering SLM_PM_Workbook_01252010_Sophia_Imp_ProjectWorkBook_02_18_2011 2_Steps of Doneness" xfId="13923" xr:uid="{00000000-0005-0000-0000-000009360000}"/>
    <cellStyle name="_20061117Holux_ProgramWorkBook_Re-engineering SLM_PM_Workbook_01252010_Sophia_Imp_ProjectWorkBook_02_18_2011 3" xfId="13924" xr:uid="{00000000-0005-0000-0000-00000A360000}"/>
    <cellStyle name="_20061117Holux_ProgramWorkBook_Re-engineering SLM_PM_Workbook_01252010_Sophia_Imp_ProjectWorkBook_02_18_2011_Steps of Doneness" xfId="13925" xr:uid="{00000000-0005-0000-0000-00000B360000}"/>
    <cellStyle name="_20061117Holux_ProgramWorkBook_Re-engineering SLM_PM_Workbook_01252010_Steps of Doneness" xfId="13926" xr:uid="{00000000-0005-0000-0000-00000C360000}"/>
    <cellStyle name="_20061117Holux_ProgramWorkBook_Re-engineering SLM_PM_Workbook_01252010_t" xfId="13927" xr:uid="{00000000-0005-0000-0000-00000D360000}"/>
    <cellStyle name="_20061117Holux_ProgramWorkBook_Re-engineering SLM_PM_Workbook_01252010_t 2" xfId="13928" xr:uid="{00000000-0005-0000-0000-00000E360000}"/>
    <cellStyle name="_20061117Holux_ProgramWorkBook_Re-engineering SLM_PM_Workbook_01252010_t 2_Steps of Doneness" xfId="13929" xr:uid="{00000000-0005-0000-0000-00000F360000}"/>
    <cellStyle name="_20061117Holux_ProgramWorkBook_Re-engineering SLM_PM_Workbook_01252010_t 3" xfId="13930" xr:uid="{00000000-0005-0000-0000-000010360000}"/>
    <cellStyle name="_20061117Holux_ProgramWorkBook_Re-engineering SLM_PM_Workbook_01252010_t_Steps of Doneness" xfId="13931" xr:uid="{00000000-0005-0000-0000-000011360000}"/>
    <cellStyle name="_20061117Holux_ProgramWorkBook_Re-engineering SLM_PM_Workbook_021510" xfId="13932" xr:uid="{00000000-0005-0000-0000-000012360000}"/>
    <cellStyle name="_20061117Holux_ProgramWorkBook_Re-engineering SLM_PM_Workbook_021510 2" xfId="13933" xr:uid="{00000000-0005-0000-0000-000013360000}"/>
    <cellStyle name="_20061117Holux_ProgramWorkBook_Re-engineering SLM_PM_Workbook_021510 2 2" xfId="13934" xr:uid="{00000000-0005-0000-0000-000014360000}"/>
    <cellStyle name="_20061117Holux_ProgramWorkBook_Re-engineering SLM_PM_Workbook_021510 2 2_Steps of Doneness" xfId="13935" xr:uid="{00000000-0005-0000-0000-000015360000}"/>
    <cellStyle name="_20061117Holux_ProgramWorkBook_Re-engineering SLM_PM_Workbook_021510 2 3" xfId="13936" xr:uid="{00000000-0005-0000-0000-000016360000}"/>
    <cellStyle name="_20061117Holux_ProgramWorkBook_Re-engineering SLM_PM_Workbook_021510 2_Steps of Doneness" xfId="13937" xr:uid="{00000000-0005-0000-0000-000017360000}"/>
    <cellStyle name="_20061117Holux_ProgramWorkBook_Re-engineering SLM_PM_Workbook_021510 3" xfId="13938" xr:uid="{00000000-0005-0000-0000-000018360000}"/>
    <cellStyle name="_20061117Holux_ProgramWorkBook_Re-engineering SLM_PM_Workbook_021510 3 2" xfId="13939" xr:uid="{00000000-0005-0000-0000-000019360000}"/>
    <cellStyle name="_20061117Holux_ProgramWorkBook_Re-engineering SLM_PM_Workbook_021510 3 2_Steps of Doneness" xfId="13940" xr:uid="{00000000-0005-0000-0000-00001A360000}"/>
    <cellStyle name="_20061117Holux_ProgramWorkBook_Re-engineering SLM_PM_Workbook_021510 3 3" xfId="13941" xr:uid="{00000000-0005-0000-0000-00001B360000}"/>
    <cellStyle name="_20061117Holux_ProgramWorkBook_Re-engineering SLM_PM_Workbook_021510 3_Steps of Doneness" xfId="13942" xr:uid="{00000000-0005-0000-0000-00001C360000}"/>
    <cellStyle name="_20061117Holux_ProgramWorkBook_Re-engineering SLM_PM_Workbook_021510 4" xfId="13943" xr:uid="{00000000-0005-0000-0000-00001D360000}"/>
    <cellStyle name="_20061117Holux_ProgramWorkBook_Re-engineering SLM_PM_Workbook_021510 4_Steps of Doneness" xfId="13944" xr:uid="{00000000-0005-0000-0000-00001E360000}"/>
    <cellStyle name="_20061117Holux_ProgramWorkBook_Re-engineering SLM_PM_Workbook_021510 5" xfId="13945" xr:uid="{00000000-0005-0000-0000-00001F360000}"/>
    <cellStyle name="_20061117Holux_ProgramWorkBook_Re-engineering SLM_PM_Workbook_021510 6" xfId="13946" xr:uid="{00000000-0005-0000-0000-000020360000}"/>
    <cellStyle name="_20061117Holux_ProgramWorkBook_Re-engineering SLM_PM_Workbook_021510_Commissioning System Implementation_Project Workbook_06_10_2011" xfId="13947" xr:uid="{00000000-0005-0000-0000-000021360000}"/>
    <cellStyle name="_20061117Holux_ProgramWorkBook_Re-engineering SLM_PM_Workbook_021510_Commissioning System Implementation_Project Workbook_06_10_2011 2" xfId="13948" xr:uid="{00000000-0005-0000-0000-000022360000}"/>
    <cellStyle name="_20061117Holux_ProgramWorkBook_Re-engineering SLM_PM_Workbook_021510_Commissioning System Implementation_Project Workbook_06_10_2011 2_Steps of Doneness" xfId="13949" xr:uid="{00000000-0005-0000-0000-000023360000}"/>
    <cellStyle name="_20061117Holux_ProgramWorkBook_Re-engineering SLM_PM_Workbook_021510_Commissioning System Implementation_Project Workbook_06_10_2011 3" xfId="13950" xr:uid="{00000000-0005-0000-0000-000024360000}"/>
    <cellStyle name="_20061117Holux_ProgramWorkBook_Re-engineering SLM_PM_Workbook_021510_Commissioning System Implementation_Project Workbook_06_10_2011_Steps of Doneness" xfId="13951" xr:uid="{00000000-0005-0000-0000-000025360000}"/>
    <cellStyle name="_20061117Holux_ProgramWorkBook_Re-engineering SLM_PM_Workbook_021510_FairPoint_CampReport" xfId="13952" xr:uid="{00000000-0005-0000-0000-000026360000}"/>
    <cellStyle name="_20061117Holux_ProgramWorkBook_Re-engineering SLM_PM_Workbook_021510_FairPoint_CampReport 2" xfId="13953" xr:uid="{00000000-0005-0000-0000-000027360000}"/>
    <cellStyle name="_20061117Holux_ProgramWorkBook_Re-engineering SLM_PM_Workbook_021510_FairPoint_CampReport 2_Steps of Doneness" xfId="13954" xr:uid="{00000000-0005-0000-0000-000028360000}"/>
    <cellStyle name="_20061117Holux_ProgramWorkBook_Re-engineering SLM_PM_Workbook_021510_FairPoint_CampReport 3" xfId="13955" xr:uid="{00000000-0005-0000-0000-000029360000}"/>
    <cellStyle name="_20061117Holux_ProgramWorkBook_Re-engineering SLM_PM_Workbook_021510_FairPoint_CampReport_Steps of Doneness" xfId="13956" xr:uid="{00000000-0005-0000-0000-00002A360000}"/>
    <cellStyle name="_20061117Holux_ProgramWorkBook_Re-engineering SLM_PM_Workbook_021510_FairPoint_FP comTechOps_ProgramWorkbook" xfId="13957" xr:uid="{00000000-0005-0000-0000-00002B360000}"/>
    <cellStyle name="_20061117Holux_ProgramWorkBook_Re-engineering SLM_PM_Workbook_021510_FairPoint_FP comTechOps_ProgramWorkbook 2" xfId="13958" xr:uid="{00000000-0005-0000-0000-00002C360000}"/>
    <cellStyle name="_20061117Holux_ProgramWorkBook_Re-engineering SLM_PM_Workbook_021510_FairPoint_FP comTechOps_ProgramWorkbook 2_Steps of Doneness" xfId="13959" xr:uid="{00000000-0005-0000-0000-00002D360000}"/>
    <cellStyle name="_20061117Holux_ProgramWorkBook_Re-engineering SLM_PM_Workbook_021510_FairPoint_FP comTechOps_ProgramWorkbook 3" xfId="13960" xr:uid="{00000000-0005-0000-0000-00002E360000}"/>
    <cellStyle name="_20061117Holux_ProgramWorkBook_Re-engineering SLM_PM_Workbook_021510_FairPoint_FP comTechOps_ProgramWorkbook_sachin" xfId="13961" xr:uid="{00000000-0005-0000-0000-00002F360000}"/>
    <cellStyle name="_20061117Holux_ProgramWorkBook_Re-engineering SLM_PM_Workbook_021510_FairPoint_FP comTechOps_ProgramWorkbook_sachin 2" xfId="13962" xr:uid="{00000000-0005-0000-0000-000030360000}"/>
    <cellStyle name="_20061117Holux_ProgramWorkBook_Re-engineering SLM_PM_Workbook_021510_FairPoint_FP comTechOps_ProgramWorkbook_sachin 2_Steps of Doneness" xfId="13963" xr:uid="{00000000-0005-0000-0000-000031360000}"/>
    <cellStyle name="_20061117Holux_ProgramWorkBook_Re-engineering SLM_PM_Workbook_021510_FairPoint_FP comTechOps_ProgramWorkbook_sachin 3" xfId="13964" xr:uid="{00000000-0005-0000-0000-000032360000}"/>
    <cellStyle name="_20061117Holux_ProgramWorkBook_Re-engineering SLM_PM_Workbook_021510_FairPoint_FP comTechOps_ProgramWorkbook_sachin_Steps of Doneness" xfId="13965" xr:uid="{00000000-0005-0000-0000-000033360000}"/>
    <cellStyle name="_20061117Holux_ProgramWorkBook_Re-engineering SLM_PM_Workbook_021510_FairPoint_FP comTechOps_ProgramWorkbook_sachin_v1" xfId="13966" xr:uid="{00000000-0005-0000-0000-000034360000}"/>
    <cellStyle name="_20061117Holux_ProgramWorkBook_Re-engineering SLM_PM_Workbook_021510_FairPoint_FP comTechOps_ProgramWorkbook_sachin_v1 2" xfId="13967" xr:uid="{00000000-0005-0000-0000-000035360000}"/>
    <cellStyle name="_20061117Holux_ProgramWorkBook_Re-engineering SLM_PM_Workbook_021510_FairPoint_FP comTechOps_ProgramWorkbook_sachin_v1 2_Steps of Doneness" xfId="13968" xr:uid="{00000000-0005-0000-0000-000036360000}"/>
    <cellStyle name="_20061117Holux_ProgramWorkBook_Re-engineering SLM_PM_Workbook_021510_FairPoint_FP comTechOps_ProgramWorkbook_sachin_v1 3" xfId="13969" xr:uid="{00000000-0005-0000-0000-000037360000}"/>
    <cellStyle name="_20061117Holux_ProgramWorkBook_Re-engineering SLM_PM_Workbook_021510_FairPoint_FP comTechOps_ProgramWorkbook_sachin_v1_Steps of Doneness" xfId="13970" xr:uid="{00000000-0005-0000-0000-000038360000}"/>
    <cellStyle name="_20061117Holux_ProgramWorkBook_Re-engineering SLM_PM_Workbook_021510_FairPoint_FP comTechOps_ProgramWorkbook_Steps of Doneness" xfId="13971" xr:uid="{00000000-0005-0000-0000-000039360000}"/>
    <cellStyle name="_20061117Holux_ProgramWorkBook_Re-engineering SLM_PM_Workbook_021510_FP_CAMP&amp;ITReporting_Maintenance_Dashboard" xfId="13972" xr:uid="{00000000-0005-0000-0000-00003A360000}"/>
    <cellStyle name="_20061117Holux_ProgramWorkBook_Re-engineering SLM_PM_Workbook_021510_FP_CAMP&amp;ITReporting_Maintenance_Dashboard 2" xfId="13973" xr:uid="{00000000-0005-0000-0000-00003B360000}"/>
    <cellStyle name="_20061117Holux_ProgramWorkBook_Re-engineering SLM_PM_Workbook_021510_FP_CAMP&amp;ITReporting_Maintenance_Dashboard 2_Steps of Doneness" xfId="13974" xr:uid="{00000000-0005-0000-0000-00003C360000}"/>
    <cellStyle name="_20061117Holux_ProgramWorkBook_Re-engineering SLM_PM_Workbook_021510_FP_CAMP&amp;ITReporting_Maintenance_Dashboard 3" xfId="13975" xr:uid="{00000000-0005-0000-0000-00003D360000}"/>
    <cellStyle name="_20061117Holux_ProgramWorkBook_Re-engineering SLM_PM_Workbook_021510_FP_CAMP&amp;ITReporting_Maintenance_Dashboard_Steps of Doneness" xfId="13976" xr:uid="{00000000-0005-0000-0000-00003E360000}"/>
    <cellStyle name="_20061117Holux_ProgramWorkBook_Re-engineering SLM_PM_Workbook_021510_FP_CAMPITReporting_Maintenance_Dashboard" xfId="13977" xr:uid="{00000000-0005-0000-0000-00003F360000}"/>
    <cellStyle name="_20061117Holux_ProgramWorkBook_Re-engineering SLM_PM_Workbook_021510_FP_CAMPITReporting_Maintenance_Dashboard 2" xfId="13978" xr:uid="{00000000-0005-0000-0000-000040360000}"/>
    <cellStyle name="_20061117Holux_ProgramWorkBook_Re-engineering SLM_PM_Workbook_021510_FP_CAMPITReporting_Maintenance_Dashboard 2_Steps of Doneness" xfId="13979" xr:uid="{00000000-0005-0000-0000-000041360000}"/>
    <cellStyle name="_20061117Holux_ProgramWorkBook_Re-engineering SLM_PM_Workbook_021510_FP_CAMPITReporting_Maintenance_Dashboard 3" xfId="13980" xr:uid="{00000000-0005-0000-0000-000042360000}"/>
    <cellStyle name="_20061117Holux_ProgramWorkBook_Re-engineering SLM_PM_Workbook_021510_FP_CAMPITReporting_Maintenance_Dashboard_Steps of Doneness" xfId="13981" xr:uid="{00000000-0005-0000-0000-000043360000}"/>
    <cellStyle name="_20061117Holux_ProgramWorkBook_Re-engineering SLM_PM_Workbook_021510_FP_Commissions_Req_Dn_ProgramWorkBook_10-Dec-2010" xfId="13982" xr:uid="{00000000-0005-0000-0000-000044360000}"/>
    <cellStyle name="_20061117Holux_ProgramWorkBook_Re-engineering SLM_PM_Workbook_021510_FP_Commissions_Req_Dn_ProgramWorkBook_10-Dec-2010 2" xfId="13983" xr:uid="{00000000-0005-0000-0000-000045360000}"/>
    <cellStyle name="_20061117Holux_ProgramWorkBook_Re-engineering SLM_PM_Workbook_021510_FP_Commissions_Req_Dn_ProgramWorkBook_10-Dec-2010 2_Steps of Doneness" xfId="13984" xr:uid="{00000000-0005-0000-0000-000046360000}"/>
    <cellStyle name="_20061117Holux_ProgramWorkBook_Re-engineering SLM_PM_Workbook_021510_FP_Commissions_Req_Dn_ProgramWorkBook_10-Dec-2010 3" xfId="13985" xr:uid="{00000000-0005-0000-0000-000047360000}"/>
    <cellStyle name="_20061117Holux_ProgramWorkBook_Re-engineering SLM_PM_Workbook_021510_FP_Commissions_Req_Dn_ProgramWorkBook_10-Dec-2010_Steps of Doneness" xfId="13986" xr:uid="{00000000-0005-0000-0000-000048360000}"/>
    <cellStyle name="_20061117Holux_ProgramWorkBook_Re-engineering SLM_PM_Workbook_021510_FP_DW_Impl_ProgramWorkBook_07-Jan-2011" xfId="13987" xr:uid="{00000000-0005-0000-0000-000049360000}"/>
    <cellStyle name="_20061117Holux_ProgramWorkBook_Re-engineering SLM_PM_Workbook_021510_FP_DW_Impl_ProgramWorkBook_07-Jan-2011 2" xfId="13988" xr:uid="{00000000-0005-0000-0000-00004A360000}"/>
    <cellStyle name="_20061117Holux_ProgramWorkBook_Re-engineering SLM_PM_Workbook_021510_FP_DW_Impl_ProgramWorkBook_07-Jan-2011 2 2" xfId="13989" xr:uid="{00000000-0005-0000-0000-00004B360000}"/>
    <cellStyle name="_20061117Holux_ProgramWorkBook_Re-engineering SLM_PM_Workbook_021510_FP_DW_Impl_ProgramWorkBook_07-Jan-2011 2 2_Steps of Doneness" xfId="13990" xr:uid="{00000000-0005-0000-0000-00004C360000}"/>
    <cellStyle name="_20061117Holux_ProgramWorkBook_Re-engineering SLM_PM_Workbook_021510_FP_DW_Impl_ProgramWorkBook_07-Jan-2011 2 3" xfId="13991" xr:uid="{00000000-0005-0000-0000-00004D360000}"/>
    <cellStyle name="_20061117Holux_ProgramWorkBook_Re-engineering SLM_PM_Workbook_021510_FP_DW_Impl_ProgramWorkBook_07-Jan-2011 2_Steps of Doneness" xfId="13992" xr:uid="{00000000-0005-0000-0000-00004E360000}"/>
    <cellStyle name="_20061117Holux_ProgramWorkBook_Re-engineering SLM_PM_Workbook_021510_FP_DW_Impl_ProgramWorkBook_07-Jan-2011 3" xfId="13993" xr:uid="{00000000-0005-0000-0000-00004F360000}"/>
    <cellStyle name="_20061117Holux_ProgramWorkBook_Re-engineering SLM_PM_Workbook_021510_FP_DW_Impl_ProgramWorkBook_07-Jan-2011 3_Steps of Doneness" xfId="13994" xr:uid="{00000000-0005-0000-0000-000050360000}"/>
    <cellStyle name="_20061117Holux_ProgramWorkBook_Re-engineering SLM_PM_Workbook_021510_FP_DW_Impl_ProgramWorkBook_07-Jan-2011 4" xfId="13995" xr:uid="{00000000-0005-0000-0000-000051360000}"/>
    <cellStyle name="_20061117Holux_ProgramWorkBook_Re-engineering SLM_PM_Workbook_021510_FP_DW_Impl_ProgramWorkBook_07-Jan-2011_Steps of Doneness" xfId="13996" xr:uid="{00000000-0005-0000-0000-000052360000}"/>
    <cellStyle name="_20061117Holux_ProgramWorkBook_Re-engineering SLM_PM_Workbook_021510_FP_DW_Impl_ProgramWorkBook_11-Feb-2011" xfId="13997" xr:uid="{00000000-0005-0000-0000-000053360000}"/>
    <cellStyle name="_20061117Holux_ProgramWorkBook_Re-engineering SLM_PM_Workbook_021510_FP_DW_Impl_ProgramWorkBook_11-Feb-2011 2" xfId="13998" xr:uid="{00000000-0005-0000-0000-000054360000}"/>
    <cellStyle name="_20061117Holux_ProgramWorkBook_Re-engineering SLM_PM_Workbook_021510_FP_DW_Impl_ProgramWorkBook_11-Feb-2011 2_Steps of Doneness" xfId="13999" xr:uid="{00000000-0005-0000-0000-000055360000}"/>
    <cellStyle name="_20061117Holux_ProgramWorkBook_Re-engineering SLM_PM_Workbook_021510_FP_DW_Impl_ProgramWorkBook_11-Feb-2011 3" xfId="14000" xr:uid="{00000000-0005-0000-0000-000056360000}"/>
    <cellStyle name="_20061117Holux_ProgramWorkBook_Re-engineering SLM_PM_Workbook_021510_FP_DW_Impl_ProgramWorkBook_11-Feb-2011_Steps of Doneness" xfId="14001" xr:uid="{00000000-0005-0000-0000-000057360000}"/>
    <cellStyle name="_20061117Holux_ProgramWorkBook_Re-engineering SLM_PM_Workbook_021510_FP_DW_Impl_ProgramWorkBook_18-Feb-2011 - Working" xfId="14002" xr:uid="{00000000-0005-0000-0000-000058360000}"/>
    <cellStyle name="_20061117Holux_ProgramWorkBook_Re-engineering SLM_PM_Workbook_021510_FP_DW_Impl_ProgramWorkBook_18-Feb-2011 - Working 2" xfId="14003" xr:uid="{00000000-0005-0000-0000-000059360000}"/>
    <cellStyle name="_20061117Holux_ProgramWorkBook_Re-engineering SLM_PM_Workbook_021510_FP_DW_Impl_ProgramWorkBook_18-Feb-2011 - Working 2_Steps of Doneness" xfId="14004" xr:uid="{00000000-0005-0000-0000-00005A360000}"/>
    <cellStyle name="_20061117Holux_ProgramWorkBook_Re-engineering SLM_PM_Workbook_021510_FP_DW_Impl_ProgramWorkBook_18-Feb-2011 - Working 3" xfId="14005" xr:uid="{00000000-0005-0000-0000-00005B360000}"/>
    <cellStyle name="_20061117Holux_ProgramWorkBook_Re-engineering SLM_PM_Workbook_021510_FP_DW_Impl_ProgramWorkBook_18-Feb-2011 - Working_Steps of Doneness" xfId="14006" xr:uid="{00000000-0005-0000-0000-00005C360000}"/>
    <cellStyle name="_20061117Holux_ProgramWorkBook_Re-engineering SLM_PM_Workbook_021510_FP_EnterprisePortal_ProgramWorkbook" xfId="14007" xr:uid="{00000000-0005-0000-0000-00005D360000}"/>
    <cellStyle name="_20061117Holux_ProgramWorkBook_Re-engineering SLM_PM_Workbook_021510_FP_EnterprisePortal_ProgramWorkbook 2" xfId="14008" xr:uid="{00000000-0005-0000-0000-00005E360000}"/>
    <cellStyle name="_20061117Holux_ProgramWorkBook_Re-engineering SLM_PM_Workbook_021510_FP_EnterprisePortal_ProgramWorkbook 2_Steps of Doneness" xfId="14009" xr:uid="{00000000-0005-0000-0000-00005F360000}"/>
    <cellStyle name="_20061117Holux_ProgramWorkBook_Re-engineering SLM_PM_Workbook_021510_FP_EnterprisePortal_ProgramWorkbook 3" xfId="14010" xr:uid="{00000000-0005-0000-0000-000060360000}"/>
    <cellStyle name="_20061117Holux_ProgramWorkBook_Re-engineering SLM_PM_Workbook_021510_FP_EnterprisePortal_ProgramWorkbook_Steps of Doneness" xfId="14011" xr:uid="{00000000-0005-0000-0000-000061360000}"/>
    <cellStyle name="_20061117Holux_ProgramWorkBook_Re-engineering SLM_PM_Workbook_021510_FP_SAP_MLP v2" xfId="14012" xr:uid="{00000000-0005-0000-0000-000062360000}"/>
    <cellStyle name="_20061117Holux_ProgramWorkBook_Re-engineering SLM_PM_Workbook_021510_FP_SAP_MLP v2 2" xfId="14013" xr:uid="{00000000-0005-0000-0000-000063360000}"/>
    <cellStyle name="_20061117Holux_ProgramWorkBook_Re-engineering SLM_PM_Workbook_021510_FP_SAP_MLP v2 2_Steps of Doneness" xfId="14014" xr:uid="{00000000-0005-0000-0000-000064360000}"/>
    <cellStyle name="_20061117Holux_ProgramWorkBook_Re-engineering SLM_PM_Workbook_021510_FP_SAP_MLP v2 3" xfId="14015" xr:uid="{00000000-0005-0000-0000-000065360000}"/>
    <cellStyle name="_20061117Holux_ProgramWorkBook_Re-engineering SLM_PM_Workbook_021510_FP_SAP_MLP v2_Steps of Doneness" xfId="14016" xr:uid="{00000000-0005-0000-0000-000066360000}"/>
    <cellStyle name="_20061117Holux_ProgramWorkBook_Re-engineering SLM_PM_Workbook_021510_KeyDecisions" xfId="14017" xr:uid="{00000000-0005-0000-0000-000067360000}"/>
    <cellStyle name="_20061117Holux_ProgramWorkBook_Re-engineering SLM_PM_Workbook_021510_KeyDecisions 2" xfId="14018" xr:uid="{00000000-0005-0000-0000-000068360000}"/>
    <cellStyle name="_20061117Holux_ProgramWorkBook_Re-engineering SLM_PM_Workbook_021510_KeyDecisions 2_Steps of Doneness" xfId="14019" xr:uid="{00000000-0005-0000-0000-000069360000}"/>
    <cellStyle name="_20061117Holux_ProgramWorkBook_Re-engineering SLM_PM_Workbook_021510_KeyDecisions 3" xfId="14020" xr:uid="{00000000-0005-0000-0000-00006A360000}"/>
    <cellStyle name="_20061117Holux_ProgramWorkBook_Re-engineering SLM_PM_Workbook_021510_KeyDecisions_Steps of Doneness" xfId="14021" xr:uid="{00000000-0005-0000-0000-00006B360000}"/>
    <cellStyle name="_20061117Holux_ProgramWorkBook_Re-engineering SLM_PM_Workbook_021510_Sophia_Imp_ProjectWorkBook_02_18_2011" xfId="14022" xr:uid="{00000000-0005-0000-0000-00006C360000}"/>
    <cellStyle name="_20061117Holux_ProgramWorkBook_Re-engineering SLM_PM_Workbook_021510_Sophia_Imp_ProjectWorkBook_02_18_2011 2" xfId="14023" xr:uid="{00000000-0005-0000-0000-00006D360000}"/>
    <cellStyle name="_20061117Holux_ProgramWorkBook_Re-engineering SLM_PM_Workbook_021510_Sophia_Imp_ProjectWorkBook_02_18_2011 2_Steps of Doneness" xfId="14024" xr:uid="{00000000-0005-0000-0000-00006E360000}"/>
    <cellStyle name="_20061117Holux_ProgramWorkBook_Re-engineering SLM_PM_Workbook_021510_Sophia_Imp_ProjectWorkBook_02_18_2011 3" xfId="14025" xr:uid="{00000000-0005-0000-0000-00006F360000}"/>
    <cellStyle name="_20061117Holux_ProgramWorkBook_Re-engineering SLM_PM_Workbook_021510_Sophia_Imp_ProjectWorkBook_02_18_2011_Steps of Doneness" xfId="14026" xr:uid="{00000000-0005-0000-0000-000070360000}"/>
    <cellStyle name="_20061117Holux_ProgramWorkBook_Re-engineering SLM_PM_Workbook_021510_Steps of Doneness" xfId="14027" xr:uid="{00000000-0005-0000-0000-000071360000}"/>
    <cellStyle name="_20061117Holux_ProgramWorkBook_Re-engineering SLM_PM_Workbook_021510_t" xfId="14028" xr:uid="{00000000-0005-0000-0000-000072360000}"/>
    <cellStyle name="_20061117Holux_ProgramWorkBook_Re-engineering SLM_PM_Workbook_021510_t 2" xfId="14029" xr:uid="{00000000-0005-0000-0000-000073360000}"/>
    <cellStyle name="_20061117Holux_ProgramWorkBook_Re-engineering SLM_PM_Workbook_021510_t 2_Steps of Doneness" xfId="14030" xr:uid="{00000000-0005-0000-0000-000074360000}"/>
    <cellStyle name="_20061117Holux_ProgramWorkBook_Re-engineering SLM_PM_Workbook_021510_t 3" xfId="14031" xr:uid="{00000000-0005-0000-0000-000075360000}"/>
    <cellStyle name="_20061117Holux_ProgramWorkBook_Re-engineering SLM_PM_Workbook_021510_t_Steps of Doneness" xfId="14032" xr:uid="{00000000-0005-0000-0000-000076360000}"/>
    <cellStyle name="_20061117Holux_ProgramWorkBook_Re-engineering SLM_PM_Workbook_030810" xfId="14033" xr:uid="{00000000-0005-0000-0000-000077360000}"/>
    <cellStyle name="_20061117Holux_ProgramWorkBook_Re-engineering SLM_PM_Workbook_030810 2" xfId="14034" xr:uid="{00000000-0005-0000-0000-000078360000}"/>
    <cellStyle name="_20061117Holux_ProgramWorkBook_Re-engineering SLM_PM_Workbook_030810 2 2" xfId="14035" xr:uid="{00000000-0005-0000-0000-000079360000}"/>
    <cellStyle name="_20061117Holux_ProgramWorkBook_Re-engineering SLM_PM_Workbook_030810 2 2_Steps of Doneness" xfId="14036" xr:uid="{00000000-0005-0000-0000-00007A360000}"/>
    <cellStyle name="_20061117Holux_ProgramWorkBook_Re-engineering SLM_PM_Workbook_030810 2 3" xfId="14037" xr:uid="{00000000-0005-0000-0000-00007B360000}"/>
    <cellStyle name="_20061117Holux_ProgramWorkBook_Re-engineering SLM_PM_Workbook_030810 2_Steps of Doneness" xfId="14038" xr:uid="{00000000-0005-0000-0000-00007C360000}"/>
    <cellStyle name="_20061117Holux_ProgramWorkBook_Re-engineering SLM_PM_Workbook_030810 3" xfId="14039" xr:uid="{00000000-0005-0000-0000-00007D360000}"/>
    <cellStyle name="_20061117Holux_ProgramWorkBook_Re-engineering SLM_PM_Workbook_030810 3 2" xfId="14040" xr:uid="{00000000-0005-0000-0000-00007E360000}"/>
    <cellStyle name="_20061117Holux_ProgramWorkBook_Re-engineering SLM_PM_Workbook_030810 3 2_Steps of Doneness" xfId="14041" xr:uid="{00000000-0005-0000-0000-00007F360000}"/>
    <cellStyle name="_20061117Holux_ProgramWorkBook_Re-engineering SLM_PM_Workbook_030810 3 3" xfId="14042" xr:uid="{00000000-0005-0000-0000-000080360000}"/>
    <cellStyle name="_20061117Holux_ProgramWorkBook_Re-engineering SLM_PM_Workbook_030810 3_Steps of Doneness" xfId="14043" xr:uid="{00000000-0005-0000-0000-000081360000}"/>
    <cellStyle name="_20061117Holux_ProgramWorkBook_Re-engineering SLM_PM_Workbook_030810 4" xfId="14044" xr:uid="{00000000-0005-0000-0000-000082360000}"/>
    <cellStyle name="_20061117Holux_ProgramWorkBook_Re-engineering SLM_PM_Workbook_030810 4_Steps of Doneness" xfId="14045" xr:uid="{00000000-0005-0000-0000-000083360000}"/>
    <cellStyle name="_20061117Holux_ProgramWorkBook_Re-engineering SLM_PM_Workbook_030810 5" xfId="14046" xr:uid="{00000000-0005-0000-0000-000084360000}"/>
    <cellStyle name="_20061117Holux_ProgramWorkBook_Re-engineering SLM_PM_Workbook_030810 6" xfId="14047" xr:uid="{00000000-0005-0000-0000-000085360000}"/>
    <cellStyle name="_20061117Holux_ProgramWorkBook_Re-engineering SLM_PM_Workbook_030810_Commissioning System Implementation_Project Workbook_06_10_2011" xfId="14048" xr:uid="{00000000-0005-0000-0000-000086360000}"/>
    <cellStyle name="_20061117Holux_ProgramWorkBook_Re-engineering SLM_PM_Workbook_030810_Commissioning System Implementation_Project Workbook_06_10_2011 2" xfId="14049" xr:uid="{00000000-0005-0000-0000-000087360000}"/>
    <cellStyle name="_20061117Holux_ProgramWorkBook_Re-engineering SLM_PM_Workbook_030810_Commissioning System Implementation_Project Workbook_06_10_2011 2_Steps of Doneness" xfId="14050" xr:uid="{00000000-0005-0000-0000-000088360000}"/>
    <cellStyle name="_20061117Holux_ProgramWorkBook_Re-engineering SLM_PM_Workbook_030810_Commissioning System Implementation_Project Workbook_06_10_2011 3" xfId="14051" xr:uid="{00000000-0005-0000-0000-000089360000}"/>
    <cellStyle name="_20061117Holux_ProgramWorkBook_Re-engineering SLM_PM_Workbook_030810_Commissioning System Implementation_Project Workbook_06_10_2011_Steps of Doneness" xfId="14052" xr:uid="{00000000-0005-0000-0000-00008A360000}"/>
    <cellStyle name="_20061117Holux_ProgramWorkBook_Re-engineering SLM_PM_Workbook_030810_FairPoint_CampReport" xfId="14053" xr:uid="{00000000-0005-0000-0000-00008B360000}"/>
    <cellStyle name="_20061117Holux_ProgramWorkBook_Re-engineering SLM_PM_Workbook_030810_FairPoint_CampReport 2" xfId="14054" xr:uid="{00000000-0005-0000-0000-00008C360000}"/>
    <cellStyle name="_20061117Holux_ProgramWorkBook_Re-engineering SLM_PM_Workbook_030810_FairPoint_CampReport 2_Steps of Doneness" xfId="14055" xr:uid="{00000000-0005-0000-0000-00008D360000}"/>
    <cellStyle name="_20061117Holux_ProgramWorkBook_Re-engineering SLM_PM_Workbook_030810_FairPoint_CampReport 3" xfId="14056" xr:uid="{00000000-0005-0000-0000-00008E360000}"/>
    <cellStyle name="_20061117Holux_ProgramWorkBook_Re-engineering SLM_PM_Workbook_030810_FairPoint_CampReport_Steps of Doneness" xfId="14057" xr:uid="{00000000-0005-0000-0000-00008F360000}"/>
    <cellStyle name="_20061117Holux_ProgramWorkBook_Re-engineering SLM_PM_Workbook_030810_FairPoint_FP comTechOps_ProgramWorkbook" xfId="14058" xr:uid="{00000000-0005-0000-0000-000090360000}"/>
    <cellStyle name="_20061117Holux_ProgramWorkBook_Re-engineering SLM_PM_Workbook_030810_FairPoint_FP comTechOps_ProgramWorkbook 2" xfId="14059" xr:uid="{00000000-0005-0000-0000-000091360000}"/>
    <cellStyle name="_20061117Holux_ProgramWorkBook_Re-engineering SLM_PM_Workbook_030810_FairPoint_FP comTechOps_ProgramWorkbook 2_Steps of Doneness" xfId="14060" xr:uid="{00000000-0005-0000-0000-000092360000}"/>
    <cellStyle name="_20061117Holux_ProgramWorkBook_Re-engineering SLM_PM_Workbook_030810_FairPoint_FP comTechOps_ProgramWorkbook 3" xfId="14061" xr:uid="{00000000-0005-0000-0000-000093360000}"/>
    <cellStyle name="_20061117Holux_ProgramWorkBook_Re-engineering SLM_PM_Workbook_030810_FairPoint_FP comTechOps_ProgramWorkbook_sachin" xfId="14062" xr:uid="{00000000-0005-0000-0000-000094360000}"/>
    <cellStyle name="_20061117Holux_ProgramWorkBook_Re-engineering SLM_PM_Workbook_030810_FairPoint_FP comTechOps_ProgramWorkbook_sachin 2" xfId="14063" xr:uid="{00000000-0005-0000-0000-000095360000}"/>
    <cellStyle name="_20061117Holux_ProgramWorkBook_Re-engineering SLM_PM_Workbook_030810_FairPoint_FP comTechOps_ProgramWorkbook_sachin 2_Steps of Doneness" xfId="14064" xr:uid="{00000000-0005-0000-0000-000096360000}"/>
    <cellStyle name="_20061117Holux_ProgramWorkBook_Re-engineering SLM_PM_Workbook_030810_FairPoint_FP comTechOps_ProgramWorkbook_sachin 3" xfId="14065" xr:uid="{00000000-0005-0000-0000-000097360000}"/>
    <cellStyle name="_20061117Holux_ProgramWorkBook_Re-engineering SLM_PM_Workbook_030810_FairPoint_FP comTechOps_ProgramWorkbook_sachin_Steps of Doneness" xfId="14066" xr:uid="{00000000-0005-0000-0000-000098360000}"/>
    <cellStyle name="_20061117Holux_ProgramWorkBook_Re-engineering SLM_PM_Workbook_030810_FairPoint_FP comTechOps_ProgramWorkbook_sachin_v1" xfId="14067" xr:uid="{00000000-0005-0000-0000-000099360000}"/>
    <cellStyle name="_20061117Holux_ProgramWorkBook_Re-engineering SLM_PM_Workbook_030810_FairPoint_FP comTechOps_ProgramWorkbook_sachin_v1 2" xfId="14068" xr:uid="{00000000-0005-0000-0000-00009A360000}"/>
    <cellStyle name="_20061117Holux_ProgramWorkBook_Re-engineering SLM_PM_Workbook_030810_FairPoint_FP comTechOps_ProgramWorkbook_sachin_v1 2_Steps of Doneness" xfId="14069" xr:uid="{00000000-0005-0000-0000-00009B360000}"/>
    <cellStyle name="_20061117Holux_ProgramWorkBook_Re-engineering SLM_PM_Workbook_030810_FairPoint_FP comTechOps_ProgramWorkbook_sachin_v1 3" xfId="14070" xr:uid="{00000000-0005-0000-0000-00009C360000}"/>
    <cellStyle name="_20061117Holux_ProgramWorkBook_Re-engineering SLM_PM_Workbook_030810_FairPoint_FP comTechOps_ProgramWorkbook_sachin_v1_Steps of Doneness" xfId="14071" xr:uid="{00000000-0005-0000-0000-00009D360000}"/>
    <cellStyle name="_20061117Holux_ProgramWorkBook_Re-engineering SLM_PM_Workbook_030810_FairPoint_FP comTechOps_ProgramWorkbook_Steps of Doneness" xfId="14072" xr:uid="{00000000-0005-0000-0000-00009E360000}"/>
    <cellStyle name="_20061117Holux_ProgramWorkBook_Re-engineering SLM_PM_Workbook_030810_FP_CAMP&amp;ITReporting_Maintenance_Dashboard" xfId="14073" xr:uid="{00000000-0005-0000-0000-00009F360000}"/>
    <cellStyle name="_20061117Holux_ProgramWorkBook_Re-engineering SLM_PM_Workbook_030810_FP_CAMP&amp;ITReporting_Maintenance_Dashboard 2" xfId="14074" xr:uid="{00000000-0005-0000-0000-0000A0360000}"/>
    <cellStyle name="_20061117Holux_ProgramWorkBook_Re-engineering SLM_PM_Workbook_030810_FP_CAMP&amp;ITReporting_Maintenance_Dashboard 2_Steps of Doneness" xfId="14075" xr:uid="{00000000-0005-0000-0000-0000A1360000}"/>
    <cellStyle name="_20061117Holux_ProgramWorkBook_Re-engineering SLM_PM_Workbook_030810_FP_CAMP&amp;ITReporting_Maintenance_Dashboard 3" xfId="14076" xr:uid="{00000000-0005-0000-0000-0000A2360000}"/>
    <cellStyle name="_20061117Holux_ProgramWorkBook_Re-engineering SLM_PM_Workbook_030810_FP_CAMP&amp;ITReporting_Maintenance_Dashboard_Steps of Doneness" xfId="14077" xr:uid="{00000000-0005-0000-0000-0000A3360000}"/>
    <cellStyle name="_20061117Holux_ProgramWorkBook_Re-engineering SLM_PM_Workbook_030810_FP_CAMPITReporting_Maintenance_Dashboard" xfId="14078" xr:uid="{00000000-0005-0000-0000-0000A4360000}"/>
    <cellStyle name="_20061117Holux_ProgramWorkBook_Re-engineering SLM_PM_Workbook_030810_FP_CAMPITReporting_Maintenance_Dashboard 2" xfId="14079" xr:uid="{00000000-0005-0000-0000-0000A5360000}"/>
    <cellStyle name="_20061117Holux_ProgramWorkBook_Re-engineering SLM_PM_Workbook_030810_FP_CAMPITReporting_Maintenance_Dashboard 2_Steps of Doneness" xfId="14080" xr:uid="{00000000-0005-0000-0000-0000A6360000}"/>
    <cellStyle name="_20061117Holux_ProgramWorkBook_Re-engineering SLM_PM_Workbook_030810_FP_CAMPITReporting_Maintenance_Dashboard 3" xfId="14081" xr:uid="{00000000-0005-0000-0000-0000A7360000}"/>
    <cellStyle name="_20061117Holux_ProgramWorkBook_Re-engineering SLM_PM_Workbook_030810_FP_CAMPITReporting_Maintenance_Dashboard_Steps of Doneness" xfId="14082" xr:uid="{00000000-0005-0000-0000-0000A8360000}"/>
    <cellStyle name="_20061117Holux_ProgramWorkBook_Re-engineering SLM_PM_Workbook_030810_FP_Commissions_Req_Dn_ProgramWorkBook_10-Dec-2010" xfId="14083" xr:uid="{00000000-0005-0000-0000-0000A9360000}"/>
    <cellStyle name="_20061117Holux_ProgramWorkBook_Re-engineering SLM_PM_Workbook_030810_FP_Commissions_Req_Dn_ProgramWorkBook_10-Dec-2010 2" xfId="14084" xr:uid="{00000000-0005-0000-0000-0000AA360000}"/>
    <cellStyle name="_20061117Holux_ProgramWorkBook_Re-engineering SLM_PM_Workbook_030810_FP_Commissions_Req_Dn_ProgramWorkBook_10-Dec-2010 2_Steps of Doneness" xfId="14085" xr:uid="{00000000-0005-0000-0000-0000AB360000}"/>
    <cellStyle name="_20061117Holux_ProgramWorkBook_Re-engineering SLM_PM_Workbook_030810_FP_Commissions_Req_Dn_ProgramWorkBook_10-Dec-2010 3" xfId="14086" xr:uid="{00000000-0005-0000-0000-0000AC360000}"/>
    <cellStyle name="_20061117Holux_ProgramWorkBook_Re-engineering SLM_PM_Workbook_030810_FP_Commissions_Req_Dn_ProgramWorkBook_10-Dec-2010_Steps of Doneness" xfId="14087" xr:uid="{00000000-0005-0000-0000-0000AD360000}"/>
    <cellStyle name="_20061117Holux_ProgramWorkBook_Re-engineering SLM_PM_Workbook_030810_FP_DW_Impl_ProgramWorkBook_07-Jan-2011" xfId="14088" xr:uid="{00000000-0005-0000-0000-0000AE360000}"/>
    <cellStyle name="_20061117Holux_ProgramWorkBook_Re-engineering SLM_PM_Workbook_030810_FP_DW_Impl_ProgramWorkBook_07-Jan-2011 2" xfId="14089" xr:uid="{00000000-0005-0000-0000-0000AF360000}"/>
    <cellStyle name="_20061117Holux_ProgramWorkBook_Re-engineering SLM_PM_Workbook_030810_FP_DW_Impl_ProgramWorkBook_07-Jan-2011 2 2" xfId="14090" xr:uid="{00000000-0005-0000-0000-0000B0360000}"/>
    <cellStyle name="_20061117Holux_ProgramWorkBook_Re-engineering SLM_PM_Workbook_030810_FP_DW_Impl_ProgramWorkBook_07-Jan-2011 2 2_Steps of Doneness" xfId="14091" xr:uid="{00000000-0005-0000-0000-0000B1360000}"/>
    <cellStyle name="_20061117Holux_ProgramWorkBook_Re-engineering SLM_PM_Workbook_030810_FP_DW_Impl_ProgramWorkBook_07-Jan-2011 2 3" xfId="14092" xr:uid="{00000000-0005-0000-0000-0000B2360000}"/>
    <cellStyle name="_20061117Holux_ProgramWorkBook_Re-engineering SLM_PM_Workbook_030810_FP_DW_Impl_ProgramWorkBook_07-Jan-2011 2_Steps of Doneness" xfId="14093" xr:uid="{00000000-0005-0000-0000-0000B3360000}"/>
    <cellStyle name="_20061117Holux_ProgramWorkBook_Re-engineering SLM_PM_Workbook_030810_FP_DW_Impl_ProgramWorkBook_07-Jan-2011 3" xfId="14094" xr:uid="{00000000-0005-0000-0000-0000B4360000}"/>
    <cellStyle name="_20061117Holux_ProgramWorkBook_Re-engineering SLM_PM_Workbook_030810_FP_DW_Impl_ProgramWorkBook_07-Jan-2011 3_Steps of Doneness" xfId="14095" xr:uid="{00000000-0005-0000-0000-0000B5360000}"/>
    <cellStyle name="_20061117Holux_ProgramWorkBook_Re-engineering SLM_PM_Workbook_030810_FP_DW_Impl_ProgramWorkBook_07-Jan-2011 4" xfId="14096" xr:uid="{00000000-0005-0000-0000-0000B6360000}"/>
    <cellStyle name="_20061117Holux_ProgramWorkBook_Re-engineering SLM_PM_Workbook_030810_FP_DW_Impl_ProgramWorkBook_07-Jan-2011_Steps of Doneness" xfId="14097" xr:uid="{00000000-0005-0000-0000-0000B7360000}"/>
    <cellStyle name="_20061117Holux_ProgramWorkBook_Re-engineering SLM_PM_Workbook_030810_FP_DW_Impl_ProgramWorkBook_11-Feb-2011" xfId="14098" xr:uid="{00000000-0005-0000-0000-0000B8360000}"/>
    <cellStyle name="_20061117Holux_ProgramWorkBook_Re-engineering SLM_PM_Workbook_030810_FP_DW_Impl_ProgramWorkBook_11-Feb-2011 2" xfId="14099" xr:uid="{00000000-0005-0000-0000-0000B9360000}"/>
    <cellStyle name="_20061117Holux_ProgramWorkBook_Re-engineering SLM_PM_Workbook_030810_FP_DW_Impl_ProgramWorkBook_11-Feb-2011 2_Steps of Doneness" xfId="14100" xr:uid="{00000000-0005-0000-0000-0000BA360000}"/>
    <cellStyle name="_20061117Holux_ProgramWorkBook_Re-engineering SLM_PM_Workbook_030810_FP_DW_Impl_ProgramWorkBook_11-Feb-2011 3" xfId="14101" xr:uid="{00000000-0005-0000-0000-0000BB360000}"/>
    <cellStyle name="_20061117Holux_ProgramWorkBook_Re-engineering SLM_PM_Workbook_030810_FP_DW_Impl_ProgramWorkBook_11-Feb-2011_Steps of Doneness" xfId="14102" xr:uid="{00000000-0005-0000-0000-0000BC360000}"/>
    <cellStyle name="_20061117Holux_ProgramWorkBook_Re-engineering SLM_PM_Workbook_030810_FP_DW_Impl_ProgramWorkBook_18-Feb-2011 - Working" xfId="14103" xr:uid="{00000000-0005-0000-0000-0000BD360000}"/>
    <cellStyle name="_20061117Holux_ProgramWorkBook_Re-engineering SLM_PM_Workbook_030810_FP_DW_Impl_ProgramWorkBook_18-Feb-2011 - Working 2" xfId="14104" xr:uid="{00000000-0005-0000-0000-0000BE360000}"/>
    <cellStyle name="_20061117Holux_ProgramWorkBook_Re-engineering SLM_PM_Workbook_030810_FP_DW_Impl_ProgramWorkBook_18-Feb-2011 - Working 2_Steps of Doneness" xfId="14105" xr:uid="{00000000-0005-0000-0000-0000BF360000}"/>
    <cellStyle name="_20061117Holux_ProgramWorkBook_Re-engineering SLM_PM_Workbook_030810_FP_DW_Impl_ProgramWorkBook_18-Feb-2011 - Working 3" xfId="14106" xr:uid="{00000000-0005-0000-0000-0000C0360000}"/>
    <cellStyle name="_20061117Holux_ProgramWorkBook_Re-engineering SLM_PM_Workbook_030810_FP_DW_Impl_ProgramWorkBook_18-Feb-2011 - Working_Steps of Doneness" xfId="14107" xr:uid="{00000000-0005-0000-0000-0000C1360000}"/>
    <cellStyle name="_20061117Holux_ProgramWorkBook_Re-engineering SLM_PM_Workbook_030810_FP_EnterprisePortal_ProgramWorkbook" xfId="14108" xr:uid="{00000000-0005-0000-0000-0000C2360000}"/>
    <cellStyle name="_20061117Holux_ProgramWorkBook_Re-engineering SLM_PM_Workbook_030810_FP_EnterprisePortal_ProgramWorkbook 2" xfId="14109" xr:uid="{00000000-0005-0000-0000-0000C3360000}"/>
    <cellStyle name="_20061117Holux_ProgramWorkBook_Re-engineering SLM_PM_Workbook_030810_FP_EnterprisePortal_ProgramWorkbook 2_Steps of Doneness" xfId="14110" xr:uid="{00000000-0005-0000-0000-0000C4360000}"/>
    <cellStyle name="_20061117Holux_ProgramWorkBook_Re-engineering SLM_PM_Workbook_030810_FP_EnterprisePortal_ProgramWorkbook 3" xfId="14111" xr:uid="{00000000-0005-0000-0000-0000C5360000}"/>
    <cellStyle name="_20061117Holux_ProgramWorkBook_Re-engineering SLM_PM_Workbook_030810_FP_EnterprisePortal_ProgramWorkbook_Steps of Doneness" xfId="14112" xr:uid="{00000000-0005-0000-0000-0000C6360000}"/>
    <cellStyle name="_20061117Holux_ProgramWorkBook_Re-engineering SLM_PM_Workbook_030810_FP_SAP_MLP v2" xfId="14113" xr:uid="{00000000-0005-0000-0000-0000C7360000}"/>
    <cellStyle name="_20061117Holux_ProgramWorkBook_Re-engineering SLM_PM_Workbook_030810_FP_SAP_MLP v2 2" xfId="14114" xr:uid="{00000000-0005-0000-0000-0000C8360000}"/>
    <cellStyle name="_20061117Holux_ProgramWorkBook_Re-engineering SLM_PM_Workbook_030810_FP_SAP_MLP v2 2_Steps of Doneness" xfId="14115" xr:uid="{00000000-0005-0000-0000-0000C9360000}"/>
    <cellStyle name="_20061117Holux_ProgramWorkBook_Re-engineering SLM_PM_Workbook_030810_FP_SAP_MLP v2 3" xfId="14116" xr:uid="{00000000-0005-0000-0000-0000CA360000}"/>
    <cellStyle name="_20061117Holux_ProgramWorkBook_Re-engineering SLM_PM_Workbook_030810_FP_SAP_MLP v2_Steps of Doneness" xfId="14117" xr:uid="{00000000-0005-0000-0000-0000CB360000}"/>
    <cellStyle name="_20061117Holux_ProgramWorkBook_Re-engineering SLM_PM_Workbook_030810_KeyDecisions" xfId="14118" xr:uid="{00000000-0005-0000-0000-0000CC360000}"/>
    <cellStyle name="_20061117Holux_ProgramWorkBook_Re-engineering SLM_PM_Workbook_030810_KeyDecisions 2" xfId="14119" xr:uid="{00000000-0005-0000-0000-0000CD360000}"/>
    <cellStyle name="_20061117Holux_ProgramWorkBook_Re-engineering SLM_PM_Workbook_030810_KeyDecisions 2_Steps of Doneness" xfId="14120" xr:uid="{00000000-0005-0000-0000-0000CE360000}"/>
    <cellStyle name="_20061117Holux_ProgramWorkBook_Re-engineering SLM_PM_Workbook_030810_KeyDecisions 3" xfId="14121" xr:uid="{00000000-0005-0000-0000-0000CF360000}"/>
    <cellStyle name="_20061117Holux_ProgramWorkBook_Re-engineering SLM_PM_Workbook_030810_KeyDecisions_Steps of Doneness" xfId="14122" xr:uid="{00000000-0005-0000-0000-0000D0360000}"/>
    <cellStyle name="_20061117Holux_ProgramWorkBook_Re-engineering SLM_PM_Workbook_030810_Sophia_Imp_ProjectWorkBook_02_18_2011" xfId="14123" xr:uid="{00000000-0005-0000-0000-0000D1360000}"/>
    <cellStyle name="_20061117Holux_ProgramWorkBook_Re-engineering SLM_PM_Workbook_030810_Sophia_Imp_ProjectWorkBook_02_18_2011 2" xfId="14124" xr:uid="{00000000-0005-0000-0000-0000D2360000}"/>
    <cellStyle name="_20061117Holux_ProgramWorkBook_Re-engineering SLM_PM_Workbook_030810_Sophia_Imp_ProjectWorkBook_02_18_2011 2_Steps of Doneness" xfId="14125" xr:uid="{00000000-0005-0000-0000-0000D3360000}"/>
    <cellStyle name="_20061117Holux_ProgramWorkBook_Re-engineering SLM_PM_Workbook_030810_Sophia_Imp_ProjectWorkBook_02_18_2011 3" xfId="14126" xr:uid="{00000000-0005-0000-0000-0000D4360000}"/>
    <cellStyle name="_20061117Holux_ProgramWorkBook_Re-engineering SLM_PM_Workbook_030810_Sophia_Imp_ProjectWorkBook_02_18_2011_Steps of Doneness" xfId="14127" xr:uid="{00000000-0005-0000-0000-0000D5360000}"/>
    <cellStyle name="_20061117Holux_ProgramWorkBook_Re-engineering SLM_PM_Workbook_030810_Steps of Doneness" xfId="14128" xr:uid="{00000000-0005-0000-0000-0000D6360000}"/>
    <cellStyle name="_20061117Holux_ProgramWorkBook_Re-engineering SLM_PM_Workbook_030810_t" xfId="14129" xr:uid="{00000000-0005-0000-0000-0000D7360000}"/>
    <cellStyle name="_20061117Holux_ProgramWorkBook_Re-engineering SLM_PM_Workbook_030810_t 2" xfId="14130" xr:uid="{00000000-0005-0000-0000-0000D8360000}"/>
    <cellStyle name="_20061117Holux_ProgramWorkBook_Re-engineering SLM_PM_Workbook_030810_t 2_Steps of Doneness" xfId="14131" xr:uid="{00000000-0005-0000-0000-0000D9360000}"/>
    <cellStyle name="_20061117Holux_ProgramWorkBook_Re-engineering SLM_PM_Workbook_030810_t 3" xfId="14132" xr:uid="{00000000-0005-0000-0000-0000DA360000}"/>
    <cellStyle name="_20061117Holux_ProgramWorkBook_Re-engineering SLM_PM_Workbook_030810_t_Steps of Doneness" xfId="14133" xr:uid="{00000000-0005-0000-0000-0000DB360000}"/>
    <cellStyle name="_20061117Holux_ProgramWorkBook_Scope and Deliverable Summary" xfId="14134" xr:uid="{00000000-0005-0000-0000-0000DC360000}"/>
    <cellStyle name="_20061117Holux_ProgramWorkBook_Scope and Deliverable Summary 2" xfId="14135" xr:uid="{00000000-0005-0000-0000-0000DD360000}"/>
    <cellStyle name="_20061117Holux_ProgramWorkBook_Scope and Deliverable Summary 2 2" xfId="14136" xr:uid="{00000000-0005-0000-0000-0000DE360000}"/>
    <cellStyle name="_20061117Holux_ProgramWorkBook_Scope and Deliverable Summary 2 2_Steps of Doneness" xfId="14137" xr:uid="{00000000-0005-0000-0000-0000DF360000}"/>
    <cellStyle name="_20061117Holux_ProgramWorkBook_Scope and Deliverable Summary 2 3" xfId="14138" xr:uid="{00000000-0005-0000-0000-0000E0360000}"/>
    <cellStyle name="_20061117Holux_ProgramWorkBook_Scope and Deliverable Summary 2_Steps of Doneness" xfId="14139" xr:uid="{00000000-0005-0000-0000-0000E1360000}"/>
    <cellStyle name="_20061117Holux_ProgramWorkBook_Scope and Deliverable Summary 3" xfId="14140" xr:uid="{00000000-0005-0000-0000-0000E2360000}"/>
    <cellStyle name="_20061117Holux_ProgramWorkBook_Scope and Deliverable Summary 3 2" xfId="14141" xr:uid="{00000000-0005-0000-0000-0000E3360000}"/>
    <cellStyle name="_20061117Holux_ProgramWorkBook_Scope and Deliverable Summary 3 2_Steps of Doneness" xfId="14142" xr:uid="{00000000-0005-0000-0000-0000E4360000}"/>
    <cellStyle name="_20061117Holux_ProgramWorkBook_Scope and Deliverable Summary 3 3" xfId="14143" xr:uid="{00000000-0005-0000-0000-0000E5360000}"/>
    <cellStyle name="_20061117Holux_ProgramWorkBook_Scope and Deliverable Summary 3_Steps of Doneness" xfId="14144" xr:uid="{00000000-0005-0000-0000-0000E6360000}"/>
    <cellStyle name="_20061117Holux_ProgramWorkBook_Scope and Deliverable Summary 4" xfId="14145" xr:uid="{00000000-0005-0000-0000-0000E7360000}"/>
    <cellStyle name="_20061117Holux_ProgramWorkBook_Scope and Deliverable Summary 4_Steps of Doneness" xfId="14146" xr:uid="{00000000-0005-0000-0000-0000E8360000}"/>
    <cellStyle name="_20061117Holux_ProgramWorkBook_Scope and Deliverable Summary 5" xfId="14147" xr:uid="{00000000-0005-0000-0000-0000E9360000}"/>
    <cellStyle name="_20061117Holux_ProgramWorkBook_Scope and Deliverable Summary 6" xfId="14148" xr:uid="{00000000-0005-0000-0000-0000EA360000}"/>
    <cellStyle name="_20061117Holux_ProgramWorkBook_Scope and Deliverable Summary_Commissioning System Implementation_Project Workbook_06_10_2011" xfId="14149" xr:uid="{00000000-0005-0000-0000-0000EB360000}"/>
    <cellStyle name="_20061117Holux_ProgramWorkBook_Scope and Deliverable Summary_Commissioning System Implementation_Project Workbook_06_10_2011 2" xfId="14150" xr:uid="{00000000-0005-0000-0000-0000EC360000}"/>
    <cellStyle name="_20061117Holux_ProgramWorkBook_Scope and Deliverable Summary_Commissioning System Implementation_Project Workbook_06_10_2011 2_Steps of Doneness" xfId="14151" xr:uid="{00000000-0005-0000-0000-0000ED360000}"/>
    <cellStyle name="_20061117Holux_ProgramWorkBook_Scope and Deliverable Summary_Commissioning System Implementation_Project Workbook_06_10_2011 3" xfId="14152" xr:uid="{00000000-0005-0000-0000-0000EE360000}"/>
    <cellStyle name="_20061117Holux_ProgramWorkBook_Scope and Deliverable Summary_Commissioning System Implementation_Project Workbook_06_10_2011_Steps of Doneness" xfId="14153" xr:uid="{00000000-0005-0000-0000-0000EF360000}"/>
    <cellStyle name="_20061117Holux_ProgramWorkBook_Scope and Deliverable Summary_FairPoint_CampReport" xfId="14154" xr:uid="{00000000-0005-0000-0000-0000F0360000}"/>
    <cellStyle name="_20061117Holux_ProgramWorkBook_Scope and Deliverable Summary_FairPoint_CampReport 2" xfId="14155" xr:uid="{00000000-0005-0000-0000-0000F1360000}"/>
    <cellStyle name="_20061117Holux_ProgramWorkBook_Scope and Deliverable Summary_FairPoint_CampReport 2_Steps of Doneness" xfId="14156" xr:uid="{00000000-0005-0000-0000-0000F2360000}"/>
    <cellStyle name="_20061117Holux_ProgramWorkBook_Scope and Deliverable Summary_FairPoint_CampReport 3" xfId="14157" xr:uid="{00000000-0005-0000-0000-0000F3360000}"/>
    <cellStyle name="_20061117Holux_ProgramWorkBook_Scope and Deliverable Summary_FairPoint_CampReport_Steps of Doneness" xfId="14158" xr:uid="{00000000-0005-0000-0000-0000F4360000}"/>
    <cellStyle name="_20061117Holux_ProgramWorkBook_Scope and Deliverable Summary_FairPoint_FP comTechOps_ProgramWorkbook" xfId="14159" xr:uid="{00000000-0005-0000-0000-0000F5360000}"/>
    <cellStyle name="_20061117Holux_ProgramWorkBook_Scope and Deliverable Summary_FairPoint_FP comTechOps_ProgramWorkbook 2" xfId="14160" xr:uid="{00000000-0005-0000-0000-0000F6360000}"/>
    <cellStyle name="_20061117Holux_ProgramWorkBook_Scope and Deliverable Summary_FairPoint_FP comTechOps_ProgramWorkbook 2_Steps of Doneness" xfId="14161" xr:uid="{00000000-0005-0000-0000-0000F7360000}"/>
    <cellStyle name="_20061117Holux_ProgramWorkBook_Scope and Deliverable Summary_FairPoint_FP comTechOps_ProgramWorkbook 3" xfId="14162" xr:uid="{00000000-0005-0000-0000-0000F8360000}"/>
    <cellStyle name="_20061117Holux_ProgramWorkBook_Scope and Deliverable Summary_FairPoint_FP comTechOps_ProgramWorkbook_sachin" xfId="14163" xr:uid="{00000000-0005-0000-0000-0000F9360000}"/>
    <cellStyle name="_20061117Holux_ProgramWorkBook_Scope and Deliverable Summary_FairPoint_FP comTechOps_ProgramWorkbook_sachin 2" xfId="14164" xr:uid="{00000000-0005-0000-0000-0000FA360000}"/>
    <cellStyle name="_20061117Holux_ProgramWorkBook_Scope and Deliverable Summary_FairPoint_FP comTechOps_ProgramWorkbook_sachin 2_Steps of Doneness" xfId="14165" xr:uid="{00000000-0005-0000-0000-0000FB360000}"/>
    <cellStyle name="_20061117Holux_ProgramWorkBook_Scope and Deliverable Summary_FairPoint_FP comTechOps_ProgramWorkbook_sachin 3" xfId="14166" xr:uid="{00000000-0005-0000-0000-0000FC360000}"/>
    <cellStyle name="_20061117Holux_ProgramWorkBook_Scope and Deliverable Summary_FairPoint_FP comTechOps_ProgramWorkbook_sachin_Steps of Doneness" xfId="14167" xr:uid="{00000000-0005-0000-0000-0000FD360000}"/>
    <cellStyle name="_20061117Holux_ProgramWorkBook_Scope and Deliverable Summary_FairPoint_FP comTechOps_ProgramWorkbook_sachin_v1" xfId="14168" xr:uid="{00000000-0005-0000-0000-0000FE360000}"/>
    <cellStyle name="_20061117Holux_ProgramWorkBook_Scope and Deliverable Summary_FairPoint_FP comTechOps_ProgramWorkbook_sachin_v1 2" xfId="14169" xr:uid="{00000000-0005-0000-0000-0000FF360000}"/>
    <cellStyle name="_20061117Holux_ProgramWorkBook_Scope and Deliverable Summary_FairPoint_FP comTechOps_ProgramWorkbook_sachin_v1 2_Steps of Doneness" xfId="14170" xr:uid="{00000000-0005-0000-0000-000000370000}"/>
    <cellStyle name="_20061117Holux_ProgramWorkBook_Scope and Deliverable Summary_FairPoint_FP comTechOps_ProgramWorkbook_sachin_v1 3" xfId="14171" xr:uid="{00000000-0005-0000-0000-000001370000}"/>
    <cellStyle name="_20061117Holux_ProgramWorkBook_Scope and Deliverable Summary_FairPoint_FP comTechOps_ProgramWorkbook_sachin_v1_Steps of Doneness" xfId="14172" xr:uid="{00000000-0005-0000-0000-000002370000}"/>
    <cellStyle name="_20061117Holux_ProgramWorkBook_Scope and Deliverable Summary_FairPoint_FP comTechOps_ProgramWorkbook_Steps of Doneness" xfId="14173" xr:uid="{00000000-0005-0000-0000-000003370000}"/>
    <cellStyle name="_20061117Holux_ProgramWorkBook_Scope and Deliverable Summary_FP_CAMP&amp;ITReporting_Maintenance_Dashboard" xfId="14174" xr:uid="{00000000-0005-0000-0000-000004370000}"/>
    <cellStyle name="_20061117Holux_ProgramWorkBook_Scope and Deliverable Summary_FP_CAMP&amp;ITReporting_Maintenance_Dashboard 2" xfId="14175" xr:uid="{00000000-0005-0000-0000-000005370000}"/>
    <cellStyle name="_20061117Holux_ProgramWorkBook_Scope and Deliverable Summary_FP_CAMP&amp;ITReporting_Maintenance_Dashboard 2_Steps of Doneness" xfId="14176" xr:uid="{00000000-0005-0000-0000-000006370000}"/>
    <cellStyle name="_20061117Holux_ProgramWorkBook_Scope and Deliverable Summary_FP_CAMP&amp;ITReporting_Maintenance_Dashboard 3" xfId="14177" xr:uid="{00000000-0005-0000-0000-000007370000}"/>
    <cellStyle name="_20061117Holux_ProgramWorkBook_Scope and Deliverable Summary_FP_CAMP&amp;ITReporting_Maintenance_Dashboard_Steps of Doneness" xfId="14178" xr:uid="{00000000-0005-0000-0000-000008370000}"/>
    <cellStyle name="_20061117Holux_ProgramWorkBook_Scope and Deliverable Summary_FP_CAMPITReporting_Maintenance_Dashboard" xfId="14179" xr:uid="{00000000-0005-0000-0000-000009370000}"/>
    <cellStyle name="_20061117Holux_ProgramWorkBook_Scope and Deliverable Summary_FP_CAMPITReporting_Maintenance_Dashboard 2" xfId="14180" xr:uid="{00000000-0005-0000-0000-00000A370000}"/>
    <cellStyle name="_20061117Holux_ProgramWorkBook_Scope and Deliverable Summary_FP_CAMPITReporting_Maintenance_Dashboard 2_Steps of Doneness" xfId="14181" xr:uid="{00000000-0005-0000-0000-00000B370000}"/>
    <cellStyle name="_20061117Holux_ProgramWorkBook_Scope and Deliverable Summary_FP_CAMPITReporting_Maintenance_Dashboard 3" xfId="14182" xr:uid="{00000000-0005-0000-0000-00000C370000}"/>
    <cellStyle name="_20061117Holux_ProgramWorkBook_Scope and Deliverable Summary_FP_CAMPITReporting_Maintenance_Dashboard_Steps of Doneness" xfId="14183" xr:uid="{00000000-0005-0000-0000-00000D370000}"/>
    <cellStyle name="_20061117Holux_ProgramWorkBook_Scope and Deliverable Summary_FP_Commissions_Req_Dn_ProgramWorkBook_10-Dec-2010" xfId="14184" xr:uid="{00000000-0005-0000-0000-00000E370000}"/>
    <cellStyle name="_20061117Holux_ProgramWorkBook_Scope and Deliverable Summary_FP_Commissions_Req_Dn_ProgramWorkBook_10-Dec-2010 2" xfId="14185" xr:uid="{00000000-0005-0000-0000-00000F370000}"/>
    <cellStyle name="_20061117Holux_ProgramWorkBook_Scope and Deliverable Summary_FP_Commissions_Req_Dn_ProgramWorkBook_10-Dec-2010 2_Steps of Doneness" xfId="14186" xr:uid="{00000000-0005-0000-0000-000010370000}"/>
    <cellStyle name="_20061117Holux_ProgramWorkBook_Scope and Deliverable Summary_FP_Commissions_Req_Dn_ProgramWorkBook_10-Dec-2010 3" xfId="14187" xr:uid="{00000000-0005-0000-0000-000011370000}"/>
    <cellStyle name="_20061117Holux_ProgramWorkBook_Scope and Deliverable Summary_FP_Commissions_Req_Dn_ProgramWorkBook_10-Dec-2010_Steps of Doneness" xfId="14188" xr:uid="{00000000-0005-0000-0000-000012370000}"/>
    <cellStyle name="_20061117Holux_ProgramWorkBook_Scope and Deliverable Summary_FP_DW_Impl_ProgramWorkBook_07-Jan-2011" xfId="14189" xr:uid="{00000000-0005-0000-0000-000013370000}"/>
    <cellStyle name="_20061117Holux_ProgramWorkBook_Scope and Deliverable Summary_FP_DW_Impl_ProgramWorkBook_07-Jan-2011 2" xfId="14190" xr:uid="{00000000-0005-0000-0000-000014370000}"/>
    <cellStyle name="_20061117Holux_ProgramWorkBook_Scope and Deliverable Summary_FP_DW_Impl_ProgramWorkBook_07-Jan-2011 2 2" xfId="14191" xr:uid="{00000000-0005-0000-0000-000015370000}"/>
    <cellStyle name="_20061117Holux_ProgramWorkBook_Scope and Deliverable Summary_FP_DW_Impl_ProgramWorkBook_07-Jan-2011 2 2_Steps of Doneness" xfId="14192" xr:uid="{00000000-0005-0000-0000-000016370000}"/>
    <cellStyle name="_20061117Holux_ProgramWorkBook_Scope and Deliverable Summary_FP_DW_Impl_ProgramWorkBook_07-Jan-2011 2 3" xfId="14193" xr:uid="{00000000-0005-0000-0000-000017370000}"/>
    <cellStyle name="_20061117Holux_ProgramWorkBook_Scope and Deliverable Summary_FP_DW_Impl_ProgramWorkBook_07-Jan-2011 2_Steps of Doneness" xfId="14194" xr:uid="{00000000-0005-0000-0000-000018370000}"/>
    <cellStyle name="_20061117Holux_ProgramWorkBook_Scope and Deliverable Summary_FP_DW_Impl_ProgramWorkBook_07-Jan-2011 3" xfId="14195" xr:uid="{00000000-0005-0000-0000-000019370000}"/>
    <cellStyle name="_20061117Holux_ProgramWorkBook_Scope and Deliverable Summary_FP_DW_Impl_ProgramWorkBook_07-Jan-2011 3_Steps of Doneness" xfId="14196" xr:uid="{00000000-0005-0000-0000-00001A370000}"/>
    <cellStyle name="_20061117Holux_ProgramWorkBook_Scope and Deliverable Summary_FP_DW_Impl_ProgramWorkBook_07-Jan-2011 4" xfId="14197" xr:uid="{00000000-0005-0000-0000-00001B370000}"/>
    <cellStyle name="_20061117Holux_ProgramWorkBook_Scope and Deliverable Summary_FP_DW_Impl_ProgramWorkBook_07-Jan-2011_Steps of Doneness" xfId="14198" xr:uid="{00000000-0005-0000-0000-00001C370000}"/>
    <cellStyle name="_20061117Holux_ProgramWorkBook_Scope and Deliverable Summary_FP_DW_Impl_ProgramWorkBook_11-Feb-2011" xfId="14199" xr:uid="{00000000-0005-0000-0000-00001D370000}"/>
    <cellStyle name="_20061117Holux_ProgramWorkBook_Scope and Deliverable Summary_FP_DW_Impl_ProgramWorkBook_11-Feb-2011 2" xfId="14200" xr:uid="{00000000-0005-0000-0000-00001E370000}"/>
    <cellStyle name="_20061117Holux_ProgramWorkBook_Scope and Deliverable Summary_FP_DW_Impl_ProgramWorkBook_11-Feb-2011 2_Steps of Doneness" xfId="14201" xr:uid="{00000000-0005-0000-0000-00001F370000}"/>
    <cellStyle name="_20061117Holux_ProgramWorkBook_Scope and Deliverable Summary_FP_DW_Impl_ProgramWorkBook_11-Feb-2011 3" xfId="14202" xr:uid="{00000000-0005-0000-0000-000020370000}"/>
    <cellStyle name="_20061117Holux_ProgramWorkBook_Scope and Deliverable Summary_FP_DW_Impl_ProgramWorkBook_11-Feb-2011_Steps of Doneness" xfId="14203" xr:uid="{00000000-0005-0000-0000-000021370000}"/>
    <cellStyle name="_20061117Holux_ProgramWorkBook_Scope and Deliverable Summary_FP_DW_Impl_ProgramWorkBook_18-Feb-2011 - Working" xfId="14204" xr:uid="{00000000-0005-0000-0000-000022370000}"/>
    <cellStyle name="_20061117Holux_ProgramWorkBook_Scope and Deliverable Summary_FP_DW_Impl_ProgramWorkBook_18-Feb-2011 - Working 2" xfId="14205" xr:uid="{00000000-0005-0000-0000-000023370000}"/>
    <cellStyle name="_20061117Holux_ProgramWorkBook_Scope and Deliverable Summary_FP_DW_Impl_ProgramWorkBook_18-Feb-2011 - Working 2_Steps of Doneness" xfId="14206" xr:uid="{00000000-0005-0000-0000-000024370000}"/>
    <cellStyle name="_20061117Holux_ProgramWorkBook_Scope and Deliverable Summary_FP_DW_Impl_ProgramWorkBook_18-Feb-2011 - Working 3" xfId="14207" xr:uid="{00000000-0005-0000-0000-000025370000}"/>
    <cellStyle name="_20061117Holux_ProgramWorkBook_Scope and Deliverable Summary_FP_DW_Impl_ProgramWorkBook_18-Feb-2011 - Working_Steps of Doneness" xfId="14208" xr:uid="{00000000-0005-0000-0000-000026370000}"/>
    <cellStyle name="_20061117Holux_ProgramWorkBook_Scope and Deliverable Summary_FP_EnterprisePortal_ProgramWorkbook" xfId="14209" xr:uid="{00000000-0005-0000-0000-000027370000}"/>
    <cellStyle name="_20061117Holux_ProgramWorkBook_Scope and Deliverable Summary_FP_EnterprisePortal_ProgramWorkbook 2" xfId="14210" xr:uid="{00000000-0005-0000-0000-000028370000}"/>
    <cellStyle name="_20061117Holux_ProgramWorkBook_Scope and Deliverable Summary_FP_EnterprisePortal_ProgramWorkbook 2_Steps of Doneness" xfId="14211" xr:uid="{00000000-0005-0000-0000-000029370000}"/>
    <cellStyle name="_20061117Holux_ProgramWorkBook_Scope and Deliverable Summary_FP_EnterprisePortal_ProgramWorkbook 3" xfId="14212" xr:uid="{00000000-0005-0000-0000-00002A370000}"/>
    <cellStyle name="_20061117Holux_ProgramWorkBook_Scope and Deliverable Summary_FP_EnterprisePortal_ProgramWorkbook_Steps of Doneness" xfId="14213" xr:uid="{00000000-0005-0000-0000-00002B370000}"/>
    <cellStyle name="_20061117Holux_ProgramWorkBook_Scope and Deliverable Summary_FP_SAP_MLP v2" xfId="14214" xr:uid="{00000000-0005-0000-0000-00002C370000}"/>
    <cellStyle name="_20061117Holux_ProgramWorkBook_Scope and Deliverable Summary_FP_SAP_MLP v2 2" xfId="14215" xr:uid="{00000000-0005-0000-0000-00002D370000}"/>
    <cellStyle name="_20061117Holux_ProgramWorkBook_Scope and Deliverable Summary_FP_SAP_MLP v2 2_Steps of Doneness" xfId="14216" xr:uid="{00000000-0005-0000-0000-00002E370000}"/>
    <cellStyle name="_20061117Holux_ProgramWorkBook_Scope and Deliverable Summary_FP_SAP_MLP v2 3" xfId="14217" xr:uid="{00000000-0005-0000-0000-00002F370000}"/>
    <cellStyle name="_20061117Holux_ProgramWorkBook_Scope and Deliverable Summary_FP_SAP_MLP v2_Steps of Doneness" xfId="14218" xr:uid="{00000000-0005-0000-0000-000030370000}"/>
    <cellStyle name="_20061117Holux_ProgramWorkBook_Scope and Deliverable Summary_KeyDecisions" xfId="14219" xr:uid="{00000000-0005-0000-0000-000031370000}"/>
    <cellStyle name="_20061117Holux_ProgramWorkBook_Scope and Deliverable Summary_KeyDecisions 2" xfId="14220" xr:uid="{00000000-0005-0000-0000-000032370000}"/>
    <cellStyle name="_20061117Holux_ProgramWorkBook_Scope and Deliverable Summary_KeyDecisions 2_Steps of Doneness" xfId="14221" xr:uid="{00000000-0005-0000-0000-000033370000}"/>
    <cellStyle name="_20061117Holux_ProgramWorkBook_Scope and Deliverable Summary_KeyDecisions 3" xfId="14222" xr:uid="{00000000-0005-0000-0000-000034370000}"/>
    <cellStyle name="_20061117Holux_ProgramWorkBook_Scope and Deliverable Summary_KeyDecisions_Steps of Doneness" xfId="14223" xr:uid="{00000000-0005-0000-0000-000035370000}"/>
    <cellStyle name="_20061117Holux_ProgramWorkBook_Scope and Deliverable Summary_Sophia_Imp_ProjectWorkBook_02_18_2011" xfId="14224" xr:uid="{00000000-0005-0000-0000-000036370000}"/>
    <cellStyle name="_20061117Holux_ProgramWorkBook_Scope and Deliverable Summary_Sophia_Imp_ProjectWorkBook_02_18_2011 2" xfId="14225" xr:uid="{00000000-0005-0000-0000-000037370000}"/>
    <cellStyle name="_20061117Holux_ProgramWorkBook_Scope and Deliverable Summary_Sophia_Imp_ProjectWorkBook_02_18_2011 2_Steps of Doneness" xfId="14226" xr:uid="{00000000-0005-0000-0000-000038370000}"/>
    <cellStyle name="_20061117Holux_ProgramWorkBook_Scope and Deliverable Summary_Sophia_Imp_ProjectWorkBook_02_18_2011 3" xfId="14227" xr:uid="{00000000-0005-0000-0000-000039370000}"/>
    <cellStyle name="_20061117Holux_ProgramWorkBook_Scope and Deliverable Summary_Sophia_Imp_ProjectWorkBook_02_18_2011_Steps of Doneness" xfId="14228" xr:uid="{00000000-0005-0000-0000-00003A370000}"/>
    <cellStyle name="_20061117Holux_ProgramWorkBook_Scope and Deliverable Summary_Steps of Doneness" xfId="14229" xr:uid="{00000000-0005-0000-0000-00003B370000}"/>
    <cellStyle name="_20061117Holux_ProgramWorkBook_Scope and Deliverable Summary_t" xfId="14230" xr:uid="{00000000-0005-0000-0000-00003C370000}"/>
    <cellStyle name="_20061117Holux_ProgramWorkBook_Scope and Deliverable Summary_t 2" xfId="14231" xr:uid="{00000000-0005-0000-0000-00003D370000}"/>
    <cellStyle name="_20061117Holux_ProgramWorkBook_Scope and Deliverable Summary_t 2_Steps of Doneness" xfId="14232" xr:uid="{00000000-0005-0000-0000-00003E370000}"/>
    <cellStyle name="_20061117Holux_ProgramWorkBook_Scope and Deliverable Summary_t 3" xfId="14233" xr:uid="{00000000-0005-0000-0000-00003F370000}"/>
    <cellStyle name="_20061117Holux_ProgramWorkBook_Scope and Deliverable Summary_t_Steps of Doneness" xfId="14234" xr:uid="{00000000-0005-0000-0000-000040370000}"/>
    <cellStyle name="_20061117Holux_ProgramWorkBook_Scope and Deliverables Summary_0320" xfId="14235" xr:uid="{00000000-0005-0000-0000-000041370000}"/>
    <cellStyle name="_20061117Holux_ProgramWorkBook_Scope and Deliverables Summary_0320 2" xfId="14236" xr:uid="{00000000-0005-0000-0000-000042370000}"/>
    <cellStyle name="_20061117Holux_ProgramWorkBook_Scope and Deliverables Summary_0320 2 2" xfId="14237" xr:uid="{00000000-0005-0000-0000-000043370000}"/>
    <cellStyle name="_20061117Holux_ProgramWorkBook_Scope and Deliverables Summary_0320 2 2_Steps of Doneness" xfId="14238" xr:uid="{00000000-0005-0000-0000-000044370000}"/>
    <cellStyle name="_20061117Holux_ProgramWorkBook_Scope and Deliverables Summary_0320 2 3" xfId="14239" xr:uid="{00000000-0005-0000-0000-000045370000}"/>
    <cellStyle name="_20061117Holux_ProgramWorkBook_Scope and Deliverables Summary_0320 2_Steps of Doneness" xfId="14240" xr:uid="{00000000-0005-0000-0000-000046370000}"/>
    <cellStyle name="_20061117Holux_ProgramWorkBook_Scope and Deliverables Summary_0320 3" xfId="14241" xr:uid="{00000000-0005-0000-0000-000047370000}"/>
    <cellStyle name="_20061117Holux_ProgramWorkBook_Scope and Deliverables Summary_0320 3 2" xfId="14242" xr:uid="{00000000-0005-0000-0000-000048370000}"/>
    <cellStyle name="_20061117Holux_ProgramWorkBook_Scope and Deliverables Summary_0320 3 2_Steps of Doneness" xfId="14243" xr:uid="{00000000-0005-0000-0000-000049370000}"/>
    <cellStyle name="_20061117Holux_ProgramWorkBook_Scope and Deliverables Summary_0320 3 3" xfId="14244" xr:uid="{00000000-0005-0000-0000-00004A370000}"/>
    <cellStyle name="_20061117Holux_ProgramWorkBook_Scope and Deliverables Summary_0320 3_Steps of Doneness" xfId="14245" xr:uid="{00000000-0005-0000-0000-00004B370000}"/>
    <cellStyle name="_20061117Holux_ProgramWorkBook_Scope and Deliverables Summary_0320 4" xfId="14246" xr:uid="{00000000-0005-0000-0000-00004C370000}"/>
    <cellStyle name="_20061117Holux_ProgramWorkBook_Scope and Deliverables Summary_0320 4_Steps of Doneness" xfId="14247" xr:uid="{00000000-0005-0000-0000-00004D370000}"/>
    <cellStyle name="_20061117Holux_ProgramWorkBook_Scope and Deliverables Summary_0320 5" xfId="14248" xr:uid="{00000000-0005-0000-0000-00004E370000}"/>
    <cellStyle name="_20061117Holux_ProgramWorkBook_Scope and Deliverables Summary_0320 6" xfId="14249" xr:uid="{00000000-0005-0000-0000-00004F370000}"/>
    <cellStyle name="_20061117Holux_ProgramWorkBook_Scope and Deliverables Summary_0320_Commissioning System Implementation_Project Workbook_06_10_2011" xfId="14250" xr:uid="{00000000-0005-0000-0000-000050370000}"/>
    <cellStyle name="_20061117Holux_ProgramWorkBook_Scope and Deliverables Summary_0320_Commissioning System Implementation_Project Workbook_06_10_2011 2" xfId="14251" xr:uid="{00000000-0005-0000-0000-000051370000}"/>
    <cellStyle name="_20061117Holux_ProgramWorkBook_Scope and Deliverables Summary_0320_Commissioning System Implementation_Project Workbook_06_10_2011 2_Steps of Doneness" xfId="14252" xr:uid="{00000000-0005-0000-0000-000052370000}"/>
    <cellStyle name="_20061117Holux_ProgramWorkBook_Scope and Deliverables Summary_0320_Commissioning System Implementation_Project Workbook_06_10_2011 3" xfId="14253" xr:uid="{00000000-0005-0000-0000-000053370000}"/>
    <cellStyle name="_20061117Holux_ProgramWorkBook_Scope and Deliverables Summary_0320_Commissioning System Implementation_Project Workbook_06_10_2011_Steps of Doneness" xfId="14254" xr:uid="{00000000-0005-0000-0000-000054370000}"/>
    <cellStyle name="_20061117Holux_ProgramWorkBook_Scope and Deliverables Summary_0320_FairPoint_CampReport" xfId="14255" xr:uid="{00000000-0005-0000-0000-000055370000}"/>
    <cellStyle name="_20061117Holux_ProgramWorkBook_Scope and Deliverables Summary_0320_FairPoint_CampReport 2" xfId="14256" xr:uid="{00000000-0005-0000-0000-000056370000}"/>
    <cellStyle name="_20061117Holux_ProgramWorkBook_Scope and Deliverables Summary_0320_FairPoint_CampReport 2_Steps of Doneness" xfId="14257" xr:uid="{00000000-0005-0000-0000-000057370000}"/>
    <cellStyle name="_20061117Holux_ProgramWorkBook_Scope and Deliverables Summary_0320_FairPoint_CampReport 3" xfId="14258" xr:uid="{00000000-0005-0000-0000-000058370000}"/>
    <cellStyle name="_20061117Holux_ProgramWorkBook_Scope and Deliverables Summary_0320_FairPoint_CampReport_Steps of Doneness" xfId="14259" xr:uid="{00000000-0005-0000-0000-000059370000}"/>
    <cellStyle name="_20061117Holux_ProgramWorkBook_Scope and Deliverables Summary_0320_FairPoint_FP comTechOps_ProgramWorkbook" xfId="14260" xr:uid="{00000000-0005-0000-0000-00005A370000}"/>
    <cellStyle name="_20061117Holux_ProgramWorkBook_Scope and Deliverables Summary_0320_FairPoint_FP comTechOps_ProgramWorkbook 2" xfId="14261" xr:uid="{00000000-0005-0000-0000-00005B370000}"/>
    <cellStyle name="_20061117Holux_ProgramWorkBook_Scope and Deliverables Summary_0320_FairPoint_FP comTechOps_ProgramWorkbook 2_Steps of Doneness" xfId="14262" xr:uid="{00000000-0005-0000-0000-00005C370000}"/>
    <cellStyle name="_20061117Holux_ProgramWorkBook_Scope and Deliverables Summary_0320_FairPoint_FP comTechOps_ProgramWorkbook 3" xfId="14263" xr:uid="{00000000-0005-0000-0000-00005D370000}"/>
    <cellStyle name="_20061117Holux_ProgramWorkBook_Scope and Deliverables Summary_0320_FairPoint_FP comTechOps_ProgramWorkbook_sachin" xfId="14264" xr:uid="{00000000-0005-0000-0000-00005E370000}"/>
    <cellStyle name="_20061117Holux_ProgramWorkBook_Scope and Deliverables Summary_0320_FairPoint_FP comTechOps_ProgramWorkbook_sachin 2" xfId="14265" xr:uid="{00000000-0005-0000-0000-00005F370000}"/>
    <cellStyle name="_20061117Holux_ProgramWorkBook_Scope and Deliverables Summary_0320_FairPoint_FP comTechOps_ProgramWorkbook_sachin 2_Steps of Doneness" xfId="14266" xr:uid="{00000000-0005-0000-0000-000060370000}"/>
    <cellStyle name="_20061117Holux_ProgramWorkBook_Scope and Deliverables Summary_0320_FairPoint_FP comTechOps_ProgramWorkbook_sachin 3" xfId="14267" xr:uid="{00000000-0005-0000-0000-000061370000}"/>
    <cellStyle name="_20061117Holux_ProgramWorkBook_Scope and Deliverables Summary_0320_FairPoint_FP comTechOps_ProgramWorkbook_sachin_Steps of Doneness" xfId="14268" xr:uid="{00000000-0005-0000-0000-000062370000}"/>
    <cellStyle name="_20061117Holux_ProgramWorkBook_Scope and Deliverables Summary_0320_FairPoint_FP comTechOps_ProgramWorkbook_sachin_v1" xfId="14269" xr:uid="{00000000-0005-0000-0000-000063370000}"/>
    <cellStyle name="_20061117Holux_ProgramWorkBook_Scope and Deliverables Summary_0320_FairPoint_FP comTechOps_ProgramWorkbook_sachin_v1 2" xfId="14270" xr:uid="{00000000-0005-0000-0000-000064370000}"/>
    <cellStyle name="_20061117Holux_ProgramWorkBook_Scope and Deliverables Summary_0320_FairPoint_FP comTechOps_ProgramWorkbook_sachin_v1 2_Steps of Doneness" xfId="14271" xr:uid="{00000000-0005-0000-0000-000065370000}"/>
    <cellStyle name="_20061117Holux_ProgramWorkBook_Scope and Deliverables Summary_0320_FairPoint_FP comTechOps_ProgramWorkbook_sachin_v1 3" xfId="14272" xr:uid="{00000000-0005-0000-0000-000066370000}"/>
    <cellStyle name="_20061117Holux_ProgramWorkBook_Scope and Deliverables Summary_0320_FairPoint_FP comTechOps_ProgramWorkbook_sachin_v1_Steps of Doneness" xfId="14273" xr:uid="{00000000-0005-0000-0000-000067370000}"/>
    <cellStyle name="_20061117Holux_ProgramWorkBook_Scope and Deliverables Summary_0320_FairPoint_FP comTechOps_ProgramWorkbook_Steps of Doneness" xfId="14274" xr:uid="{00000000-0005-0000-0000-000068370000}"/>
    <cellStyle name="_20061117Holux_ProgramWorkBook_Scope and Deliverables Summary_0320_FP_CAMP&amp;ITReporting_Maintenance_Dashboard" xfId="14275" xr:uid="{00000000-0005-0000-0000-000069370000}"/>
    <cellStyle name="_20061117Holux_ProgramWorkBook_Scope and Deliverables Summary_0320_FP_CAMP&amp;ITReporting_Maintenance_Dashboard 2" xfId="14276" xr:uid="{00000000-0005-0000-0000-00006A370000}"/>
    <cellStyle name="_20061117Holux_ProgramWorkBook_Scope and Deliverables Summary_0320_FP_CAMP&amp;ITReporting_Maintenance_Dashboard 2_Steps of Doneness" xfId="14277" xr:uid="{00000000-0005-0000-0000-00006B370000}"/>
    <cellStyle name="_20061117Holux_ProgramWorkBook_Scope and Deliverables Summary_0320_FP_CAMP&amp;ITReporting_Maintenance_Dashboard 3" xfId="14278" xr:uid="{00000000-0005-0000-0000-00006C370000}"/>
    <cellStyle name="_20061117Holux_ProgramWorkBook_Scope and Deliverables Summary_0320_FP_CAMP&amp;ITReporting_Maintenance_Dashboard_Steps of Doneness" xfId="14279" xr:uid="{00000000-0005-0000-0000-00006D370000}"/>
    <cellStyle name="_20061117Holux_ProgramWorkBook_Scope and Deliverables Summary_0320_FP_CAMPITReporting_Maintenance_Dashboard" xfId="14280" xr:uid="{00000000-0005-0000-0000-00006E370000}"/>
    <cellStyle name="_20061117Holux_ProgramWorkBook_Scope and Deliverables Summary_0320_FP_CAMPITReporting_Maintenance_Dashboard 2" xfId="14281" xr:uid="{00000000-0005-0000-0000-00006F370000}"/>
    <cellStyle name="_20061117Holux_ProgramWorkBook_Scope and Deliverables Summary_0320_FP_CAMPITReporting_Maintenance_Dashboard 2_Steps of Doneness" xfId="14282" xr:uid="{00000000-0005-0000-0000-000070370000}"/>
    <cellStyle name="_20061117Holux_ProgramWorkBook_Scope and Deliverables Summary_0320_FP_CAMPITReporting_Maintenance_Dashboard 3" xfId="14283" xr:uid="{00000000-0005-0000-0000-000071370000}"/>
    <cellStyle name="_20061117Holux_ProgramWorkBook_Scope and Deliverables Summary_0320_FP_CAMPITReporting_Maintenance_Dashboard_Steps of Doneness" xfId="14284" xr:uid="{00000000-0005-0000-0000-000072370000}"/>
    <cellStyle name="_20061117Holux_ProgramWorkBook_Scope and Deliverables Summary_0320_FP_Commissions_Req_Dn_ProgramWorkBook_10-Dec-2010" xfId="14285" xr:uid="{00000000-0005-0000-0000-000073370000}"/>
    <cellStyle name="_20061117Holux_ProgramWorkBook_Scope and Deliverables Summary_0320_FP_Commissions_Req_Dn_ProgramWorkBook_10-Dec-2010 2" xfId="14286" xr:uid="{00000000-0005-0000-0000-000074370000}"/>
    <cellStyle name="_20061117Holux_ProgramWorkBook_Scope and Deliverables Summary_0320_FP_Commissions_Req_Dn_ProgramWorkBook_10-Dec-2010 2_Steps of Doneness" xfId="14287" xr:uid="{00000000-0005-0000-0000-000075370000}"/>
    <cellStyle name="_20061117Holux_ProgramWorkBook_Scope and Deliverables Summary_0320_FP_Commissions_Req_Dn_ProgramWorkBook_10-Dec-2010 3" xfId="14288" xr:uid="{00000000-0005-0000-0000-000076370000}"/>
    <cellStyle name="_20061117Holux_ProgramWorkBook_Scope and Deliverables Summary_0320_FP_Commissions_Req_Dn_ProgramWorkBook_10-Dec-2010_Steps of Doneness" xfId="14289" xr:uid="{00000000-0005-0000-0000-000077370000}"/>
    <cellStyle name="_20061117Holux_ProgramWorkBook_Scope and Deliverables Summary_0320_FP_DW_Impl_ProgramWorkBook_07-Jan-2011" xfId="14290" xr:uid="{00000000-0005-0000-0000-000078370000}"/>
    <cellStyle name="_20061117Holux_ProgramWorkBook_Scope and Deliverables Summary_0320_FP_DW_Impl_ProgramWorkBook_07-Jan-2011 2" xfId="14291" xr:uid="{00000000-0005-0000-0000-000079370000}"/>
    <cellStyle name="_20061117Holux_ProgramWorkBook_Scope and Deliverables Summary_0320_FP_DW_Impl_ProgramWorkBook_07-Jan-2011 2 2" xfId="14292" xr:uid="{00000000-0005-0000-0000-00007A370000}"/>
    <cellStyle name="_20061117Holux_ProgramWorkBook_Scope and Deliverables Summary_0320_FP_DW_Impl_ProgramWorkBook_07-Jan-2011 2 2_Steps of Doneness" xfId="14293" xr:uid="{00000000-0005-0000-0000-00007B370000}"/>
    <cellStyle name="_20061117Holux_ProgramWorkBook_Scope and Deliverables Summary_0320_FP_DW_Impl_ProgramWorkBook_07-Jan-2011 2 3" xfId="14294" xr:uid="{00000000-0005-0000-0000-00007C370000}"/>
    <cellStyle name="_20061117Holux_ProgramWorkBook_Scope and Deliverables Summary_0320_FP_DW_Impl_ProgramWorkBook_07-Jan-2011 2_Steps of Doneness" xfId="14295" xr:uid="{00000000-0005-0000-0000-00007D370000}"/>
    <cellStyle name="_20061117Holux_ProgramWorkBook_Scope and Deliverables Summary_0320_FP_DW_Impl_ProgramWorkBook_07-Jan-2011 3" xfId="14296" xr:uid="{00000000-0005-0000-0000-00007E370000}"/>
    <cellStyle name="_20061117Holux_ProgramWorkBook_Scope and Deliverables Summary_0320_FP_DW_Impl_ProgramWorkBook_07-Jan-2011 3_Steps of Doneness" xfId="14297" xr:uid="{00000000-0005-0000-0000-00007F370000}"/>
    <cellStyle name="_20061117Holux_ProgramWorkBook_Scope and Deliverables Summary_0320_FP_DW_Impl_ProgramWorkBook_07-Jan-2011 4" xfId="14298" xr:uid="{00000000-0005-0000-0000-000080370000}"/>
    <cellStyle name="_20061117Holux_ProgramWorkBook_Scope and Deliverables Summary_0320_FP_DW_Impl_ProgramWorkBook_07-Jan-2011_Steps of Doneness" xfId="14299" xr:uid="{00000000-0005-0000-0000-000081370000}"/>
    <cellStyle name="_20061117Holux_ProgramWorkBook_Scope and Deliverables Summary_0320_FP_DW_Impl_ProgramWorkBook_11-Feb-2011" xfId="14300" xr:uid="{00000000-0005-0000-0000-000082370000}"/>
    <cellStyle name="_20061117Holux_ProgramWorkBook_Scope and Deliverables Summary_0320_FP_DW_Impl_ProgramWorkBook_11-Feb-2011 2" xfId="14301" xr:uid="{00000000-0005-0000-0000-000083370000}"/>
    <cellStyle name="_20061117Holux_ProgramWorkBook_Scope and Deliverables Summary_0320_FP_DW_Impl_ProgramWorkBook_11-Feb-2011 2_Steps of Doneness" xfId="14302" xr:uid="{00000000-0005-0000-0000-000084370000}"/>
    <cellStyle name="_20061117Holux_ProgramWorkBook_Scope and Deliverables Summary_0320_FP_DW_Impl_ProgramWorkBook_11-Feb-2011 3" xfId="14303" xr:uid="{00000000-0005-0000-0000-000085370000}"/>
    <cellStyle name="_20061117Holux_ProgramWorkBook_Scope and Deliverables Summary_0320_FP_DW_Impl_ProgramWorkBook_11-Feb-2011_Steps of Doneness" xfId="14304" xr:uid="{00000000-0005-0000-0000-000086370000}"/>
    <cellStyle name="_20061117Holux_ProgramWorkBook_Scope and Deliverables Summary_0320_FP_DW_Impl_ProgramWorkBook_18-Feb-2011 - Working" xfId="14305" xr:uid="{00000000-0005-0000-0000-000087370000}"/>
    <cellStyle name="_20061117Holux_ProgramWorkBook_Scope and Deliverables Summary_0320_FP_DW_Impl_ProgramWorkBook_18-Feb-2011 - Working 2" xfId="14306" xr:uid="{00000000-0005-0000-0000-000088370000}"/>
    <cellStyle name="_20061117Holux_ProgramWorkBook_Scope and Deliverables Summary_0320_FP_DW_Impl_ProgramWorkBook_18-Feb-2011 - Working 2_Steps of Doneness" xfId="14307" xr:uid="{00000000-0005-0000-0000-000089370000}"/>
    <cellStyle name="_20061117Holux_ProgramWorkBook_Scope and Deliverables Summary_0320_FP_DW_Impl_ProgramWorkBook_18-Feb-2011 - Working 3" xfId="14308" xr:uid="{00000000-0005-0000-0000-00008A370000}"/>
    <cellStyle name="_20061117Holux_ProgramWorkBook_Scope and Deliverables Summary_0320_FP_DW_Impl_ProgramWorkBook_18-Feb-2011 - Working_Steps of Doneness" xfId="14309" xr:uid="{00000000-0005-0000-0000-00008B370000}"/>
    <cellStyle name="_20061117Holux_ProgramWorkBook_Scope and Deliverables Summary_0320_FP_EnterprisePortal_ProgramWorkbook" xfId="14310" xr:uid="{00000000-0005-0000-0000-00008C370000}"/>
    <cellStyle name="_20061117Holux_ProgramWorkBook_Scope and Deliverables Summary_0320_FP_EnterprisePortal_ProgramWorkbook 2" xfId="14311" xr:uid="{00000000-0005-0000-0000-00008D370000}"/>
    <cellStyle name="_20061117Holux_ProgramWorkBook_Scope and Deliverables Summary_0320_FP_EnterprisePortal_ProgramWorkbook 2_Steps of Doneness" xfId="14312" xr:uid="{00000000-0005-0000-0000-00008E370000}"/>
    <cellStyle name="_20061117Holux_ProgramWorkBook_Scope and Deliverables Summary_0320_FP_EnterprisePortal_ProgramWorkbook 3" xfId="14313" xr:uid="{00000000-0005-0000-0000-00008F370000}"/>
    <cellStyle name="_20061117Holux_ProgramWorkBook_Scope and Deliverables Summary_0320_FP_EnterprisePortal_ProgramWorkbook_Steps of Doneness" xfId="14314" xr:uid="{00000000-0005-0000-0000-000090370000}"/>
    <cellStyle name="_20061117Holux_ProgramWorkBook_Scope and Deliverables Summary_0320_FP_SAP_MLP v2" xfId="14315" xr:uid="{00000000-0005-0000-0000-000091370000}"/>
    <cellStyle name="_20061117Holux_ProgramWorkBook_Scope and Deliverables Summary_0320_FP_SAP_MLP v2 2" xfId="14316" xr:uid="{00000000-0005-0000-0000-000092370000}"/>
    <cellStyle name="_20061117Holux_ProgramWorkBook_Scope and Deliverables Summary_0320_FP_SAP_MLP v2 2_Steps of Doneness" xfId="14317" xr:uid="{00000000-0005-0000-0000-000093370000}"/>
    <cellStyle name="_20061117Holux_ProgramWorkBook_Scope and Deliverables Summary_0320_FP_SAP_MLP v2 3" xfId="14318" xr:uid="{00000000-0005-0000-0000-000094370000}"/>
    <cellStyle name="_20061117Holux_ProgramWorkBook_Scope and Deliverables Summary_0320_FP_SAP_MLP v2_Steps of Doneness" xfId="14319" xr:uid="{00000000-0005-0000-0000-000095370000}"/>
    <cellStyle name="_20061117Holux_ProgramWorkBook_Scope and Deliverables Summary_0320_KeyDecisions" xfId="14320" xr:uid="{00000000-0005-0000-0000-000096370000}"/>
    <cellStyle name="_20061117Holux_ProgramWorkBook_Scope and Deliverables Summary_0320_KeyDecisions 2" xfId="14321" xr:uid="{00000000-0005-0000-0000-000097370000}"/>
    <cellStyle name="_20061117Holux_ProgramWorkBook_Scope and Deliverables Summary_0320_KeyDecisions 2_Steps of Doneness" xfId="14322" xr:uid="{00000000-0005-0000-0000-000098370000}"/>
    <cellStyle name="_20061117Holux_ProgramWorkBook_Scope and Deliverables Summary_0320_KeyDecisions 3" xfId="14323" xr:uid="{00000000-0005-0000-0000-000099370000}"/>
    <cellStyle name="_20061117Holux_ProgramWorkBook_Scope and Deliverables Summary_0320_KeyDecisions_Steps of Doneness" xfId="14324" xr:uid="{00000000-0005-0000-0000-00009A370000}"/>
    <cellStyle name="_20061117Holux_ProgramWorkBook_Scope and Deliverables Summary_0320_Sophia_Imp_ProjectWorkBook_02_18_2011" xfId="14325" xr:uid="{00000000-0005-0000-0000-00009B370000}"/>
    <cellStyle name="_20061117Holux_ProgramWorkBook_Scope and Deliverables Summary_0320_Sophia_Imp_ProjectWorkBook_02_18_2011 2" xfId="14326" xr:uid="{00000000-0005-0000-0000-00009C370000}"/>
    <cellStyle name="_20061117Holux_ProgramWorkBook_Scope and Deliverables Summary_0320_Sophia_Imp_ProjectWorkBook_02_18_2011 2_Steps of Doneness" xfId="14327" xr:uid="{00000000-0005-0000-0000-00009D370000}"/>
    <cellStyle name="_20061117Holux_ProgramWorkBook_Scope and Deliverables Summary_0320_Sophia_Imp_ProjectWorkBook_02_18_2011 3" xfId="14328" xr:uid="{00000000-0005-0000-0000-00009E370000}"/>
    <cellStyle name="_20061117Holux_ProgramWorkBook_Scope and Deliverables Summary_0320_Sophia_Imp_ProjectWorkBook_02_18_2011_Steps of Doneness" xfId="14329" xr:uid="{00000000-0005-0000-0000-00009F370000}"/>
    <cellStyle name="_20061117Holux_ProgramWorkBook_Scope and Deliverables Summary_0320_Steps of Doneness" xfId="14330" xr:uid="{00000000-0005-0000-0000-0000A0370000}"/>
    <cellStyle name="_20061117Holux_ProgramWorkBook_Scope and Deliverables Summary_0320_t" xfId="14331" xr:uid="{00000000-0005-0000-0000-0000A1370000}"/>
    <cellStyle name="_20061117Holux_ProgramWorkBook_Scope and Deliverables Summary_0320_t 2" xfId="14332" xr:uid="{00000000-0005-0000-0000-0000A2370000}"/>
    <cellStyle name="_20061117Holux_ProgramWorkBook_Scope and Deliverables Summary_0320_t 2_Steps of Doneness" xfId="14333" xr:uid="{00000000-0005-0000-0000-0000A3370000}"/>
    <cellStyle name="_20061117Holux_ProgramWorkBook_Scope and Deliverables Summary_0320_t 3" xfId="14334" xr:uid="{00000000-0005-0000-0000-0000A4370000}"/>
    <cellStyle name="_20061117Holux_ProgramWorkBook_Scope and Deliverables Summary_0320_t_Steps of Doneness" xfId="14335" xr:uid="{00000000-0005-0000-0000-0000A5370000}"/>
    <cellStyle name="_20061117Holux_ProgramWorkBook_Scope and Deliverables Summary_0323" xfId="14336" xr:uid="{00000000-0005-0000-0000-0000A6370000}"/>
    <cellStyle name="_20061117Holux_ProgramWorkBook_Scope and Deliverables Summary_0323 2" xfId="14337" xr:uid="{00000000-0005-0000-0000-0000A7370000}"/>
    <cellStyle name="_20061117Holux_ProgramWorkBook_Scope and Deliverables Summary_0323 2 2" xfId="14338" xr:uid="{00000000-0005-0000-0000-0000A8370000}"/>
    <cellStyle name="_20061117Holux_ProgramWorkBook_Scope and Deliverables Summary_0323 2 2_Steps of Doneness" xfId="14339" xr:uid="{00000000-0005-0000-0000-0000A9370000}"/>
    <cellStyle name="_20061117Holux_ProgramWorkBook_Scope and Deliverables Summary_0323 2 3" xfId="14340" xr:uid="{00000000-0005-0000-0000-0000AA370000}"/>
    <cellStyle name="_20061117Holux_ProgramWorkBook_Scope and Deliverables Summary_0323 2_Steps of Doneness" xfId="14341" xr:uid="{00000000-0005-0000-0000-0000AB370000}"/>
    <cellStyle name="_20061117Holux_ProgramWorkBook_Scope and Deliverables Summary_0323 3" xfId="14342" xr:uid="{00000000-0005-0000-0000-0000AC370000}"/>
    <cellStyle name="_20061117Holux_ProgramWorkBook_Scope and Deliverables Summary_0323 3 2" xfId="14343" xr:uid="{00000000-0005-0000-0000-0000AD370000}"/>
    <cellStyle name="_20061117Holux_ProgramWorkBook_Scope and Deliverables Summary_0323 3 2_Steps of Doneness" xfId="14344" xr:uid="{00000000-0005-0000-0000-0000AE370000}"/>
    <cellStyle name="_20061117Holux_ProgramWorkBook_Scope and Deliverables Summary_0323 3 3" xfId="14345" xr:uid="{00000000-0005-0000-0000-0000AF370000}"/>
    <cellStyle name="_20061117Holux_ProgramWorkBook_Scope and Deliverables Summary_0323 3_Steps of Doneness" xfId="14346" xr:uid="{00000000-0005-0000-0000-0000B0370000}"/>
    <cellStyle name="_20061117Holux_ProgramWorkBook_Scope and Deliverables Summary_0323 4" xfId="14347" xr:uid="{00000000-0005-0000-0000-0000B1370000}"/>
    <cellStyle name="_20061117Holux_ProgramWorkBook_Scope and Deliverables Summary_0323 4_Steps of Doneness" xfId="14348" xr:uid="{00000000-0005-0000-0000-0000B2370000}"/>
    <cellStyle name="_20061117Holux_ProgramWorkBook_Scope and Deliverables Summary_0323 5" xfId="14349" xr:uid="{00000000-0005-0000-0000-0000B3370000}"/>
    <cellStyle name="_20061117Holux_ProgramWorkBook_Scope and Deliverables Summary_0323 6" xfId="14350" xr:uid="{00000000-0005-0000-0000-0000B4370000}"/>
    <cellStyle name="_20061117Holux_ProgramWorkBook_Scope and Deliverables Summary_0323_Commissioning System Implementation_Project Workbook_06_10_2011" xfId="14351" xr:uid="{00000000-0005-0000-0000-0000B5370000}"/>
    <cellStyle name="_20061117Holux_ProgramWorkBook_Scope and Deliverables Summary_0323_Commissioning System Implementation_Project Workbook_06_10_2011 2" xfId="14352" xr:uid="{00000000-0005-0000-0000-0000B6370000}"/>
    <cellStyle name="_20061117Holux_ProgramWorkBook_Scope and Deliverables Summary_0323_Commissioning System Implementation_Project Workbook_06_10_2011 2_Steps of Doneness" xfId="14353" xr:uid="{00000000-0005-0000-0000-0000B7370000}"/>
    <cellStyle name="_20061117Holux_ProgramWorkBook_Scope and Deliverables Summary_0323_Commissioning System Implementation_Project Workbook_06_10_2011 3" xfId="14354" xr:uid="{00000000-0005-0000-0000-0000B8370000}"/>
    <cellStyle name="_20061117Holux_ProgramWorkBook_Scope and Deliverables Summary_0323_Commissioning System Implementation_Project Workbook_06_10_2011_Steps of Doneness" xfId="14355" xr:uid="{00000000-0005-0000-0000-0000B9370000}"/>
    <cellStyle name="_20061117Holux_ProgramWorkBook_Scope and Deliverables Summary_0323_FairPoint_CampReport" xfId="14356" xr:uid="{00000000-0005-0000-0000-0000BA370000}"/>
    <cellStyle name="_20061117Holux_ProgramWorkBook_Scope and Deliverables Summary_0323_FairPoint_CampReport 2" xfId="14357" xr:uid="{00000000-0005-0000-0000-0000BB370000}"/>
    <cellStyle name="_20061117Holux_ProgramWorkBook_Scope and Deliverables Summary_0323_FairPoint_CampReport 2_Steps of Doneness" xfId="14358" xr:uid="{00000000-0005-0000-0000-0000BC370000}"/>
    <cellStyle name="_20061117Holux_ProgramWorkBook_Scope and Deliverables Summary_0323_FairPoint_CampReport 3" xfId="14359" xr:uid="{00000000-0005-0000-0000-0000BD370000}"/>
    <cellStyle name="_20061117Holux_ProgramWorkBook_Scope and Deliverables Summary_0323_FairPoint_CampReport_Steps of Doneness" xfId="14360" xr:uid="{00000000-0005-0000-0000-0000BE370000}"/>
    <cellStyle name="_20061117Holux_ProgramWorkBook_Scope and Deliverables Summary_0323_FairPoint_FP comTechOps_ProgramWorkbook" xfId="14361" xr:uid="{00000000-0005-0000-0000-0000BF370000}"/>
    <cellStyle name="_20061117Holux_ProgramWorkBook_Scope and Deliverables Summary_0323_FairPoint_FP comTechOps_ProgramWorkbook 2" xfId="14362" xr:uid="{00000000-0005-0000-0000-0000C0370000}"/>
    <cellStyle name="_20061117Holux_ProgramWorkBook_Scope and Deliverables Summary_0323_FairPoint_FP comTechOps_ProgramWorkbook 2_Steps of Doneness" xfId="14363" xr:uid="{00000000-0005-0000-0000-0000C1370000}"/>
    <cellStyle name="_20061117Holux_ProgramWorkBook_Scope and Deliverables Summary_0323_FairPoint_FP comTechOps_ProgramWorkbook 3" xfId="14364" xr:uid="{00000000-0005-0000-0000-0000C2370000}"/>
    <cellStyle name="_20061117Holux_ProgramWorkBook_Scope and Deliverables Summary_0323_FairPoint_FP comTechOps_ProgramWorkbook_sachin" xfId="14365" xr:uid="{00000000-0005-0000-0000-0000C3370000}"/>
    <cellStyle name="_20061117Holux_ProgramWorkBook_Scope and Deliverables Summary_0323_FairPoint_FP comTechOps_ProgramWorkbook_sachin 2" xfId="14366" xr:uid="{00000000-0005-0000-0000-0000C4370000}"/>
    <cellStyle name="_20061117Holux_ProgramWorkBook_Scope and Deliverables Summary_0323_FairPoint_FP comTechOps_ProgramWorkbook_sachin 2_Steps of Doneness" xfId="14367" xr:uid="{00000000-0005-0000-0000-0000C5370000}"/>
    <cellStyle name="_20061117Holux_ProgramWorkBook_Scope and Deliverables Summary_0323_FairPoint_FP comTechOps_ProgramWorkbook_sachin 3" xfId="14368" xr:uid="{00000000-0005-0000-0000-0000C6370000}"/>
    <cellStyle name="_20061117Holux_ProgramWorkBook_Scope and Deliverables Summary_0323_FairPoint_FP comTechOps_ProgramWorkbook_sachin_Steps of Doneness" xfId="14369" xr:uid="{00000000-0005-0000-0000-0000C7370000}"/>
    <cellStyle name="_20061117Holux_ProgramWorkBook_Scope and Deliverables Summary_0323_FairPoint_FP comTechOps_ProgramWorkbook_sachin_v1" xfId="14370" xr:uid="{00000000-0005-0000-0000-0000C8370000}"/>
    <cellStyle name="_20061117Holux_ProgramWorkBook_Scope and Deliverables Summary_0323_FairPoint_FP comTechOps_ProgramWorkbook_sachin_v1 2" xfId="14371" xr:uid="{00000000-0005-0000-0000-0000C9370000}"/>
    <cellStyle name="_20061117Holux_ProgramWorkBook_Scope and Deliverables Summary_0323_FairPoint_FP comTechOps_ProgramWorkbook_sachin_v1 2_Steps of Doneness" xfId="14372" xr:uid="{00000000-0005-0000-0000-0000CA370000}"/>
    <cellStyle name="_20061117Holux_ProgramWorkBook_Scope and Deliverables Summary_0323_FairPoint_FP comTechOps_ProgramWorkbook_sachin_v1 3" xfId="14373" xr:uid="{00000000-0005-0000-0000-0000CB370000}"/>
    <cellStyle name="_20061117Holux_ProgramWorkBook_Scope and Deliverables Summary_0323_FairPoint_FP comTechOps_ProgramWorkbook_sachin_v1_Steps of Doneness" xfId="14374" xr:uid="{00000000-0005-0000-0000-0000CC370000}"/>
    <cellStyle name="_20061117Holux_ProgramWorkBook_Scope and Deliverables Summary_0323_FairPoint_FP comTechOps_ProgramWorkbook_Steps of Doneness" xfId="14375" xr:uid="{00000000-0005-0000-0000-0000CD370000}"/>
    <cellStyle name="_20061117Holux_ProgramWorkBook_Scope and Deliverables Summary_0323_FP_CAMP&amp;ITReporting_Maintenance_Dashboard" xfId="14376" xr:uid="{00000000-0005-0000-0000-0000CE370000}"/>
    <cellStyle name="_20061117Holux_ProgramWorkBook_Scope and Deliverables Summary_0323_FP_CAMP&amp;ITReporting_Maintenance_Dashboard 2" xfId="14377" xr:uid="{00000000-0005-0000-0000-0000CF370000}"/>
    <cellStyle name="_20061117Holux_ProgramWorkBook_Scope and Deliverables Summary_0323_FP_CAMP&amp;ITReporting_Maintenance_Dashboard 2_Steps of Doneness" xfId="14378" xr:uid="{00000000-0005-0000-0000-0000D0370000}"/>
    <cellStyle name="_20061117Holux_ProgramWorkBook_Scope and Deliverables Summary_0323_FP_CAMP&amp;ITReporting_Maintenance_Dashboard 3" xfId="14379" xr:uid="{00000000-0005-0000-0000-0000D1370000}"/>
    <cellStyle name="_20061117Holux_ProgramWorkBook_Scope and Deliverables Summary_0323_FP_CAMP&amp;ITReporting_Maintenance_Dashboard_Steps of Doneness" xfId="14380" xr:uid="{00000000-0005-0000-0000-0000D2370000}"/>
    <cellStyle name="_20061117Holux_ProgramWorkBook_Scope and Deliverables Summary_0323_FP_CAMPITReporting_Maintenance_Dashboard" xfId="14381" xr:uid="{00000000-0005-0000-0000-0000D3370000}"/>
    <cellStyle name="_20061117Holux_ProgramWorkBook_Scope and Deliverables Summary_0323_FP_CAMPITReporting_Maintenance_Dashboard 2" xfId="14382" xr:uid="{00000000-0005-0000-0000-0000D4370000}"/>
    <cellStyle name="_20061117Holux_ProgramWorkBook_Scope and Deliverables Summary_0323_FP_CAMPITReporting_Maintenance_Dashboard 2_Steps of Doneness" xfId="14383" xr:uid="{00000000-0005-0000-0000-0000D5370000}"/>
    <cellStyle name="_20061117Holux_ProgramWorkBook_Scope and Deliverables Summary_0323_FP_CAMPITReporting_Maintenance_Dashboard 3" xfId="14384" xr:uid="{00000000-0005-0000-0000-0000D6370000}"/>
    <cellStyle name="_20061117Holux_ProgramWorkBook_Scope and Deliverables Summary_0323_FP_CAMPITReporting_Maintenance_Dashboard_Steps of Doneness" xfId="14385" xr:uid="{00000000-0005-0000-0000-0000D7370000}"/>
    <cellStyle name="_20061117Holux_ProgramWorkBook_Scope and Deliverables Summary_0323_FP_Commissions_Req_Dn_ProgramWorkBook_10-Dec-2010" xfId="14386" xr:uid="{00000000-0005-0000-0000-0000D8370000}"/>
    <cellStyle name="_20061117Holux_ProgramWorkBook_Scope and Deliverables Summary_0323_FP_Commissions_Req_Dn_ProgramWorkBook_10-Dec-2010 2" xfId="14387" xr:uid="{00000000-0005-0000-0000-0000D9370000}"/>
    <cellStyle name="_20061117Holux_ProgramWorkBook_Scope and Deliverables Summary_0323_FP_Commissions_Req_Dn_ProgramWorkBook_10-Dec-2010 2_Steps of Doneness" xfId="14388" xr:uid="{00000000-0005-0000-0000-0000DA370000}"/>
    <cellStyle name="_20061117Holux_ProgramWorkBook_Scope and Deliverables Summary_0323_FP_Commissions_Req_Dn_ProgramWorkBook_10-Dec-2010 3" xfId="14389" xr:uid="{00000000-0005-0000-0000-0000DB370000}"/>
    <cellStyle name="_20061117Holux_ProgramWorkBook_Scope and Deliverables Summary_0323_FP_Commissions_Req_Dn_ProgramWorkBook_10-Dec-2010_Steps of Doneness" xfId="14390" xr:uid="{00000000-0005-0000-0000-0000DC370000}"/>
    <cellStyle name="_20061117Holux_ProgramWorkBook_Scope and Deliverables Summary_0323_FP_DW_Impl_ProgramWorkBook_07-Jan-2011" xfId="14391" xr:uid="{00000000-0005-0000-0000-0000DD370000}"/>
    <cellStyle name="_20061117Holux_ProgramWorkBook_Scope and Deliverables Summary_0323_FP_DW_Impl_ProgramWorkBook_07-Jan-2011 2" xfId="14392" xr:uid="{00000000-0005-0000-0000-0000DE370000}"/>
    <cellStyle name="_20061117Holux_ProgramWorkBook_Scope and Deliverables Summary_0323_FP_DW_Impl_ProgramWorkBook_07-Jan-2011 2 2" xfId="14393" xr:uid="{00000000-0005-0000-0000-0000DF370000}"/>
    <cellStyle name="_20061117Holux_ProgramWorkBook_Scope and Deliverables Summary_0323_FP_DW_Impl_ProgramWorkBook_07-Jan-2011 2 2_Steps of Doneness" xfId="14394" xr:uid="{00000000-0005-0000-0000-0000E0370000}"/>
    <cellStyle name="_20061117Holux_ProgramWorkBook_Scope and Deliverables Summary_0323_FP_DW_Impl_ProgramWorkBook_07-Jan-2011 2 3" xfId="14395" xr:uid="{00000000-0005-0000-0000-0000E1370000}"/>
    <cellStyle name="_20061117Holux_ProgramWorkBook_Scope and Deliverables Summary_0323_FP_DW_Impl_ProgramWorkBook_07-Jan-2011 2_Steps of Doneness" xfId="14396" xr:uid="{00000000-0005-0000-0000-0000E2370000}"/>
    <cellStyle name="_20061117Holux_ProgramWorkBook_Scope and Deliverables Summary_0323_FP_DW_Impl_ProgramWorkBook_07-Jan-2011 3" xfId="14397" xr:uid="{00000000-0005-0000-0000-0000E3370000}"/>
    <cellStyle name="_20061117Holux_ProgramWorkBook_Scope and Deliverables Summary_0323_FP_DW_Impl_ProgramWorkBook_07-Jan-2011 3_Steps of Doneness" xfId="14398" xr:uid="{00000000-0005-0000-0000-0000E4370000}"/>
    <cellStyle name="_20061117Holux_ProgramWorkBook_Scope and Deliverables Summary_0323_FP_DW_Impl_ProgramWorkBook_07-Jan-2011 4" xfId="14399" xr:uid="{00000000-0005-0000-0000-0000E5370000}"/>
    <cellStyle name="_20061117Holux_ProgramWorkBook_Scope and Deliverables Summary_0323_FP_DW_Impl_ProgramWorkBook_07-Jan-2011_Steps of Doneness" xfId="14400" xr:uid="{00000000-0005-0000-0000-0000E6370000}"/>
    <cellStyle name="_20061117Holux_ProgramWorkBook_Scope and Deliverables Summary_0323_FP_DW_Impl_ProgramWorkBook_11-Feb-2011" xfId="14401" xr:uid="{00000000-0005-0000-0000-0000E7370000}"/>
    <cellStyle name="_20061117Holux_ProgramWorkBook_Scope and Deliverables Summary_0323_FP_DW_Impl_ProgramWorkBook_11-Feb-2011 2" xfId="14402" xr:uid="{00000000-0005-0000-0000-0000E8370000}"/>
    <cellStyle name="_20061117Holux_ProgramWorkBook_Scope and Deliverables Summary_0323_FP_DW_Impl_ProgramWorkBook_11-Feb-2011 2_Steps of Doneness" xfId="14403" xr:uid="{00000000-0005-0000-0000-0000E9370000}"/>
    <cellStyle name="_20061117Holux_ProgramWorkBook_Scope and Deliverables Summary_0323_FP_DW_Impl_ProgramWorkBook_11-Feb-2011 3" xfId="14404" xr:uid="{00000000-0005-0000-0000-0000EA370000}"/>
    <cellStyle name="_20061117Holux_ProgramWorkBook_Scope and Deliverables Summary_0323_FP_DW_Impl_ProgramWorkBook_11-Feb-2011_Steps of Doneness" xfId="14405" xr:uid="{00000000-0005-0000-0000-0000EB370000}"/>
    <cellStyle name="_20061117Holux_ProgramWorkBook_Scope and Deliverables Summary_0323_FP_DW_Impl_ProgramWorkBook_18-Feb-2011 - Working" xfId="14406" xr:uid="{00000000-0005-0000-0000-0000EC370000}"/>
    <cellStyle name="_20061117Holux_ProgramWorkBook_Scope and Deliverables Summary_0323_FP_DW_Impl_ProgramWorkBook_18-Feb-2011 - Working 2" xfId="14407" xr:uid="{00000000-0005-0000-0000-0000ED370000}"/>
    <cellStyle name="_20061117Holux_ProgramWorkBook_Scope and Deliverables Summary_0323_FP_DW_Impl_ProgramWorkBook_18-Feb-2011 - Working 2_Steps of Doneness" xfId="14408" xr:uid="{00000000-0005-0000-0000-0000EE370000}"/>
    <cellStyle name="_20061117Holux_ProgramWorkBook_Scope and Deliverables Summary_0323_FP_DW_Impl_ProgramWorkBook_18-Feb-2011 - Working 3" xfId="14409" xr:uid="{00000000-0005-0000-0000-0000EF370000}"/>
    <cellStyle name="_20061117Holux_ProgramWorkBook_Scope and Deliverables Summary_0323_FP_DW_Impl_ProgramWorkBook_18-Feb-2011 - Working_Steps of Doneness" xfId="14410" xr:uid="{00000000-0005-0000-0000-0000F0370000}"/>
    <cellStyle name="_20061117Holux_ProgramWorkBook_Scope and Deliverables Summary_0323_FP_EnterprisePortal_ProgramWorkbook" xfId="14411" xr:uid="{00000000-0005-0000-0000-0000F1370000}"/>
    <cellStyle name="_20061117Holux_ProgramWorkBook_Scope and Deliverables Summary_0323_FP_EnterprisePortal_ProgramWorkbook 2" xfId="14412" xr:uid="{00000000-0005-0000-0000-0000F2370000}"/>
    <cellStyle name="_20061117Holux_ProgramWorkBook_Scope and Deliverables Summary_0323_FP_EnterprisePortal_ProgramWorkbook 2_Steps of Doneness" xfId="14413" xr:uid="{00000000-0005-0000-0000-0000F3370000}"/>
    <cellStyle name="_20061117Holux_ProgramWorkBook_Scope and Deliverables Summary_0323_FP_EnterprisePortal_ProgramWorkbook 3" xfId="14414" xr:uid="{00000000-0005-0000-0000-0000F4370000}"/>
    <cellStyle name="_20061117Holux_ProgramWorkBook_Scope and Deliverables Summary_0323_FP_EnterprisePortal_ProgramWorkbook_Steps of Doneness" xfId="14415" xr:uid="{00000000-0005-0000-0000-0000F5370000}"/>
    <cellStyle name="_20061117Holux_ProgramWorkBook_Scope and Deliverables Summary_0323_FP_SAP_MLP v2" xfId="14416" xr:uid="{00000000-0005-0000-0000-0000F6370000}"/>
    <cellStyle name="_20061117Holux_ProgramWorkBook_Scope and Deliverables Summary_0323_FP_SAP_MLP v2 2" xfId="14417" xr:uid="{00000000-0005-0000-0000-0000F7370000}"/>
    <cellStyle name="_20061117Holux_ProgramWorkBook_Scope and Deliverables Summary_0323_FP_SAP_MLP v2 2_Steps of Doneness" xfId="14418" xr:uid="{00000000-0005-0000-0000-0000F8370000}"/>
    <cellStyle name="_20061117Holux_ProgramWorkBook_Scope and Deliverables Summary_0323_FP_SAP_MLP v2 3" xfId="14419" xr:uid="{00000000-0005-0000-0000-0000F9370000}"/>
    <cellStyle name="_20061117Holux_ProgramWorkBook_Scope and Deliverables Summary_0323_FP_SAP_MLP v2_Steps of Doneness" xfId="14420" xr:uid="{00000000-0005-0000-0000-0000FA370000}"/>
    <cellStyle name="_20061117Holux_ProgramWorkBook_Scope and Deliverables Summary_0323_KeyDecisions" xfId="14421" xr:uid="{00000000-0005-0000-0000-0000FB370000}"/>
    <cellStyle name="_20061117Holux_ProgramWorkBook_Scope and Deliverables Summary_0323_KeyDecisions 2" xfId="14422" xr:uid="{00000000-0005-0000-0000-0000FC370000}"/>
    <cellStyle name="_20061117Holux_ProgramWorkBook_Scope and Deliverables Summary_0323_KeyDecisions 2_Steps of Doneness" xfId="14423" xr:uid="{00000000-0005-0000-0000-0000FD370000}"/>
    <cellStyle name="_20061117Holux_ProgramWorkBook_Scope and Deliverables Summary_0323_KeyDecisions 3" xfId="14424" xr:uid="{00000000-0005-0000-0000-0000FE370000}"/>
    <cellStyle name="_20061117Holux_ProgramWorkBook_Scope and Deliverables Summary_0323_KeyDecisions_Steps of Doneness" xfId="14425" xr:uid="{00000000-0005-0000-0000-0000FF370000}"/>
    <cellStyle name="_20061117Holux_ProgramWorkBook_Scope and Deliverables Summary_0323_Sophia_Imp_ProjectWorkBook_02_18_2011" xfId="14426" xr:uid="{00000000-0005-0000-0000-000000380000}"/>
    <cellStyle name="_20061117Holux_ProgramWorkBook_Scope and Deliverables Summary_0323_Sophia_Imp_ProjectWorkBook_02_18_2011 2" xfId="14427" xr:uid="{00000000-0005-0000-0000-000001380000}"/>
    <cellStyle name="_20061117Holux_ProgramWorkBook_Scope and Deliverables Summary_0323_Sophia_Imp_ProjectWorkBook_02_18_2011 2_Steps of Doneness" xfId="14428" xr:uid="{00000000-0005-0000-0000-000002380000}"/>
    <cellStyle name="_20061117Holux_ProgramWorkBook_Scope and Deliverables Summary_0323_Sophia_Imp_ProjectWorkBook_02_18_2011 3" xfId="14429" xr:uid="{00000000-0005-0000-0000-000003380000}"/>
    <cellStyle name="_20061117Holux_ProgramWorkBook_Scope and Deliverables Summary_0323_Sophia_Imp_ProjectWorkBook_02_18_2011_Steps of Doneness" xfId="14430" xr:uid="{00000000-0005-0000-0000-000004380000}"/>
    <cellStyle name="_20061117Holux_ProgramWorkBook_Scope and Deliverables Summary_0323_Steps of Doneness" xfId="14431" xr:uid="{00000000-0005-0000-0000-000005380000}"/>
    <cellStyle name="_20061117Holux_ProgramWorkBook_Scope and Deliverables Summary_0323_t" xfId="14432" xr:uid="{00000000-0005-0000-0000-000006380000}"/>
    <cellStyle name="_20061117Holux_ProgramWorkBook_Scope and Deliverables Summary_0323_t 2" xfId="14433" xr:uid="{00000000-0005-0000-0000-000007380000}"/>
    <cellStyle name="_20061117Holux_ProgramWorkBook_Scope and Deliverables Summary_0323_t 2_Steps of Doneness" xfId="14434" xr:uid="{00000000-0005-0000-0000-000008380000}"/>
    <cellStyle name="_20061117Holux_ProgramWorkBook_Scope and Deliverables Summary_0323_t 3" xfId="14435" xr:uid="{00000000-0005-0000-0000-000009380000}"/>
    <cellStyle name="_20061117Holux_ProgramWorkBook_Scope and Deliverables Summary_0323_t_Steps of Doneness" xfId="14436" xr:uid="{00000000-0005-0000-0000-00000A380000}"/>
    <cellStyle name="_20061117Holux_ProgramWorkBook_Scope and Deliverables Summary_CMS_0609" xfId="14437" xr:uid="{00000000-0005-0000-0000-00000B380000}"/>
    <cellStyle name="_20061117Holux_ProgramWorkBook_Scope and Deliverables Summary_CMS_0609 2" xfId="14438" xr:uid="{00000000-0005-0000-0000-00000C380000}"/>
    <cellStyle name="_20061117Holux_ProgramWorkBook_Scope and Deliverables Summary_CMS_0609 2 2" xfId="14439" xr:uid="{00000000-0005-0000-0000-00000D380000}"/>
    <cellStyle name="_20061117Holux_ProgramWorkBook_Scope and Deliverables Summary_CMS_0609 2 2_Steps of Doneness" xfId="14440" xr:uid="{00000000-0005-0000-0000-00000E380000}"/>
    <cellStyle name="_20061117Holux_ProgramWorkBook_Scope and Deliverables Summary_CMS_0609 2 3" xfId="14441" xr:uid="{00000000-0005-0000-0000-00000F380000}"/>
    <cellStyle name="_20061117Holux_ProgramWorkBook_Scope and Deliverables Summary_CMS_0609 2_Steps of Doneness" xfId="14442" xr:uid="{00000000-0005-0000-0000-000010380000}"/>
    <cellStyle name="_20061117Holux_ProgramWorkBook_Scope and Deliverables Summary_CMS_0609 3" xfId="14443" xr:uid="{00000000-0005-0000-0000-000011380000}"/>
    <cellStyle name="_20061117Holux_ProgramWorkBook_Scope and Deliverables Summary_CMS_0609 3 2" xfId="14444" xr:uid="{00000000-0005-0000-0000-000012380000}"/>
    <cellStyle name="_20061117Holux_ProgramWorkBook_Scope and Deliverables Summary_CMS_0609 3 2_Steps of Doneness" xfId="14445" xr:uid="{00000000-0005-0000-0000-000013380000}"/>
    <cellStyle name="_20061117Holux_ProgramWorkBook_Scope and Deliverables Summary_CMS_0609 3 3" xfId="14446" xr:uid="{00000000-0005-0000-0000-000014380000}"/>
    <cellStyle name="_20061117Holux_ProgramWorkBook_Scope and Deliverables Summary_CMS_0609 3_Steps of Doneness" xfId="14447" xr:uid="{00000000-0005-0000-0000-000015380000}"/>
    <cellStyle name="_20061117Holux_ProgramWorkBook_Scope and Deliverables Summary_CMS_0609 4" xfId="14448" xr:uid="{00000000-0005-0000-0000-000016380000}"/>
    <cellStyle name="_20061117Holux_ProgramWorkBook_Scope and Deliverables Summary_CMS_0609 4_Steps of Doneness" xfId="14449" xr:uid="{00000000-0005-0000-0000-000017380000}"/>
    <cellStyle name="_20061117Holux_ProgramWorkBook_Scope and Deliverables Summary_CMS_0609 5" xfId="14450" xr:uid="{00000000-0005-0000-0000-000018380000}"/>
    <cellStyle name="_20061117Holux_ProgramWorkBook_Scope and Deliverables Summary_CMS_0609 6" xfId="14451" xr:uid="{00000000-0005-0000-0000-000019380000}"/>
    <cellStyle name="_20061117Holux_ProgramWorkBook_Scope and Deliverables Summary_CMS_0609_Commissioning System Implementation_Project Workbook_06_10_2011" xfId="14452" xr:uid="{00000000-0005-0000-0000-00001A380000}"/>
    <cellStyle name="_20061117Holux_ProgramWorkBook_Scope and Deliverables Summary_CMS_0609_Commissioning System Implementation_Project Workbook_06_10_2011 2" xfId="14453" xr:uid="{00000000-0005-0000-0000-00001B380000}"/>
    <cellStyle name="_20061117Holux_ProgramWorkBook_Scope and Deliverables Summary_CMS_0609_Commissioning System Implementation_Project Workbook_06_10_2011 2_Steps of Doneness" xfId="14454" xr:uid="{00000000-0005-0000-0000-00001C380000}"/>
    <cellStyle name="_20061117Holux_ProgramWorkBook_Scope and Deliverables Summary_CMS_0609_Commissioning System Implementation_Project Workbook_06_10_2011 3" xfId="14455" xr:uid="{00000000-0005-0000-0000-00001D380000}"/>
    <cellStyle name="_20061117Holux_ProgramWorkBook_Scope and Deliverables Summary_CMS_0609_Commissioning System Implementation_Project Workbook_06_10_2011_Steps of Doneness" xfId="14456" xr:uid="{00000000-0005-0000-0000-00001E380000}"/>
    <cellStyle name="_20061117Holux_ProgramWorkBook_Scope and Deliverables Summary_CMS_0609_FairPoint_CampReport" xfId="14457" xr:uid="{00000000-0005-0000-0000-00001F380000}"/>
    <cellStyle name="_20061117Holux_ProgramWorkBook_Scope and Deliverables Summary_CMS_0609_FairPoint_CampReport 2" xfId="14458" xr:uid="{00000000-0005-0000-0000-000020380000}"/>
    <cellStyle name="_20061117Holux_ProgramWorkBook_Scope and Deliverables Summary_CMS_0609_FairPoint_CampReport 2_Steps of Doneness" xfId="14459" xr:uid="{00000000-0005-0000-0000-000021380000}"/>
    <cellStyle name="_20061117Holux_ProgramWorkBook_Scope and Deliverables Summary_CMS_0609_FairPoint_CampReport 3" xfId="14460" xr:uid="{00000000-0005-0000-0000-000022380000}"/>
    <cellStyle name="_20061117Holux_ProgramWorkBook_Scope and Deliverables Summary_CMS_0609_FairPoint_CampReport_Steps of Doneness" xfId="14461" xr:uid="{00000000-0005-0000-0000-000023380000}"/>
    <cellStyle name="_20061117Holux_ProgramWorkBook_Scope and Deliverables Summary_CMS_0609_FairPoint_FP comTechOps_ProgramWorkbook" xfId="14462" xr:uid="{00000000-0005-0000-0000-000024380000}"/>
    <cellStyle name="_20061117Holux_ProgramWorkBook_Scope and Deliverables Summary_CMS_0609_FairPoint_FP comTechOps_ProgramWorkbook 2" xfId="14463" xr:uid="{00000000-0005-0000-0000-000025380000}"/>
    <cellStyle name="_20061117Holux_ProgramWorkBook_Scope and Deliverables Summary_CMS_0609_FairPoint_FP comTechOps_ProgramWorkbook 2_Steps of Doneness" xfId="14464" xr:uid="{00000000-0005-0000-0000-000026380000}"/>
    <cellStyle name="_20061117Holux_ProgramWorkBook_Scope and Deliverables Summary_CMS_0609_FairPoint_FP comTechOps_ProgramWorkbook 3" xfId="14465" xr:uid="{00000000-0005-0000-0000-000027380000}"/>
    <cellStyle name="_20061117Holux_ProgramWorkBook_Scope and Deliverables Summary_CMS_0609_FairPoint_FP comTechOps_ProgramWorkbook_sachin" xfId="14466" xr:uid="{00000000-0005-0000-0000-000028380000}"/>
    <cellStyle name="_20061117Holux_ProgramWorkBook_Scope and Deliverables Summary_CMS_0609_FairPoint_FP comTechOps_ProgramWorkbook_sachin 2" xfId="14467" xr:uid="{00000000-0005-0000-0000-000029380000}"/>
    <cellStyle name="_20061117Holux_ProgramWorkBook_Scope and Deliverables Summary_CMS_0609_FairPoint_FP comTechOps_ProgramWorkbook_sachin 2_Steps of Doneness" xfId="14468" xr:uid="{00000000-0005-0000-0000-00002A380000}"/>
    <cellStyle name="_20061117Holux_ProgramWorkBook_Scope and Deliverables Summary_CMS_0609_FairPoint_FP comTechOps_ProgramWorkbook_sachin 3" xfId="14469" xr:uid="{00000000-0005-0000-0000-00002B380000}"/>
    <cellStyle name="_20061117Holux_ProgramWorkBook_Scope and Deliverables Summary_CMS_0609_FairPoint_FP comTechOps_ProgramWorkbook_sachin_Steps of Doneness" xfId="14470" xr:uid="{00000000-0005-0000-0000-00002C380000}"/>
    <cellStyle name="_20061117Holux_ProgramWorkBook_Scope and Deliverables Summary_CMS_0609_FairPoint_FP comTechOps_ProgramWorkbook_sachin_v1" xfId="14471" xr:uid="{00000000-0005-0000-0000-00002D380000}"/>
    <cellStyle name="_20061117Holux_ProgramWorkBook_Scope and Deliverables Summary_CMS_0609_FairPoint_FP comTechOps_ProgramWorkbook_sachin_v1 2" xfId="14472" xr:uid="{00000000-0005-0000-0000-00002E380000}"/>
    <cellStyle name="_20061117Holux_ProgramWorkBook_Scope and Deliverables Summary_CMS_0609_FairPoint_FP comTechOps_ProgramWorkbook_sachin_v1 2_Steps of Doneness" xfId="14473" xr:uid="{00000000-0005-0000-0000-00002F380000}"/>
    <cellStyle name="_20061117Holux_ProgramWorkBook_Scope and Deliverables Summary_CMS_0609_FairPoint_FP comTechOps_ProgramWorkbook_sachin_v1 3" xfId="14474" xr:uid="{00000000-0005-0000-0000-000030380000}"/>
    <cellStyle name="_20061117Holux_ProgramWorkBook_Scope and Deliverables Summary_CMS_0609_FairPoint_FP comTechOps_ProgramWorkbook_sachin_v1_Steps of Doneness" xfId="14475" xr:uid="{00000000-0005-0000-0000-000031380000}"/>
    <cellStyle name="_20061117Holux_ProgramWorkBook_Scope and Deliverables Summary_CMS_0609_FairPoint_FP comTechOps_ProgramWorkbook_Steps of Doneness" xfId="14476" xr:uid="{00000000-0005-0000-0000-000032380000}"/>
    <cellStyle name="_20061117Holux_ProgramWorkBook_Scope and Deliverables Summary_CMS_0609_FP_CAMP&amp;ITReporting_Maintenance_Dashboard" xfId="14477" xr:uid="{00000000-0005-0000-0000-000033380000}"/>
    <cellStyle name="_20061117Holux_ProgramWorkBook_Scope and Deliverables Summary_CMS_0609_FP_CAMP&amp;ITReporting_Maintenance_Dashboard 2" xfId="14478" xr:uid="{00000000-0005-0000-0000-000034380000}"/>
    <cellStyle name="_20061117Holux_ProgramWorkBook_Scope and Deliverables Summary_CMS_0609_FP_CAMP&amp;ITReporting_Maintenance_Dashboard 2_Steps of Doneness" xfId="14479" xr:uid="{00000000-0005-0000-0000-000035380000}"/>
    <cellStyle name="_20061117Holux_ProgramWorkBook_Scope and Deliverables Summary_CMS_0609_FP_CAMP&amp;ITReporting_Maintenance_Dashboard 3" xfId="14480" xr:uid="{00000000-0005-0000-0000-000036380000}"/>
    <cellStyle name="_20061117Holux_ProgramWorkBook_Scope and Deliverables Summary_CMS_0609_FP_CAMP&amp;ITReporting_Maintenance_Dashboard_Steps of Doneness" xfId="14481" xr:uid="{00000000-0005-0000-0000-000037380000}"/>
    <cellStyle name="_20061117Holux_ProgramWorkBook_Scope and Deliverables Summary_CMS_0609_FP_CAMPITReporting_Maintenance_Dashboard" xfId="14482" xr:uid="{00000000-0005-0000-0000-000038380000}"/>
    <cellStyle name="_20061117Holux_ProgramWorkBook_Scope and Deliverables Summary_CMS_0609_FP_CAMPITReporting_Maintenance_Dashboard 2" xfId="14483" xr:uid="{00000000-0005-0000-0000-000039380000}"/>
    <cellStyle name="_20061117Holux_ProgramWorkBook_Scope and Deliverables Summary_CMS_0609_FP_CAMPITReporting_Maintenance_Dashboard 2_Steps of Doneness" xfId="14484" xr:uid="{00000000-0005-0000-0000-00003A380000}"/>
    <cellStyle name="_20061117Holux_ProgramWorkBook_Scope and Deliverables Summary_CMS_0609_FP_CAMPITReporting_Maintenance_Dashboard 3" xfId="14485" xr:uid="{00000000-0005-0000-0000-00003B380000}"/>
    <cellStyle name="_20061117Holux_ProgramWorkBook_Scope and Deliverables Summary_CMS_0609_FP_CAMPITReporting_Maintenance_Dashboard_Steps of Doneness" xfId="14486" xr:uid="{00000000-0005-0000-0000-00003C380000}"/>
    <cellStyle name="_20061117Holux_ProgramWorkBook_Scope and Deliverables Summary_CMS_0609_FP_Commissions_Req_Dn_ProgramWorkBook_10-Dec-2010" xfId="14487" xr:uid="{00000000-0005-0000-0000-00003D380000}"/>
    <cellStyle name="_20061117Holux_ProgramWorkBook_Scope and Deliverables Summary_CMS_0609_FP_Commissions_Req_Dn_ProgramWorkBook_10-Dec-2010 2" xfId="14488" xr:uid="{00000000-0005-0000-0000-00003E380000}"/>
    <cellStyle name="_20061117Holux_ProgramWorkBook_Scope and Deliverables Summary_CMS_0609_FP_Commissions_Req_Dn_ProgramWorkBook_10-Dec-2010 2_Steps of Doneness" xfId="14489" xr:uid="{00000000-0005-0000-0000-00003F380000}"/>
    <cellStyle name="_20061117Holux_ProgramWorkBook_Scope and Deliverables Summary_CMS_0609_FP_Commissions_Req_Dn_ProgramWorkBook_10-Dec-2010 3" xfId="14490" xr:uid="{00000000-0005-0000-0000-000040380000}"/>
    <cellStyle name="_20061117Holux_ProgramWorkBook_Scope and Deliverables Summary_CMS_0609_FP_Commissions_Req_Dn_ProgramWorkBook_10-Dec-2010_Steps of Doneness" xfId="14491" xr:uid="{00000000-0005-0000-0000-000041380000}"/>
    <cellStyle name="_20061117Holux_ProgramWorkBook_Scope and Deliverables Summary_CMS_0609_FP_DW_Impl_ProgramWorkBook_07-Jan-2011" xfId="14492" xr:uid="{00000000-0005-0000-0000-000042380000}"/>
    <cellStyle name="_20061117Holux_ProgramWorkBook_Scope and Deliverables Summary_CMS_0609_FP_DW_Impl_ProgramWorkBook_07-Jan-2011 2" xfId="14493" xr:uid="{00000000-0005-0000-0000-000043380000}"/>
    <cellStyle name="_20061117Holux_ProgramWorkBook_Scope and Deliverables Summary_CMS_0609_FP_DW_Impl_ProgramWorkBook_07-Jan-2011 2 2" xfId="14494" xr:uid="{00000000-0005-0000-0000-000044380000}"/>
    <cellStyle name="_20061117Holux_ProgramWorkBook_Scope and Deliverables Summary_CMS_0609_FP_DW_Impl_ProgramWorkBook_07-Jan-2011 2 2_Steps of Doneness" xfId="14495" xr:uid="{00000000-0005-0000-0000-000045380000}"/>
    <cellStyle name="_20061117Holux_ProgramWorkBook_Scope and Deliverables Summary_CMS_0609_FP_DW_Impl_ProgramWorkBook_07-Jan-2011 2 3" xfId="14496" xr:uid="{00000000-0005-0000-0000-000046380000}"/>
    <cellStyle name="_20061117Holux_ProgramWorkBook_Scope and Deliverables Summary_CMS_0609_FP_DW_Impl_ProgramWorkBook_07-Jan-2011 2_Steps of Doneness" xfId="14497" xr:uid="{00000000-0005-0000-0000-000047380000}"/>
    <cellStyle name="_20061117Holux_ProgramWorkBook_Scope and Deliverables Summary_CMS_0609_FP_DW_Impl_ProgramWorkBook_07-Jan-2011 3" xfId="14498" xr:uid="{00000000-0005-0000-0000-000048380000}"/>
    <cellStyle name="_20061117Holux_ProgramWorkBook_Scope and Deliverables Summary_CMS_0609_FP_DW_Impl_ProgramWorkBook_07-Jan-2011 3_Steps of Doneness" xfId="14499" xr:uid="{00000000-0005-0000-0000-000049380000}"/>
    <cellStyle name="_20061117Holux_ProgramWorkBook_Scope and Deliverables Summary_CMS_0609_FP_DW_Impl_ProgramWorkBook_07-Jan-2011 4" xfId="14500" xr:uid="{00000000-0005-0000-0000-00004A380000}"/>
    <cellStyle name="_20061117Holux_ProgramWorkBook_Scope and Deliverables Summary_CMS_0609_FP_DW_Impl_ProgramWorkBook_07-Jan-2011_Steps of Doneness" xfId="14501" xr:uid="{00000000-0005-0000-0000-00004B380000}"/>
    <cellStyle name="_20061117Holux_ProgramWorkBook_Scope and Deliverables Summary_CMS_0609_FP_DW_Impl_ProgramWorkBook_11-Feb-2011" xfId="14502" xr:uid="{00000000-0005-0000-0000-00004C380000}"/>
    <cellStyle name="_20061117Holux_ProgramWorkBook_Scope and Deliverables Summary_CMS_0609_FP_DW_Impl_ProgramWorkBook_11-Feb-2011 2" xfId="14503" xr:uid="{00000000-0005-0000-0000-00004D380000}"/>
    <cellStyle name="_20061117Holux_ProgramWorkBook_Scope and Deliverables Summary_CMS_0609_FP_DW_Impl_ProgramWorkBook_11-Feb-2011 2_Steps of Doneness" xfId="14504" xr:uid="{00000000-0005-0000-0000-00004E380000}"/>
    <cellStyle name="_20061117Holux_ProgramWorkBook_Scope and Deliverables Summary_CMS_0609_FP_DW_Impl_ProgramWorkBook_11-Feb-2011 3" xfId="14505" xr:uid="{00000000-0005-0000-0000-00004F380000}"/>
    <cellStyle name="_20061117Holux_ProgramWorkBook_Scope and Deliverables Summary_CMS_0609_FP_DW_Impl_ProgramWorkBook_11-Feb-2011_Steps of Doneness" xfId="14506" xr:uid="{00000000-0005-0000-0000-000050380000}"/>
    <cellStyle name="_20061117Holux_ProgramWorkBook_Scope and Deliverables Summary_CMS_0609_FP_DW_Impl_ProgramWorkBook_18-Feb-2011 - Working" xfId="14507" xr:uid="{00000000-0005-0000-0000-000051380000}"/>
    <cellStyle name="_20061117Holux_ProgramWorkBook_Scope and Deliverables Summary_CMS_0609_FP_DW_Impl_ProgramWorkBook_18-Feb-2011 - Working 2" xfId="14508" xr:uid="{00000000-0005-0000-0000-000052380000}"/>
    <cellStyle name="_20061117Holux_ProgramWorkBook_Scope and Deliverables Summary_CMS_0609_FP_DW_Impl_ProgramWorkBook_18-Feb-2011 - Working 2_Steps of Doneness" xfId="14509" xr:uid="{00000000-0005-0000-0000-000053380000}"/>
    <cellStyle name="_20061117Holux_ProgramWorkBook_Scope and Deliverables Summary_CMS_0609_FP_DW_Impl_ProgramWorkBook_18-Feb-2011 - Working 3" xfId="14510" xr:uid="{00000000-0005-0000-0000-000054380000}"/>
    <cellStyle name="_20061117Holux_ProgramWorkBook_Scope and Deliverables Summary_CMS_0609_FP_DW_Impl_ProgramWorkBook_18-Feb-2011 - Working_Steps of Doneness" xfId="14511" xr:uid="{00000000-0005-0000-0000-000055380000}"/>
    <cellStyle name="_20061117Holux_ProgramWorkBook_Scope and Deliverables Summary_CMS_0609_FP_EnterprisePortal_ProgramWorkbook" xfId="14512" xr:uid="{00000000-0005-0000-0000-000056380000}"/>
    <cellStyle name="_20061117Holux_ProgramWorkBook_Scope and Deliverables Summary_CMS_0609_FP_EnterprisePortal_ProgramWorkbook 2" xfId="14513" xr:uid="{00000000-0005-0000-0000-000057380000}"/>
    <cellStyle name="_20061117Holux_ProgramWorkBook_Scope and Deliverables Summary_CMS_0609_FP_EnterprisePortal_ProgramWorkbook 2_Steps of Doneness" xfId="14514" xr:uid="{00000000-0005-0000-0000-000058380000}"/>
    <cellStyle name="_20061117Holux_ProgramWorkBook_Scope and Deliverables Summary_CMS_0609_FP_EnterprisePortal_ProgramWorkbook 3" xfId="14515" xr:uid="{00000000-0005-0000-0000-000059380000}"/>
    <cellStyle name="_20061117Holux_ProgramWorkBook_Scope and Deliverables Summary_CMS_0609_FP_EnterprisePortal_ProgramWorkbook_Steps of Doneness" xfId="14516" xr:uid="{00000000-0005-0000-0000-00005A380000}"/>
    <cellStyle name="_20061117Holux_ProgramWorkBook_Scope and Deliverables Summary_CMS_0609_FP_SAP_MLP v2" xfId="14517" xr:uid="{00000000-0005-0000-0000-00005B380000}"/>
    <cellStyle name="_20061117Holux_ProgramWorkBook_Scope and Deliverables Summary_CMS_0609_FP_SAP_MLP v2 2" xfId="14518" xr:uid="{00000000-0005-0000-0000-00005C380000}"/>
    <cellStyle name="_20061117Holux_ProgramWorkBook_Scope and Deliverables Summary_CMS_0609_FP_SAP_MLP v2 2_Steps of Doneness" xfId="14519" xr:uid="{00000000-0005-0000-0000-00005D380000}"/>
    <cellStyle name="_20061117Holux_ProgramWorkBook_Scope and Deliverables Summary_CMS_0609_FP_SAP_MLP v2 3" xfId="14520" xr:uid="{00000000-0005-0000-0000-00005E380000}"/>
    <cellStyle name="_20061117Holux_ProgramWorkBook_Scope and Deliverables Summary_CMS_0609_FP_SAP_MLP v2_Steps of Doneness" xfId="14521" xr:uid="{00000000-0005-0000-0000-00005F380000}"/>
    <cellStyle name="_20061117Holux_ProgramWorkBook_Scope and Deliverables Summary_CMS_0609_KeyDecisions" xfId="14522" xr:uid="{00000000-0005-0000-0000-000060380000}"/>
    <cellStyle name="_20061117Holux_ProgramWorkBook_Scope and Deliverables Summary_CMS_0609_KeyDecisions 2" xfId="14523" xr:uid="{00000000-0005-0000-0000-000061380000}"/>
    <cellStyle name="_20061117Holux_ProgramWorkBook_Scope and Deliverables Summary_CMS_0609_KeyDecisions 2_Steps of Doneness" xfId="14524" xr:uid="{00000000-0005-0000-0000-000062380000}"/>
    <cellStyle name="_20061117Holux_ProgramWorkBook_Scope and Deliverables Summary_CMS_0609_KeyDecisions 3" xfId="14525" xr:uid="{00000000-0005-0000-0000-000063380000}"/>
    <cellStyle name="_20061117Holux_ProgramWorkBook_Scope and Deliverables Summary_CMS_0609_KeyDecisions_Steps of Doneness" xfId="14526" xr:uid="{00000000-0005-0000-0000-000064380000}"/>
    <cellStyle name="_20061117Holux_ProgramWorkBook_Scope and Deliverables Summary_CMS_0609_Sophia_Imp_ProjectWorkBook_02_18_2011" xfId="14527" xr:uid="{00000000-0005-0000-0000-000065380000}"/>
    <cellStyle name="_20061117Holux_ProgramWorkBook_Scope and Deliverables Summary_CMS_0609_Sophia_Imp_ProjectWorkBook_02_18_2011 2" xfId="14528" xr:uid="{00000000-0005-0000-0000-000066380000}"/>
    <cellStyle name="_20061117Holux_ProgramWorkBook_Scope and Deliverables Summary_CMS_0609_Sophia_Imp_ProjectWorkBook_02_18_2011 2_Steps of Doneness" xfId="14529" xr:uid="{00000000-0005-0000-0000-000067380000}"/>
    <cellStyle name="_20061117Holux_ProgramWorkBook_Scope and Deliverables Summary_CMS_0609_Sophia_Imp_ProjectWorkBook_02_18_2011 3" xfId="14530" xr:uid="{00000000-0005-0000-0000-000068380000}"/>
    <cellStyle name="_20061117Holux_ProgramWorkBook_Scope and Deliverables Summary_CMS_0609_Sophia_Imp_ProjectWorkBook_02_18_2011_Steps of Doneness" xfId="14531" xr:uid="{00000000-0005-0000-0000-000069380000}"/>
    <cellStyle name="_20061117Holux_ProgramWorkBook_Scope and Deliverables Summary_CMS_0609_Steps of Doneness" xfId="14532" xr:uid="{00000000-0005-0000-0000-00006A380000}"/>
    <cellStyle name="_20061117Holux_ProgramWorkBook_Scope and Deliverables Summary_CMS_0609_t" xfId="14533" xr:uid="{00000000-0005-0000-0000-00006B380000}"/>
    <cellStyle name="_20061117Holux_ProgramWorkBook_Scope and Deliverables Summary_CMS_0609_t 2" xfId="14534" xr:uid="{00000000-0005-0000-0000-00006C380000}"/>
    <cellStyle name="_20061117Holux_ProgramWorkBook_Scope and Deliverables Summary_CMS_0609_t 2_Steps of Doneness" xfId="14535" xr:uid="{00000000-0005-0000-0000-00006D380000}"/>
    <cellStyle name="_20061117Holux_ProgramWorkBook_Scope and Deliverables Summary_CMS_0609_t 3" xfId="14536" xr:uid="{00000000-0005-0000-0000-00006E380000}"/>
    <cellStyle name="_20061117Holux_ProgramWorkBook_Scope and Deliverables Summary_CMS_0609_t_Steps of Doneness" xfId="14537" xr:uid="{00000000-0005-0000-0000-00006F380000}"/>
    <cellStyle name="_20061117Holux_ProgramWorkBook_SLM -CMS &amp; Storefront PM Workbook" xfId="14538" xr:uid="{00000000-0005-0000-0000-000070380000}"/>
    <cellStyle name="_20061117Holux_ProgramWorkBook_SLM -CMS &amp; Storefront PM Workbook 2" xfId="14539" xr:uid="{00000000-0005-0000-0000-000071380000}"/>
    <cellStyle name="_20061117Holux_ProgramWorkBook_SLM -CMS &amp; Storefront PM Workbook 2 2" xfId="14540" xr:uid="{00000000-0005-0000-0000-000072380000}"/>
    <cellStyle name="_20061117Holux_ProgramWorkBook_SLM -CMS &amp; Storefront PM Workbook 2 2_Steps of Doneness" xfId="14541" xr:uid="{00000000-0005-0000-0000-000073380000}"/>
    <cellStyle name="_20061117Holux_ProgramWorkBook_SLM -CMS &amp; Storefront PM Workbook 2 3" xfId="14542" xr:uid="{00000000-0005-0000-0000-000074380000}"/>
    <cellStyle name="_20061117Holux_ProgramWorkBook_SLM -CMS &amp; Storefront PM Workbook 2_Steps of Doneness" xfId="14543" xr:uid="{00000000-0005-0000-0000-000075380000}"/>
    <cellStyle name="_20061117Holux_ProgramWorkBook_SLM -CMS &amp; Storefront PM Workbook 3" xfId="14544" xr:uid="{00000000-0005-0000-0000-000076380000}"/>
    <cellStyle name="_20061117Holux_ProgramWorkBook_SLM -CMS &amp; Storefront PM Workbook 3 2" xfId="14545" xr:uid="{00000000-0005-0000-0000-000077380000}"/>
    <cellStyle name="_20061117Holux_ProgramWorkBook_SLM -CMS &amp; Storefront PM Workbook 3 2_Steps of Doneness" xfId="14546" xr:uid="{00000000-0005-0000-0000-000078380000}"/>
    <cellStyle name="_20061117Holux_ProgramWorkBook_SLM -CMS &amp; Storefront PM Workbook 3 3" xfId="14547" xr:uid="{00000000-0005-0000-0000-000079380000}"/>
    <cellStyle name="_20061117Holux_ProgramWorkBook_SLM -CMS &amp; Storefront PM Workbook 3_Steps of Doneness" xfId="14548" xr:uid="{00000000-0005-0000-0000-00007A380000}"/>
    <cellStyle name="_20061117Holux_ProgramWorkBook_SLM -CMS &amp; Storefront PM Workbook 4" xfId="14549" xr:uid="{00000000-0005-0000-0000-00007B380000}"/>
    <cellStyle name="_20061117Holux_ProgramWorkBook_SLM -CMS &amp; Storefront PM Workbook 4_Steps of Doneness" xfId="14550" xr:uid="{00000000-0005-0000-0000-00007C380000}"/>
    <cellStyle name="_20061117Holux_ProgramWorkBook_SLM -CMS &amp; Storefront PM Workbook 5" xfId="14551" xr:uid="{00000000-0005-0000-0000-00007D380000}"/>
    <cellStyle name="_20061117Holux_ProgramWorkBook_SLM -CMS &amp; Storefront PM Workbook 6" xfId="14552" xr:uid="{00000000-0005-0000-0000-00007E380000}"/>
    <cellStyle name="_20061117Holux_ProgramWorkBook_SLM -CMS &amp; Storefront PM Workbook_Commissioning System Implementation_Project Workbook_06_10_2011" xfId="14553" xr:uid="{00000000-0005-0000-0000-00007F380000}"/>
    <cellStyle name="_20061117Holux_ProgramWorkBook_SLM -CMS &amp; Storefront PM Workbook_Commissioning System Implementation_Project Workbook_06_10_2011 2" xfId="14554" xr:uid="{00000000-0005-0000-0000-000080380000}"/>
    <cellStyle name="_20061117Holux_ProgramWorkBook_SLM -CMS &amp; Storefront PM Workbook_Commissioning System Implementation_Project Workbook_06_10_2011 2_Steps of Doneness" xfId="14555" xr:uid="{00000000-0005-0000-0000-000081380000}"/>
    <cellStyle name="_20061117Holux_ProgramWorkBook_SLM -CMS &amp; Storefront PM Workbook_Commissioning System Implementation_Project Workbook_06_10_2011 3" xfId="14556" xr:uid="{00000000-0005-0000-0000-000082380000}"/>
    <cellStyle name="_20061117Holux_ProgramWorkBook_SLM -CMS &amp; Storefront PM Workbook_Commissioning System Implementation_Project Workbook_06_10_2011_Steps of Doneness" xfId="14557" xr:uid="{00000000-0005-0000-0000-000083380000}"/>
    <cellStyle name="_20061117Holux_ProgramWorkBook_SLM -CMS &amp; Storefront PM Workbook_FairPoint_CampReport" xfId="14558" xr:uid="{00000000-0005-0000-0000-000084380000}"/>
    <cellStyle name="_20061117Holux_ProgramWorkBook_SLM -CMS &amp; Storefront PM Workbook_FairPoint_CampReport 2" xfId="14559" xr:uid="{00000000-0005-0000-0000-000085380000}"/>
    <cellStyle name="_20061117Holux_ProgramWorkBook_SLM -CMS &amp; Storefront PM Workbook_FairPoint_CampReport 2_Steps of Doneness" xfId="14560" xr:uid="{00000000-0005-0000-0000-000086380000}"/>
    <cellStyle name="_20061117Holux_ProgramWorkBook_SLM -CMS &amp; Storefront PM Workbook_FairPoint_CampReport 3" xfId="14561" xr:uid="{00000000-0005-0000-0000-000087380000}"/>
    <cellStyle name="_20061117Holux_ProgramWorkBook_SLM -CMS &amp; Storefront PM Workbook_FairPoint_CampReport_Steps of Doneness" xfId="14562" xr:uid="{00000000-0005-0000-0000-000088380000}"/>
    <cellStyle name="_20061117Holux_ProgramWorkBook_SLM -CMS &amp; Storefront PM Workbook_FairPoint_FP comTechOps_ProgramWorkbook" xfId="14563" xr:uid="{00000000-0005-0000-0000-000089380000}"/>
    <cellStyle name="_20061117Holux_ProgramWorkBook_SLM -CMS &amp; Storefront PM Workbook_FairPoint_FP comTechOps_ProgramWorkbook 2" xfId="14564" xr:uid="{00000000-0005-0000-0000-00008A380000}"/>
    <cellStyle name="_20061117Holux_ProgramWorkBook_SLM -CMS &amp; Storefront PM Workbook_FairPoint_FP comTechOps_ProgramWorkbook 2_Steps of Doneness" xfId="14565" xr:uid="{00000000-0005-0000-0000-00008B380000}"/>
    <cellStyle name="_20061117Holux_ProgramWorkBook_SLM -CMS &amp; Storefront PM Workbook_FairPoint_FP comTechOps_ProgramWorkbook 3" xfId="14566" xr:uid="{00000000-0005-0000-0000-00008C380000}"/>
    <cellStyle name="_20061117Holux_ProgramWorkBook_SLM -CMS &amp; Storefront PM Workbook_FairPoint_FP comTechOps_ProgramWorkbook_sachin" xfId="14567" xr:uid="{00000000-0005-0000-0000-00008D380000}"/>
    <cellStyle name="_20061117Holux_ProgramWorkBook_SLM -CMS &amp; Storefront PM Workbook_FairPoint_FP comTechOps_ProgramWorkbook_sachin 2" xfId="14568" xr:uid="{00000000-0005-0000-0000-00008E380000}"/>
    <cellStyle name="_20061117Holux_ProgramWorkBook_SLM -CMS &amp; Storefront PM Workbook_FairPoint_FP comTechOps_ProgramWorkbook_sachin 2_Steps of Doneness" xfId="14569" xr:uid="{00000000-0005-0000-0000-00008F380000}"/>
    <cellStyle name="_20061117Holux_ProgramWorkBook_SLM -CMS &amp; Storefront PM Workbook_FairPoint_FP comTechOps_ProgramWorkbook_sachin 3" xfId="14570" xr:uid="{00000000-0005-0000-0000-000090380000}"/>
    <cellStyle name="_20061117Holux_ProgramWorkBook_SLM -CMS &amp; Storefront PM Workbook_FairPoint_FP comTechOps_ProgramWorkbook_sachin_Steps of Doneness" xfId="14571" xr:uid="{00000000-0005-0000-0000-000091380000}"/>
    <cellStyle name="_20061117Holux_ProgramWorkBook_SLM -CMS &amp; Storefront PM Workbook_FairPoint_FP comTechOps_ProgramWorkbook_sachin_v1" xfId="14572" xr:uid="{00000000-0005-0000-0000-000092380000}"/>
    <cellStyle name="_20061117Holux_ProgramWorkBook_SLM -CMS &amp; Storefront PM Workbook_FairPoint_FP comTechOps_ProgramWorkbook_sachin_v1 2" xfId="14573" xr:uid="{00000000-0005-0000-0000-000093380000}"/>
    <cellStyle name="_20061117Holux_ProgramWorkBook_SLM -CMS &amp; Storefront PM Workbook_FairPoint_FP comTechOps_ProgramWorkbook_sachin_v1 2_Steps of Doneness" xfId="14574" xr:uid="{00000000-0005-0000-0000-000094380000}"/>
    <cellStyle name="_20061117Holux_ProgramWorkBook_SLM -CMS &amp; Storefront PM Workbook_FairPoint_FP comTechOps_ProgramWorkbook_sachin_v1 3" xfId="14575" xr:uid="{00000000-0005-0000-0000-000095380000}"/>
    <cellStyle name="_20061117Holux_ProgramWorkBook_SLM -CMS &amp; Storefront PM Workbook_FairPoint_FP comTechOps_ProgramWorkbook_sachin_v1_Steps of Doneness" xfId="14576" xr:uid="{00000000-0005-0000-0000-000096380000}"/>
    <cellStyle name="_20061117Holux_ProgramWorkBook_SLM -CMS &amp; Storefront PM Workbook_FairPoint_FP comTechOps_ProgramWorkbook_Steps of Doneness" xfId="14577" xr:uid="{00000000-0005-0000-0000-000097380000}"/>
    <cellStyle name="_20061117Holux_ProgramWorkBook_SLM -CMS &amp; Storefront PM Workbook_FP_CAMP&amp;ITReporting_Maintenance_Dashboard" xfId="14578" xr:uid="{00000000-0005-0000-0000-000098380000}"/>
    <cellStyle name="_20061117Holux_ProgramWorkBook_SLM -CMS &amp; Storefront PM Workbook_FP_CAMP&amp;ITReporting_Maintenance_Dashboard 2" xfId="14579" xr:uid="{00000000-0005-0000-0000-000099380000}"/>
    <cellStyle name="_20061117Holux_ProgramWorkBook_SLM -CMS &amp; Storefront PM Workbook_FP_CAMP&amp;ITReporting_Maintenance_Dashboard 2_Steps of Doneness" xfId="14580" xr:uid="{00000000-0005-0000-0000-00009A380000}"/>
    <cellStyle name="_20061117Holux_ProgramWorkBook_SLM -CMS &amp; Storefront PM Workbook_FP_CAMP&amp;ITReporting_Maintenance_Dashboard 3" xfId="14581" xr:uid="{00000000-0005-0000-0000-00009B380000}"/>
    <cellStyle name="_20061117Holux_ProgramWorkBook_SLM -CMS &amp; Storefront PM Workbook_FP_CAMP&amp;ITReporting_Maintenance_Dashboard_Steps of Doneness" xfId="14582" xr:uid="{00000000-0005-0000-0000-00009C380000}"/>
    <cellStyle name="_20061117Holux_ProgramWorkBook_SLM -CMS &amp; Storefront PM Workbook_FP_CAMPITReporting_Maintenance_Dashboard" xfId="14583" xr:uid="{00000000-0005-0000-0000-00009D380000}"/>
    <cellStyle name="_20061117Holux_ProgramWorkBook_SLM -CMS &amp; Storefront PM Workbook_FP_CAMPITReporting_Maintenance_Dashboard 2" xfId="14584" xr:uid="{00000000-0005-0000-0000-00009E380000}"/>
    <cellStyle name="_20061117Holux_ProgramWorkBook_SLM -CMS &amp; Storefront PM Workbook_FP_CAMPITReporting_Maintenance_Dashboard 2_Steps of Doneness" xfId="14585" xr:uid="{00000000-0005-0000-0000-00009F380000}"/>
    <cellStyle name="_20061117Holux_ProgramWorkBook_SLM -CMS &amp; Storefront PM Workbook_FP_CAMPITReporting_Maintenance_Dashboard 3" xfId="14586" xr:uid="{00000000-0005-0000-0000-0000A0380000}"/>
    <cellStyle name="_20061117Holux_ProgramWorkBook_SLM -CMS &amp; Storefront PM Workbook_FP_CAMPITReporting_Maintenance_Dashboard_Steps of Doneness" xfId="14587" xr:uid="{00000000-0005-0000-0000-0000A1380000}"/>
    <cellStyle name="_20061117Holux_ProgramWorkBook_SLM -CMS &amp; Storefront PM Workbook_FP_Commissions_Req_Dn_ProgramWorkBook_10-Dec-2010" xfId="14588" xr:uid="{00000000-0005-0000-0000-0000A2380000}"/>
    <cellStyle name="_20061117Holux_ProgramWorkBook_SLM -CMS &amp; Storefront PM Workbook_FP_Commissions_Req_Dn_ProgramWorkBook_10-Dec-2010 2" xfId="14589" xr:uid="{00000000-0005-0000-0000-0000A3380000}"/>
    <cellStyle name="_20061117Holux_ProgramWorkBook_SLM -CMS &amp; Storefront PM Workbook_FP_Commissions_Req_Dn_ProgramWorkBook_10-Dec-2010 2_Steps of Doneness" xfId="14590" xr:uid="{00000000-0005-0000-0000-0000A4380000}"/>
    <cellStyle name="_20061117Holux_ProgramWorkBook_SLM -CMS &amp; Storefront PM Workbook_FP_Commissions_Req_Dn_ProgramWorkBook_10-Dec-2010 3" xfId="14591" xr:uid="{00000000-0005-0000-0000-0000A5380000}"/>
    <cellStyle name="_20061117Holux_ProgramWorkBook_SLM -CMS &amp; Storefront PM Workbook_FP_Commissions_Req_Dn_ProgramWorkBook_10-Dec-2010_Steps of Doneness" xfId="14592" xr:uid="{00000000-0005-0000-0000-0000A6380000}"/>
    <cellStyle name="_20061117Holux_ProgramWorkBook_SLM -CMS &amp; Storefront PM Workbook_FP_DW_Impl_ProgramWorkBook_07-Jan-2011" xfId="14593" xr:uid="{00000000-0005-0000-0000-0000A7380000}"/>
    <cellStyle name="_20061117Holux_ProgramWorkBook_SLM -CMS &amp; Storefront PM Workbook_FP_DW_Impl_ProgramWorkBook_07-Jan-2011 2" xfId="14594" xr:uid="{00000000-0005-0000-0000-0000A8380000}"/>
    <cellStyle name="_20061117Holux_ProgramWorkBook_SLM -CMS &amp; Storefront PM Workbook_FP_DW_Impl_ProgramWorkBook_07-Jan-2011 2 2" xfId="14595" xr:uid="{00000000-0005-0000-0000-0000A9380000}"/>
    <cellStyle name="_20061117Holux_ProgramWorkBook_SLM -CMS &amp; Storefront PM Workbook_FP_DW_Impl_ProgramWorkBook_07-Jan-2011 2 2_Steps of Doneness" xfId="14596" xr:uid="{00000000-0005-0000-0000-0000AA380000}"/>
    <cellStyle name="_20061117Holux_ProgramWorkBook_SLM -CMS &amp; Storefront PM Workbook_FP_DW_Impl_ProgramWorkBook_07-Jan-2011 2 3" xfId="14597" xr:uid="{00000000-0005-0000-0000-0000AB380000}"/>
    <cellStyle name="_20061117Holux_ProgramWorkBook_SLM -CMS &amp; Storefront PM Workbook_FP_DW_Impl_ProgramWorkBook_07-Jan-2011 2_Steps of Doneness" xfId="14598" xr:uid="{00000000-0005-0000-0000-0000AC380000}"/>
    <cellStyle name="_20061117Holux_ProgramWorkBook_SLM -CMS &amp; Storefront PM Workbook_FP_DW_Impl_ProgramWorkBook_07-Jan-2011 3" xfId="14599" xr:uid="{00000000-0005-0000-0000-0000AD380000}"/>
    <cellStyle name="_20061117Holux_ProgramWorkBook_SLM -CMS &amp; Storefront PM Workbook_FP_DW_Impl_ProgramWorkBook_07-Jan-2011 3_Steps of Doneness" xfId="14600" xr:uid="{00000000-0005-0000-0000-0000AE380000}"/>
    <cellStyle name="_20061117Holux_ProgramWorkBook_SLM -CMS &amp; Storefront PM Workbook_FP_DW_Impl_ProgramWorkBook_07-Jan-2011 4" xfId="14601" xr:uid="{00000000-0005-0000-0000-0000AF380000}"/>
    <cellStyle name="_20061117Holux_ProgramWorkBook_SLM -CMS &amp; Storefront PM Workbook_FP_DW_Impl_ProgramWorkBook_07-Jan-2011_Steps of Doneness" xfId="14602" xr:uid="{00000000-0005-0000-0000-0000B0380000}"/>
    <cellStyle name="_20061117Holux_ProgramWorkBook_SLM -CMS &amp; Storefront PM Workbook_FP_DW_Impl_ProgramWorkBook_11-Feb-2011" xfId="14603" xr:uid="{00000000-0005-0000-0000-0000B1380000}"/>
    <cellStyle name="_20061117Holux_ProgramWorkBook_SLM -CMS &amp; Storefront PM Workbook_FP_DW_Impl_ProgramWorkBook_11-Feb-2011 2" xfId="14604" xr:uid="{00000000-0005-0000-0000-0000B2380000}"/>
    <cellStyle name="_20061117Holux_ProgramWorkBook_SLM -CMS &amp; Storefront PM Workbook_FP_DW_Impl_ProgramWorkBook_11-Feb-2011 2_Steps of Doneness" xfId="14605" xr:uid="{00000000-0005-0000-0000-0000B3380000}"/>
    <cellStyle name="_20061117Holux_ProgramWorkBook_SLM -CMS &amp; Storefront PM Workbook_FP_DW_Impl_ProgramWorkBook_11-Feb-2011 3" xfId="14606" xr:uid="{00000000-0005-0000-0000-0000B4380000}"/>
    <cellStyle name="_20061117Holux_ProgramWorkBook_SLM -CMS &amp; Storefront PM Workbook_FP_DW_Impl_ProgramWorkBook_11-Feb-2011_Steps of Doneness" xfId="14607" xr:uid="{00000000-0005-0000-0000-0000B5380000}"/>
    <cellStyle name="_20061117Holux_ProgramWorkBook_SLM -CMS &amp; Storefront PM Workbook_FP_DW_Impl_ProgramWorkBook_18-Feb-2011 - Working" xfId="14608" xr:uid="{00000000-0005-0000-0000-0000B6380000}"/>
    <cellStyle name="_20061117Holux_ProgramWorkBook_SLM -CMS &amp; Storefront PM Workbook_FP_DW_Impl_ProgramWorkBook_18-Feb-2011 - Working 2" xfId="14609" xr:uid="{00000000-0005-0000-0000-0000B7380000}"/>
    <cellStyle name="_20061117Holux_ProgramWorkBook_SLM -CMS &amp; Storefront PM Workbook_FP_DW_Impl_ProgramWorkBook_18-Feb-2011 - Working 2_Steps of Doneness" xfId="14610" xr:uid="{00000000-0005-0000-0000-0000B8380000}"/>
    <cellStyle name="_20061117Holux_ProgramWorkBook_SLM -CMS &amp; Storefront PM Workbook_FP_DW_Impl_ProgramWorkBook_18-Feb-2011 - Working 3" xfId="14611" xr:uid="{00000000-0005-0000-0000-0000B9380000}"/>
    <cellStyle name="_20061117Holux_ProgramWorkBook_SLM -CMS &amp; Storefront PM Workbook_FP_DW_Impl_ProgramWorkBook_18-Feb-2011 - Working_Steps of Doneness" xfId="14612" xr:uid="{00000000-0005-0000-0000-0000BA380000}"/>
    <cellStyle name="_20061117Holux_ProgramWorkBook_SLM -CMS &amp; Storefront PM Workbook_FP_EnterprisePortal_ProgramWorkbook" xfId="14613" xr:uid="{00000000-0005-0000-0000-0000BB380000}"/>
    <cellStyle name="_20061117Holux_ProgramWorkBook_SLM -CMS &amp; Storefront PM Workbook_FP_EnterprisePortal_ProgramWorkbook 2" xfId="14614" xr:uid="{00000000-0005-0000-0000-0000BC380000}"/>
    <cellStyle name="_20061117Holux_ProgramWorkBook_SLM -CMS &amp; Storefront PM Workbook_FP_EnterprisePortal_ProgramWorkbook 2_Steps of Doneness" xfId="14615" xr:uid="{00000000-0005-0000-0000-0000BD380000}"/>
    <cellStyle name="_20061117Holux_ProgramWorkBook_SLM -CMS &amp; Storefront PM Workbook_FP_EnterprisePortal_ProgramWorkbook 3" xfId="14616" xr:uid="{00000000-0005-0000-0000-0000BE380000}"/>
    <cellStyle name="_20061117Holux_ProgramWorkBook_SLM -CMS &amp; Storefront PM Workbook_FP_EnterprisePortal_ProgramWorkbook_Steps of Doneness" xfId="14617" xr:uid="{00000000-0005-0000-0000-0000BF380000}"/>
    <cellStyle name="_20061117Holux_ProgramWorkBook_SLM -CMS &amp; Storefront PM Workbook_FP_SAP_MLP v2" xfId="14618" xr:uid="{00000000-0005-0000-0000-0000C0380000}"/>
    <cellStyle name="_20061117Holux_ProgramWorkBook_SLM -CMS &amp; Storefront PM Workbook_FP_SAP_MLP v2 2" xfId="14619" xr:uid="{00000000-0005-0000-0000-0000C1380000}"/>
    <cellStyle name="_20061117Holux_ProgramWorkBook_SLM -CMS &amp; Storefront PM Workbook_FP_SAP_MLP v2 2_Steps of Doneness" xfId="14620" xr:uid="{00000000-0005-0000-0000-0000C2380000}"/>
    <cellStyle name="_20061117Holux_ProgramWorkBook_SLM -CMS &amp; Storefront PM Workbook_FP_SAP_MLP v2 3" xfId="14621" xr:uid="{00000000-0005-0000-0000-0000C3380000}"/>
    <cellStyle name="_20061117Holux_ProgramWorkBook_SLM -CMS &amp; Storefront PM Workbook_FP_SAP_MLP v2_Steps of Doneness" xfId="14622" xr:uid="{00000000-0005-0000-0000-0000C4380000}"/>
    <cellStyle name="_20061117Holux_ProgramWorkBook_SLM -CMS &amp; Storefront PM Workbook_KeyDecisions" xfId="14623" xr:uid="{00000000-0005-0000-0000-0000C5380000}"/>
    <cellStyle name="_20061117Holux_ProgramWorkBook_SLM -CMS &amp; Storefront PM Workbook_KeyDecisions 2" xfId="14624" xr:uid="{00000000-0005-0000-0000-0000C6380000}"/>
    <cellStyle name="_20061117Holux_ProgramWorkBook_SLM -CMS &amp; Storefront PM Workbook_KeyDecisions 2_Steps of Doneness" xfId="14625" xr:uid="{00000000-0005-0000-0000-0000C7380000}"/>
    <cellStyle name="_20061117Holux_ProgramWorkBook_SLM -CMS &amp; Storefront PM Workbook_KeyDecisions 3" xfId="14626" xr:uid="{00000000-0005-0000-0000-0000C8380000}"/>
    <cellStyle name="_20061117Holux_ProgramWorkBook_SLM -CMS &amp; Storefront PM Workbook_KeyDecisions_Steps of Doneness" xfId="14627" xr:uid="{00000000-0005-0000-0000-0000C9380000}"/>
    <cellStyle name="_20061117Holux_ProgramWorkBook_SLM -CMS &amp; Storefront PM Workbook_Sophia_Imp_ProjectWorkBook_02_18_2011" xfId="14628" xr:uid="{00000000-0005-0000-0000-0000CA380000}"/>
    <cellStyle name="_20061117Holux_ProgramWorkBook_SLM -CMS &amp; Storefront PM Workbook_Sophia_Imp_ProjectWorkBook_02_18_2011 2" xfId="14629" xr:uid="{00000000-0005-0000-0000-0000CB380000}"/>
    <cellStyle name="_20061117Holux_ProgramWorkBook_SLM -CMS &amp; Storefront PM Workbook_Sophia_Imp_ProjectWorkBook_02_18_2011 2_Steps of Doneness" xfId="14630" xr:uid="{00000000-0005-0000-0000-0000CC380000}"/>
    <cellStyle name="_20061117Holux_ProgramWorkBook_SLM -CMS &amp; Storefront PM Workbook_Sophia_Imp_ProjectWorkBook_02_18_2011 3" xfId="14631" xr:uid="{00000000-0005-0000-0000-0000CD380000}"/>
    <cellStyle name="_20061117Holux_ProgramWorkBook_SLM -CMS &amp; Storefront PM Workbook_Sophia_Imp_ProjectWorkBook_02_18_2011_Steps of Doneness" xfId="14632" xr:uid="{00000000-0005-0000-0000-0000CE380000}"/>
    <cellStyle name="_20061117Holux_ProgramWorkBook_SLM -CMS &amp; Storefront PM Workbook_Steps of Doneness" xfId="14633" xr:uid="{00000000-0005-0000-0000-0000CF380000}"/>
    <cellStyle name="_20061117Holux_ProgramWorkBook_SLM -CMS &amp; Storefront PM Workbook_t" xfId="14634" xr:uid="{00000000-0005-0000-0000-0000D0380000}"/>
    <cellStyle name="_20061117Holux_ProgramWorkBook_SLM -CMS &amp; Storefront PM Workbook_t 2" xfId="14635" xr:uid="{00000000-0005-0000-0000-0000D1380000}"/>
    <cellStyle name="_20061117Holux_ProgramWorkBook_SLM -CMS &amp; Storefront PM Workbook_t 2_Steps of Doneness" xfId="14636" xr:uid="{00000000-0005-0000-0000-0000D2380000}"/>
    <cellStyle name="_20061117Holux_ProgramWorkBook_SLM -CMS &amp; Storefront PM Workbook_t 3" xfId="14637" xr:uid="{00000000-0005-0000-0000-0000D3380000}"/>
    <cellStyle name="_20061117Holux_ProgramWorkBook_SLM -CMS &amp; Storefront PM Workbook_t_Steps of Doneness" xfId="14638" xr:uid="{00000000-0005-0000-0000-0000D4380000}"/>
    <cellStyle name="_20061117Holux_ProgramWorkBook_slm_llp_0520" xfId="14639" xr:uid="{00000000-0005-0000-0000-0000D5380000}"/>
    <cellStyle name="_20061117Holux_ProgramWorkBook_slm_llp_0520 2" xfId="14640" xr:uid="{00000000-0005-0000-0000-0000D6380000}"/>
    <cellStyle name="_20061117Holux_ProgramWorkBook_slm_llp_0520 2 2" xfId="14641" xr:uid="{00000000-0005-0000-0000-0000D7380000}"/>
    <cellStyle name="_20061117Holux_ProgramWorkBook_slm_llp_0520 2 2_Steps of Doneness" xfId="14642" xr:uid="{00000000-0005-0000-0000-0000D8380000}"/>
    <cellStyle name="_20061117Holux_ProgramWorkBook_slm_llp_0520 2 3" xfId="14643" xr:uid="{00000000-0005-0000-0000-0000D9380000}"/>
    <cellStyle name="_20061117Holux_ProgramWorkBook_slm_llp_0520 2_Steps of Doneness" xfId="14644" xr:uid="{00000000-0005-0000-0000-0000DA380000}"/>
    <cellStyle name="_20061117Holux_ProgramWorkBook_slm_llp_0520 3" xfId="14645" xr:uid="{00000000-0005-0000-0000-0000DB380000}"/>
    <cellStyle name="_20061117Holux_ProgramWorkBook_slm_llp_0520 3 2" xfId="14646" xr:uid="{00000000-0005-0000-0000-0000DC380000}"/>
    <cellStyle name="_20061117Holux_ProgramWorkBook_slm_llp_0520 3 2_Steps of Doneness" xfId="14647" xr:uid="{00000000-0005-0000-0000-0000DD380000}"/>
    <cellStyle name="_20061117Holux_ProgramWorkBook_slm_llp_0520 3 3" xfId="14648" xr:uid="{00000000-0005-0000-0000-0000DE380000}"/>
    <cellStyle name="_20061117Holux_ProgramWorkBook_slm_llp_0520 3_Steps of Doneness" xfId="14649" xr:uid="{00000000-0005-0000-0000-0000DF380000}"/>
    <cellStyle name="_20061117Holux_ProgramWorkBook_slm_llp_0520 4" xfId="14650" xr:uid="{00000000-0005-0000-0000-0000E0380000}"/>
    <cellStyle name="_20061117Holux_ProgramWorkBook_slm_llp_0520 4_Steps of Doneness" xfId="14651" xr:uid="{00000000-0005-0000-0000-0000E1380000}"/>
    <cellStyle name="_20061117Holux_ProgramWorkBook_slm_llp_0520 5" xfId="14652" xr:uid="{00000000-0005-0000-0000-0000E2380000}"/>
    <cellStyle name="_20061117Holux_ProgramWorkBook_slm_llp_0520 6" xfId="14653" xr:uid="{00000000-0005-0000-0000-0000E3380000}"/>
    <cellStyle name="_20061117Holux_ProgramWorkBook_slm_llp_0520_Commissioning System Implementation_Project Workbook_06_10_2011" xfId="14654" xr:uid="{00000000-0005-0000-0000-0000E4380000}"/>
    <cellStyle name="_20061117Holux_ProgramWorkBook_slm_llp_0520_Commissioning System Implementation_Project Workbook_06_10_2011 2" xfId="14655" xr:uid="{00000000-0005-0000-0000-0000E5380000}"/>
    <cellStyle name="_20061117Holux_ProgramWorkBook_slm_llp_0520_Commissioning System Implementation_Project Workbook_06_10_2011 2_Steps of Doneness" xfId="14656" xr:uid="{00000000-0005-0000-0000-0000E6380000}"/>
    <cellStyle name="_20061117Holux_ProgramWorkBook_slm_llp_0520_Commissioning System Implementation_Project Workbook_06_10_2011 3" xfId="14657" xr:uid="{00000000-0005-0000-0000-0000E7380000}"/>
    <cellStyle name="_20061117Holux_ProgramWorkBook_slm_llp_0520_Commissioning System Implementation_Project Workbook_06_10_2011_Steps of Doneness" xfId="14658" xr:uid="{00000000-0005-0000-0000-0000E8380000}"/>
    <cellStyle name="_20061117Holux_ProgramWorkBook_slm_llp_0520_FairPoint_CampReport" xfId="14659" xr:uid="{00000000-0005-0000-0000-0000E9380000}"/>
    <cellStyle name="_20061117Holux_ProgramWorkBook_slm_llp_0520_FairPoint_CampReport 2" xfId="14660" xr:uid="{00000000-0005-0000-0000-0000EA380000}"/>
    <cellStyle name="_20061117Holux_ProgramWorkBook_slm_llp_0520_FairPoint_CampReport 2_Steps of Doneness" xfId="14661" xr:uid="{00000000-0005-0000-0000-0000EB380000}"/>
    <cellStyle name="_20061117Holux_ProgramWorkBook_slm_llp_0520_FairPoint_CampReport 3" xfId="14662" xr:uid="{00000000-0005-0000-0000-0000EC380000}"/>
    <cellStyle name="_20061117Holux_ProgramWorkBook_slm_llp_0520_FairPoint_CampReport_Steps of Doneness" xfId="14663" xr:uid="{00000000-0005-0000-0000-0000ED380000}"/>
    <cellStyle name="_20061117Holux_ProgramWorkBook_slm_llp_0520_FairPoint_FP comTechOps_ProgramWorkbook" xfId="14664" xr:uid="{00000000-0005-0000-0000-0000EE380000}"/>
    <cellStyle name="_20061117Holux_ProgramWorkBook_slm_llp_0520_FairPoint_FP comTechOps_ProgramWorkbook 2" xfId="14665" xr:uid="{00000000-0005-0000-0000-0000EF380000}"/>
    <cellStyle name="_20061117Holux_ProgramWorkBook_slm_llp_0520_FairPoint_FP comTechOps_ProgramWorkbook 2_Steps of Doneness" xfId="14666" xr:uid="{00000000-0005-0000-0000-0000F0380000}"/>
    <cellStyle name="_20061117Holux_ProgramWorkBook_slm_llp_0520_FairPoint_FP comTechOps_ProgramWorkbook 3" xfId="14667" xr:uid="{00000000-0005-0000-0000-0000F1380000}"/>
    <cellStyle name="_20061117Holux_ProgramWorkBook_slm_llp_0520_FairPoint_FP comTechOps_ProgramWorkbook_sachin" xfId="14668" xr:uid="{00000000-0005-0000-0000-0000F2380000}"/>
    <cellStyle name="_20061117Holux_ProgramWorkBook_slm_llp_0520_FairPoint_FP comTechOps_ProgramWorkbook_sachin 2" xfId="14669" xr:uid="{00000000-0005-0000-0000-0000F3380000}"/>
    <cellStyle name="_20061117Holux_ProgramWorkBook_slm_llp_0520_FairPoint_FP comTechOps_ProgramWorkbook_sachin 2_Steps of Doneness" xfId="14670" xr:uid="{00000000-0005-0000-0000-0000F4380000}"/>
    <cellStyle name="_20061117Holux_ProgramWorkBook_slm_llp_0520_FairPoint_FP comTechOps_ProgramWorkbook_sachin 3" xfId="14671" xr:uid="{00000000-0005-0000-0000-0000F5380000}"/>
    <cellStyle name="_20061117Holux_ProgramWorkBook_slm_llp_0520_FairPoint_FP comTechOps_ProgramWorkbook_sachin_Steps of Doneness" xfId="14672" xr:uid="{00000000-0005-0000-0000-0000F6380000}"/>
    <cellStyle name="_20061117Holux_ProgramWorkBook_slm_llp_0520_FairPoint_FP comTechOps_ProgramWorkbook_sachin_v1" xfId="14673" xr:uid="{00000000-0005-0000-0000-0000F7380000}"/>
    <cellStyle name="_20061117Holux_ProgramWorkBook_slm_llp_0520_FairPoint_FP comTechOps_ProgramWorkbook_sachin_v1 2" xfId="14674" xr:uid="{00000000-0005-0000-0000-0000F8380000}"/>
    <cellStyle name="_20061117Holux_ProgramWorkBook_slm_llp_0520_FairPoint_FP comTechOps_ProgramWorkbook_sachin_v1 2_Steps of Doneness" xfId="14675" xr:uid="{00000000-0005-0000-0000-0000F9380000}"/>
    <cellStyle name="_20061117Holux_ProgramWorkBook_slm_llp_0520_FairPoint_FP comTechOps_ProgramWorkbook_sachin_v1 3" xfId="14676" xr:uid="{00000000-0005-0000-0000-0000FA380000}"/>
    <cellStyle name="_20061117Holux_ProgramWorkBook_slm_llp_0520_FairPoint_FP comTechOps_ProgramWorkbook_sachin_v1_Steps of Doneness" xfId="14677" xr:uid="{00000000-0005-0000-0000-0000FB380000}"/>
    <cellStyle name="_20061117Holux_ProgramWorkBook_slm_llp_0520_FairPoint_FP comTechOps_ProgramWorkbook_Steps of Doneness" xfId="14678" xr:uid="{00000000-0005-0000-0000-0000FC380000}"/>
    <cellStyle name="_20061117Holux_ProgramWorkBook_slm_llp_0520_FP_CAMP&amp;ITReporting_Maintenance_Dashboard" xfId="14679" xr:uid="{00000000-0005-0000-0000-0000FD380000}"/>
    <cellStyle name="_20061117Holux_ProgramWorkBook_slm_llp_0520_FP_CAMP&amp;ITReporting_Maintenance_Dashboard 2" xfId="14680" xr:uid="{00000000-0005-0000-0000-0000FE380000}"/>
    <cellStyle name="_20061117Holux_ProgramWorkBook_slm_llp_0520_FP_CAMP&amp;ITReporting_Maintenance_Dashboard 2_Steps of Doneness" xfId="14681" xr:uid="{00000000-0005-0000-0000-0000FF380000}"/>
    <cellStyle name="_20061117Holux_ProgramWorkBook_slm_llp_0520_FP_CAMP&amp;ITReporting_Maintenance_Dashboard 3" xfId="14682" xr:uid="{00000000-0005-0000-0000-000000390000}"/>
    <cellStyle name="_20061117Holux_ProgramWorkBook_slm_llp_0520_FP_CAMP&amp;ITReporting_Maintenance_Dashboard_Steps of Doneness" xfId="14683" xr:uid="{00000000-0005-0000-0000-000001390000}"/>
    <cellStyle name="_20061117Holux_ProgramWorkBook_slm_llp_0520_FP_CAMPITReporting_Maintenance_Dashboard" xfId="14684" xr:uid="{00000000-0005-0000-0000-000002390000}"/>
    <cellStyle name="_20061117Holux_ProgramWorkBook_slm_llp_0520_FP_CAMPITReporting_Maintenance_Dashboard 2" xfId="14685" xr:uid="{00000000-0005-0000-0000-000003390000}"/>
    <cellStyle name="_20061117Holux_ProgramWorkBook_slm_llp_0520_FP_CAMPITReporting_Maintenance_Dashboard 2_Steps of Doneness" xfId="14686" xr:uid="{00000000-0005-0000-0000-000004390000}"/>
    <cellStyle name="_20061117Holux_ProgramWorkBook_slm_llp_0520_FP_CAMPITReporting_Maintenance_Dashboard 3" xfId="14687" xr:uid="{00000000-0005-0000-0000-000005390000}"/>
    <cellStyle name="_20061117Holux_ProgramWorkBook_slm_llp_0520_FP_CAMPITReporting_Maintenance_Dashboard_Steps of Doneness" xfId="14688" xr:uid="{00000000-0005-0000-0000-000006390000}"/>
    <cellStyle name="_20061117Holux_ProgramWorkBook_slm_llp_0520_FP_Commissions_Req_Dn_ProgramWorkBook_10-Dec-2010" xfId="14689" xr:uid="{00000000-0005-0000-0000-000007390000}"/>
    <cellStyle name="_20061117Holux_ProgramWorkBook_slm_llp_0520_FP_Commissions_Req_Dn_ProgramWorkBook_10-Dec-2010 2" xfId="14690" xr:uid="{00000000-0005-0000-0000-000008390000}"/>
    <cellStyle name="_20061117Holux_ProgramWorkBook_slm_llp_0520_FP_Commissions_Req_Dn_ProgramWorkBook_10-Dec-2010 2_Steps of Doneness" xfId="14691" xr:uid="{00000000-0005-0000-0000-000009390000}"/>
    <cellStyle name="_20061117Holux_ProgramWorkBook_slm_llp_0520_FP_Commissions_Req_Dn_ProgramWorkBook_10-Dec-2010 3" xfId="14692" xr:uid="{00000000-0005-0000-0000-00000A390000}"/>
    <cellStyle name="_20061117Holux_ProgramWorkBook_slm_llp_0520_FP_Commissions_Req_Dn_ProgramWorkBook_10-Dec-2010_Steps of Doneness" xfId="14693" xr:uid="{00000000-0005-0000-0000-00000B390000}"/>
    <cellStyle name="_20061117Holux_ProgramWorkBook_slm_llp_0520_FP_DW_Impl_ProgramWorkBook_07-Jan-2011" xfId="14694" xr:uid="{00000000-0005-0000-0000-00000C390000}"/>
    <cellStyle name="_20061117Holux_ProgramWorkBook_slm_llp_0520_FP_DW_Impl_ProgramWorkBook_07-Jan-2011 2" xfId="14695" xr:uid="{00000000-0005-0000-0000-00000D390000}"/>
    <cellStyle name="_20061117Holux_ProgramWorkBook_slm_llp_0520_FP_DW_Impl_ProgramWorkBook_07-Jan-2011 2 2" xfId="14696" xr:uid="{00000000-0005-0000-0000-00000E390000}"/>
    <cellStyle name="_20061117Holux_ProgramWorkBook_slm_llp_0520_FP_DW_Impl_ProgramWorkBook_07-Jan-2011 2 2_Steps of Doneness" xfId="14697" xr:uid="{00000000-0005-0000-0000-00000F390000}"/>
    <cellStyle name="_20061117Holux_ProgramWorkBook_slm_llp_0520_FP_DW_Impl_ProgramWorkBook_07-Jan-2011 2 3" xfId="14698" xr:uid="{00000000-0005-0000-0000-000010390000}"/>
    <cellStyle name="_20061117Holux_ProgramWorkBook_slm_llp_0520_FP_DW_Impl_ProgramWorkBook_07-Jan-2011 2_Steps of Doneness" xfId="14699" xr:uid="{00000000-0005-0000-0000-000011390000}"/>
    <cellStyle name="_20061117Holux_ProgramWorkBook_slm_llp_0520_FP_DW_Impl_ProgramWorkBook_07-Jan-2011 3" xfId="14700" xr:uid="{00000000-0005-0000-0000-000012390000}"/>
    <cellStyle name="_20061117Holux_ProgramWorkBook_slm_llp_0520_FP_DW_Impl_ProgramWorkBook_07-Jan-2011 3_Steps of Doneness" xfId="14701" xr:uid="{00000000-0005-0000-0000-000013390000}"/>
    <cellStyle name="_20061117Holux_ProgramWorkBook_slm_llp_0520_FP_DW_Impl_ProgramWorkBook_07-Jan-2011 4" xfId="14702" xr:uid="{00000000-0005-0000-0000-000014390000}"/>
    <cellStyle name="_20061117Holux_ProgramWorkBook_slm_llp_0520_FP_DW_Impl_ProgramWorkBook_07-Jan-2011_Steps of Doneness" xfId="14703" xr:uid="{00000000-0005-0000-0000-000015390000}"/>
    <cellStyle name="_20061117Holux_ProgramWorkBook_slm_llp_0520_FP_DW_Impl_ProgramWorkBook_11-Feb-2011" xfId="14704" xr:uid="{00000000-0005-0000-0000-000016390000}"/>
    <cellStyle name="_20061117Holux_ProgramWorkBook_slm_llp_0520_FP_DW_Impl_ProgramWorkBook_11-Feb-2011 2" xfId="14705" xr:uid="{00000000-0005-0000-0000-000017390000}"/>
    <cellStyle name="_20061117Holux_ProgramWorkBook_slm_llp_0520_FP_DW_Impl_ProgramWorkBook_11-Feb-2011 2_Steps of Doneness" xfId="14706" xr:uid="{00000000-0005-0000-0000-000018390000}"/>
    <cellStyle name="_20061117Holux_ProgramWorkBook_slm_llp_0520_FP_DW_Impl_ProgramWorkBook_11-Feb-2011 3" xfId="14707" xr:uid="{00000000-0005-0000-0000-000019390000}"/>
    <cellStyle name="_20061117Holux_ProgramWorkBook_slm_llp_0520_FP_DW_Impl_ProgramWorkBook_11-Feb-2011_Steps of Doneness" xfId="14708" xr:uid="{00000000-0005-0000-0000-00001A390000}"/>
    <cellStyle name="_20061117Holux_ProgramWorkBook_slm_llp_0520_FP_DW_Impl_ProgramWorkBook_18-Feb-2011 - Working" xfId="14709" xr:uid="{00000000-0005-0000-0000-00001B390000}"/>
    <cellStyle name="_20061117Holux_ProgramWorkBook_slm_llp_0520_FP_DW_Impl_ProgramWorkBook_18-Feb-2011 - Working 2" xfId="14710" xr:uid="{00000000-0005-0000-0000-00001C390000}"/>
    <cellStyle name="_20061117Holux_ProgramWorkBook_slm_llp_0520_FP_DW_Impl_ProgramWorkBook_18-Feb-2011 - Working 2_Steps of Doneness" xfId="14711" xr:uid="{00000000-0005-0000-0000-00001D390000}"/>
    <cellStyle name="_20061117Holux_ProgramWorkBook_slm_llp_0520_FP_DW_Impl_ProgramWorkBook_18-Feb-2011 - Working 3" xfId="14712" xr:uid="{00000000-0005-0000-0000-00001E390000}"/>
    <cellStyle name="_20061117Holux_ProgramWorkBook_slm_llp_0520_FP_DW_Impl_ProgramWorkBook_18-Feb-2011 - Working_Steps of Doneness" xfId="14713" xr:uid="{00000000-0005-0000-0000-00001F390000}"/>
    <cellStyle name="_20061117Holux_ProgramWorkBook_slm_llp_0520_FP_EnterprisePortal_ProgramWorkbook" xfId="14714" xr:uid="{00000000-0005-0000-0000-000020390000}"/>
    <cellStyle name="_20061117Holux_ProgramWorkBook_slm_llp_0520_FP_EnterprisePortal_ProgramWorkbook 2" xfId="14715" xr:uid="{00000000-0005-0000-0000-000021390000}"/>
    <cellStyle name="_20061117Holux_ProgramWorkBook_slm_llp_0520_FP_EnterprisePortal_ProgramWorkbook 2_Steps of Doneness" xfId="14716" xr:uid="{00000000-0005-0000-0000-000022390000}"/>
    <cellStyle name="_20061117Holux_ProgramWorkBook_slm_llp_0520_FP_EnterprisePortal_ProgramWorkbook 3" xfId="14717" xr:uid="{00000000-0005-0000-0000-000023390000}"/>
    <cellStyle name="_20061117Holux_ProgramWorkBook_slm_llp_0520_FP_EnterprisePortal_ProgramWorkbook_Steps of Doneness" xfId="14718" xr:uid="{00000000-0005-0000-0000-000024390000}"/>
    <cellStyle name="_20061117Holux_ProgramWorkBook_slm_llp_0520_FP_SAP_MLP v2" xfId="14719" xr:uid="{00000000-0005-0000-0000-000025390000}"/>
    <cellStyle name="_20061117Holux_ProgramWorkBook_slm_llp_0520_FP_SAP_MLP v2 2" xfId="14720" xr:uid="{00000000-0005-0000-0000-000026390000}"/>
    <cellStyle name="_20061117Holux_ProgramWorkBook_slm_llp_0520_FP_SAP_MLP v2 2_Steps of Doneness" xfId="14721" xr:uid="{00000000-0005-0000-0000-000027390000}"/>
    <cellStyle name="_20061117Holux_ProgramWorkBook_slm_llp_0520_FP_SAP_MLP v2 3" xfId="14722" xr:uid="{00000000-0005-0000-0000-000028390000}"/>
    <cellStyle name="_20061117Holux_ProgramWorkBook_slm_llp_0520_FP_SAP_MLP v2_Steps of Doneness" xfId="14723" xr:uid="{00000000-0005-0000-0000-000029390000}"/>
    <cellStyle name="_20061117Holux_ProgramWorkBook_slm_llp_0520_KeyDecisions" xfId="14724" xr:uid="{00000000-0005-0000-0000-00002A390000}"/>
    <cellStyle name="_20061117Holux_ProgramWorkBook_slm_llp_0520_KeyDecisions 2" xfId="14725" xr:uid="{00000000-0005-0000-0000-00002B390000}"/>
    <cellStyle name="_20061117Holux_ProgramWorkBook_slm_llp_0520_KeyDecisions 2_Steps of Doneness" xfId="14726" xr:uid="{00000000-0005-0000-0000-00002C390000}"/>
    <cellStyle name="_20061117Holux_ProgramWorkBook_slm_llp_0520_KeyDecisions 3" xfId="14727" xr:uid="{00000000-0005-0000-0000-00002D390000}"/>
    <cellStyle name="_20061117Holux_ProgramWorkBook_slm_llp_0520_KeyDecisions_Steps of Doneness" xfId="14728" xr:uid="{00000000-0005-0000-0000-00002E390000}"/>
    <cellStyle name="_20061117Holux_ProgramWorkBook_slm_llp_0520_Sophia_Imp_ProjectWorkBook_02_18_2011" xfId="14729" xr:uid="{00000000-0005-0000-0000-00002F390000}"/>
    <cellStyle name="_20061117Holux_ProgramWorkBook_slm_llp_0520_Sophia_Imp_ProjectWorkBook_02_18_2011 2" xfId="14730" xr:uid="{00000000-0005-0000-0000-000030390000}"/>
    <cellStyle name="_20061117Holux_ProgramWorkBook_slm_llp_0520_Sophia_Imp_ProjectWorkBook_02_18_2011 2_Steps of Doneness" xfId="14731" xr:uid="{00000000-0005-0000-0000-000031390000}"/>
    <cellStyle name="_20061117Holux_ProgramWorkBook_slm_llp_0520_Sophia_Imp_ProjectWorkBook_02_18_2011 3" xfId="14732" xr:uid="{00000000-0005-0000-0000-000032390000}"/>
    <cellStyle name="_20061117Holux_ProgramWorkBook_slm_llp_0520_Sophia_Imp_ProjectWorkBook_02_18_2011_Steps of Doneness" xfId="14733" xr:uid="{00000000-0005-0000-0000-000033390000}"/>
    <cellStyle name="_20061117Holux_ProgramWorkBook_slm_llp_0520_Steps of Doneness" xfId="14734" xr:uid="{00000000-0005-0000-0000-000034390000}"/>
    <cellStyle name="_20061117Holux_ProgramWorkBook_slm_llp_0520_t" xfId="14735" xr:uid="{00000000-0005-0000-0000-000035390000}"/>
    <cellStyle name="_20061117Holux_ProgramWorkBook_slm_llp_0520_t 2" xfId="14736" xr:uid="{00000000-0005-0000-0000-000036390000}"/>
    <cellStyle name="_20061117Holux_ProgramWorkBook_slm_llp_0520_t 2_Steps of Doneness" xfId="14737" xr:uid="{00000000-0005-0000-0000-000037390000}"/>
    <cellStyle name="_20061117Holux_ProgramWorkBook_slm_llp_0520_t 3" xfId="14738" xr:uid="{00000000-0005-0000-0000-000038390000}"/>
    <cellStyle name="_20061117Holux_ProgramWorkBook_slm_llp_0520_t_Steps of Doneness" xfId="14739" xr:uid="{00000000-0005-0000-0000-000039390000}"/>
    <cellStyle name="_20061117Holux_ProgramWorkBook_SLM_PM_Workbook_053110" xfId="14740" xr:uid="{00000000-0005-0000-0000-00003A390000}"/>
    <cellStyle name="_20061117Holux_ProgramWorkBook_SLM_PM_Workbook_053110 2" xfId="14741" xr:uid="{00000000-0005-0000-0000-00003B390000}"/>
    <cellStyle name="_20061117Holux_ProgramWorkBook_SLM_PM_Workbook_053110 2 2" xfId="14742" xr:uid="{00000000-0005-0000-0000-00003C390000}"/>
    <cellStyle name="_20061117Holux_ProgramWorkBook_SLM_PM_Workbook_053110 2 2_Steps of Doneness" xfId="14743" xr:uid="{00000000-0005-0000-0000-00003D390000}"/>
    <cellStyle name="_20061117Holux_ProgramWorkBook_SLM_PM_Workbook_053110 2 3" xfId="14744" xr:uid="{00000000-0005-0000-0000-00003E390000}"/>
    <cellStyle name="_20061117Holux_ProgramWorkBook_SLM_PM_Workbook_053110 2_Steps of Doneness" xfId="14745" xr:uid="{00000000-0005-0000-0000-00003F390000}"/>
    <cellStyle name="_20061117Holux_ProgramWorkBook_SLM_PM_Workbook_053110 3" xfId="14746" xr:uid="{00000000-0005-0000-0000-000040390000}"/>
    <cellStyle name="_20061117Holux_ProgramWorkBook_SLM_PM_Workbook_053110 3 2" xfId="14747" xr:uid="{00000000-0005-0000-0000-000041390000}"/>
    <cellStyle name="_20061117Holux_ProgramWorkBook_SLM_PM_Workbook_053110 3 2_Steps of Doneness" xfId="14748" xr:uid="{00000000-0005-0000-0000-000042390000}"/>
    <cellStyle name="_20061117Holux_ProgramWorkBook_SLM_PM_Workbook_053110 3 3" xfId="14749" xr:uid="{00000000-0005-0000-0000-000043390000}"/>
    <cellStyle name="_20061117Holux_ProgramWorkBook_SLM_PM_Workbook_053110 3_Steps of Doneness" xfId="14750" xr:uid="{00000000-0005-0000-0000-000044390000}"/>
    <cellStyle name="_20061117Holux_ProgramWorkBook_SLM_PM_Workbook_053110 4" xfId="14751" xr:uid="{00000000-0005-0000-0000-000045390000}"/>
    <cellStyle name="_20061117Holux_ProgramWorkBook_SLM_PM_Workbook_053110 4_Steps of Doneness" xfId="14752" xr:uid="{00000000-0005-0000-0000-000046390000}"/>
    <cellStyle name="_20061117Holux_ProgramWorkBook_SLM_PM_Workbook_053110 5" xfId="14753" xr:uid="{00000000-0005-0000-0000-000047390000}"/>
    <cellStyle name="_20061117Holux_ProgramWorkBook_SLM_PM_Workbook_053110 6" xfId="14754" xr:uid="{00000000-0005-0000-0000-000048390000}"/>
    <cellStyle name="_20061117Holux_ProgramWorkBook_SLM_PM_Workbook_053110_Commissioning System Implementation_Project Workbook_06_10_2011" xfId="14755" xr:uid="{00000000-0005-0000-0000-000049390000}"/>
    <cellStyle name="_20061117Holux_ProgramWorkBook_SLM_PM_Workbook_053110_Commissioning System Implementation_Project Workbook_06_10_2011 2" xfId="14756" xr:uid="{00000000-0005-0000-0000-00004A390000}"/>
    <cellStyle name="_20061117Holux_ProgramWorkBook_SLM_PM_Workbook_053110_Commissioning System Implementation_Project Workbook_06_10_2011 2_Steps of Doneness" xfId="14757" xr:uid="{00000000-0005-0000-0000-00004B390000}"/>
    <cellStyle name="_20061117Holux_ProgramWorkBook_SLM_PM_Workbook_053110_Commissioning System Implementation_Project Workbook_06_10_2011 3" xfId="14758" xr:uid="{00000000-0005-0000-0000-00004C390000}"/>
    <cellStyle name="_20061117Holux_ProgramWorkBook_SLM_PM_Workbook_053110_Commissioning System Implementation_Project Workbook_06_10_2011_Steps of Doneness" xfId="14759" xr:uid="{00000000-0005-0000-0000-00004D390000}"/>
    <cellStyle name="_20061117Holux_ProgramWorkBook_SLM_PM_Workbook_053110_FairPoint_CampReport" xfId="14760" xr:uid="{00000000-0005-0000-0000-00004E390000}"/>
    <cellStyle name="_20061117Holux_ProgramWorkBook_SLM_PM_Workbook_053110_FairPoint_CampReport 2" xfId="14761" xr:uid="{00000000-0005-0000-0000-00004F390000}"/>
    <cellStyle name="_20061117Holux_ProgramWorkBook_SLM_PM_Workbook_053110_FairPoint_CampReport 2_Steps of Doneness" xfId="14762" xr:uid="{00000000-0005-0000-0000-000050390000}"/>
    <cellStyle name="_20061117Holux_ProgramWorkBook_SLM_PM_Workbook_053110_FairPoint_CampReport 3" xfId="14763" xr:uid="{00000000-0005-0000-0000-000051390000}"/>
    <cellStyle name="_20061117Holux_ProgramWorkBook_SLM_PM_Workbook_053110_FairPoint_CampReport_Steps of Doneness" xfId="14764" xr:uid="{00000000-0005-0000-0000-000052390000}"/>
    <cellStyle name="_20061117Holux_ProgramWorkBook_SLM_PM_Workbook_053110_FairPoint_FP comTechOps_ProgramWorkbook" xfId="14765" xr:uid="{00000000-0005-0000-0000-000053390000}"/>
    <cellStyle name="_20061117Holux_ProgramWorkBook_SLM_PM_Workbook_053110_FairPoint_FP comTechOps_ProgramWorkbook 2" xfId="14766" xr:uid="{00000000-0005-0000-0000-000054390000}"/>
    <cellStyle name="_20061117Holux_ProgramWorkBook_SLM_PM_Workbook_053110_FairPoint_FP comTechOps_ProgramWorkbook 2_Steps of Doneness" xfId="14767" xr:uid="{00000000-0005-0000-0000-000055390000}"/>
    <cellStyle name="_20061117Holux_ProgramWorkBook_SLM_PM_Workbook_053110_FairPoint_FP comTechOps_ProgramWorkbook 3" xfId="14768" xr:uid="{00000000-0005-0000-0000-000056390000}"/>
    <cellStyle name="_20061117Holux_ProgramWorkBook_SLM_PM_Workbook_053110_FairPoint_FP comTechOps_ProgramWorkbook_sachin" xfId="14769" xr:uid="{00000000-0005-0000-0000-000057390000}"/>
    <cellStyle name="_20061117Holux_ProgramWorkBook_SLM_PM_Workbook_053110_FairPoint_FP comTechOps_ProgramWorkbook_sachin 2" xfId="14770" xr:uid="{00000000-0005-0000-0000-000058390000}"/>
    <cellStyle name="_20061117Holux_ProgramWorkBook_SLM_PM_Workbook_053110_FairPoint_FP comTechOps_ProgramWorkbook_sachin 2_Steps of Doneness" xfId="14771" xr:uid="{00000000-0005-0000-0000-000059390000}"/>
    <cellStyle name="_20061117Holux_ProgramWorkBook_SLM_PM_Workbook_053110_FairPoint_FP comTechOps_ProgramWorkbook_sachin 3" xfId="14772" xr:uid="{00000000-0005-0000-0000-00005A390000}"/>
    <cellStyle name="_20061117Holux_ProgramWorkBook_SLM_PM_Workbook_053110_FairPoint_FP comTechOps_ProgramWorkbook_sachin_Steps of Doneness" xfId="14773" xr:uid="{00000000-0005-0000-0000-00005B390000}"/>
    <cellStyle name="_20061117Holux_ProgramWorkBook_SLM_PM_Workbook_053110_FairPoint_FP comTechOps_ProgramWorkbook_sachin_v1" xfId="14774" xr:uid="{00000000-0005-0000-0000-00005C390000}"/>
    <cellStyle name="_20061117Holux_ProgramWorkBook_SLM_PM_Workbook_053110_FairPoint_FP comTechOps_ProgramWorkbook_sachin_v1 2" xfId="14775" xr:uid="{00000000-0005-0000-0000-00005D390000}"/>
    <cellStyle name="_20061117Holux_ProgramWorkBook_SLM_PM_Workbook_053110_FairPoint_FP comTechOps_ProgramWorkbook_sachin_v1 2_Steps of Doneness" xfId="14776" xr:uid="{00000000-0005-0000-0000-00005E390000}"/>
    <cellStyle name="_20061117Holux_ProgramWorkBook_SLM_PM_Workbook_053110_FairPoint_FP comTechOps_ProgramWorkbook_sachin_v1 3" xfId="14777" xr:uid="{00000000-0005-0000-0000-00005F390000}"/>
    <cellStyle name="_20061117Holux_ProgramWorkBook_SLM_PM_Workbook_053110_FairPoint_FP comTechOps_ProgramWorkbook_sachin_v1_Steps of Doneness" xfId="14778" xr:uid="{00000000-0005-0000-0000-000060390000}"/>
    <cellStyle name="_20061117Holux_ProgramWorkBook_SLM_PM_Workbook_053110_FairPoint_FP comTechOps_ProgramWorkbook_Steps of Doneness" xfId="14779" xr:uid="{00000000-0005-0000-0000-000061390000}"/>
    <cellStyle name="_20061117Holux_ProgramWorkBook_SLM_PM_Workbook_053110_FP_CAMP&amp;ITReporting_Maintenance_Dashboard" xfId="14780" xr:uid="{00000000-0005-0000-0000-000062390000}"/>
    <cellStyle name="_20061117Holux_ProgramWorkBook_SLM_PM_Workbook_053110_FP_CAMP&amp;ITReporting_Maintenance_Dashboard 2" xfId="14781" xr:uid="{00000000-0005-0000-0000-000063390000}"/>
    <cellStyle name="_20061117Holux_ProgramWorkBook_SLM_PM_Workbook_053110_FP_CAMP&amp;ITReporting_Maintenance_Dashboard 2_Steps of Doneness" xfId="14782" xr:uid="{00000000-0005-0000-0000-000064390000}"/>
    <cellStyle name="_20061117Holux_ProgramWorkBook_SLM_PM_Workbook_053110_FP_CAMP&amp;ITReporting_Maintenance_Dashboard 3" xfId="14783" xr:uid="{00000000-0005-0000-0000-000065390000}"/>
    <cellStyle name="_20061117Holux_ProgramWorkBook_SLM_PM_Workbook_053110_FP_CAMP&amp;ITReporting_Maintenance_Dashboard_Steps of Doneness" xfId="14784" xr:uid="{00000000-0005-0000-0000-000066390000}"/>
    <cellStyle name="_20061117Holux_ProgramWorkBook_SLM_PM_Workbook_053110_FP_CAMPITReporting_Maintenance_Dashboard" xfId="14785" xr:uid="{00000000-0005-0000-0000-000067390000}"/>
    <cellStyle name="_20061117Holux_ProgramWorkBook_SLM_PM_Workbook_053110_FP_CAMPITReporting_Maintenance_Dashboard 2" xfId="14786" xr:uid="{00000000-0005-0000-0000-000068390000}"/>
    <cellStyle name="_20061117Holux_ProgramWorkBook_SLM_PM_Workbook_053110_FP_CAMPITReporting_Maintenance_Dashboard 2_Steps of Doneness" xfId="14787" xr:uid="{00000000-0005-0000-0000-000069390000}"/>
    <cellStyle name="_20061117Holux_ProgramWorkBook_SLM_PM_Workbook_053110_FP_CAMPITReporting_Maintenance_Dashboard 3" xfId="14788" xr:uid="{00000000-0005-0000-0000-00006A390000}"/>
    <cellStyle name="_20061117Holux_ProgramWorkBook_SLM_PM_Workbook_053110_FP_CAMPITReporting_Maintenance_Dashboard_Steps of Doneness" xfId="14789" xr:uid="{00000000-0005-0000-0000-00006B390000}"/>
    <cellStyle name="_20061117Holux_ProgramWorkBook_SLM_PM_Workbook_053110_FP_Commissions_Req_Dn_ProgramWorkBook_10-Dec-2010" xfId="14790" xr:uid="{00000000-0005-0000-0000-00006C390000}"/>
    <cellStyle name="_20061117Holux_ProgramWorkBook_SLM_PM_Workbook_053110_FP_Commissions_Req_Dn_ProgramWorkBook_10-Dec-2010 2" xfId="14791" xr:uid="{00000000-0005-0000-0000-00006D390000}"/>
    <cellStyle name="_20061117Holux_ProgramWorkBook_SLM_PM_Workbook_053110_FP_Commissions_Req_Dn_ProgramWorkBook_10-Dec-2010 2_Steps of Doneness" xfId="14792" xr:uid="{00000000-0005-0000-0000-00006E390000}"/>
    <cellStyle name="_20061117Holux_ProgramWorkBook_SLM_PM_Workbook_053110_FP_Commissions_Req_Dn_ProgramWorkBook_10-Dec-2010 3" xfId="14793" xr:uid="{00000000-0005-0000-0000-00006F390000}"/>
    <cellStyle name="_20061117Holux_ProgramWorkBook_SLM_PM_Workbook_053110_FP_Commissions_Req_Dn_ProgramWorkBook_10-Dec-2010_Steps of Doneness" xfId="14794" xr:uid="{00000000-0005-0000-0000-000070390000}"/>
    <cellStyle name="_20061117Holux_ProgramWorkBook_SLM_PM_Workbook_053110_FP_DW_Impl_ProgramWorkBook_07-Jan-2011" xfId="14795" xr:uid="{00000000-0005-0000-0000-000071390000}"/>
    <cellStyle name="_20061117Holux_ProgramWorkBook_SLM_PM_Workbook_053110_FP_DW_Impl_ProgramWorkBook_07-Jan-2011 2" xfId="14796" xr:uid="{00000000-0005-0000-0000-000072390000}"/>
    <cellStyle name="_20061117Holux_ProgramWorkBook_SLM_PM_Workbook_053110_FP_DW_Impl_ProgramWorkBook_07-Jan-2011 2 2" xfId="14797" xr:uid="{00000000-0005-0000-0000-000073390000}"/>
    <cellStyle name="_20061117Holux_ProgramWorkBook_SLM_PM_Workbook_053110_FP_DW_Impl_ProgramWorkBook_07-Jan-2011 2 2_Steps of Doneness" xfId="14798" xr:uid="{00000000-0005-0000-0000-000074390000}"/>
    <cellStyle name="_20061117Holux_ProgramWorkBook_SLM_PM_Workbook_053110_FP_DW_Impl_ProgramWorkBook_07-Jan-2011 2 3" xfId="14799" xr:uid="{00000000-0005-0000-0000-000075390000}"/>
    <cellStyle name="_20061117Holux_ProgramWorkBook_SLM_PM_Workbook_053110_FP_DW_Impl_ProgramWorkBook_07-Jan-2011 2_Steps of Doneness" xfId="14800" xr:uid="{00000000-0005-0000-0000-000076390000}"/>
    <cellStyle name="_20061117Holux_ProgramWorkBook_SLM_PM_Workbook_053110_FP_DW_Impl_ProgramWorkBook_07-Jan-2011 3" xfId="14801" xr:uid="{00000000-0005-0000-0000-000077390000}"/>
    <cellStyle name="_20061117Holux_ProgramWorkBook_SLM_PM_Workbook_053110_FP_DW_Impl_ProgramWorkBook_07-Jan-2011 3_Steps of Doneness" xfId="14802" xr:uid="{00000000-0005-0000-0000-000078390000}"/>
    <cellStyle name="_20061117Holux_ProgramWorkBook_SLM_PM_Workbook_053110_FP_DW_Impl_ProgramWorkBook_07-Jan-2011 4" xfId="14803" xr:uid="{00000000-0005-0000-0000-000079390000}"/>
    <cellStyle name="_20061117Holux_ProgramWorkBook_SLM_PM_Workbook_053110_FP_DW_Impl_ProgramWorkBook_07-Jan-2011_Steps of Doneness" xfId="14804" xr:uid="{00000000-0005-0000-0000-00007A390000}"/>
    <cellStyle name="_20061117Holux_ProgramWorkBook_SLM_PM_Workbook_053110_FP_DW_Impl_ProgramWorkBook_11-Feb-2011" xfId="14805" xr:uid="{00000000-0005-0000-0000-00007B390000}"/>
    <cellStyle name="_20061117Holux_ProgramWorkBook_SLM_PM_Workbook_053110_FP_DW_Impl_ProgramWorkBook_11-Feb-2011 2" xfId="14806" xr:uid="{00000000-0005-0000-0000-00007C390000}"/>
    <cellStyle name="_20061117Holux_ProgramWorkBook_SLM_PM_Workbook_053110_FP_DW_Impl_ProgramWorkBook_11-Feb-2011 2_Steps of Doneness" xfId="14807" xr:uid="{00000000-0005-0000-0000-00007D390000}"/>
    <cellStyle name="_20061117Holux_ProgramWorkBook_SLM_PM_Workbook_053110_FP_DW_Impl_ProgramWorkBook_11-Feb-2011 3" xfId="14808" xr:uid="{00000000-0005-0000-0000-00007E390000}"/>
    <cellStyle name="_20061117Holux_ProgramWorkBook_SLM_PM_Workbook_053110_FP_DW_Impl_ProgramWorkBook_11-Feb-2011_Steps of Doneness" xfId="14809" xr:uid="{00000000-0005-0000-0000-00007F390000}"/>
    <cellStyle name="_20061117Holux_ProgramWorkBook_SLM_PM_Workbook_053110_FP_DW_Impl_ProgramWorkBook_18-Feb-2011 - Working" xfId="14810" xr:uid="{00000000-0005-0000-0000-000080390000}"/>
    <cellStyle name="_20061117Holux_ProgramWorkBook_SLM_PM_Workbook_053110_FP_DW_Impl_ProgramWorkBook_18-Feb-2011 - Working 2" xfId="14811" xr:uid="{00000000-0005-0000-0000-000081390000}"/>
    <cellStyle name="_20061117Holux_ProgramWorkBook_SLM_PM_Workbook_053110_FP_DW_Impl_ProgramWorkBook_18-Feb-2011 - Working 2_Steps of Doneness" xfId="14812" xr:uid="{00000000-0005-0000-0000-000082390000}"/>
    <cellStyle name="_20061117Holux_ProgramWorkBook_SLM_PM_Workbook_053110_FP_DW_Impl_ProgramWorkBook_18-Feb-2011 - Working 3" xfId="14813" xr:uid="{00000000-0005-0000-0000-000083390000}"/>
    <cellStyle name="_20061117Holux_ProgramWorkBook_SLM_PM_Workbook_053110_FP_DW_Impl_ProgramWorkBook_18-Feb-2011 - Working_Steps of Doneness" xfId="14814" xr:uid="{00000000-0005-0000-0000-000084390000}"/>
    <cellStyle name="_20061117Holux_ProgramWorkBook_SLM_PM_Workbook_053110_FP_EnterprisePortal_ProgramWorkbook" xfId="14815" xr:uid="{00000000-0005-0000-0000-000085390000}"/>
    <cellStyle name="_20061117Holux_ProgramWorkBook_SLM_PM_Workbook_053110_FP_EnterprisePortal_ProgramWorkbook 2" xfId="14816" xr:uid="{00000000-0005-0000-0000-000086390000}"/>
    <cellStyle name="_20061117Holux_ProgramWorkBook_SLM_PM_Workbook_053110_FP_EnterprisePortal_ProgramWorkbook 2_Steps of Doneness" xfId="14817" xr:uid="{00000000-0005-0000-0000-000087390000}"/>
    <cellStyle name="_20061117Holux_ProgramWorkBook_SLM_PM_Workbook_053110_FP_EnterprisePortal_ProgramWorkbook 3" xfId="14818" xr:uid="{00000000-0005-0000-0000-000088390000}"/>
    <cellStyle name="_20061117Holux_ProgramWorkBook_SLM_PM_Workbook_053110_FP_EnterprisePortal_ProgramWorkbook_Steps of Doneness" xfId="14819" xr:uid="{00000000-0005-0000-0000-000089390000}"/>
    <cellStyle name="_20061117Holux_ProgramWorkBook_SLM_PM_Workbook_053110_FP_SAP_MLP v2" xfId="14820" xr:uid="{00000000-0005-0000-0000-00008A390000}"/>
    <cellStyle name="_20061117Holux_ProgramWorkBook_SLM_PM_Workbook_053110_FP_SAP_MLP v2 2" xfId="14821" xr:uid="{00000000-0005-0000-0000-00008B390000}"/>
    <cellStyle name="_20061117Holux_ProgramWorkBook_SLM_PM_Workbook_053110_FP_SAP_MLP v2 2_Steps of Doneness" xfId="14822" xr:uid="{00000000-0005-0000-0000-00008C390000}"/>
    <cellStyle name="_20061117Holux_ProgramWorkBook_SLM_PM_Workbook_053110_FP_SAP_MLP v2 3" xfId="14823" xr:uid="{00000000-0005-0000-0000-00008D390000}"/>
    <cellStyle name="_20061117Holux_ProgramWorkBook_SLM_PM_Workbook_053110_FP_SAP_MLP v2_Steps of Doneness" xfId="14824" xr:uid="{00000000-0005-0000-0000-00008E390000}"/>
    <cellStyle name="_20061117Holux_ProgramWorkBook_SLM_PM_Workbook_053110_KeyDecisions" xfId="14825" xr:uid="{00000000-0005-0000-0000-00008F390000}"/>
    <cellStyle name="_20061117Holux_ProgramWorkBook_SLM_PM_Workbook_053110_KeyDecisions 2" xfId="14826" xr:uid="{00000000-0005-0000-0000-000090390000}"/>
    <cellStyle name="_20061117Holux_ProgramWorkBook_SLM_PM_Workbook_053110_KeyDecisions 2_Steps of Doneness" xfId="14827" xr:uid="{00000000-0005-0000-0000-000091390000}"/>
    <cellStyle name="_20061117Holux_ProgramWorkBook_SLM_PM_Workbook_053110_KeyDecisions 3" xfId="14828" xr:uid="{00000000-0005-0000-0000-000092390000}"/>
    <cellStyle name="_20061117Holux_ProgramWorkBook_SLM_PM_Workbook_053110_KeyDecisions_Steps of Doneness" xfId="14829" xr:uid="{00000000-0005-0000-0000-000093390000}"/>
    <cellStyle name="_20061117Holux_ProgramWorkBook_SLM_PM_Workbook_053110_Sophia_Imp_ProjectWorkBook_02_18_2011" xfId="14830" xr:uid="{00000000-0005-0000-0000-000094390000}"/>
    <cellStyle name="_20061117Holux_ProgramWorkBook_SLM_PM_Workbook_053110_Sophia_Imp_ProjectWorkBook_02_18_2011 2" xfId="14831" xr:uid="{00000000-0005-0000-0000-000095390000}"/>
    <cellStyle name="_20061117Holux_ProgramWorkBook_SLM_PM_Workbook_053110_Sophia_Imp_ProjectWorkBook_02_18_2011 2_Steps of Doneness" xfId="14832" xr:uid="{00000000-0005-0000-0000-000096390000}"/>
    <cellStyle name="_20061117Holux_ProgramWorkBook_SLM_PM_Workbook_053110_Sophia_Imp_ProjectWorkBook_02_18_2011 3" xfId="14833" xr:uid="{00000000-0005-0000-0000-000097390000}"/>
    <cellStyle name="_20061117Holux_ProgramWorkBook_SLM_PM_Workbook_053110_Sophia_Imp_ProjectWorkBook_02_18_2011_Steps of Doneness" xfId="14834" xr:uid="{00000000-0005-0000-0000-000098390000}"/>
    <cellStyle name="_20061117Holux_ProgramWorkBook_SLM_PM_Workbook_053110_Steps of Doneness" xfId="14835" xr:uid="{00000000-0005-0000-0000-000099390000}"/>
    <cellStyle name="_20061117Holux_ProgramWorkBook_SLM_PM_Workbook_053110_t" xfId="14836" xr:uid="{00000000-0005-0000-0000-00009A390000}"/>
    <cellStyle name="_20061117Holux_ProgramWorkBook_SLM_PM_Workbook_053110_t 2" xfId="14837" xr:uid="{00000000-0005-0000-0000-00009B390000}"/>
    <cellStyle name="_20061117Holux_ProgramWorkBook_SLM_PM_Workbook_053110_t 2_Steps of Doneness" xfId="14838" xr:uid="{00000000-0005-0000-0000-00009C390000}"/>
    <cellStyle name="_20061117Holux_ProgramWorkBook_SLM_PM_Workbook_053110_t 3" xfId="14839" xr:uid="{00000000-0005-0000-0000-00009D390000}"/>
    <cellStyle name="_20061117Holux_ProgramWorkBook_SLM_PM_Workbook_053110_t_Steps of Doneness" xfId="14840" xr:uid="{00000000-0005-0000-0000-00009E390000}"/>
    <cellStyle name="_20061117Holux_ProgramWorkBook_SLM_PMO_Workbook_060910" xfId="14841" xr:uid="{00000000-0005-0000-0000-00009F390000}"/>
    <cellStyle name="_20061117Holux_ProgramWorkBook_SLM_PMO_Workbook_060910 2" xfId="14842" xr:uid="{00000000-0005-0000-0000-0000A0390000}"/>
    <cellStyle name="_20061117Holux_ProgramWorkBook_SLM_PMO_Workbook_060910 2 2" xfId="14843" xr:uid="{00000000-0005-0000-0000-0000A1390000}"/>
    <cellStyle name="_20061117Holux_ProgramWorkBook_SLM_PMO_Workbook_060910 2 2_Steps of Doneness" xfId="14844" xr:uid="{00000000-0005-0000-0000-0000A2390000}"/>
    <cellStyle name="_20061117Holux_ProgramWorkBook_SLM_PMO_Workbook_060910 2 3" xfId="14845" xr:uid="{00000000-0005-0000-0000-0000A3390000}"/>
    <cellStyle name="_20061117Holux_ProgramWorkBook_SLM_PMO_Workbook_060910 2_Steps of Doneness" xfId="14846" xr:uid="{00000000-0005-0000-0000-0000A4390000}"/>
    <cellStyle name="_20061117Holux_ProgramWorkBook_SLM_PMO_Workbook_060910 3" xfId="14847" xr:uid="{00000000-0005-0000-0000-0000A5390000}"/>
    <cellStyle name="_20061117Holux_ProgramWorkBook_SLM_PMO_Workbook_060910 3 2" xfId="14848" xr:uid="{00000000-0005-0000-0000-0000A6390000}"/>
    <cellStyle name="_20061117Holux_ProgramWorkBook_SLM_PMO_Workbook_060910 3 2_Steps of Doneness" xfId="14849" xr:uid="{00000000-0005-0000-0000-0000A7390000}"/>
    <cellStyle name="_20061117Holux_ProgramWorkBook_SLM_PMO_Workbook_060910 3 3" xfId="14850" xr:uid="{00000000-0005-0000-0000-0000A8390000}"/>
    <cellStyle name="_20061117Holux_ProgramWorkBook_SLM_PMO_Workbook_060910 3_Steps of Doneness" xfId="14851" xr:uid="{00000000-0005-0000-0000-0000A9390000}"/>
    <cellStyle name="_20061117Holux_ProgramWorkBook_SLM_PMO_Workbook_060910 4" xfId="14852" xr:uid="{00000000-0005-0000-0000-0000AA390000}"/>
    <cellStyle name="_20061117Holux_ProgramWorkBook_SLM_PMO_Workbook_060910 4_Steps of Doneness" xfId="14853" xr:uid="{00000000-0005-0000-0000-0000AB390000}"/>
    <cellStyle name="_20061117Holux_ProgramWorkBook_SLM_PMO_Workbook_060910 5" xfId="14854" xr:uid="{00000000-0005-0000-0000-0000AC390000}"/>
    <cellStyle name="_20061117Holux_ProgramWorkBook_SLM_PMO_Workbook_060910 6" xfId="14855" xr:uid="{00000000-0005-0000-0000-0000AD390000}"/>
    <cellStyle name="_20061117Holux_ProgramWorkBook_SLM_PMO_Workbook_060910_Commissioning System Implementation_Project Workbook_06_10_2011" xfId="14856" xr:uid="{00000000-0005-0000-0000-0000AE390000}"/>
    <cellStyle name="_20061117Holux_ProgramWorkBook_SLM_PMO_Workbook_060910_Commissioning System Implementation_Project Workbook_06_10_2011 2" xfId="14857" xr:uid="{00000000-0005-0000-0000-0000AF390000}"/>
    <cellStyle name="_20061117Holux_ProgramWorkBook_SLM_PMO_Workbook_060910_Commissioning System Implementation_Project Workbook_06_10_2011 2_Steps of Doneness" xfId="14858" xr:uid="{00000000-0005-0000-0000-0000B0390000}"/>
    <cellStyle name="_20061117Holux_ProgramWorkBook_SLM_PMO_Workbook_060910_Commissioning System Implementation_Project Workbook_06_10_2011 3" xfId="14859" xr:uid="{00000000-0005-0000-0000-0000B1390000}"/>
    <cellStyle name="_20061117Holux_ProgramWorkBook_SLM_PMO_Workbook_060910_Commissioning System Implementation_Project Workbook_06_10_2011_Steps of Doneness" xfId="14860" xr:uid="{00000000-0005-0000-0000-0000B2390000}"/>
    <cellStyle name="_20061117Holux_ProgramWorkBook_SLM_PMO_Workbook_060910_FairPoint_CampReport" xfId="14861" xr:uid="{00000000-0005-0000-0000-0000B3390000}"/>
    <cellStyle name="_20061117Holux_ProgramWorkBook_SLM_PMO_Workbook_060910_FairPoint_CampReport 2" xfId="14862" xr:uid="{00000000-0005-0000-0000-0000B4390000}"/>
    <cellStyle name="_20061117Holux_ProgramWorkBook_SLM_PMO_Workbook_060910_FairPoint_CampReport 2_Steps of Doneness" xfId="14863" xr:uid="{00000000-0005-0000-0000-0000B5390000}"/>
    <cellStyle name="_20061117Holux_ProgramWorkBook_SLM_PMO_Workbook_060910_FairPoint_CampReport 3" xfId="14864" xr:uid="{00000000-0005-0000-0000-0000B6390000}"/>
    <cellStyle name="_20061117Holux_ProgramWorkBook_SLM_PMO_Workbook_060910_FairPoint_CampReport_Steps of Doneness" xfId="14865" xr:uid="{00000000-0005-0000-0000-0000B7390000}"/>
    <cellStyle name="_20061117Holux_ProgramWorkBook_SLM_PMO_Workbook_060910_FairPoint_FP comTechOps_ProgramWorkbook" xfId="14866" xr:uid="{00000000-0005-0000-0000-0000B8390000}"/>
    <cellStyle name="_20061117Holux_ProgramWorkBook_SLM_PMO_Workbook_060910_FairPoint_FP comTechOps_ProgramWorkbook 2" xfId="14867" xr:uid="{00000000-0005-0000-0000-0000B9390000}"/>
    <cellStyle name="_20061117Holux_ProgramWorkBook_SLM_PMO_Workbook_060910_FairPoint_FP comTechOps_ProgramWorkbook 2_Steps of Doneness" xfId="14868" xr:uid="{00000000-0005-0000-0000-0000BA390000}"/>
    <cellStyle name="_20061117Holux_ProgramWorkBook_SLM_PMO_Workbook_060910_FairPoint_FP comTechOps_ProgramWorkbook 3" xfId="14869" xr:uid="{00000000-0005-0000-0000-0000BB390000}"/>
    <cellStyle name="_20061117Holux_ProgramWorkBook_SLM_PMO_Workbook_060910_FairPoint_FP comTechOps_ProgramWorkbook_sachin" xfId="14870" xr:uid="{00000000-0005-0000-0000-0000BC390000}"/>
    <cellStyle name="_20061117Holux_ProgramWorkBook_SLM_PMO_Workbook_060910_FairPoint_FP comTechOps_ProgramWorkbook_sachin 2" xfId="14871" xr:uid="{00000000-0005-0000-0000-0000BD390000}"/>
    <cellStyle name="_20061117Holux_ProgramWorkBook_SLM_PMO_Workbook_060910_FairPoint_FP comTechOps_ProgramWorkbook_sachin 2_Steps of Doneness" xfId="14872" xr:uid="{00000000-0005-0000-0000-0000BE390000}"/>
    <cellStyle name="_20061117Holux_ProgramWorkBook_SLM_PMO_Workbook_060910_FairPoint_FP comTechOps_ProgramWorkbook_sachin 3" xfId="14873" xr:uid="{00000000-0005-0000-0000-0000BF390000}"/>
    <cellStyle name="_20061117Holux_ProgramWorkBook_SLM_PMO_Workbook_060910_FairPoint_FP comTechOps_ProgramWorkbook_sachin_Steps of Doneness" xfId="14874" xr:uid="{00000000-0005-0000-0000-0000C0390000}"/>
    <cellStyle name="_20061117Holux_ProgramWorkBook_SLM_PMO_Workbook_060910_FairPoint_FP comTechOps_ProgramWorkbook_sachin_v1" xfId="14875" xr:uid="{00000000-0005-0000-0000-0000C1390000}"/>
    <cellStyle name="_20061117Holux_ProgramWorkBook_SLM_PMO_Workbook_060910_FairPoint_FP comTechOps_ProgramWorkbook_sachin_v1 2" xfId="14876" xr:uid="{00000000-0005-0000-0000-0000C2390000}"/>
    <cellStyle name="_20061117Holux_ProgramWorkBook_SLM_PMO_Workbook_060910_FairPoint_FP comTechOps_ProgramWorkbook_sachin_v1 2_Steps of Doneness" xfId="14877" xr:uid="{00000000-0005-0000-0000-0000C3390000}"/>
    <cellStyle name="_20061117Holux_ProgramWorkBook_SLM_PMO_Workbook_060910_FairPoint_FP comTechOps_ProgramWorkbook_sachin_v1 3" xfId="14878" xr:uid="{00000000-0005-0000-0000-0000C4390000}"/>
    <cellStyle name="_20061117Holux_ProgramWorkBook_SLM_PMO_Workbook_060910_FairPoint_FP comTechOps_ProgramWorkbook_sachin_v1_Steps of Doneness" xfId="14879" xr:uid="{00000000-0005-0000-0000-0000C5390000}"/>
    <cellStyle name="_20061117Holux_ProgramWorkBook_SLM_PMO_Workbook_060910_FairPoint_FP comTechOps_ProgramWorkbook_Steps of Doneness" xfId="14880" xr:uid="{00000000-0005-0000-0000-0000C6390000}"/>
    <cellStyle name="_20061117Holux_ProgramWorkBook_SLM_PMO_Workbook_060910_FP_CAMP&amp;ITReporting_Maintenance_Dashboard" xfId="14881" xr:uid="{00000000-0005-0000-0000-0000C7390000}"/>
    <cellStyle name="_20061117Holux_ProgramWorkBook_SLM_PMO_Workbook_060910_FP_CAMP&amp;ITReporting_Maintenance_Dashboard 2" xfId="14882" xr:uid="{00000000-0005-0000-0000-0000C8390000}"/>
    <cellStyle name="_20061117Holux_ProgramWorkBook_SLM_PMO_Workbook_060910_FP_CAMP&amp;ITReporting_Maintenance_Dashboard 2_Steps of Doneness" xfId="14883" xr:uid="{00000000-0005-0000-0000-0000C9390000}"/>
    <cellStyle name="_20061117Holux_ProgramWorkBook_SLM_PMO_Workbook_060910_FP_CAMP&amp;ITReporting_Maintenance_Dashboard 3" xfId="14884" xr:uid="{00000000-0005-0000-0000-0000CA390000}"/>
    <cellStyle name="_20061117Holux_ProgramWorkBook_SLM_PMO_Workbook_060910_FP_CAMP&amp;ITReporting_Maintenance_Dashboard_Steps of Doneness" xfId="14885" xr:uid="{00000000-0005-0000-0000-0000CB390000}"/>
    <cellStyle name="_20061117Holux_ProgramWorkBook_SLM_PMO_Workbook_060910_FP_CAMPITReporting_Maintenance_Dashboard" xfId="14886" xr:uid="{00000000-0005-0000-0000-0000CC390000}"/>
    <cellStyle name="_20061117Holux_ProgramWorkBook_SLM_PMO_Workbook_060910_FP_CAMPITReporting_Maintenance_Dashboard 2" xfId="14887" xr:uid="{00000000-0005-0000-0000-0000CD390000}"/>
    <cellStyle name="_20061117Holux_ProgramWorkBook_SLM_PMO_Workbook_060910_FP_CAMPITReporting_Maintenance_Dashboard 2_Steps of Doneness" xfId="14888" xr:uid="{00000000-0005-0000-0000-0000CE390000}"/>
    <cellStyle name="_20061117Holux_ProgramWorkBook_SLM_PMO_Workbook_060910_FP_CAMPITReporting_Maintenance_Dashboard 3" xfId="14889" xr:uid="{00000000-0005-0000-0000-0000CF390000}"/>
    <cellStyle name="_20061117Holux_ProgramWorkBook_SLM_PMO_Workbook_060910_FP_CAMPITReporting_Maintenance_Dashboard_Steps of Doneness" xfId="14890" xr:uid="{00000000-0005-0000-0000-0000D0390000}"/>
    <cellStyle name="_20061117Holux_ProgramWorkBook_SLM_PMO_Workbook_060910_FP_Commissions_Req_Dn_ProgramWorkBook_10-Dec-2010" xfId="14891" xr:uid="{00000000-0005-0000-0000-0000D1390000}"/>
    <cellStyle name="_20061117Holux_ProgramWorkBook_SLM_PMO_Workbook_060910_FP_Commissions_Req_Dn_ProgramWorkBook_10-Dec-2010 2" xfId="14892" xr:uid="{00000000-0005-0000-0000-0000D2390000}"/>
    <cellStyle name="_20061117Holux_ProgramWorkBook_SLM_PMO_Workbook_060910_FP_Commissions_Req_Dn_ProgramWorkBook_10-Dec-2010 2_Steps of Doneness" xfId="14893" xr:uid="{00000000-0005-0000-0000-0000D3390000}"/>
    <cellStyle name="_20061117Holux_ProgramWorkBook_SLM_PMO_Workbook_060910_FP_Commissions_Req_Dn_ProgramWorkBook_10-Dec-2010 3" xfId="14894" xr:uid="{00000000-0005-0000-0000-0000D4390000}"/>
    <cellStyle name="_20061117Holux_ProgramWorkBook_SLM_PMO_Workbook_060910_FP_Commissions_Req_Dn_ProgramWorkBook_10-Dec-2010_Steps of Doneness" xfId="14895" xr:uid="{00000000-0005-0000-0000-0000D5390000}"/>
    <cellStyle name="_20061117Holux_ProgramWorkBook_SLM_PMO_Workbook_060910_FP_DW_Impl_ProgramWorkBook_07-Jan-2011" xfId="14896" xr:uid="{00000000-0005-0000-0000-0000D6390000}"/>
    <cellStyle name="_20061117Holux_ProgramWorkBook_SLM_PMO_Workbook_060910_FP_DW_Impl_ProgramWorkBook_07-Jan-2011 2" xfId="14897" xr:uid="{00000000-0005-0000-0000-0000D7390000}"/>
    <cellStyle name="_20061117Holux_ProgramWorkBook_SLM_PMO_Workbook_060910_FP_DW_Impl_ProgramWorkBook_07-Jan-2011 2 2" xfId="14898" xr:uid="{00000000-0005-0000-0000-0000D8390000}"/>
    <cellStyle name="_20061117Holux_ProgramWorkBook_SLM_PMO_Workbook_060910_FP_DW_Impl_ProgramWorkBook_07-Jan-2011 2 2_Steps of Doneness" xfId="14899" xr:uid="{00000000-0005-0000-0000-0000D9390000}"/>
    <cellStyle name="_20061117Holux_ProgramWorkBook_SLM_PMO_Workbook_060910_FP_DW_Impl_ProgramWorkBook_07-Jan-2011 2 3" xfId="14900" xr:uid="{00000000-0005-0000-0000-0000DA390000}"/>
    <cellStyle name="_20061117Holux_ProgramWorkBook_SLM_PMO_Workbook_060910_FP_DW_Impl_ProgramWorkBook_07-Jan-2011 2_Steps of Doneness" xfId="14901" xr:uid="{00000000-0005-0000-0000-0000DB390000}"/>
    <cellStyle name="_20061117Holux_ProgramWorkBook_SLM_PMO_Workbook_060910_FP_DW_Impl_ProgramWorkBook_07-Jan-2011 3" xfId="14902" xr:uid="{00000000-0005-0000-0000-0000DC390000}"/>
    <cellStyle name="_20061117Holux_ProgramWorkBook_SLM_PMO_Workbook_060910_FP_DW_Impl_ProgramWorkBook_07-Jan-2011 3_Steps of Doneness" xfId="14903" xr:uid="{00000000-0005-0000-0000-0000DD390000}"/>
    <cellStyle name="_20061117Holux_ProgramWorkBook_SLM_PMO_Workbook_060910_FP_DW_Impl_ProgramWorkBook_07-Jan-2011 4" xfId="14904" xr:uid="{00000000-0005-0000-0000-0000DE390000}"/>
    <cellStyle name="_20061117Holux_ProgramWorkBook_SLM_PMO_Workbook_060910_FP_DW_Impl_ProgramWorkBook_07-Jan-2011_Steps of Doneness" xfId="14905" xr:uid="{00000000-0005-0000-0000-0000DF390000}"/>
    <cellStyle name="_20061117Holux_ProgramWorkBook_SLM_PMO_Workbook_060910_FP_DW_Impl_ProgramWorkBook_11-Feb-2011" xfId="14906" xr:uid="{00000000-0005-0000-0000-0000E0390000}"/>
    <cellStyle name="_20061117Holux_ProgramWorkBook_SLM_PMO_Workbook_060910_FP_DW_Impl_ProgramWorkBook_11-Feb-2011 2" xfId="14907" xr:uid="{00000000-0005-0000-0000-0000E1390000}"/>
    <cellStyle name="_20061117Holux_ProgramWorkBook_SLM_PMO_Workbook_060910_FP_DW_Impl_ProgramWorkBook_11-Feb-2011 2_Steps of Doneness" xfId="14908" xr:uid="{00000000-0005-0000-0000-0000E2390000}"/>
    <cellStyle name="_20061117Holux_ProgramWorkBook_SLM_PMO_Workbook_060910_FP_DW_Impl_ProgramWorkBook_11-Feb-2011 3" xfId="14909" xr:uid="{00000000-0005-0000-0000-0000E3390000}"/>
    <cellStyle name="_20061117Holux_ProgramWorkBook_SLM_PMO_Workbook_060910_FP_DW_Impl_ProgramWorkBook_11-Feb-2011_Steps of Doneness" xfId="14910" xr:uid="{00000000-0005-0000-0000-0000E4390000}"/>
    <cellStyle name="_20061117Holux_ProgramWorkBook_SLM_PMO_Workbook_060910_FP_DW_Impl_ProgramWorkBook_18-Feb-2011 - Working" xfId="14911" xr:uid="{00000000-0005-0000-0000-0000E5390000}"/>
    <cellStyle name="_20061117Holux_ProgramWorkBook_SLM_PMO_Workbook_060910_FP_DW_Impl_ProgramWorkBook_18-Feb-2011 - Working 2" xfId="14912" xr:uid="{00000000-0005-0000-0000-0000E6390000}"/>
    <cellStyle name="_20061117Holux_ProgramWorkBook_SLM_PMO_Workbook_060910_FP_DW_Impl_ProgramWorkBook_18-Feb-2011 - Working 2_Steps of Doneness" xfId="14913" xr:uid="{00000000-0005-0000-0000-0000E7390000}"/>
    <cellStyle name="_20061117Holux_ProgramWorkBook_SLM_PMO_Workbook_060910_FP_DW_Impl_ProgramWorkBook_18-Feb-2011 - Working 3" xfId="14914" xr:uid="{00000000-0005-0000-0000-0000E8390000}"/>
    <cellStyle name="_20061117Holux_ProgramWorkBook_SLM_PMO_Workbook_060910_FP_DW_Impl_ProgramWorkBook_18-Feb-2011 - Working_Steps of Doneness" xfId="14915" xr:uid="{00000000-0005-0000-0000-0000E9390000}"/>
    <cellStyle name="_20061117Holux_ProgramWorkBook_SLM_PMO_Workbook_060910_FP_EnterprisePortal_ProgramWorkbook" xfId="14916" xr:uid="{00000000-0005-0000-0000-0000EA390000}"/>
    <cellStyle name="_20061117Holux_ProgramWorkBook_SLM_PMO_Workbook_060910_FP_EnterprisePortal_ProgramWorkbook 2" xfId="14917" xr:uid="{00000000-0005-0000-0000-0000EB390000}"/>
    <cellStyle name="_20061117Holux_ProgramWorkBook_SLM_PMO_Workbook_060910_FP_EnterprisePortal_ProgramWorkbook 2_Steps of Doneness" xfId="14918" xr:uid="{00000000-0005-0000-0000-0000EC390000}"/>
    <cellStyle name="_20061117Holux_ProgramWorkBook_SLM_PMO_Workbook_060910_FP_EnterprisePortal_ProgramWorkbook 3" xfId="14919" xr:uid="{00000000-0005-0000-0000-0000ED390000}"/>
    <cellStyle name="_20061117Holux_ProgramWorkBook_SLM_PMO_Workbook_060910_FP_EnterprisePortal_ProgramWorkbook_Steps of Doneness" xfId="14920" xr:uid="{00000000-0005-0000-0000-0000EE390000}"/>
    <cellStyle name="_20061117Holux_ProgramWorkBook_SLM_PMO_Workbook_060910_FP_SAP_MLP v2" xfId="14921" xr:uid="{00000000-0005-0000-0000-0000EF390000}"/>
    <cellStyle name="_20061117Holux_ProgramWorkBook_SLM_PMO_Workbook_060910_FP_SAP_MLP v2 2" xfId="14922" xr:uid="{00000000-0005-0000-0000-0000F0390000}"/>
    <cellStyle name="_20061117Holux_ProgramWorkBook_SLM_PMO_Workbook_060910_FP_SAP_MLP v2 2_Steps of Doneness" xfId="14923" xr:uid="{00000000-0005-0000-0000-0000F1390000}"/>
    <cellStyle name="_20061117Holux_ProgramWorkBook_SLM_PMO_Workbook_060910_FP_SAP_MLP v2 3" xfId="14924" xr:uid="{00000000-0005-0000-0000-0000F2390000}"/>
    <cellStyle name="_20061117Holux_ProgramWorkBook_SLM_PMO_Workbook_060910_FP_SAP_MLP v2_Steps of Doneness" xfId="14925" xr:uid="{00000000-0005-0000-0000-0000F3390000}"/>
    <cellStyle name="_20061117Holux_ProgramWorkBook_SLM_PMO_Workbook_060910_KeyDecisions" xfId="14926" xr:uid="{00000000-0005-0000-0000-0000F4390000}"/>
    <cellStyle name="_20061117Holux_ProgramWorkBook_SLM_PMO_Workbook_060910_KeyDecisions 2" xfId="14927" xr:uid="{00000000-0005-0000-0000-0000F5390000}"/>
    <cellStyle name="_20061117Holux_ProgramWorkBook_SLM_PMO_Workbook_060910_KeyDecisions 2_Steps of Doneness" xfId="14928" xr:uid="{00000000-0005-0000-0000-0000F6390000}"/>
    <cellStyle name="_20061117Holux_ProgramWorkBook_SLM_PMO_Workbook_060910_KeyDecisions 3" xfId="14929" xr:uid="{00000000-0005-0000-0000-0000F7390000}"/>
    <cellStyle name="_20061117Holux_ProgramWorkBook_SLM_PMO_Workbook_060910_KeyDecisions_Steps of Doneness" xfId="14930" xr:uid="{00000000-0005-0000-0000-0000F8390000}"/>
    <cellStyle name="_20061117Holux_ProgramWorkBook_SLM_PMO_Workbook_060910_Sophia_Imp_ProjectWorkBook_02_18_2011" xfId="14931" xr:uid="{00000000-0005-0000-0000-0000F9390000}"/>
    <cellStyle name="_20061117Holux_ProgramWorkBook_SLM_PMO_Workbook_060910_Sophia_Imp_ProjectWorkBook_02_18_2011 2" xfId="14932" xr:uid="{00000000-0005-0000-0000-0000FA390000}"/>
    <cellStyle name="_20061117Holux_ProgramWorkBook_SLM_PMO_Workbook_060910_Sophia_Imp_ProjectWorkBook_02_18_2011 2_Steps of Doneness" xfId="14933" xr:uid="{00000000-0005-0000-0000-0000FB390000}"/>
    <cellStyle name="_20061117Holux_ProgramWorkBook_SLM_PMO_Workbook_060910_Sophia_Imp_ProjectWorkBook_02_18_2011 3" xfId="14934" xr:uid="{00000000-0005-0000-0000-0000FC390000}"/>
    <cellStyle name="_20061117Holux_ProgramWorkBook_SLM_PMO_Workbook_060910_Sophia_Imp_ProjectWorkBook_02_18_2011_Steps of Doneness" xfId="14935" xr:uid="{00000000-0005-0000-0000-0000FD390000}"/>
    <cellStyle name="_20061117Holux_ProgramWorkBook_SLM_PMO_Workbook_060910_Steps of Doneness" xfId="14936" xr:uid="{00000000-0005-0000-0000-0000FE390000}"/>
    <cellStyle name="_20061117Holux_ProgramWorkBook_SLM_PMO_Workbook_060910_t" xfId="14937" xr:uid="{00000000-0005-0000-0000-0000FF390000}"/>
    <cellStyle name="_20061117Holux_ProgramWorkBook_SLM_PMO_Workbook_060910_t 2" xfId="14938" xr:uid="{00000000-0005-0000-0000-0000003A0000}"/>
    <cellStyle name="_20061117Holux_ProgramWorkBook_SLM_PMO_Workbook_060910_t 2_Steps of Doneness" xfId="14939" xr:uid="{00000000-0005-0000-0000-0000013A0000}"/>
    <cellStyle name="_20061117Holux_ProgramWorkBook_SLM_PMO_Workbook_060910_t 3" xfId="14940" xr:uid="{00000000-0005-0000-0000-0000023A0000}"/>
    <cellStyle name="_20061117Holux_ProgramWorkBook_SLM_PMO_Workbook_060910_t_Steps of Doneness" xfId="14941" xr:uid="{00000000-0005-0000-0000-0000033A0000}"/>
    <cellStyle name="_20061117Holux_ProgramWorkBook_Sophia_Imp_ProjectWorkBook_02_18_2011" xfId="14942" xr:uid="{00000000-0005-0000-0000-0000043A0000}"/>
    <cellStyle name="_20061117Holux_ProgramWorkBook_Sophia_Imp_ProjectWorkBook_02_18_2011 2" xfId="14943" xr:uid="{00000000-0005-0000-0000-0000053A0000}"/>
    <cellStyle name="_20061117Holux_ProgramWorkBook_Sophia_Imp_ProjectWorkBook_02_18_2011 2_Steps of Doneness" xfId="14944" xr:uid="{00000000-0005-0000-0000-0000063A0000}"/>
    <cellStyle name="_20061117Holux_ProgramWorkBook_Sophia_Imp_ProjectWorkBook_02_18_2011 3" xfId="14945" xr:uid="{00000000-0005-0000-0000-0000073A0000}"/>
    <cellStyle name="_20061117Holux_ProgramWorkBook_Sophia_Imp_ProjectWorkBook_02_18_2011_Steps of Doneness" xfId="14946" xr:uid="{00000000-0005-0000-0000-0000083A0000}"/>
    <cellStyle name="_20061117Holux_ProgramWorkBook_Steps of Doneness" xfId="14947" xr:uid="{00000000-0005-0000-0000-0000093A0000}"/>
    <cellStyle name="_20061117Holux_ProgramWorkBook_t" xfId="14948" xr:uid="{00000000-0005-0000-0000-00000A3A0000}"/>
    <cellStyle name="_20061117Holux_ProgramWorkBook_t 2" xfId="14949" xr:uid="{00000000-0005-0000-0000-00000B3A0000}"/>
    <cellStyle name="_20061117Holux_ProgramWorkBook_t 2_Steps of Doneness" xfId="14950" xr:uid="{00000000-0005-0000-0000-00000C3A0000}"/>
    <cellStyle name="_20061117Holux_ProgramWorkBook_t 3" xfId="14951" xr:uid="{00000000-0005-0000-0000-00000D3A0000}"/>
    <cellStyle name="_20061117Holux_ProgramWorkBook_t_Steps of Doneness" xfId="14952" xr:uid="{00000000-0005-0000-0000-00000E3A0000}"/>
    <cellStyle name="_20061117Holux_ProgramWorkBook_UX Plan_0401" xfId="14953" xr:uid="{00000000-0005-0000-0000-00000F3A0000}"/>
    <cellStyle name="_20061117Holux_ProgramWorkBook_UX Plan_0401 2" xfId="14954" xr:uid="{00000000-0005-0000-0000-0000103A0000}"/>
    <cellStyle name="_20061117Holux_ProgramWorkBook_UX Plan_0401 2 2" xfId="14955" xr:uid="{00000000-0005-0000-0000-0000113A0000}"/>
    <cellStyle name="_20061117Holux_ProgramWorkBook_UX Plan_0401 2 2_Steps of Doneness" xfId="14956" xr:uid="{00000000-0005-0000-0000-0000123A0000}"/>
    <cellStyle name="_20061117Holux_ProgramWorkBook_UX Plan_0401 2 3" xfId="14957" xr:uid="{00000000-0005-0000-0000-0000133A0000}"/>
    <cellStyle name="_20061117Holux_ProgramWorkBook_UX Plan_0401 2_Steps of Doneness" xfId="14958" xr:uid="{00000000-0005-0000-0000-0000143A0000}"/>
    <cellStyle name="_20061117Holux_ProgramWorkBook_UX Plan_0401 3" xfId="14959" xr:uid="{00000000-0005-0000-0000-0000153A0000}"/>
    <cellStyle name="_20061117Holux_ProgramWorkBook_UX Plan_0401 3 2" xfId="14960" xr:uid="{00000000-0005-0000-0000-0000163A0000}"/>
    <cellStyle name="_20061117Holux_ProgramWorkBook_UX Plan_0401 3 2_Steps of Doneness" xfId="14961" xr:uid="{00000000-0005-0000-0000-0000173A0000}"/>
    <cellStyle name="_20061117Holux_ProgramWorkBook_UX Plan_0401 3 3" xfId="14962" xr:uid="{00000000-0005-0000-0000-0000183A0000}"/>
    <cellStyle name="_20061117Holux_ProgramWorkBook_UX Plan_0401 3_Steps of Doneness" xfId="14963" xr:uid="{00000000-0005-0000-0000-0000193A0000}"/>
    <cellStyle name="_20061117Holux_ProgramWorkBook_UX Plan_0401 4" xfId="14964" xr:uid="{00000000-0005-0000-0000-00001A3A0000}"/>
    <cellStyle name="_20061117Holux_ProgramWorkBook_UX Plan_0401 4_Steps of Doneness" xfId="14965" xr:uid="{00000000-0005-0000-0000-00001B3A0000}"/>
    <cellStyle name="_20061117Holux_ProgramWorkBook_UX Plan_0401 5" xfId="14966" xr:uid="{00000000-0005-0000-0000-00001C3A0000}"/>
    <cellStyle name="_20061117Holux_ProgramWorkBook_UX Plan_0401 6" xfId="14967" xr:uid="{00000000-0005-0000-0000-00001D3A0000}"/>
    <cellStyle name="_20061117Holux_ProgramWorkBook_UX Plan_0401_Commissioning System Implementation_Project Workbook_06_10_2011" xfId="14968" xr:uid="{00000000-0005-0000-0000-00001E3A0000}"/>
    <cellStyle name="_20061117Holux_ProgramWorkBook_UX Plan_0401_Commissioning System Implementation_Project Workbook_06_10_2011 2" xfId="14969" xr:uid="{00000000-0005-0000-0000-00001F3A0000}"/>
    <cellStyle name="_20061117Holux_ProgramWorkBook_UX Plan_0401_Commissioning System Implementation_Project Workbook_06_10_2011 2_Steps of Doneness" xfId="14970" xr:uid="{00000000-0005-0000-0000-0000203A0000}"/>
    <cellStyle name="_20061117Holux_ProgramWorkBook_UX Plan_0401_Commissioning System Implementation_Project Workbook_06_10_2011 3" xfId="14971" xr:uid="{00000000-0005-0000-0000-0000213A0000}"/>
    <cellStyle name="_20061117Holux_ProgramWorkBook_UX Plan_0401_Commissioning System Implementation_Project Workbook_06_10_2011_Steps of Doneness" xfId="14972" xr:uid="{00000000-0005-0000-0000-0000223A0000}"/>
    <cellStyle name="_20061117Holux_ProgramWorkBook_UX Plan_0401_FairPoint_CampReport" xfId="14973" xr:uid="{00000000-0005-0000-0000-0000233A0000}"/>
    <cellStyle name="_20061117Holux_ProgramWorkBook_UX Plan_0401_FairPoint_CampReport 2" xfId="14974" xr:uid="{00000000-0005-0000-0000-0000243A0000}"/>
    <cellStyle name="_20061117Holux_ProgramWorkBook_UX Plan_0401_FairPoint_CampReport 2_Steps of Doneness" xfId="14975" xr:uid="{00000000-0005-0000-0000-0000253A0000}"/>
    <cellStyle name="_20061117Holux_ProgramWorkBook_UX Plan_0401_FairPoint_CampReport 3" xfId="14976" xr:uid="{00000000-0005-0000-0000-0000263A0000}"/>
    <cellStyle name="_20061117Holux_ProgramWorkBook_UX Plan_0401_FairPoint_CampReport_Steps of Doneness" xfId="14977" xr:uid="{00000000-0005-0000-0000-0000273A0000}"/>
    <cellStyle name="_20061117Holux_ProgramWorkBook_UX Plan_0401_FairPoint_FP comTechOps_ProgramWorkbook" xfId="14978" xr:uid="{00000000-0005-0000-0000-0000283A0000}"/>
    <cellStyle name="_20061117Holux_ProgramWorkBook_UX Plan_0401_FairPoint_FP comTechOps_ProgramWorkbook 2" xfId="14979" xr:uid="{00000000-0005-0000-0000-0000293A0000}"/>
    <cellStyle name="_20061117Holux_ProgramWorkBook_UX Plan_0401_FairPoint_FP comTechOps_ProgramWorkbook 2_Steps of Doneness" xfId="14980" xr:uid="{00000000-0005-0000-0000-00002A3A0000}"/>
    <cellStyle name="_20061117Holux_ProgramWorkBook_UX Plan_0401_FairPoint_FP comTechOps_ProgramWorkbook 3" xfId="14981" xr:uid="{00000000-0005-0000-0000-00002B3A0000}"/>
    <cellStyle name="_20061117Holux_ProgramWorkBook_UX Plan_0401_FairPoint_FP comTechOps_ProgramWorkbook_sachin" xfId="14982" xr:uid="{00000000-0005-0000-0000-00002C3A0000}"/>
    <cellStyle name="_20061117Holux_ProgramWorkBook_UX Plan_0401_FairPoint_FP comTechOps_ProgramWorkbook_sachin 2" xfId="14983" xr:uid="{00000000-0005-0000-0000-00002D3A0000}"/>
    <cellStyle name="_20061117Holux_ProgramWorkBook_UX Plan_0401_FairPoint_FP comTechOps_ProgramWorkbook_sachin 2_Steps of Doneness" xfId="14984" xr:uid="{00000000-0005-0000-0000-00002E3A0000}"/>
    <cellStyle name="_20061117Holux_ProgramWorkBook_UX Plan_0401_FairPoint_FP comTechOps_ProgramWorkbook_sachin 3" xfId="14985" xr:uid="{00000000-0005-0000-0000-00002F3A0000}"/>
    <cellStyle name="_20061117Holux_ProgramWorkBook_UX Plan_0401_FairPoint_FP comTechOps_ProgramWorkbook_sachin_Steps of Doneness" xfId="14986" xr:uid="{00000000-0005-0000-0000-0000303A0000}"/>
    <cellStyle name="_20061117Holux_ProgramWorkBook_UX Plan_0401_FairPoint_FP comTechOps_ProgramWorkbook_sachin_v1" xfId="14987" xr:uid="{00000000-0005-0000-0000-0000313A0000}"/>
    <cellStyle name="_20061117Holux_ProgramWorkBook_UX Plan_0401_FairPoint_FP comTechOps_ProgramWorkbook_sachin_v1 2" xfId="14988" xr:uid="{00000000-0005-0000-0000-0000323A0000}"/>
    <cellStyle name="_20061117Holux_ProgramWorkBook_UX Plan_0401_FairPoint_FP comTechOps_ProgramWorkbook_sachin_v1 2_Steps of Doneness" xfId="14989" xr:uid="{00000000-0005-0000-0000-0000333A0000}"/>
    <cellStyle name="_20061117Holux_ProgramWorkBook_UX Plan_0401_FairPoint_FP comTechOps_ProgramWorkbook_sachin_v1 3" xfId="14990" xr:uid="{00000000-0005-0000-0000-0000343A0000}"/>
    <cellStyle name="_20061117Holux_ProgramWorkBook_UX Plan_0401_FairPoint_FP comTechOps_ProgramWorkbook_sachin_v1_Steps of Doneness" xfId="14991" xr:uid="{00000000-0005-0000-0000-0000353A0000}"/>
    <cellStyle name="_20061117Holux_ProgramWorkBook_UX Plan_0401_FairPoint_FP comTechOps_ProgramWorkbook_Steps of Doneness" xfId="14992" xr:uid="{00000000-0005-0000-0000-0000363A0000}"/>
    <cellStyle name="_20061117Holux_ProgramWorkBook_UX Plan_0401_FP_CAMP&amp;ITReporting_Maintenance_Dashboard" xfId="14993" xr:uid="{00000000-0005-0000-0000-0000373A0000}"/>
    <cellStyle name="_20061117Holux_ProgramWorkBook_UX Plan_0401_FP_CAMP&amp;ITReporting_Maintenance_Dashboard 2" xfId="14994" xr:uid="{00000000-0005-0000-0000-0000383A0000}"/>
    <cellStyle name="_20061117Holux_ProgramWorkBook_UX Plan_0401_FP_CAMP&amp;ITReporting_Maintenance_Dashboard 2_Steps of Doneness" xfId="14995" xr:uid="{00000000-0005-0000-0000-0000393A0000}"/>
    <cellStyle name="_20061117Holux_ProgramWorkBook_UX Plan_0401_FP_CAMP&amp;ITReporting_Maintenance_Dashboard 3" xfId="14996" xr:uid="{00000000-0005-0000-0000-00003A3A0000}"/>
    <cellStyle name="_20061117Holux_ProgramWorkBook_UX Plan_0401_FP_CAMP&amp;ITReporting_Maintenance_Dashboard_Steps of Doneness" xfId="14997" xr:uid="{00000000-0005-0000-0000-00003B3A0000}"/>
    <cellStyle name="_20061117Holux_ProgramWorkBook_UX Plan_0401_FP_CAMPITReporting_Maintenance_Dashboard" xfId="14998" xr:uid="{00000000-0005-0000-0000-00003C3A0000}"/>
    <cellStyle name="_20061117Holux_ProgramWorkBook_UX Plan_0401_FP_CAMPITReporting_Maintenance_Dashboard 2" xfId="14999" xr:uid="{00000000-0005-0000-0000-00003D3A0000}"/>
    <cellStyle name="_20061117Holux_ProgramWorkBook_UX Plan_0401_FP_CAMPITReporting_Maintenance_Dashboard 2_Steps of Doneness" xfId="15000" xr:uid="{00000000-0005-0000-0000-00003E3A0000}"/>
    <cellStyle name="_20061117Holux_ProgramWorkBook_UX Plan_0401_FP_CAMPITReporting_Maintenance_Dashboard 3" xfId="15001" xr:uid="{00000000-0005-0000-0000-00003F3A0000}"/>
    <cellStyle name="_20061117Holux_ProgramWorkBook_UX Plan_0401_FP_CAMPITReporting_Maintenance_Dashboard_Steps of Doneness" xfId="15002" xr:uid="{00000000-0005-0000-0000-0000403A0000}"/>
    <cellStyle name="_20061117Holux_ProgramWorkBook_UX Plan_0401_FP_Commissions_Req_Dn_ProgramWorkBook_10-Dec-2010" xfId="15003" xr:uid="{00000000-0005-0000-0000-0000413A0000}"/>
    <cellStyle name="_20061117Holux_ProgramWorkBook_UX Plan_0401_FP_Commissions_Req_Dn_ProgramWorkBook_10-Dec-2010 2" xfId="15004" xr:uid="{00000000-0005-0000-0000-0000423A0000}"/>
    <cellStyle name="_20061117Holux_ProgramWorkBook_UX Plan_0401_FP_Commissions_Req_Dn_ProgramWorkBook_10-Dec-2010 2_Steps of Doneness" xfId="15005" xr:uid="{00000000-0005-0000-0000-0000433A0000}"/>
    <cellStyle name="_20061117Holux_ProgramWorkBook_UX Plan_0401_FP_Commissions_Req_Dn_ProgramWorkBook_10-Dec-2010 3" xfId="15006" xr:uid="{00000000-0005-0000-0000-0000443A0000}"/>
    <cellStyle name="_20061117Holux_ProgramWorkBook_UX Plan_0401_FP_Commissions_Req_Dn_ProgramWorkBook_10-Dec-2010_Steps of Doneness" xfId="15007" xr:uid="{00000000-0005-0000-0000-0000453A0000}"/>
    <cellStyle name="_20061117Holux_ProgramWorkBook_UX Plan_0401_FP_DW_Impl_ProgramWorkBook_07-Jan-2011" xfId="15008" xr:uid="{00000000-0005-0000-0000-0000463A0000}"/>
    <cellStyle name="_20061117Holux_ProgramWorkBook_UX Plan_0401_FP_DW_Impl_ProgramWorkBook_07-Jan-2011 2" xfId="15009" xr:uid="{00000000-0005-0000-0000-0000473A0000}"/>
    <cellStyle name="_20061117Holux_ProgramWorkBook_UX Plan_0401_FP_DW_Impl_ProgramWorkBook_07-Jan-2011 2 2" xfId="15010" xr:uid="{00000000-0005-0000-0000-0000483A0000}"/>
    <cellStyle name="_20061117Holux_ProgramWorkBook_UX Plan_0401_FP_DW_Impl_ProgramWorkBook_07-Jan-2011 2 2_Steps of Doneness" xfId="15011" xr:uid="{00000000-0005-0000-0000-0000493A0000}"/>
    <cellStyle name="_20061117Holux_ProgramWorkBook_UX Plan_0401_FP_DW_Impl_ProgramWorkBook_07-Jan-2011 2 3" xfId="15012" xr:uid="{00000000-0005-0000-0000-00004A3A0000}"/>
    <cellStyle name="_20061117Holux_ProgramWorkBook_UX Plan_0401_FP_DW_Impl_ProgramWorkBook_07-Jan-2011 2_Steps of Doneness" xfId="15013" xr:uid="{00000000-0005-0000-0000-00004B3A0000}"/>
    <cellStyle name="_20061117Holux_ProgramWorkBook_UX Plan_0401_FP_DW_Impl_ProgramWorkBook_07-Jan-2011 3" xfId="15014" xr:uid="{00000000-0005-0000-0000-00004C3A0000}"/>
    <cellStyle name="_20061117Holux_ProgramWorkBook_UX Plan_0401_FP_DW_Impl_ProgramWorkBook_07-Jan-2011 3_Steps of Doneness" xfId="15015" xr:uid="{00000000-0005-0000-0000-00004D3A0000}"/>
    <cellStyle name="_20061117Holux_ProgramWorkBook_UX Plan_0401_FP_DW_Impl_ProgramWorkBook_07-Jan-2011 4" xfId="15016" xr:uid="{00000000-0005-0000-0000-00004E3A0000}"/>
    <cellStyle name="_20061117Holux_ProgramWorkBook_UX Plan_0401_FP_DW_Impl_ProgramWorkBook_07-Jan-2011_Steps of Doneness" xfId="15017" xr:uid="{00000000-0005-0000-0000-00004F3A0000}"/>
    <cellStyle name="_20061117Holux_ProgramWorkBook_UX Plan_0401_FP_DW_Impl_ProgramWorkBook_11-Feb-2011" xfId="15018" xr:uid="{00000000-0005-0000-0000-0000503A0000}"/>
    <cellStyle name="_20061117Holux_ProgramWorkBook_UX Plan_0401_FP_DW_Impl_ProgramWorkBook_11-Feb-2011 2" xfId="15019" xr:uid="{00000000-0005-0000-0000-0000513A0000}"/>
    <cellStyle name="_20061117Holux_ProgramWorkBook_UX Plan_0401_FP_DW_Impl_ProgramWorkBook_11-Feb-2011 2_Steps of Doneness" xfId="15020" xr:uid="{00000000-0005-0000-0000-0000523A0000}"/>
    <cellStyle name="_20061117Holux_ProgramWorkBook_UX Plan_0401_FP_DW_Impl_ProgramWorkBook_11-Feb-2011 3" xfId="15021" xr:uid="{00000000-0005-0000-0000-0000533A0000}"/>
    <cellStyle name="_20061117Holux_ProgramWorkBook_UX Plan_0401_FP_DW_Impl_ProgramWorkBook_11-Feb-2011_Steps of Doneness" xfId="15022" xr:uid="{00000000-0005-0000-0000-0000543A0000}"/>
    <cellStyle name="_20061117Holux_ProgramWorkBook_UX Plan_0401_FP_DW_Impl_ProgramWorkBook_18-Feb-2011 - Working" xfId="15023" xr:uid="{00000000-0005-0000-0000-0000553A0000}"/>
    <cellStyle name="_20061117Holux_ProgramWorkBook_UX Plan_0401_FP_DW_Impl_ProgramWorkBook_18-Feb-2011 - Working 2" xfId="15024" xr:uid="{00000000-0005-0000-0000-0000563A0000}"/>
    <cellStyle name="_20061117Holux_ProgramWorkBook_UX Plan_0401_FP_DW_Impl_ProgramWorkBook_18-Feb-2011 - Working 2_Steps of Doneness" xfId="15025" xr:uid="{00000000-0005-0000-0000-0000573A0000}"/>
    <cellStyle name="_20061117Holux_ProgramWorkBook_UX Plan_0401_FP_DW_Impl_ProgramWorkBook_18-Feb-2011 - Working 3" xfId="15026" xr:uid="{00000000-0005-0000-0000-0000583A0000}"/>
    <cellStyle name="_20061117Holux_ProgramWorkBook_UX Plan_0401_FP_DW_Impl_ProgramWorkBook_18-Feb-2011 - Working_Steps of Doneness" xfId="15027" xr:uid="{00000000-0005-0000-0000-0000593A0000}"/>
    <cellStyle name="_20061117Holux_ProgramWorkBook_UX Plan_0401_FP_EnterprisePortal_ProgramWorkbook" xfId="15028" xr:uid="{00000000-0005-0000-0000-00005A3A0000}"/>
    <cellStyle name="_20061117Holux_ProgramWorkBook_UX Plan_0401_FP_EnterprisePortal_ProgramWorkbook 2" xfId="15029" xr:uid="{00000000-0005-0000-0000-00005B3A0000}"/>
    <cellStyle name="_20061117Holux_ProgramWorkBook_UX Plan_0401_FP_EnterprisePortal_ProgramWorkbook 2_Steps of Doneness" xfId="15030" xr:uid="{00000000-0005-0000-0000-00005C3A0000}"/>
    <cellStyle name="_20061117Holux_ProgramWorkBook_UX Plan_0401_FP_EnterprisePortal_ProgramWorkbook 3" xfId="15031" xr:uid="{00000000-0005-0000-0000-00005D3A0000}"/>
    <cellStyle name="_20061117Holux_ProgramWorkBook_UX Plan_0401_FP_EnterprisePortal_ProgramWorkbook_Steps of Doneness" xfId="15032" xr:uid="{00000000-0005-0000-0000-00005E3A0000}"/>
    <cellStyle name="_20061117Holux_ProgramWorkBook_UX Plan_0401_FP_SAP_MLP v2" xfId="15033" xr:uid="{00000000-0005-0000-0000-00005F3A0000}"/>
    <cellStyle name="_20061117Holux_ProgramWorkBook_UX Plan_0401_FP_SAP_MLP v2 2" xfId="15034" xr:uid="{00000000-0005-0000-0000-0000603A0000}"/>
    <cellStyle name="_20061117Holux_ProgramWorkBook_UX Plan_0401_FP_SAP_MLP v2 2_Steps of Doneness" xfId="15035" xr:uid="{00000000-0005-0000-0000-0000613A0000}"/>
    <cellStyle name="_20061117Holux_ProgramWorkBook_UX Plan_0401_FP_SAP_MLP v2 3" xfId="15036" xr:uid="{00000000-0005-0000-0000-0000623A0000}"/>
    <cellStyle name="_20061117Holux_ProgramWorkBook_UX Plan_0401_FP_SAP_MLP v2_Steps of Doneness" xfId="15037" xr:uid="{00000000-0005-0000-0000-0000633A0000}"/>
    <cellStyle name="_20061117Holux_ProgramWorkBook_UX Plan_0401_KeyDecisions" xfId="15038" xr:uid="{00000000-0005-0000-0000-0000643A0000}"/>
    <cellStyle name="_20061117Holux_ProgramWorkBook_UX Plan_0401_KeyDecisions 2" xfId="15039" xr:uid="{00000000-0005-0000-0000-0000653A0000}"/>
    <cellStyle name="_20061117Holux_ProgramWorkBook_UX Plan_0401_KeyDecisions 2_Steps of Doneness" xfId="15040" xr:uid="{00000000-0005-0000-0000-0000663A0000}"/>
    <cellStyle name="_20061117Holux_ProgramWorkBook_UX Plan_0401_KeyDecisions 3" xfId="15041" xr:uid="{00000000-0005-0000-0000-0000673A0000}"/>
    <cellStyle name="_20061117Holux_ProgramWorkBook_UX Plan_0401_KeyDecisions_Steps of Doneness" xfId="15042" xr:uid="{00000000-0005-0000-0000-0000683A0000}"/>
    <cellStyle name="_20061117Holux_ProgramWorkBook_UX Plan_0401_Sophia_Imp_ProjectWorkBook_02_18_2011" xfId="15043" xr:uid="{00000000-0005-0000-0000-0000693A0000}"/>
    <cellStyle name="_20061117Holux_ProgramWorkBook_UX Plan_0401_Sophia_Imp_ProjectWorkBook_02_18_2011 2" xfId="15044" xr:uid="{00000000-0005-0000-0000-00006A3A0000}"/>
    <cellStyle name="_20061117Holux_ProgramWorkBook_UX Plan_0401_Sophia_Imp_ProjectWorkBook_02_18_2011 2_Steps of Doneness" xfId="15045" xr:uid="{00000000-0005-0000-0000-00006B3A0000}"/>
    <cellStyle name="_20061117Holux_ProgramWorkBook_UX Plan_0401_Sophia_Imp_ProjectWorkBook_02_18_2011 3" xfId="15046" xr:uid="{00000000-0005-0000-0000-00006C3A0000}"/>
    <cellStyle name="_20061117Holux_ProgramWorkBook_UX Plan_0401_Sophia_Imp_ProjectWorkBook_02_18_2011_Steps of Doneness" xfId="15047" xr:uid="{00000000-0005-0000-0000-00006D3A0000}"/>
    <cellStyle name="_20061117Holux_ProgramWorkBook_UX Plan_0401_Steps of Doneness" xfId="15048" xr:uid="{00000000-0005-0000-0000-00006E3A0000}"/>
    <cellStyle name="_20061117Holux_ProgramWorkBook_UX Plan_0401_t" xfId="15049" xr:uid="{00000000-0005-0000-0000-00006F3A0000}"/>
    <cellStyle name="_20061117Holux_ProgramWorkBook_UX Plan_0401_t 2" xfId="15050" xr:uid="{00000000-0005-0000-0000-0000703A0000}"/>
    <cellStyle name="_20061117Holux_ProgramWorkBook_UX Plan_0401_t 2_Steps of Doneness" xfId="15051" xr:uid="{00000000-0005-0000-0000-0000713A0000}"/>
    <cellStyle name="_20061117Holux_ProgramWorkBook_UX Plan_0401_t 3" xfId="15052" xr:uid="{00000000-0005-0000-0000-0000723A0000}"/>
    <cellStyle name="_20061117Holux_ProgramWorkBook_UX Plan_0401_t_Steps of Doneness" xfId="15053" xr:uid="{00000000-0005-0000-0000-0000733A0000}"/>
    <cellStyle name="_20061117Holux_Re-engineering SLM_PM_Workbook_01252010" xfId="15054" xr:uid="{00000000-0005-0000-0000-0000743A0000}"/>
    <cellStyle name="_20061117Holux_Re-engineering SLM_PM_Workbook_01252010 2" xfId="15055" xr:uid="{00000000-0005-0000-0000-0000753A0000}"/>
    <cellStyle name="_20061117Holux_Re-engineering SLM_PM_Workbook_01252010 2 2" xfId="15056" xr:uid="{00000000-0005-0000-0000-0000763A0000}"/>
    <cellStyle name="_20061117Holux_Re-engineering SLM_PM_Workbook_01252010 2 2_Steps of Doneness" xfId="15057" xr:uid="{00000000-0005-0000-0000-0000773A0000}"/>
    <cellStyle name="_20061117Holux_Re-engineering SLM_PM_Workbook_01252010 2 3" xfId="15058" xr:uid="{00000000-0005-0000-0000-0000783A0000}"/>
    <cellStyle name="_20061117Holux_Re-engineering SLM_PM_Workbook_01252010 2_Steps of Doneness" xfId="15059" xr:uid="{00000000-0005-0000-0000-0000793A0000}"/>
    <cellStyle name="_20061117Holux_Re-engineering SLM_PM_Workbook_01252010 3" xfId="15060" xr:uid="{00000000-0005-0000-0000-00007A3A0000}"/>
    <cellStyle name="_20061117Holux_Re-engineering SLM_PM_Workbook_01252010 3 2" xfId="15061" xr:uid="{00000000-0005-0000-0000-00007B3A0000}"/>
    <cellStyle name="_20061117Holux_Re-engineering SLM_PM_Workbook_01252010 3 2_Steps of Doneness" xfId="15062" xr:uid="{00000000-0005-0000-0000-00007C3A0000}"/>
    <cellStyle name="_20061117Holux_Re-engineering SLM_PM_Workbook_01252010 3 3" xfId="15063" xr:uid="{00000000-0005-0000-0000-00007D3A0000}"/>
    <cellStyle name="_20061117Holux_Re-engineering SLM_PM_Workbook_01252010 3_Steps of Doneness" xfId="15064" xr:uid="{00000000-0005-0000-0000-00007E3A0000}"/>
    <cellStyle name="_20061117Holux_Re-engineering SLM_PM_Workbook_01252010 4" xfId="15065" xr:uid="{00000000-0005-0000-0000-00007F3A0000}"/>
    <cellStyle name="_20061117Holux_Re-engineering SLM_PM_Workbook_01252010 4_Steps of Doneness" xfId="15066" xr:uid="{00000000-0005-0000-0000-0000803A0000}"/>
    <cellStyle name="_20061117Holux_Re-engineering SLM_PM_Workbook_01252010 5" xfId="15067" xr:uid="{00000000-0005-0000-0000-0000813A0000}"/>
    <cellStyle name="_20061117Holux_Re-engineering SLM_PM_Workbook_01252010 6" xfId="15068" xr:uid="{00000000-0005-0000-0000-0000823A0000}"/>
    <cellStyle name="_20061117Holux_Re-engineering SLM_PM_Workbook_01252010_Commissioning System Implementation_Project Workbook_06_10_2011" xfId="15069" xr:uid="{00000000-0005-0000-0000-0000833A0000}"/>
    <cellStyle name="_20061117Holux_Re-engineering SLM_PM_Workbook_01252010_Commissioning System Implementation_Project Workbook_06_10_2011 2" xfId="15070" xr:uid="{00000000-0005-0000-0000-0000843A0000}"/>
    <cellStyle name="_20061117Holux_Re-engineering SLM_PM_Workbook_01252010_Commissioning System Implementation_Project Workbook_06_10_2011 2_Steps of Doneness" xfId="15071" xr:uid="{00000000-0005-0000-0000-0000853A0000}"/>
    <cellStyle name="_20061117Holux_Re-engineering SLM_PM_Workbook_01252010_Commissioning System Implementation_Project Workbook_06_10_2011 3" xfId="15072" xr:uid="{00000000-0005-0000-0000-0000863A0000}"/>
    <cellStyle name="_20061117Holux_Re-engineering SLM_PM_Workbook_01252010_Commissioning System Implementation_Project Workbook_06_10_2011_Steps of Doneness" xfId="15073" xr:uid="{00000000-0005-0000-0000-0000873A0000}"/>
    <cellStyle name="_20061117Holux_Re-engineering SLM_PM_Workbook_01252010_FairPoint_CampReport" xfId="15074" xr:uid="{00000000-0005-0000-0000-0000883A0000}"/>
    <cellStyle name="_20061117Holux_Re-engineering SLM_PM_Workbook_01252010_FairPoint_CampReport 2" xfId="15075" xr:uid="{00000000-0005-0000-0000-0000893A0000}"/>
    <cellStyle name="_20061117Holux_Re-engineering SLM_PM_Workbook_01252010_FairPoint_CampReport 2_Steps of Doneness" xfId="15076" xr:uid="{00000000-0005-0000-0000-00008A3A0000}"/>
    <cellStyle name="_20061117Holux_Re-engineering SLM_PM_Workbook_01252010_FairPoint_CampReport 3" xfId="15077" xr:uid="{00000000-0005-0000-0000-00008B3A0000}"/>
    <cellStyle name="_20061117Holux_Re-engineering SLM_PM_Workbook_01252010_FairPoint_CampReport_Steps of Doneness" xfId="15078" xr:uid="{00000000-0005-0000-0000-00008C3A0000}"/>
    <cellStyle name="_20061117Holux_Re-engineering SLM_PM_Workbook_01252010_FairPoint_FP comTechOps_ProgramWorkbook" xfId="15079" xr:uid="{00000000-0005-0000-0000-00008D3A0000}"/>
    <cellStyle name="_20061117Holux_Re-engineering SLM_PM_Workbook_01252010_FairPoint_FP comTechOps_ProgramWorkbook 2" xfId="15080" xr:uid="{00000000-0005-0000-0000-00008E3A0000}"/>
    <cellStyle name="_20061117Holux_Re-engineering SLM_PM_Workbook_01252010_FairPoint_FP comTechOps_ProgramWorkbook 2_Steps of Doneness" xfId="15081" xr:uid="{00000000-0005-0000-0000-00008F3A0000}"/>
    <cellStyle name="_20061117Holux_Re-engineering SLM_PM_Workbook_01252010_FairPoint_FP comTechOps_ProgramWorkbook 3" xfId="15082" xr:uid="{00000000-0005-0000-0000-0000903A0000}"/>
    <cellStyle name="_20061117Holux_Re-engineering SLM_PM_Workbook_01252010_FairPoint_FP comTechOps_ProgramWorkbook_sachin" xfId="15083" xr:uid="{00000000-0005-0000-0000-0000913A0000}"/>
    <cellStyle name="_20061117Holux_Re-engineering SLM_PM_Workbook_01252010_FairPoint_FP comTechOps_ProgramWorkbook_sachin 2" xfId="15084" xr:uid="{00000000-0005-0000-0000-0000923A0000}"/>
    <cellStyle name="_20061117Holux_Re-engineering SLM_PM_Workbook_01252010_FairPoint_FP comTechOps_ProgramWorkbook_sachin 2_Steps of Doneness" xfId="15085" xr:uid="{00000000-0005-0000-0000-0000933A0000}"/>
    <cellStyle name="_20061117Holux_Re-engineering SLM_PM_Workbook_01252010_FairPoint_FP comTechOps_ProgramWorkbook_sachin 3" xfId="15086" xr:uid="{00000000-0005-0000-0000-0000943A0000}"/>
    <cellStyle name="_20061117Holux_Re-engineering SLM_PM_Workbook_01252010_FairPoint_FP comTechOps_ProgramWorkbook_sachin_Steps of Doneness" xfId="15087" xr:uid="{00000000-0005-0000-0000-0000953A0000}"/>
    <cellStyle name="_20061117Holux_Re-engineering SLM_PM_Workbook_01252010_FairPoint_FP comTechOps_ProgramWorkbook_sachin_v1" xfId="15088" xr:uid="{00000000-0005-0000-0000-0000963A0000}"/>
    <cellStyle name="_20061117Holux_Re-engineering SLM_PM_Workbook_01252010_FairPoint_FP comTechOps_ProgramWorkbook_sachin_v1 2" xfId="15089" xr:uid="{00000000-0005-0000-0000-0000973A0000}"/>
    <cellStyle name="_20061117Holux_Re-engineering SLM_PM_Workbook_01252010_FairPoint_FP comTechOps_ProgramWorkbook_sachin_v1 2_Steps of Doneness" xfId="15090" xr:uid="{00000000-0005-0000-0000-0000983A0000}"/>
    <cellStyle name="_20061117Holux_Re-engineering SLM_PM_Workbook_01252010_FairPoint_FP comTechOps_ProgramWorkbook_sachin_v1 3" xfId="15091" xr:uid="{00000000-0005-0000-0000-0000993A0000}"/>
    <cellStyle name="_20061117Holux_Re-engineering SLM_PM_Workbook_01252010_FairPoint_FP comTechOps_ProgramWorkbook_sachin_v1_Steps of Doneness" xfId="15092" xr:uid="{00000000-0005-0000-0000-00009A3A0000}"/>
    <cellStyle name="_20061117Holux_Re-engineering SLM_PM_Workbook_01252010_FairPoint_FP comTechOps_ProgramWorkbook_Steps of Doneness" xfId="15093" xr:uid="{00000000-0005-0000-0000-00009B3A0000}"/>
    <cellStyle name="_20061117Holux_Re-engineering SLM_PM_Workbook_01252010_FP_CAMP&amp;ITReporting_Maintenance_Dashboard" xfId="15094" xr:uid="{00000000-0005-0000-0000-00009C3A0000}"/>
    <cellStyle name="_20061117Holux_Re-engineering SLM_PM_Workbook_01252010_FP_CAMP&amp;ITReporting_Maintenance_Dashboard 2" xfId="15095" xr:uid="{00000000-0005-0000-0000-00009D3A0000}"/>
    <cellStyle name="_20061117Holux_Re-engineering SLM_PM_Workbook_01252010_FP_CAMP&amp;ITReporting_Maintenance_Dashboard 2_Steps of Doneness" xfId="15096" xr:uid="{00000000-0005-0000-0000-00009E3A0000}"/>
    <cellStyle name="_20061117Holux_Re-engineering SLM_PM_Workbook_01252010_FP_CAMP&amp;ITReporting_Maintenance_Dashboard 3" xfId="15097" xr:uid="{00000000-0005-0000-0000-00009F3A0000}"/>
    <cellStyle name="_20061117Holux_Re-engineering SLM_PM_Workbook_01252010_FP_CAMP&amp;ITReporting_Maintenance_Dashboard_Steps of Doneness" xfId="15098" xr:uid="{00000000-0005-0000-0000-0000A03A0000}"/>
    <cellStyle name="_20061117Holux_Re-engineering SLM_PM_Workbook_01252010_FP_CAMPITReporting_Maintenance_Dashboard" xfId="15099" xr:uid="{00000000-0005-0000-0000-0000A13A0000}"/>
    <cellStyle name="_20061117Holux_Re-engineering SLM_PM_Workbook_01252010_FP_CAMPITReporting_Maintenance_Dashboard 2" xfId="15100" xr:uid="{00000000-0005-0000-0000-0000A23A0000}"/>
    <cellStyle name="_20061117Holux_Re-engineering SLM_PM_Workbook_01252010_FP_CAMPITReporting_Maintenance_Dashboard 2_Steps of Doneness" xfId="15101" xr:uid="{00000000-0005-0000-0000-0000A33A0000}"/>
    <cellStyle name="_20061117Holux_Re-engineering SLM_PM_Workbook_01252010_FP_CAMPITReporting_Maintenance_Dashboard 3" xfId="15102" xr:uid="{00000000-0005-0000-0000-0000A43A0000}"/>
    <cellStyle name="_20061117Holux_Re-engineering SLM_PM_Workbook_01252010_FP_CAMPITReporting_Maintenance_Dashboard_Steps of Doneness" xfId="15103" xr:uid="{00000000-0005-0000-0000-0000A53A0000}"/>
    <cellStyle name="_20061117Holux_Re-engineering SLM_PM_Workbook_01252010_FP_Commissions_Req_Dn_ProgramWorkBook_10-Dec-2010" xfId="15104" xr:uid="{00000000-0005-0000-0000-0000A63A0000}"/>
    <cellStyle name="_20061117Holux_Re-engineering SLM_PM_Workbook_01252010_FP_Commissions_Req_Dn_ProgramWorkBook_10-Dec-2010 2" xfId="15105" xr:uid="{00000000-0005-0000-0000-0000A73A0000}"/>
    <cellStyle name="_20061117Holux_Re-engineering SLM_PM_Workbook_01252010_FP_Commissions_Req_Dn_ProgramWorkBook_10-Dec-2010 2_Steps of Doneness" xfId="15106" xr:uid="{00000000-0005-0000-0000-0000A83A0000}"/>
    <cellStyle name="_20061117Holux_Re-engineering SLM_PM_Workbook_01252010_FP_Commissions_Req_Dn_ProgramWorkBook_10-Dec-2010 3" xfId="15107" xr:uid="{00000000-0005-0000-0000-0000A93A0000}"/>
    <cellStyle name="_20061117Holux_Re-engineering SLM_PM_Workbook_01252010_FP_Commissions_Req_Dn_ProgramWorkBook_10-Dec-2010_Steps of Doneness" xfId="15108" xr:uid="{00000000-0005-0000-0000-0000AA3A0000}"/>
    <cellStyle name="_20061117Holux_Re-engineering SLM_PM_Workbook_01252010_FP_DW_Impl_ProgramWorkBook_07-Jan-2011" xfId="15109" xr:uid="{00000000-0005-0000-0000-0000AB3A0000}"/>
    <cellStyle name="_20061117Holux_Re-engineering SLM_PM_Workbook_01252010_FP_DW_Impl_ProgramWorkBook_07-Jan-2011 2" xfId="15110" xr:uid="{00000000-0005-0000-0000-0000AC3A0000}"/>
    <cellStyle name="_20061117Holux_Re-engineering SLM_PM_Workbook_01252010_FP_DW_Impl_ProgramWorkBook_07-Jan-2011 2 2" xfId="15111" xr:uid="{00000000-0005-0000-0000-0000AD3A0000}"/>
    <cellStyle name="_20061117Holux_Re-engineering SLM_PM_Workbook_01252010_FP_DW_Impl_ProgramWorkBook_07-Jan-2011 2 2_Steps of Doneness" xfId="15112" xr:uid="{00000000-0005-0000-0000-0000AE3A0000}"/>
    <cellStyle name="_20061117Holux_Re-engineering SLM_PM_Workbook_01252010_FP_DW_Impl_ProgramWorkBook_07-Jan-2011 2 3" xfId="15113" xr:uid="{00000000-0005-0000-0000-0000AF3A0000}"/>
    <cellStyle name="_20061117Holux_Re-engineering SLM_PM_Workbook_01252010_FP_DW_Impl_ProgramWorkBook_07-Jan-2011 2_Steps of Doneness" xfId="15114" xr:uid="{00000000-0005-0000-0000-0000B03A0000}"/>
    <cellStyle name="_20061117Holux_Re-engineering SLM_PM_Workbook_01252010_FP_DW_Impl_ProgramWorkBook_07-Jan-2011 3" xfId="15115" xr:uid="{00000000-0005-0000-0000-0000B13A0000}"/>
    <cellStyle name="_20061117Holux_Re-engineering SLM_PM_Workbook_01252010_FP_DW_Impl_ProgramWorkBook_07-Jan-2011 3_Steps of Doneness" xfId="15116" xr:uid="{00000000-0005-0000-0000-0000B23A0000}"/>
    <cellStyle name="_20061117Holux_Re-engineering SLM_PM_Workbook_01252010_FP_DW_Impl_ProgramWorkBook_07-Jan-2011 4" xfId="15117" xr:uid="{00000000-0005-0000-0000-0000B33A0000}"/>
    <cellStyle name="_20061117Holux_Re-engineering SLM_PM_Workbook_01252010_FP_DW_Impl_ProgramWorkBook_07-Jan-2011_Steps of Doneness" xfId="15118" xr:uid="{00000000-0005-0000-0000-0000B43A0000}"/>
    <cellStyle name="_20061117Holux_Re-engineering SLM_PM_Workbook_01252010_FP_DW_Impl_ProgramWorkBook_11-Feb-2011" xfId="15119" xr:uid="{00000000-0005-0000-0000-0000B53A0000}"/>
    <cellStyle name="_20061117Holux_Re-engineering SLM_PM_Workbook_01252010_FP_DW_Impl_ProgramWorkBook_11-Feb-2011 2" xfId="15120" xr:uid="{00000000-0005-0000-0000-0000B63A0000}"/>
    <cellStyle name="_20061117Holux_Re-engineering SLM_PM_Workbook_01252010_FP_DW_Impl_ProgramWorkBook_11-Feb-2011 2_Steps of Doneness" xfId="15121" xr:uid="{00000000-0005-0000-0000-0000B73A0000}"/>
    <cellStyle name="_20061117Holux_Re-engineering SLM_PM_Workbook_01252010_FP_DW_Impl_ProgramWorkBook_11-Feb-2011 3" xfId="15122" xr:uid="{00000000-0005-0000-0000-0000B83A0000}"/>
    <cellStyle name="_20061117Holux_Re-engineering SLM_PM_Workbook_01252010_FP_DW_Impl_ProgramWorkBook_11-Feb-2011_Steps of Doneness" xfId="15123" xr:uid="{00000000-0005-0000-0000-0000B93A0000}"/>
    <cellStyle name="_20061117Holux_Re-engineering SLM_PM_Workbook_01252010_FP_DW_Impl_ProgramWorkBook_18-Feb-2011 - Working" xfId="15124" xr:uid="{00000000-0005-0000-0000-0000BA3A0000}"/>
    <cellStyle name="_20061117Holux_Re-engineering SLM_PM_Workbook_01252010_FP_DW_Impl_ProgramWorkBook_18-Feb-2011 - Working 2" xfId="15125" xr:uid="{00000000-0005-0000-0000-0000BB3A0000}"/>
    <cellStyle name="_20061117Holux_Re-engineering SLM_PM_Workbook_01252010_FP_DW_Impl_ProgramWorkBook_18-Feb-2011 - Working 2_Steps of Doneness" xfId="15126" xr:uid="{00000000-0005-0000-0000-0000BC3A0000}"/>
    <cellStyle name="_20061117Holux_Re-engineering SLM_PM_Workbook_01252010_FP_DW_Impl_ProgramWorkBook_18-Feb-2011 - Working 3" xfId="15127" xr:uid="{00000000-0005-0000-0000-0000BD3A0000}"/>
    <cellStyle name="_20061117Holux_Re-engineering SLM_PM_Workbook_01252010_FP_DW_Impl_ProgramWorkBook_18-Feb-2011 - Working_Steps of Doneness" xfId="15128" xr:uid="{00000000-0005-0000-0000-0000BE3A0000}"/>
    <cellStyle name="_20061117Holux_Re-engineering SLM_PM_Workbook_01252010_FP_EnterprisePortal_ProgramWorkbook" xfId="15129" xr:uid="{00000000-0005-0000-0000-0000BF3A0000}"/>
    <cellStyle name="_20061117Holux_Re-engineering SLM_PM_Workbook_01252010_FP_EnterprisePortal_ProgramWorkbook 2" xfId="15130" xr:uid="{00000000-0005-0000-0000-0000C03A0000}"/>
    <cellStyle name="_20061117Holux_Re-engineering SLM_PM_Workbook_01252010_FP_EnterprisePortal_ProgramWorkbook 2_Steps of Doneness" xfId="15131" xr:uid="{00000000-0005-0000-0000-0000C13A0000}"/>
    <cellStyle name="_20061117Holux_Re-engineering SLM_PM_Workbook_01252010_FP_EnterprisePortal_ProgramWorkbook 3" xfId="15132" xr:uid="{00000000-0005-0000-0000-0000C23A0000}"/>
    <cellStyle name="_20061117Holux_Re-engineering SLM_PM_Workbook_01252010_FP_EnterprisePortal_ProgramWorkbook_Steps of Doneness" xfId="15133" xr:uid="{00000000-0005-0000-0000-0000C33A0000}"/>
    <cellStyle name="_20061117Holux_Re-engineering SLM_PM_Workbook_01252010_FP_SAP_MLP v2" xfId="15134" xr:uid="{00000000-0005-0000-0000-0000C43A0000}"/>
    <cellStyle name="_20061117Holux_Re-engineering SLM_PM_Workbook_01252010_FP_SAP_MLP v2 2" xfId="15135" xr:uid="{00000000-0005-0000-0000-0000C53A0000}"/>
    <cellStyle name="_20061117Holux_Re-engineering SLM_PM_Workbook_01252010_FP_SAP_MLP v2 2_Steps of Doneness" xfId="15136" xr:uid="{00000000-0005-0000-0000-0000C63A0000}"/>
    <cellStyle name="_20061117Holux_Re-engineering SLM_PM_Workbook_01252010_FP_SAP_MLP v2 3" xfId="15137" xr:uid="{00000000-0005-0000-0000-0000C73A0000}"/>
    <cellStyle name="_20061117Holux_Re-engineering SLM_PM_Workbook_01252010_FP_SAP_MLP v2_Steps of Doneness" xfId="15138" xr:uid="{00000000-0005-0000-0000-0000C83A0000}"/>
    <cellStyle name="_20061117Holux_Re-engineering SLM_PM_Workbook_01252010_KeyDecisions" xfId="15139" xr:uid="{00000000-0005-0000-0000-0000C93A0000}"/>
    <cellStyle name="_20061117Holux_Re-engineering SLM_PM_Workbook_01252010_KeyDecisions 2" xfId="15140" xr:uid="{00000000-0005-0000-0000-0000CA3A0000}"/>
    <cellStyle name="_20061117Holux_Re-engineering SLM_PM_Workbook_01252010_KeyDecisions 2_Steps of Doneness" xfId="15141" xr:uid="{00000000-0005-0000-0000-0000CB3A0000}"/>
    <cellStyle name="_20061117Holux_Re-engineering SLM_PM_Workbook_01252010_KeyDecisions 3" xfId="15142" xr:uid="{00000000-0005-0000-0000-0000CC3A0000}"/>
    <cellStyle name="_20061117Holux_Re-engineering SLM_PM_Workbook_01252010_KeyDecisions_Steps of Doneness" xfId="15143" xr:uid="{00000000-0005-0000-0000-0000CD3A0000}"/>
    <cellStyle name="_20061117Holux_Re-engineering SLM_PM_Workbook_01252010_Sophia_Imp_ProjectWorkBook_02_18_2011" xfId="15144" xr:uid="{00000000-0005-0000-0000-0000CE3A0000}"/>
    <cellStyle name="_20061117Holux_Re-engineering SLM_PM_Workbook_01252010_Sophia_Imp_ProjectWorkBook_02_18_2011 2" xfId="15145" xr:uid="{00000000-0005-0000-0000-0000CF3A0000}"/>
    <cellStyle name="_20061117Holux_Re-engineering SLM_PM_Workbook_01252010_Sophia_Imp_ProjectWorkBook_02_18_2011 2_Steps of Doneness" xfId="15146" xr:uid="{00000000-0005-0000-0000-0000D03A0000}"/>
    <cellStyle name="_20061117Holux_Re-engineering SLM_PM_Workbook_01252010_Sophia_Imp_ProjectWorkBook_02_18_2011 3" xfId="15147" xr:uid="{00000000-0005-0000-0000-0000D13A0000}"/>
    <cellStyle name="_20061117Holux_Re-engineering SLM_PM_Workbook_01252010_Sophia_Imp_ProjectWorkBook_02_18_2011_Steps of Doneness" xfId="15148" xr:uid="{00000000-0005-0000-0000-0000D23A0000}"/>
    <cellStyle name="_20061117Holux_Re-engineering SLM_PM_Workbook_01252010_Steps of Doneness" xfId="15149" xr:uid="{00000000-0005-0000-0000-0000D33A0000}"/>
    <cellStyle name="_20061117Holux_Re-engineering SLM_PM_Workbook_01252010_t" xfId="15150" xr:uid="{00000000-0005-0000-0000-0000D43A0000}"/>
    <cellStyle name="_20061117Holux_Re-engineering SLM_PM_Workbook_01252010_t 2" xfId="15151" xr:uid="{00000000-0005-0000-0000-0000D53A0000}"/>
    <cellStyle name="_20061117Holux_Re-engineering SLM_PM_Workbook_01252010_t 2_Steps of Doneness" xfId="15152" xr:uid="{00000000-0005-0000-0000-0000D63A0000}"/>
    <cellStyle name="_20061117Holux_Re-engineering SLM_PM_Workbook_01252010_t 3" xfId="15153" xr:uid="{00000000-0005-0000-0000-0000D73A0000}"/>
    <cellStyle name="_20061117Holux_Re-engineering SLM_PM_Workbook_01252010_t_Steps of Doneness" xfId="15154" xr:uid="{00000000-0005-0000-0000-0000D83A0000}"/>
    <cellStyle name="_20061117Holux_Re-engineering SLM_PM_Workbook_021510" xfId="15155" xr:uid="{00000000-0005-0000-0000-0000D93A0000}"/>
    <cellStyle name="_20061117Holux_Re-engineering SLM_PM_Workbook_021510 2" xfId="15156" xr:uid="{00000000-0005-0000-0000-0000DA3A0000}"/>
    <cellStyle name="_20061117Holux_Re-engineering SLM_PM_Workbook_021510 2 2" xfId="15157" xr:uid="{00000000-0005-0000-0000-0000DB3A0000}"/>
    <cellStyle name="_20061117Holux_Re-engineering SLM_PM_Workbook_021510 2 2_Steps of Doneness" xfId="15158" xr:uid="{00000000-0005-0000-0000-0000DC3A0000}"/>
    <cellStyle name="_20061117Holux_Re-engineering SLM_PM_Workbook_021510 2 3" xfId="15159" xr:uid="{00000000-0005-0000-0000-0000DD3A0000}"/>
    <cellStyle name="_20061117Holux_Re-engineering SLM_PM_Workbook_021510 2_Steps of Doneness" xfId="15160" xr:uid="{00000000-0005-0000-0000-0000DE3A0000}"/>
    <cellStyle name="_20061117Holux_Re-engineering SLM_PM_Workbook_021510 3" xfId="15161" xr:uid="{00000000-0005-0000-0000-0000DF3A0000}"/>
    <cellStyle name="_20061117Holux_Re-engineering SLM_PM_Workbook_021510 3 2" xfId="15162" xr:uid="{00000000-0005-0000-0000-0000E03A0000}"/>
    <cellStyle name="_20061117Holux_Re-engineering SLM_PM_Workbook_021510 3 2_Steps of Doneness" xfId="15163" xr:uid="{00000000-0005-0000-0000-0000E13A0000}"/>
    <cellStyle name="_20061117Holux_Re-engineering SLM_PM_Workbook_021510 3 3" xfId="15164" xr:uid="{00000000-0005-0000-0000-0000E23A0000}"/>
    <cellStyle name="_20061117Holux_Re-engineering SLM_PM_Workbook_021510 3_Steps of Doneness" xfId="15165" xr:uid="{00000000-0005-0000-0000-0000E33A0000}"/>
    <cellStyle name="_20061117Holux_Re-engineering SLM_PM_Workbook_021510 4" xfId="15166" xr:uid="{00000000-0005-0000-0000-0000E43A0000}"/>
    <cellStyle name="_20061117Holux_Re-engineering SLM_PM_Workbook_021510 4_Steps of Doneness" xfId="15167" xr:uid="{00000000-0005-0000-0000-0000E53A0000}"/>
    <cellStyle name="_20061117Holux_Re-engineering SLM_PM_Workbook_021510 5" xfId="15168" xr:uid="{00000000-0005-0000-0000-0000E63A0000}"/>
    <cellStyle name="_20061117Holux_Re-engineering SLM_PM_Workbook_021510 6" xfId="15169" xr:uid="{00000000-0005-0000-0000-0000E73A0000}"/>
    <cellStyle name="_20061117Holux_Re-engineering SLM_PM_Workbook_021510_Commissioning System Implementation_Project Workbook_06_10_2011" xfId="15170" xr:uid="{00000000-0005-0000-0000-0000E83A0000}"/>
    <cellStyle name="_20061117Holux_Re-engineering SLM_PM_Workbook_021510_Commissioning System Implementation_Project Workbook_06_10_2011 2" xfId="15171" xr:uid="{00000000-0005-0000-0000-0000E93A0000}"/>
    <cellStyle name="_20061117Holux_Re-engineering SLM_PM_Workbook_021510_Commissioning System Implementation_Project Workbook_06_10_2011 2_Steps of Doneness" xfId="15172" xr:uid="{00000000-0005-0000-0000-0000EA3A0000}"/>
    <cellStyle name="_20061117Holux_Re-engineering SLM_PM_Workbook_021510_Commissioning System Implementation_Project Workbook_06_10_2011 3" xfId="15173" xr:uid="{00000000-0005-0000-0000-0000EB3A0000}"/>
    <cellStyle name="_20061117Holux_Re-engineering SLM_PM_Workbook_021510_Commissioning System Implementation_Project Workbook_06_10_2011_Steps of Doneness" xfId="15174" xr:uid="{00000000-0005-0000-0000-0000EC3A0000}"/>
    <cellStyle name="_20061117Holux_Re-engineering SLM_PM_Workbook_021510_FairPoint_CampReport" xfId="15175" xr:uid="{00000000-0005-0000-0000-0000ED3A0000}"/>
    <cellStyle name="_20061117Holux_Re-engineering SLM_PM_Workbook_021510_FairPoint_CampReport 2" xfId="15176" xr:uid="{00000000-0005-0000-0000-0000EE3A0000}"/>
    <cellStyle name="_20061117Holux_Re-engineering SLM_PM_Workbook_021510_FairPoint_CampReport 2_Steps of Doneness" xfId="15177" xr:uid="{00000000-0005-0000-0000-0000EF3A0000}"/>
    <cellStyle name="_20061117Holux_Re-engineering SLM_PM_Workbook_021510_FairPoint_CampReport 3" xfId="15178" xr:uid="{00000000-0005-0000-0000-0000F03A0000}"/>
    <cellStyle name="_20061117Holux_Re-engineering SLM_PM_Workbook_021510_FairPoint_CampReport_Steps of Doneness" xfId="15179" xr:uid="{00000000-0005-0000-0000-0000F13A0000}"/>
    <cellStyle name="_20061117Holux_Re-engineering SLM_PM_Workbook_021510_FairPoint_FP comTechOps_ProgramWorkbook" xfId="15180" xr:uid="{00000000-0005-0000-0000-0000F23A0000}"/>
    <cellStyle name="_20061117Holux_Re-engineering SLM_PM_Workbook_021510_FairPoint_FP comTechOps_ProgramWorkbook 2" xfId="15181" xr:uid="{00000000-0005-0000-0000-0000F33A0000}"/>
    <cellStyle name="_20061117Holux_Re-engineering SLM_PM_Workbook_021510_FairPoint_FP comTechOps_ProgramWorkbook 2_Steps of Doneness" xfId="15182" xr:uid="{00000000-0005-0000-0000-0000F43A0000}"/>
    <cellStyle name="_20061117Holux_Re-engineering SLM_PM_Workbook_021510_FairPoint_FP comTechOps_ProgramWorkbook 3" xfId="15183" xr:uid="{00000000-0005-0000-0000-0000F53A0000}"/>
    <cellStyle name="_20061117Holux_Re-engineering SLM_PM_Workbook_021510_FairPoint_FP comTechOps_ProgramWorkbook_sachin" xfId="15184" xr:uid="{00000000-0005-0000-0000-0000F63A0000}"/>
    <cellStyle name="_20061117Holux_Re-engineering SLM_PM_Workbook_021510_FairPoint_FP comTechOps_ProgramWorkbook_sachin 2" xfId="15185" xr:uid="{00000000-0005-0000-0000-0000F73A0000}"/>
    <cellStyle name="_20061117Holux_Re-engineering SLM_PM_Workbook_021510_FairPoint_FP comTechOps_ProgramWorkbook_sachin 2_Steps of Doneness" xfId="15186" xr:uid="{00000000-0005-0000-0000-0000F83A0000}"/>
    <cellStyle name="_20061117Holux_Re-engineering SLM_PM_Workbook_021510_FairPoint_FP comTechOps_ProgramWorkbook_sachin 3" xfId="15187" xr:uid="{00000000-0005-0000-0000-0000F93A0000}"/>
    <cellStyle name="_20061117Holux_Re-engineering SLM_PM_Workbook_021510_FairPoint_FP comTechOps_ProgramWorkbook_sachin_Steps of Doneness" xfId="15188" xr:uid="{00000000-0005-0000-0000-0000FA3A0000}"/>
    <cellStyle name="_20061117Holux_Re-engineering SLM_PM_Workbook_021510_FairPoint_FP comTechOps_ProgramWorkbook_sachin_v1" xfId="15189" xr:uid="{00000000-0005-0000-0000-0000FB3A0000}"/>
    <cellStyle name="_20061117Holux_Re-engineering SLM_PM_Workbook_021510_FairPoint_FP comTechOps_ProgramWorkbook_sachin_v1 2" xfId="15190" xr:uid="{00000000-0005-0000-0000-0000FC3A0000}"/>
    <cellStyle name="_20061117Holux_Re-engineering SLM_PM_Workbook_021510_FairPoint_FP comTechOps_ProgramWorkbook_sachin_v1 2_Steps of Doneness" xfId="15191" xr:uid="{00000000-0005-0000-0000-0000FD3A0000}"/>
    <cellStyle name="_20061117Holux_Re-engineering SLM_PM_Workbook_021510_FairPoint_FP comTechOps_ProgramWorkbook_sachin_v1 3" xfId="15192" xr:uid="{00000000-0005-0000-0000-0000FE3A0000}"/>
    <cellStyle name="_20061117Holux_Re-engineering SLM_PM_Workbook_021510_FairPoint_FP comTechOps_ProgramWorkbook_sachin_v1_Steps of Doneness" xfId="15193" xr:uid="{00000000-0005-0000-0000-0000FF3A0000}"/>
    <cellStyle name="_20061117Holux_Re-engineering SLM_PM_Workbook_021510_FairPoint_FP comTechOps_ProgramWorkbook_Steps of Doneness" xfId="15194" xr:uid="{00000000-0005-0000-0000-0000003B0000}"/>
    <cellStyle name="_20061117Holux_Re-engineering SLM_PM_Workbook_021510_FP_CAMP&amp;ITReporting_Maintenance_Dashboard" xfId="15195" xr:uid="{00000000-0005-0000-0000-0000013B0000}"/>
    <cellStyle name="_20061117Holux_Re-engineering SLM_PM_Workbook_021510_FP_CAMP&amp;ITReporting_Maintenance_Dashboard 2" xfId="15196" xr:uid="{00000000-0005-0000-0000-0000023B0000}"/>
    <cellStyle name="_20061117Holux_Re-engineering SLM_PM_Workbook_021510_FP_CAMP&amp;ITReporting_Maintenance_Dashboard 2_Steps of Doneness" xfId="15197" xr:uid="{00000000-0005-0000-0000-0000033B0000}"/>
    <cellStyle name="_20061117Holux_Re-engineering SLM_PM_Workbook_021510_FP_CAMP&amp;ITReporting_Maintenance_Dashboard 3" xfId="15198" xr:uid="{00000000-0005-0000-0000-0000043B0000}"/>
    <cellStyle name="_20061117Holux_Re-engineering SLM_PM_Workbook_021510_FP_CAMP&amp;ITReporting_Maintenance_Dashboard_Steps of Doneness" xfId="15199" xr:uid="{00000000-0005-0000-0000-0000053B0000}"/>
    <cellStyle name="_20061117Holux_Re-engineering SLM_PM_Workbook_021510_FP_CAMPITReporting_Maintenance_Dashboard" xfId="15200" xr:uid="{00000000-0005-0000-0000-0000063B0000}"/>
    <cellStyle name="_20061117Holux_Re-engineering SLM_PM_Workbook_021510_FP_CAMPITReporting_Maintenance_Dashboard 2" xfId="15201" xr:uid="{00000000-0005-0000-0000-0000073B0000}"/>
    <cellStyle name="_20061117Holux_Re-engineering SLM_PM_Workbook_021510_FP_CAMPITReporting_Maintenance_Dashboard 2_Steps of Doneness" xfId="15202" xr:uid="{00000000-0005-0000-0000-0000083B0000}"/>
    <cellStyle name="_20061117Holux_Re-engineering SLM_PM_Workbook_021510_FP_CAMPITReporting_Maintenance_Dashboard 3" xfId="15203" xr:uid="{00000000-0005-0000-0000-0000093B0000}"/>
    <cellStyle name="_20061117Holux_Re-engineering SLM_PM_Workbook_021510_FP_CAMPITReporting_Maintenance_Dashboard_Steps of Doneness" xfId="15204" xr:uid="{00000000-0005-0000-0000-00000A3B0000}"/>
    <cellStyle name="_20061117Holux_Re-engineering SLM_PM_Workbook_021510_FP_Commissions_Req_Dn_ProgramWorkBook_10-Dec-2010" xfId="15205" xr:uid="{00000000-0005-0000-0000-00000B3B0000}"/>
    <cellStyle name="_20061117Holux_Re-engineering SLM_PM_Workbook_021510_FP_Commissions_Req_Dn_ProgramWorkBook_10-Dec-2010 2" xfId="15206" xr:uid="{00000000-0005-0000-0000-00000C3B0000}"/>
    <cellStyle name="_20061117Holux_Re-engineering SLM_PM_Workbook_021510_FP_Commissions_Req_Dn_ProgramWorkBook_10-Dec-2010 2_Steps of Doneness" xfId="15207" xr:uid="{00000000-0005-0000-0000-00000D3B0000}"/>
    <cellStyle name="_20061117Holux_Re-engineering SLM_PM_Workbook_021510_FP_Commissions_Req_Dn_ProgramWorkBook_10-Dec-2010 3" xfId="15208" xr:uid="{00000000-0005-0000-0000-00000E3B0000}"/>
    <cellStyle name="_20061117Holux_Re-engineering SLM_PM_Workbook_021510_FP_Commissions_Req_Dn_ProgramWorkBook_10-Dec-2010_Steps of Doneness" xfId="15209" xr:uid="{00000000-0005-0000-0000-00000F3B0000}"/>
    <cellStyle name="_20061117Holux_Re-engineering SLM_PM_Workbook_021510_FP_DW_Impl_ProgramWorkBook_07-Jan-2011" xfId="15210" xr:uid="{00000000-0005-0000-0000-0000103B0000}"/>
    <cellStyle name="_20061117Holux_Re-engineering SLM_PM_Workbook_021510_FP_DW_Impl_ProgramWorkBook_07-Jan-2011 2" xfId="15211" xr:uid="{00000000-0005-0000-0000-0000113B0000}"/>
    <cellStyle name="_20061117Holux_Re-engineering SLM_PM_Workbook_021510_FP_DW_Impl_ProgramWorkBook_07-Jan-2011 2 2" xfId="15212" xr:uid="{00000000-0005-0000-0000-0000123B0000}"/>
    <cellStyle name="_20061117Holux_Re-engineering SLM_PM_Workbook_021510_FP_DW_Impl_ProgramWorkBook_07-Jan-2011 2 2_Steps of Doneness" xfId="15213" xr:uid="{00000000-0005-0000-0000-0000133B0000}"/>
    <cellStyle name="_20061117Holux_Re-engineering SLM_PM_Workbook_021510_FP_DW_Impl_ProgramWorkBook_07-Jan-2011 2 3" xfId="15214" xr:uid="{00000000-0005-0000-0000-0000143B0000}"/>
    <cellStyle name="_20061117Holux_Re-engineering SLM_PM_Workbook_021510_FP_DW_Impl_ProgramWorkBook_07-Jan-2011 2_Steps of Doneness" xfId="15215" xr:uid="{00000000-0005-0000-0000-0000153B0000}"/>
    <cellStyle name="_20061117Holux_Re-engineering SLM_PM_Workbook_021510_FP_DW_Impl_ProgramWorkBook_07-Jan-2011 3" xfId="15216" xr:uid="{00000000-0005-0000-0000-0000163B0000}"/>
    <cellStyle name="_20061117Holux_Re-engineering SLM_PM_Workbook_021510_FP_DW_Impl_ProgramWorkBook_07-Jan-2011 3_Steps of Doneness" xfId="15217" xr:uid="{00000000-0005-0000-0000-0000173B0000}"/>
    <cellStyle name="_20061117Holux_Re-engineering SLM_PM_Workbook_021510_FP_DW_Impl_ProgramWorkBook_07-Jan-2011 4" xfId="15218" xr:uid="{00000000-0005-0000-0000-0000183B0000}"/>
    <cellStyle name="_20061117Holux_Re-engineering SLM_PM_Workbook_021510_FP_DW_Impl_ProgramWorkBook_07-Jan-2011_Steps of Doneness" xfId="15219" xr:uid="{00000000-0005-0000-0000-0000193B0000}"/>
    <cellStyle name="_20061117Holux_Re-engineering SLM_PM_Workbook_021510_FP_DW_Impl_ProgramWorkBook_11-Feb-2011" xfId="15220" xr:uid="{00000000-0005-0000-0000-00001A3B0000}"/>
    <cellStyle name="_20061117Holux_Re-engineering SLM_PM_Workbook_021510_FP_DW_Impl_ProgramWorkBook_11-Feb-2011 2" xfId="15221" xr:uid="{00000000-0005-0000-0000-00001B3B0000}"/>
    <cellStyle name="_20061117Holux_Re-engineering SLM_PM_Workbook_021510_FP_DW_Impl_ProgramWorkBook_11-Feb-2011 2_Steps of Doneness" xfId="15222" xr:uid="{00000000-0005-0000-0000-00001C3B0000}"/>
    <cellStyle name="_20061117Holux_Re-engineering SLM_PM_Workbook_021510_FP_DW_Impl_ProgramWorkBook_11-Feb-2011 3" xfId="15223" xr:uid="{00000000-0005-0000-0000-00001D3B0000}"/>
    <cellStyle name="_20061117Holux_Re-engineering SLM_PM_Workbook_021510_FP_DW_Impl_ProgramWorkBook_11-Feb-2011_Steps of Doneness" xfId="15224" xr:uid="{00000000-0005-0000-0000-00001E3B0000}"/>
    <cellStyle name="_20061117Holux_Re-engineering SLM_PM_Workbook_021510_FP_DW_Impl_ProgramWorkBook_18-Feb-2011 - Working" xfId="15225" xr:uid="{00000000-0005-0000-0000-00001F3B0000}"/>
    <cellStyle name="_20061117Holux_Re-engineering SLM_PM_Workbook_021510_FP_DW_Impl_ProgramWorkBook_18-Feb-2011 - Working 2" xfId="15226" xr:uid="{00000000-0005-0000-0000-0000203B0000}"/>
    <cellStyle name="_20061117Holux_Re-engineering SLM_PM_Workbook_021510_FP_DW_Impl_ProgramWorkBook_18-Feb-2011 - Working 2_Steps of Doneness" xfId="15227" xr:uid="{00000000-0005-0000-0000-0000213B0000}"/>
    <cellStyle name="_20061117Holux_Re-engineering SLM_PM_Workbook_021510_FP_DW_Impl_ProgramWorkBook_18-Feb-2011 - Working 3" xfId="15228" xr:uid="{00000000-0005-0000-0000-0000223B0000}"/>
    <cellStyle name="_20061117Holux_Re-engineering SLM_PM_Workbook_021510_FP_DW_Impl_ProgramWorkBook_18-Feb-2011 - Working_Steps of Doneness" xfId="15229" xr:uid="{00000000-0005-0000-0000-0000233B0000}"/>
    <cellStyle name="_20061117Holux_Re-engineering SLM_PM_Workbook_021510_FP_EnterprisePortal_ProgramWorkbook" xfId="15230" xr:uid="{00000000-0005-0000-0000-0000243B0000}"/>
    <cellStyle name="_20061117Holux_Re-engineering SLM_PM_Workbook_021510_FP_EnterprisePortal_ProgramWorkbook 2" xfId="15231" xr:uid="{00000000-0005-0000-0000-0000253B0000}"/>
    <cellStyle name="_20061117Holux_Re-engineering SLM_PM_Workbook_021510_FP_EnterprisePortal_ProgramWorkbook 2_Steps of Doneness" xfId="15232" xr:uid="{00000000-0005-0000-0000-0000263B0000}"/>
    <cellStyle name="_20061117Holux_Re-engineering SLM_PM_Workbook_021510_FP_EnterprisePortal_ProgramWorkbook 3" xfId="15233" xr:uid="{00000000-0005-0000-0000-0000273B0000}"/>
    <cellStyle name="_20061117Holux_Re-engineering SLM_PM_Workbook_021510_FP_EnterprisePortal_ProgramWorkbook_Steps of Doneness" xfId="15234" xr:uid="{00000000-0005-0000-0000-0000283B0000}"/>
    <cellStyle name="_20061117Holux_Re-engineering SLM_PM_Workbook_021510_FP_SAP_MLP v2" xfId="15235" xr:uid="{00000000-0005-0000-0000-0000293B0000}"/>
    <cellStyle name="_20061117Holux_Re-engineering SLM_PM_Workbook_021510_FP_SAP_MLP v2 2" xfId="15236" xr:uid="{00000000-0005-0000-0000-00002A3B0000}"/>
    <cellStyle name="_20061117Holux_Re-engineering SLM_PM_Workbook_021510_FP_SAP_MLP v2 2_Steps of Doneness" xfId="15237" xr:uid="{00000000-0005-0000-0000-00002B3B0000}"/>
    <cellStyle name="_20061117Holux_Re-engineering SLM_PM_Workbook_021510_FP_SAP_MLP v2 3" xfId="15238" xr:uid="{00000000-0005-0000-0000-00002C3B0000}"/>
    <cellStyle name="_20061117Holux_Re-engineering SLM_PM_Workbook_021510_FP_SAP_MLP v2_Steps of Doneness" xfId="15239" xr:uid="{00000000-0005-0000-0000-00002D3B0000}"/>
    <cellStyle name="_20061117Holux_Re-engineering SLM_PM_Workbook_021510_KeyDecisions" xfId="15240" xr:uid="{00000000-0005-0000-0000-00002E3B0000}"/>
    <cellStyle name="_20061117Holux_Re-engineering SLM_PM_Workbook_021510_KeyDecisions 2" xfId="15241" xr:uid="{00000000-0005-0000-0000-00002F3B0000}"/>
    <cellStyle name="_20061117Holux_Re-engineering SLM_PM_Workbook_021510_KeyDecisions 2_Steps of Doneness" xfId="15242" xr:uid="{00000000-0005-0000-0000-0000303B0000}"/>
    <cellStyle name="_20061117Holux_Re-engineering SLM_PM_Workbook_021510_KeyDecisions 3" xfId="15243" xr:uid="{00000000-0005-0000-0000-0000313B0000}"/>
    <cellStyle name="_20061117Holux_Re-engineering SLM_PM_Workbook_021510_KeyDecisions_Steps of Doneness" xfId="15244" xr:uid="{00000000-0005-0000-0000-0000323B0000}"/>
    <cellStyle name="_20061117Holux_Re-engineering SLM_PM_Workbook_021510_Sophia_Imp_ProjectWorkBook_02_18_2011" xfId="15245" xr:uid="{00000000-0005-0000-0000-0000333B0000}"/>
    <cellStyle name="_20061117Holux_Re-engineering SLM_PM_Workbook_021510_Sophia_Imp_ProjectWorkBook_02_18_2011 2" xfId="15246" xr:uid="{00000000-0005-0000-0000-0000343B0000}"/>
    <cellStyle name="_20061117Holux_Re-engineering SLM_PM_Workbook_021510_Sophia_Imp_ProjectWorkBook_02_18_2011 2_Steps of Doneness" xfId="15247" xr:uid="{00000000-0005-0000-0000-0000353B0000}"/>
    <cellStyle name="_20061117Holux_Re-engineering SLM_PM_Workbook_021510_Sophia_Imp_ProjectWorkBook_02_18_2011 3" xfId="15248" xr:uid="{00000000-0005-0000-0000-0000363B0000}"/>
    <cellStyle name="_20061117Holux_Re-engineering SLM_PM_Workbook_021510_Sophia_Imp_ProjectWorkBook_02_18_2011_Steps of Doneness" xfId="15249" xr:uid="{00000000-0005-0000-0000-0000373B0000}"/>
    <cellStyle name="_20061117Holux_Re-engineering SLM_PM_Workbook_021510_Steps of Doneness" xfId="15250" xr:uid="{00000000-0005-0000-0000-0000383B0000}"/>
    <cellStyle name="_20061117Holux_Re-engineering SLM_PM_Workbook_021510_t" xfId="15251" xr:uid="{00000000-0005-0000-0000-0000393B0000}"/>
    <cellStyle name="_20061117Holux_Re-engineering SLM_PM_Workbook_021510_t 2" xfId="15252" xr:uid="{00000000-0005-0000-0000-00003A3B0000}"/>
    <cellStyle name="_20061117Holux_Re-engineering SLM_PM_Workbook_021510_t 2_Steps of Doneness" xfId="15253" xr:uid="{00000000-0005-0000-0000-00003B3B0000}"/>
    <cellStyle name="_20061117Holux_Re-engineering SLM_PM_Workbook_021510_t 3" xfId="15254" xr:uid="{00000000-0005-0000-0000-00003C3B0000}"/>
    <cellStyle name="_20061117Holux_Re-engineering SLM_PM_Workbook_021510_t_Steps of Doneness" xfId="15255" xr:uid="{00000000-0005-0000-0000-00003D3B0000}"/>
    <cellStyle name="_20061117Holux_Re-engineering SLM_PM_Workbook_030810" xfId="15256" xr:uid="{00000000-0005-0000-0000-00003E3B0000}"/>
    <cellStyle name="_20061117Holux_Re-engineering SLM_PM_Workbook_030810 2" xfId="15257" xr:uid="{00000000-0005-0000-0000-00003F3B0000}"/>
    <cellStyle name="_20061117Holux_Re-engineering SLM_PM_Workbook_030810 2 2" xfId="15258" xr:uid="{00000000-0005-0000-0000-0000403B0000}"/>
    <cellStyle name="_20061117Holux_Re-engineering SLM_PM_Workbook_030810 2 2_Steps of Doneness" xfId="15259" xr:uid="{00000000-0005-0000-0000-0000413B0000}"/>
    <cellStyle name="_20061117Holux_Re-engineering SLM_PM_Workbook_030810 2 3" xfId="15260" xr:uid="{00000000-0005-0000-0000-0000423B0000}"/>
    <cellStyle name="_20061117Holux_Re-engineering SLM_PM_Workbook_030810 2_Steps of Doneness" xfId="15261" xr:uid="{00000000-0005-0000-0000-0000433B0000}"/>
    <cellStyle name="_20061117Holux_Re-engineering SLM_PM_Workbook_030810 3" xfId="15262" xr:uid="{00000000-0005-0000-0000-0000443B0000}"/>
    <cellStyle name="_20061117Holux_Re-engineering SLM_PM_Workbook_030810 3 2" xfId="15263" xr:uid="{00000000-0005-0000-0000-0000453B0000}"/>
    <cellStyle name="_20061117Holux_Re-engineering SLM_PM_Workbook_030810 3 2_Steps of Doneness" xfId="15264" xr:uid="{00000000-0005-0000-0000-0000463B0000}"/>
    <cellStyle name="_20061117Holux_Re-engineering SLM_PM_Workbook_030810 3 3" xfId="15265" xr:uid="{00000000-0005-0000-0000-0000473B0000}"/>
    <cellStyle name="_20061117Holux_Re-engineering SLM_PM_Workbook_030810 3_Steps of Doneness" xfId="15266" xr:uid="{00000000-0005-0000-0000-0000483B0000}"/>
    <cellStyle name="_20061117Holux_Re-engineering SLM_PM_Workbook_030810 4" xfId="15267" xr:uid="{00000000-0005-0000-0000-0000493B0000}"/>
    <cellStyle name="_20061117Holux_Re-engineering SLM_PM_Workbook_030810 4_Steps of Doneness" xfId="15268" xr:uid="{00000000-0005-0000-0000-00004A3B0000}"/>
    <cellStyle name="_20061117Holux_Re-engineering SLM_PM_Workbook_030810 5" xfId="15269" xr:uid="{00000000-0005-0000-0000-00004B3B0000}"/>
    <cellStyle name="_20061117Holux_Re-engineering SLM_PM_Workbook_030810 6" xfId="15270" xr:uid="{00000000-0005-0000-0000-00004C3B0000}"/>
    <cellStyle name="_20061117Holux_Re-engineering SLM_PM_Workbook_030810_Commissioning System Implementation_Project Workbook_06_10_2011" xfId="15271" xr:uid="{00000000-0005-0000-0000-00004D3B0000}"/>
    <cellStyle name="_20061117Holux_Re-engineering SLM_PM_Workbook_030810_Commissioning System Implementation_Project Workbook_06_10_2011 2" xfId="15272" xr:uid="{00000000-0005-0000-0000-00004E3B0000}"/>
    <cellStyle name="_20061117Holux_Re-engineering SLM_PM_Workbook_030810_Commissioning System Implementation_Project Workbook_06_10_2011 2_Steps of Doneness" xfId="15273" xr:uid="{00000000-0005-0000-0000-00004F3B0000}"/>
    <cellStyle name="_20061117Holux_Re-engineering SLM_PM_Workbook_030810_Commissioning System Implementation_Project Workbook_06_10_2011 3" xfId="15274" xr:uid="{00000000-0005-0000-0000-0000503B0000}"/>
    <cellStyle name="_20061117Holux_Re-engineering SLM_PM_Workbook_030810_Commissioning System Implementation_Project Workbook_06_10_2011_Steps of Doneness" xfId="15275" xr:uid="{00000000-0005-0000-0000-0000513B0000}"/>
    <cellStyle name="_20061117Holux_Re-engineering SLM_PM_Workbook_030810_FairPoint_CampReport" xfId="15276" xr:uid="{00000000-0005-0000-0000-0000523B0000}"/>
    <cellStyle name="_20061117Holux_Re-engineering SLM_PM_Workbook_030810_FairPoint_CampReport 2" xfId="15277" xr:uid="{00000000-0005-0000-0000-0000533B0000}"/>
    <cellStyle name="_20061117Holux_Re-engineering SLM_PM_Workbook_030810_FairPoint_CampReport 2_Steps of Doneness" xfId="15278" xr:uid="{00000000-0005-0000-0000-0000543B0000}"/>
    <cellStyle name="_20061117Holux_Re-engineering SLM_PM_Workbook_030810_FairPoint_CampReport 3" xfId="15279" xr:uid="{00000000-0005-0000-0000-0000553B0000}"/>
    <cellStyle name="_20061117Holux_Re-engineering SLM_PM_Workbook_030810_FairPoint_CampReport_Steps of Doneness" xfId="15280" xr:uid="{00000000-0005-0000-0000-0000563B0000}"/>
    <cellStyle name="_20061117Holux_Re-engineering SLM_PM_Workbook_030810_FairPoint_FP comTechOps_ProgramWorkbook" xfId="15281" xr:uid="{00000000-0005-0000-0000-0000573B0000}"/>
    <cellStyle name="_20061117Holux_Re-engineering SLM_PM_Workbook_030810_FairPoint_FP comTechOps_ProgramWorkbook 2" xfId="15282" xr:uid="{00000000-0005-0000-0000-0000583B0000}"/>
    <cellStyle name="_20061117Holux_Re-engineering SLM_PM_Workbook_030810_FairPoint_FP comTechOps_ProgramWorkbook 2_Steps of Doneness" xfId="15283" xr:uid="{00000000-0005-0000-0000-0000593B0000}"/>
    <cellStyle name="_20061117Holux_Re-engineering SLM_PM_Workbook_030810_FairPoint_FP comTechOps_ProgramWorkbook 3" xfId="15284" xr:uid="{00000000-0005-0000-0000-00005A3B0000}"/>
    <cellStyle name="_20061117Holux_Re-engineering SLM_PM_Workbook_030810_FairPoint_FP comTechOps_ProgramWorkbook_sachin" xfId="15285" xr:uid="{00000000-0005-0000-0000-00005B3B0000}"/>
    <cellStyle name="_20061117Holux_Re-engineering SLM_PM_Workbook_030810_FairPoint_FP comTechOps_ProgramWorkbook_sachin 2" xfId="15286" xr:uid="{00000000-0005-0000-0000-00005C3B0000}"/>
    <cellStyle name="_20061117Holux_Re-engineering SLM_PM_Workbook_030810_FairPoint_FP comTechOps_ProgramWorkbook_sachin 2_Steps of Doneness" xfId="15287" xr:uid="{00000000-0005-0000-0000-00005D3B0000}"/>
    <cellStyle name="_20061117Holux_Re-engineering SLM_PM_Workbook_030810_FairPoint_FP comTechOps_ProgramWorkbook_sachin 3" xfId="15288" xr:uid="{00000000-0005-0000-0000-00005E3B0000}"/>
    <cellStyle name="_20061117Holux_Re-engineering SLM_PM_Workbook_030810_FairPoint_FP comTechOps_ProgramWorkbook_sachin_Steps of Doneness" xfId="15289" xr:uid="{00000000-0005-0000-0000-00005F3B0000}"/>
    <cellStyle name="_20061117Holux_Re-engineering SLM_PM_Workbook_030810_FairPoint_FP comTechOps_ProgramWorkbook_sachin_v1" xfId="15290" xr:uid="{00000000-0005-0000-0000-0000603B0000}"/>
    <cellStyle name="_20061117Holux_Re-engineering SLM_PM_Workbook_030810_FairPoint_FP comTechOps_ProgramWorkbook_sachin_v1 2" xfId="15291" xr:uid="{00000000-0005-0000-0000-0000613B0000}"/>
    <cellStyle name="_20061117Holux_Re-engineering SLM_PM_Workbook_030810_FairPoint_FP comTechOps_ProgramWorkbook_sachin_v1 2_Steps of Doneness" xfId="15292" xr:uid="{00000000-0005-0000-0000-0000623B0000}"/>
    <cellStyle name="_20061117Holux_Re-engineering SLM_PM_Workbook_030810_FairPoint_FP comTechOps_ProgramWorkbook_sachin_v1 3" xfId="15293" xr:uid="{00000000-0005-0000-0000-0000633B0000}"/>
    <cellStyle name="_20061117Holux_Re-engineering SLM_PM_Workbook_030810_FairPoint_FP comTechOps_ProgramWorkbook_sachin_v1_Steps of Doneness" xfId="15294" xr:uid="{00000000-0005-0000-0000-0000643B0000}"/>
    <cellStyle name="_20061117Holux_Re-engineering SLM_PM_Workbook_030810_FairPoint_FP comTechOps_ProgramWorkbook_Steps of Doneness" xfId="15295" xr:uid="{00000000-0005-0000-0000-0000653B0000}"/>
    <cellStyle name="_20061117Holux_Re-engineering SLM_PM_Workbook_030810_FP_CAMP&amp;ITReporting_Maintenance_Dashboard" xfId="15296" xr:uid="{00000000-0005-0000-0000-0000663B0000}"/>
    <cellStyle name="_20061117Holux_Re-engineering SLM_PM_Workbook_030810_FP_CAMP&amp;ITReporting_Maintenance_Dashboard 2" xfId="15297" xr:uid="{00000000-0005-0000-0000-0000673B0000}"/>
    <cellStyle name="_20061117Holux_Re-engineering SLM_PM_Workbook_030810_FP_CAMP&amp;ITReporting_Maintenance_Dashboard 2_Steps of Doneness" xfId="15298" xr:uid="{00000000-0005-0000-0000-0000683B0000}"/>
    <cellStyle name="_20061117Holux_Re-engineering SLM_PM_Workbook_030810_FP_CAMP&amp;ITReporting_Maintenance_Dashboard 3" xfId="15299" xr:uid="{00000000-0005-0000-0000-0000693B0000}"/>
    <cellStyle name="_20061117Holux_Re-engineering SLM_PM_Workbook_030810_FP_CAMP&amp;ITReporting_Maintenance_Dashboard_Steps of Doneness" xfId="15300" xr:uid="{00000000-0005-0000-0000-00006A3B0000}"/>
    <cellStyle name="_20061117Holux_Re-engineering SLM_PM_Workbook_030810_FP_CAMPITReporting_Maintenance_Dashboard" xfId="15301" xr:uid="{00000000-0005-0000-0000-00006B3B0000}"/>
    <cellStyle name="_20061117Holux_Re-engineering SLM_PM_Workbook_030810_FP_CAMPITReporting_Maintenance_Dashboard 2" xfId="15302" xr:uid="{00000000-0005-0000-0000-00006C3B0000}"/>
    <cellStyle name="_20061117Holux_Re-engineering SLM_PM_Workbook_030810_FP_CAMPITReporting_Maintenance_Dashboard 2_Steps of Doneness" xfId="15303" xr:uid="{00000000-0005-0000-0000-00006D3B0000}"/>
    <cellStyle name="_20061117Holux_Re-engineering SLM_PM_Workbook_030810_FP_CAMPITReporting_Maintenance_Dashboard 3" xfId="15304" xr:uid="{00000000-0005-0000-0000-00006E3B0000}"/>
    <cellStyle name="_20061117Holux_Re-engineering SLM_PM_Workbook_030810_FP_CAMPITReporting_Maintenance_Dashboard_Steps of Doneness" xfId="15305" xr:uid="{00000000-0005-0000-0000-00006F3B0000}"/>
    <cellStyle name="_20061117Holux_Re-engineering SLM_PM_Workbook_030810_FP_Commissions_Req_Dn_ProgramWorkBook_10-Dec-2010" xfId="15306" xr:uid="{00000000-0005-0000-0000-0000703B0000}"/>
    <cellStyle name="_20061117Holux_Re-engineering SLM_PM_Workbook_030810_FP_Commissions_Req_Dn_ProgramWorkBook_10-Dec-2010 2" xfId="15307" xr:uid="{00000000-0005-0000-0000-0000713B0000}"/>
    <cellStyle name="_20061117Holux_Re-engineering SLM_PM_Workbook_030810_FP_Commissions_Req_Dn_ProgramWorkBook_10-Dec-2010 2_Steps of Doneness" xfId="15308" xr:uid="{00000000-0005-0000-0000-0000723B0000}"/>
    <cellStyle name="_20061117Holux_Re-engineering SLM_PM_Workbook_030810_FP_Commissions_Req_Dn_ProgramWorkBook_10-Dec-2010 3" xfId="15309" xr:uid="{00000000-0005-0000-0000-0000733B0000}"/>
    <cellStyle name="_20061117Holux_Re-engineering SLM_PM_Workbook_030810_FP_Commissions_Req_Dn_ProgramWorkBook_10-Dec-2010_Steps of Doneness" xfId="15310" xr:uid="{00000000-0005-0000-0000-0000743B0000}"/>
    <cellStyle name="_20061117Holux_Re-engineering SLM_PM_Workbook_030810_FP_DW_Impl_ProgramWorkBook_07-Jan-2011" xfId="15311" xr:uid="{00000000-0005-0000-0000-0000753B0000}"/>
    <cellStyle name="_20061117Holux_Re-engineering SLM_PM_Workbook_030810_FP_DW_Impl_ProgramWorkBook_07-Jan-2011 2" xfId="15312" xr:uid="{00000000-0005-0000-0000-0000763B0000}"/>
    <cellStyle name="_20061117Holux_Re-engineering SLM_PM_Workbook_030810_FP_DW_Impl_ProgramWorkBook_07-Jan-2011 2 2" xfId="15313" xr:uid="{00000000-0005-0000-0000-0000773B0000}"/>
    <cellStyle name="_20061117Holux_Re-engineering SLM_PM_Workbook_030810_FP_DW_Impl_ProgramWorkBook_07-Jan-2011 2 2_Steps of Doneness" xfId="15314" xr:uid="{00000000-0005-0000-0000-0000783B0000}"/>
    <cellStyle name="_20061117Holux_Re-engineering SLM_PM_Workbook_030810_FP_DW_Impl_ProgramWorkBook_07-Jan-2011 2 3" xfId="15315" xr:uid="{00000000-0005-0000-0000-0000793B0000}"/>
    <cellStyle name="_20061117Holux_Re-engineering SLM_PM_Workbook_030810_FP_DW_Impl_ProgramWorkBook_07-Jan-2011 2_Steps of Doneness" xfId="15316" xr:uid="{00000000-0005-0000-0000-00007A3B0000}"/>
    <cellStyle name="_20061117Holux_Re-engineering SLM_PM_Workbook_030810_FP_DW_Impl_ProgramWorkBook_07-Jan-2011 3" xfId="15317" xr:uid="{00000000-0005-0000-0000-00007B3B0000}"/>
    <cellStyle name="_20061117Holux_Re-engineering SLM_PM_Workbook_030810_FP_DW_Impl_ProgramWorkBook_07-Jan-2011 3_Steps of Doneness" xfId="15318" xr:uid="{00000000-0005-0000-0000-00007C3B0000}"/>
    <cellStyle name="_20061117Holux_Re-engineering SLM_PM_Workbook_030810_FP_DW_Impl_ProgramWorkBook_07-Jan-2011 4" xfId="15319" xr:uid="{00000000-0005-0000-0000-00007D3B0000}"/>
    <cellStyle name="_20061117Holux_Re-engineering SLM_PM_Workbook_030810_FP_DW_Impl_ProgramWorkBook_07-Jan-2011_Steps of Doneness" xfId="15320" xr:uid="{00000000-0005-0000-0000-00007E3B0000}"/>
    <cellStyle name="_20061117Holux_Re-engineering SLM_PM_Workbook_030810_FP_DW_Impl_ProgramWorkBook_11-Feb-2011" xfId="15321" xr:uid="{00000000-0005-0000-0000-00007F3B0000}"/>
    <cellStyle name="_20061117Holux_Re-engineering SLM_PM_Workbook_030810_FP_DW_Impl_ProgramWorkBook_11-Feb-2011 2" xfId="15322" xr:uid="{00000000-0005-0000-0000-0000803B0000}"/>
    <cellStyle name="_20061117Holux_Re-engineering SLM_PM_Workbook_030810_FP_DW_Impl_ProgramWorkBook_11-Feb-2011 2_Steps of Doneness" xfId="15323" xr:uid="{00000000-0005-0000-0000-0000813B0000}"/>
    <cellStyle name="_20061117Holux_Re-engineering SLM_PM_Workbook_030810_FP_DW_Impl_ProgramWorkBook_11-Feb-2011 3" xfId="15324" xr:uid="{00000000-0005-0000-0000-0000823B0000}"/>
    <cellStyle name="_20061117Holux_Re-engineering SLM_PM_Workbook_030810_FP_DW_Impl_ProgramWorkBook_11-Feb-2011_Steps of Doneness" xfId="15325" xr:uid="{00000000-0005-0000-0000-0000833B0000}"/>
    <cellStyle name="_20061117Holux_Re-engineering SLM_PM_Workbook_030810_FP_DW_Impl_ProgramWorkBook_18-Feb-2011 - Working" xfId="15326" xr:uid="{00000000-0005-0000-0000-0000843B0000}"/>
    <cellStyle name="_20061117Holux_Re-engineering SLM_PM_Workbook_030810_FP_DW_Impl_ProgramWorkBook_18-Feb-2011 - Working 2" xfId="15327" xr:uid="{00000000-0005-0000-0000-0000853B0000}"/>
    <cellStyle name="_20061117Holux_Re-engineering SLM_PM_Workbook_030810_FP_DW_Impl_ProgramWorkBook_18-Feb-2011 - Working 2_Steps of Doneness" xfId="15328" xr:uid="{00000000-0005-0000-0000-0000863B0000}"/>
    <cellStyle name="_20061117Holux_Re-engineering SLM_PM_Workbook_030810_FP_DW_Impl_ProgramWorkBook_18-Feb-2011 - Working 3" xfId="15329" xr:uid="{00000000-0005-0000-0000-0000873B0000}"/>
    <cellStyle name="_20061117Holux_Re-engineering SLM_PM_Workbook_030810_FP_DW_Impl_ProgramWorkBook_18-Feb-2011 - Working_Steps of Doneness" xfId="15330" xr:uid="{00000000-0005-0000-0000-0000883B0000}"/>
    <cellStyle name="_20061117Holux_Re-engineering SLM_PM_Workbook_030810_FP_EnterprisePortal_ProgramWorkbook" xfId="15331" xr:uid="{00000000-0005-0000-0000-0000893B0000}"/>
    <cellStyle name="_20061117Holux_Re-engineering SLM_PM_Workbook_030810_FP_EnterprisePortal_ProgramWorkbook 2" xfId="15332" xr:uid="{00000000-0005-0000-0000-00008A3B0000}"/>
    <cellStyle name="_20061117Holux_Re-engineering SLM_PM_Workbook_030810_FP_EnterprisePortal_ProgramWorkbook 2_Steps of Doneness" xfId="15333" xr:uid="{00000000-0005-0000-0000-00008B3B0000}"/>
    <cellStyle name="_20061117Holux_Re-engineering SLM_PM_Workbook_030810_FP_EnterprisePortal_ProgramWorkbook 3" xfId="15334" xr:uid="{00000000-0005-0000-0000-00008C3B0000}"/>
    <cellStyle name="_20061117Holux_Re-engineering SLM_PM_Workbook_030810_FP_EnterprisePortal_ProgramWorkbook_Steps of Doneness" xfId="15335" xr:uid="{00000000-0005-0000-0000-00008D3B0000}"/>
    <cellStyle name="_20061117Holux_Re-engineering SLM_PM_Workbook_030810_FP_SAP_MLP v2" xfId="15336" xr:uid="{00000000-0005-0000-0000-00008E3B0000}"/>
    <cellStyle name="_20061117Holux_Re-engineering SLM_PM_Workbook_030810_FP_SAP_MLP v2 2" xfId="15337" xr:uid="{00000000-0005-0000-0000-00008F3B0000}"/>
    <cellStyle name="_20061117Holux_Re-engineering SLM_PM_Workbook_030810_FP_SAP_MLP v2 2_Steps of Doneness" xfId="15338" xr:uid="{00000000-0005-0000-0000-0000903B0000}"/>
    <cellStyle name="_20061117Holux_Re-engineering SLM_PM_Workbook_030810_FP_SAP_MLP v2 3" xfId="15339" xr:uid="{00000000-0005-0000-0000-0000913B0000}"/>
    <cellStyle name="_20061117Holux_Re-engineering SLM_PM_Workbook_030810_FP_SAP_MLP v2_Steps of Doneness" xfId="15340" xr:uid="{00000000-0005-0000-0000-0000923B0000}"/>
    <cellStyle name="_20061117Holux_Re-engineering SLM_PM_Workbook_030810_KeyDecisions" xfId="15341" xr:uid="{00000000-0005-0000-0000-0000933B0000}"/>
    <cellStyle name="_20061117Holux_Re-engineering SLM_PM_Workbook_030810_KeyDecisions 2" xfId="15342" xr:uid="{00000000-0005-0000-0000-0000943B0000}"/>
    <cellStyle name="_20061117Holux_Re-engineering SLM_PM_Workbook_030810_KeyDecisions 2_Steps of Doneness" xfId="15343" xr:uid="{00000000-0005-0000-0000-0000953B0000}"/>
    <cellStyle name="_20061117Holux_Re-engineering SLM_PM_Workbook_030810_KeyDecisions 3" xfId="15344" xr:uid="{00000000-0005-0000-0000-0000963B0000}"/>
    <cellStyle name="_20061117Holux_Re-engineering SLM_PM_Workbook_030810_KeyDecisions_Steps of Doneness" xfId="15345" xr:uid="{00000000-0005-0000-0000-0000973B0000}"/>
    <cellStyle name="_20061117Holux_Re-engineering SLM_PM_Workbook_030810_Sophia_Imp_ProjectWorkBook_02_18_2011" xfId="15346" xr:uid="{00000000-0005-0000-0000-0000983B0000}"/>
    <cellStyle name="_20061117Holux_Re-engineering SLM_PM_Workbook_030810_Sophia_Imp_ProjectWorkBook_02_18_2011 2" xfId="15347" xr:uid="{00000000-0005-0000-0000-0000993B0000}"/>
    <cellStyle name="_20061117Holux_Re-engineering SLM_PM_Workbook_030810_Sophia_Imp_ProjectWorkBook_02_18_2011 2_Steps of Doneness" xfId="15348" xr:uid="{00000000-0005-0000-0000-00009A3B0000}"/>
    <cellStyle name="_20061117Holux_Re-engineering SLM_PM_Workbook_030810_Sophia_Imp_ProjectWorkBook_02_18_2011 3" xfId="15349" xr:uid="{00000000-0005-0000-0000-00009B3B0000}"/>
    <cellStyle name="_20061117Holux_Re-engineering SLM_PM_Workbook_030810_Sophia_Imp_ProjectWorkBook_02_18_2011_Steps of Doneness" xfId="15350" xr:uid="{00000000-0005-0000-0000-00009C3B0000}"/>
    <cellStyle name="_20061117Holux_Re-engineering SLM_PM_Workbook_030810_Steps of Doneness" xfId="15351" xr:uid="{00000000-0005-0000-0000-00009D3B0000}"/>
    <cellStyle name="_20061117Holux_Re-engineering SLM_PM_Workbook_030810_t" xfId="15352" xr:uid="{00000000-0005-0000-0000-00009E3B0000}"/>
    <cellStyle name="_20061117Holux_Re-engineering SLM_PM_Workbook_030810_t 2" xfId="15353" xr:uid="{00000000-0005-0000-0000-00009F3B0000}"/>
    <cellStyle name="_20061117Holux_Re-engineering SLM_PM_Workbook_030810_t 2_Steps of Doneness" xfId="15354" xr:uid="{00000000-0005-0000-0000-0000A03B0000}"/>
    <cellStyle name="_20061117Holux_Re-engineering SLM_PM_Workbook_030810_t 3" xfId="15355" xr:uid="{00000000-0005-0000-0000-0000A13B0000}"/>
    <cellStyle name="_20061117Holux_Re-engineering SLM_PM_Workbook_030810_t_Steps of Doneness" xfId="15356" xr:uid="{00000000-0005-0000-0000-0000A23B0000}"/>
    <cellStyle name="_20061117Holux_Scope and Deliverable Summary" xfId="15357" xr:uid="{00000000-0005-0000-0000-0000A33B0000}"/>
    <cellStyle name="_20061117Holux_Scope and Deliverable Summary 2" xfId="15358" xr:uid="{00000000-0005-0000-0000-0000A43B0000}"/>
    <cellStyle name="_20061117Holux_Scope and Deliverable Summary 2 2" xfId="15359" xr:uid="{00000000-0005-0000-0000-0000A53B0000}"/>
    <cellStyle name="_20061117Holux_Scope and Deliverable Summary 2 2_Steps of Doneness" xfId="15360" xr:uid="{00000000-0005-0000-0000-0000A63B0000}"/>
    <cellStyle name="_20061117Holux_Scope and Deliverable Summary 2 3" xfId="15361" xr:uid="{00000000-0005-0000-0000-0000A73B0000}"/>
    <cellStyle name="_20061117Holux_Scope and Deliverable Summary 2_Steps of Doneness" xfId="15362" xr:uid="{00000000-0005-0000-0000-0000A83B0000}"/>
    <cellStyle name="_20061117Holux_Scope and Deliverable Summary 3" xfId="15363" xr:uid="{00000000-0005-0000-0000-0000A93B0000}"/>
    <cellStyle name="_20061117Holux_Scope and Deliverable Summary 3 2" xfId="15364" xr:uid="{00000000-0005-0000-0000-0000AA3B0000}"/>
    <cellStyle name="_20061117Holux_Scope and Deliverable Summary 3 2_Steps of Doneness" xfId="15365" xr:uid="{00000000-0005-0000-0000-0000AB3B0000}"/>
    <cellStyle name="_20061117Holux_Scope and Deliverable Summary 3 3" xfId="15366" xr:uid="{00000000-0005-0000-0000-0000AC3B0000}"/>
    <cellStyle name="_20061117Holux_Scope and Deliverable Summary 3_Steps of Doneness" xfId="15367" xr:uid="{00000000-0005-0000-0000-0000AD3B0000}"/>
    <cellStyle name="_20061117Holux_Scope and Deliverable Summary 4" xfId="15368" xr:uid="{00000000-0005-0000-0000-0000AE3B0000}"/>
    <cellStyle name="_20061117Holux_Scope and Deliverable Summary 4_Steps of Doneness" xfId="15369" xr:uid="{00000000-0005-0000-0000-0000AF3B0000}"/>
    <cellStyle name="_20061117Holux_Scope and Deliverable Summary 5" xfId="15370" xr:uid="{00000000-0005-0000-0000-0000B03B0000}"/>
    <cellStyle name="_20061117Holux_Scope and Deliverable Summary 6" xfId="15371" xr:uid="{00000000-0005-0000-0000-0000B13B0000}"/>
    <cellStyle name="_20061117Holux_Scope and Deliverable Summary_Commissioning System Implementation_Project Workbook_06_10_2011" xfId="15372" xr:uid="{00000000-0005-0000-0000-0000B23B0000}"/>
    <cellStyle name="_20061117Holux_Scope and Deliverable Summary_Commissioning System Implementation_Project Workbook_06_10_2011 2" xfId="15373" xr:uid="{00000000-0005-0000-0000-0000B33B0000}"/>
    <cellStyle name="_20061117Holux_Scope and Deliverable Summary_Commissioning System Implementation_Project Workbook_06_10_2011 2_Steps of Doneness" xfId="15374" xr:uid="{00000000-0005-0000-0000-0000B43B0000}"/>
    <cellStyle name="_20061117Holux_Scope and Deliverable Summary_Commissioning System Implementation_Project Workbook_06_10_2011 3" xfId="15375" xr:uid="{00000000-0005-0000-0000-0000B53B0000}"/>
    <cellStyle name="_20061117Holux_Scope and Deliverable Summary_Commissioning System Implementation_Project Workbook_06_10_2011_Steps of Doneness" xfId="15376" xr:uid="{00000000-0005-0000-0000-0000B63B0000}"/>
    <cellStyle name="_20061117Holux_Scope and Deliverable Summary_FairPoint_CampReport" xfId="15377" xr:uid="{00000000-0005-0000-0000-0000B73B0000}"/>
    <cellStyle name="_20061117Holux_Scope and Deliverable Summary_FairPoint_CampReport 2" xfId="15378" xr:uid="{00000000-0005-0000-0000-0000B83B0000}"/>
    <cellStyle name="_20061117Holux_Scope and Deliverable Summary_FairPoint_CampReport 2_Steps of Doneness" xfId="15379" xr:uid="{00000000-0005-0000-0000-0000B93B0000}"/>
    <cellStyle name="_20061117Holux_Scope and Deliverable Summary_FairPoint_CampReport 3" xfId="15380" xr:uid="{00000000-0005-0000-0000-0000BA3B0000}"/>
    <cellStyle name="_20061117Holux_Scope and Deliverable Summary_FairPoint_CampReport_Steps of Doneness" xfId="15381" xr:uid="{00000000-0005-0000-0000-0000BB3B0000}"/>
    <cellStyle name="_20061117Holux_Scope and Deliverable Summary_FairPoint_FP comTechOps_ProgramWorkbook" xfId="15382" xr:uid="{00000000-0005-0000-0000-0000BC3B0000}"/>
    <cellStyle name="_20061117Holux_Scope and Deliverable Summary_FairPoint_FP comTechOps_ProgramWorkbook 2" xfId="15383" xr:uid="{00000000-0005-0000-0000-0000BD3B0000}"/>
    <cellStyle name="_20061117Holux_Scope and Deliverable Summary_FairPoint_FP comTechOps_ProgramWorkbook 2_Steps of Doneness" xfId="15384" xr:uid="{00000000-0005-0000-0000-0000BE3B0000}"/>
    <cellStyle name="_20061117Holux_Scope and Deliverable Summary_FairPoint_FP comTechOps_ProgramWorkbook 3" xfId="15385" xr:uid="{00000000-0005-0000-0000-0000BF3B0000}"/>
    <cellStyle name="_20061117Holux_Scope and Deliverable Summary_FairPoint_FP comTechOps_ProgramWorkbook_sachin" xfId="15386" xr:uid="{00000000-0005-0000-0000-0000C03B0000}"/>
    <cellStyle name="_20061117Holux_Scope and Deliverable Summary_FairPoint_FP comTechOps_ProgramWorkbook_sachin 2" xfId="15387" xr:uid="{00000000-0005-0000-0000-0000C13B0000}"/>
    <cellStyle name="_20061117Holux_Scope and Deliverable Summary_FairPoint_FP comTechOps_ProgramWorkbook_sachin 2_Steps of Doneness" xfId="15388" xr:uid="{00000000-0005-0000-0000-0000C23B0000}"/>
    <cellStyle name="_20061117Holux_Scope and Deliverable Summary_FairPoint_FP comTechOps_ProgramWorkbook_sachin 3" xfId="15389" xr:uid="{00000000-0005-0000-0000-0000C33B0000}"/>
    <cellStyle name="_20061117Holux_Scope and Deliverable Summary_FairPoint_FP comTechOps_ProgramWorkbook_sachin_Steps of Doneness" xfId="15390" xr:uid="{00000000-0005-0000-0000-0000C43B0000}"/>
    <cellStyle name="_20061117Holux_Scope and Deliverable Summary_FairPoint_FP comTechOps_ProgramWorkbook_sachin_v1" xfId="15391" xr:uid="{00000000-0005-0000-0000-0000C53B0000}"/>
    <cellStyle name="_20061117Holux_Scope and Deliverable Summary_FairPoint_FP comTechOps_ProgramWorkbook_sachin_v1 2" xfId="15392" xr:uid="{00000000-0005-0000-0000-0000C63B0000}"/>
    <cellStyle name="_20061117Holux_Scope and Deliverable Summary_FairPoint_FP comTechOps_ProgramWorkbook_sachin_v1 2_Steps of Doneness" xfId="15393" xr:uid="{00000000-0005-0000-0000-0000C73B0000}"/>
    <cellStyle name="_20061117Holux_Scope and Deliverable Summary_FairPoint_FP comTechOps_ProgramWorkbook_sachin_v1 3" xfId="15394" xr:uid="{00000000-0005-0000-0000-0000C83B0000}"/>
    <cellStyle name="_20061117Holux_Scope and Deliverable Summary_FairPoint_FP comTechOps_ProgramWorkbook_sachin_v1_Steps of Doneness" xfId="15395" xr:uid="{00000000-0005-0000-0000-0000C93B0000}"/>
    <cellStyle name="_20061117Holux_Scope and Deliverable Summary_FairPoint_FP comTechOps_ProgramWorkbook_Steps of Doneness" xfId="15396" xr:uid="{00000000-0005-0000-0000-0000CA3B0000}"/>
    <cellStyle name="_20061117Holux_Scope and Deliverable Summary_FP_CAMP&amp;ITReporting_Maintenance_Dashboard" xfId="15397" xr:uid="{00000000-0005-0000-0000-0000CB3B0000}"/>
    <cellStyle name="_20061117Holux_Scope and Deliverable Summary_FP_CAMP&amp;ITReporting_Maintenance_Dashboard 2" xfId="15398" xr:uid="{00000000-0005-0000-0000-0000CC3B0000}"/>
    <cellStyle name="_20061117Holux_Scope and Deliverable Summary_FP_CAMP&amp;ITReporting_Maintenance_Dashboard 2_Steps of Doneness" xfId="15399" xr:uid="{00000000-0005-0000-0000-0000CD3B0000}"/>
    <cellStyle name="_20061117Holux_Scope and Deliverable Summary_FP_CAMP&amp;ITReporting_Maintenance_Dashboard 3" xfId="15400" xr:uid="{00000000-0005-0000-0000-0000CE3B0000}"/>
    <cellStyle name="_20061117Holux_Scope and Deliverable Summary_FP_CAMP&amp;ITReporting_Maintenance_Dashboard_Steps of Doneness" xfId="15401" xr:uid="{00000000-0005-0000-0000-0000CF3B0000}"/>
    <cellStyle name="_20061117Holux_Scope and Deliverable Summary_FP_CAMPITReporting_Maintenance_Dashboard" xfId="15402" xr:uid="{00000000-0005-0000-0000-0000D03B0000}"/>
    <cellStyle name="_20061117Holux_Scope and Deliverable Summary_FP_CAMPITReporting_Maintenance_Dashboard 2" xfId="15403" xr:uid="{00000000-0005-0000-0000-0000D13B0000}"/>
    <cellStyle name="_20061117Holux_Scope and Deliverable Summary_FP_CAMPITReporting_Maintenance_Dashboard 2_Steps of Doneness" xfId="15404" xr:uid="{00000000-0005-0000-0000-0000D23B0000}"/>
    <cellStyle name="_20061117Holux_Scope and Deliverable Summary_FP_CAMPITReporting_Maintenance_Dashboard 3" xfId="15405" xr:uid="{00000000-0005-0000-0000-0000D33B0000}"/>
    <cellStyle name="_20061117Holux_Scope and Deliverable Summary_FP_CAMPITReporting_Maintenance_Dashboard_Steps of Doneness" xfId="15406" xr:uid="{00000000-0005-0000-0000-0000D43B0000}"/>
    <cellStyle name="_20061117Holux_Scope and Deliverable Summary_FP_Commissions_Req_Dn_ProgramWorkBook_10-Dec-2010" xfId="15407" xr:uid="{00000000-0005-0000-0000-0000D53B0000}"/>
    <cellStyle name="_20061117Holux_Scope and Deliverable Summary_FP_Commissions_Req_Dn_ProgramWorkBook_10-Dec-2010 2" xfId="15408" xr:uid="{00000000-0005-0000-0000-0000D63B0000}"/>
    <cellStyle name="_20061117Holux_Scope and Deliverable Summary_FP_Commissions_Req_Dn_ProgramWorkBook_10-Dec-2010 2_Steps of Doneness" xfId="15409" xr:uid="{00000000-0005-0000-0000-0000D73B0000}"/>
    <cellStyle name="_20061117Holux_Scope and Deliverable Summary_FP_Commissions_Req_Dn_ProgramWorkBook_10-Dec-2010 3" xfId="15410" xr:uid="{00000000-0005-0000-0000-0000D83B0000}"/>
    <cellStyle name="_20061117Holux_Scope and Deliverable Summary_FP_Commissions_Req_Dn_ProgramWorkBook_10-Dec-2010_Steps of Doneness" xfId="15411" xr:uid="{00000000-0005-0000-0000-0000D93B0000}"/>
    <cellStyle name="_20061117Holux_Scope and Deliverable Summary_FP_DW_Impl_ProgramWorkBook_07-Jan-2011" xfId="15412" xr:uid="{00000000-0005-0000-0000-0000DA3B0000}"/>
    <cellStyle name="_20061117Holux_Scope and Deliverable Summary_FP_DW_Impl_ProgramWorkBook_07-Jan-2011 2" xfId="15413" xr:uid="{00000000-0005-0000-0000-0000DB3B0000}"/>
    <cellStyle name="_20061117Holux_Scope and Deliverable Summary_FP_DW_Impl_ProgramWorkBook_07-Jan-2011 2 2" xfId="15414" xr:uid="{00000000-0005-0000-0000-0000DC3B0000}"/>
    <cellStyle name="_20061117Holux_Scope and Deliverable Summary_FP_DW_Impl_ProgramWorkBook_07-Jan-2011 2 2_Steps of Doneness" xfId="15415" xr:uid="{00000000-0005-0000-0000-0000DD3B0000}"/>
    <cellStyle name="_20061117Holux_Scope and Deliverable Summary_FP_DW_Impl_ProgramWorkBook_07-Jan-2011 2 3" xfId="15416" xr:uid="{00000000-0005-0000-0000-0000DE3B0000}"/>
    <cellStyle name="_20061117Holux_Scope and Deliverable Summary_FP_DW_Impl_ProgramWorkBook_07-Jan-2011 2_Steps of Doneness" xfId="15417" xr:uid="{00000000-0005-0000-0000-0000DF3B0000}"/>
    <cellStyle name="_20061117Holux_Scope and Deliverable Summary_FP_DW_Impl_ProgramWorkBook_07-Jan-2011 3" xfId="15418" xr:uid="{00000000-0005-0000-0000-0000E03B0000}"/>
    <cellStyle name="_20061117Holux_Scope and Deliverable Summary_FP_DW_Impl_ProgramWorkBook_07-Jan-2011 3_Steps of Doneness" xfId="15419" xr:uid="{00000000-0005-0000-0000-0000E13B0000}"/>
    <cellStyle name="_20061117Holux_Scope and Deliverable Summary_FP_DW_Impl_ProgramWorkBook_07-Jan-2011 4" xfId="15420" xr:uid="{00000000-0005-0000-0000-0000E23B0000}"/>
    <cellStyle name="_20061117Holux_Scope and Deliverable Summary_FP_DW_Impl_ProgramWorkBook_07-Jan-2011_Steps of Doneness" xfId="15421" xr:uid="{00000000-0005-0000-0000-0000E33B0000}"/>
    <cellStyle name="_20061117Holux_Scope and Deliverable Summary_FP_DW_Impl_ProgramWorkBook_11-Feb-2011" xfId="15422" xr:uid="{00000000-0005-0000-0000-0000E43B0000}"/>
    <cellStyle name="_20061117Holux_Scope and Deliverable Summary_FP_DW_Impl_ProgramWorkBook_11-Feb-2011 2" xfId="15423" xr:uid="{00000000-0005-0000-0000-0000E53B0000}"/>
    <cellStyle name="_20061117Holux_Scope and Deliverable Summary_FP_DW_Impl_ProgramWorkBook_11-Feb-2011 2_Steps of Doneness" xfId="15424" xr:uid="{00000000-0005-0000-0000-0000E63B0000}"/>
    <cellStyle name="_20061117Holux_Scope and Deliverable Summary_FP_DW_Impl_ProgramWorkBook_11-Feb-2011 3" xfId="15425" xr:uid="{00000000-0005-0000-0000-0000E73B0000}"/>
    <cellStyle name="_20061117Holux_Scope and Deliverable Summary_FP_DW_Impl_ProgramWorkBook_11-Feb-2011_Steps of Doneness" xfId="15426" xr:uid="{00000000-0005-0000-0000-0000E83B0000}"/>
    <cellStyle name="_20061117Holux_Scope and Deliverable Summary_FP_DW_Impl_ProgramWorkBook_18-Feb-2011 - Working" xfId="15427" xr:uid="{00000000-0005-0000-0000-0000E93B0000}"/>
    <cellStyle name="_20061117Holux_Scope and Deliverable Summary_FP_DW_Impl_ProgramWorkBook_18-Feb-2011 - Working 2" xfId="15428" xr:uid="{00000000-0005-0000-0000-0000EA3B0000}"/>
    <cellStyle name="_20061117Holux_Scope and Deliverable Summary_FP_DW_Impl_ProgramWorkBook_18-Feb-2011 - Working 2_Steps of Doneness" xfId="15429" xr:uid="{00000000-0005-0000-0000-0000EB3B0000}"/>
    <cellStyle name="_20061117Holux_Scope and Deliverable Summary_FP_DW_Impl_ProgramWorkBook_18-Feb-2011 - Working 3" xfId="15430" xr:uid="{00000000-0005-0000-0000-0000EC3B0000}"/>
    <cellStyle name="_20061117Holux_Scope and Deliverable Summary_FP_DW_Impl_ProgramWorkBook_18-Feb-2011 - Working_Steps of Doneness" xfId="15431" xr:uid="{00000000-0005-0000-0000-0000ED3B0000}"/>
    <cellStyle name="_20061117Holux_Scope and Deliverable Summary_FP_EnterprisePortal_ProgramWorkbook" xfId="15432" xr:uid="{00000000-0005-0000-0000-0000EE3B0000}"/>
    <cellStyle name="_20061117Holux_Scope and Deliverable Summary_FP_EnterprisePortal_ProgramWorkbook 2" xfId="15433" xr:uid="{00000000-0005-0000-0000-0000EF3B0000}"/>
    <cellStyle name="_20061117Holux_Scope and Deliverable Summary_FP_EnterprisePortal_ProgramWorkbook 2_Steps of Doneness" xfId="15434" xr:uid="{00000000-0005-0000-0000-0000F03B0000}"/>
    <cellStyle name="_20061117Holux_Scope and Deliverable Summary_FP_EnterprisePortal_ProgramWorkbook 3" xfId="15435" xr:uid="{00000000-0005-0000-0000-0000F13B0000}"/>
    <cellStyle name="_20061117Holux_Scope and Deliverable Summary_FP_EnterprisePortal_ProgramWorkbook_Steps of Doneness" xfId="15436" xr:uid="{00000000-0005-0000-0000-0000F23B0000}"/>
    <cellStyle name="_20061117Holux_Scope and Deliverable Summary_FP_SAP_MLP v2" xfId="15437" xr:uid="{00000000-0005-0000-0000-0000F33B0000}"/>
    <cellStyle name="_20061117Holux_Scope and Deliverable Summary_FP_SAP_MLP v2 2" xfId="15438" xr:uid="{00000000-0005-0000-0000-0000F43B0000}"/>
    <cellStyle name="_20061117Holux_Scope and Deliverable Summary_FP_SAP_MLP v2 2_Steps of Doneness" xfId="15439" xr:uid="{00000000-0005-0000-0000-0000F53B0000}"/>
    <cellStyle name="_20061117Holux_Scope and Deliverable Summary_FP_SAP_MLP v2 3" xfId="15440" xr:uid="{00000000-0005-0000-0000-0000F63B0000}"/>
    <cellStyle name="_20061117Holux_Scope and Deliverable Summary_FP_SAP_MLP v2_Steps of Doneness" xfId="15441" xr:uid="{00000000-0005-0000-0000-0000F73B0000}"/>
    <cellStyle name="_20061117Holux_Scope and Deliverable Summary_KeyDecisions" xfId="15442" xr:uid="{00000000-0005-0000-0000-0000F83B0000}"/>
    <cellStyle name="_20061117Holux_Scope and Deliverable Summary_KeyDecisions 2" xfId="15443" xr:uid="{00000000-0005-0000-0000-0000F93B0000}"/>
    <cellStyle name="_20061117Holux_Scope and Deliverable Summary_KeyDecisions 2_Steps of Doneness" xfId="15444" xr:uid="{00000000-0005-0000-0000-0000FA3B0000}"/>
    <cellStyle name="_20061117Holux_Scope and Deliverable Summary_KeyDecisions 3" xfId="15445" xr:uid="{00000000-0005-0000-0000-0000FB3B0000}"/>
    <cellStyle name="_20061117Holux_Scope and Deliverable Summary_KeyDecisions_Steps of Doneness" xfId="15446" xr:uid="{00000000-0005-0000-0000-0000FC3B0000}"/>
    <cellStyle name="_20061117Holux_Scope and Deliverable Summary_Sophia_Imp_ProjectWorkBook_02_18_2011" xfId="15447" xr:uid="{00000000-0005-0000-0000-0000FD3B0000}"/>
    <cellStyle name="_20061117Holux_Scope and Deliverable Summary_Sophia_Imp_ProjectWorkBook_02_18_2011 2" xfId="15448" xr:uid="{00000000-0005-0000-0000-0000FE3B0000}"/>
    <cellStyle name="_20061117Holux_Scope and Deliverable Summary_Sophia_Imp_ProjectWorkBook_02_18_2011 2_Steps of Doneness" xfId="15449" xr:uid="{00000000-0005-0000-0000-0000FF3B0000}"/>
    <cellStyle name="_20061117Holux_Scope and Deliverable Summary_Sophia_Imp_ProjectWorkBook_02_18_2011 3" xfId="15450" xr:uid="{00000000-0005-0000-0000-0000003C0000}"/>
    <cellStyle name="_20061117Holux_Scope and Deliverable Summary_Sophia_Imp_ProjectWorkBook_02_18_2011_Steps of Doneness" xfId="15451" xr:uid="{00000000-0005-0000-0000-0000013C0000}"/>
    <cellStyle name="_20061117Holux_Scope and Deliverable Summary_Steps of Doneness" xfId="15452" xr:uid="{00000000-0005-0000-0000-0000023C0000}"/>
    <cellStyle name="_20061117Holux_Scope and Deliverable Summary_t" xfId="15453" xr:uid="{00000000-0005-0000-0000-0000033C0000}"/>
    <cellStyle name="_20061117Holux_Scope and Deliverable Summary_t 2" xfId="15454" xr:uid="{00000000-0005-0000-0000-0000043C0000}"/>
    <cellStyle name="_20061117Holux_Scope and Deliverable Summary_t 2_Steps of Doneness" xfId="15455" xr:uid="{00000000-0005-0000-0000-0000053C0000}"/>
    <cellStyle name="_20061117Holux_Scope and Deliverable Summary_t 3" xfId="15456" xr:uid="{00000000-0005-0000-0000-0000063C0000}"/>
    <cellStyle name="_20061117Holux_Scope and Deliverable Summary_t_Steps of Doneness" xfId="15457" xr:uid="{00000000-0005-0000-0000-0000073C0000}"/>
    <cellStyle name="_20061117Holux_Scope and Deliverables Summary_0320" xfId="15458" xr:uid="{00000000-0005-0000-0000-0000083C0000}"/>
    <cellStyle name="_20061117Holux_Scope and Deliverables Summary_0320 2" xfId="15459" xr:uid="{00000000-0005-0000-0000-0000093C0000}"/>
    <cellStyle name="_20061117Holux_Scope and Deliverables Summary_0320 2 2" xfId="15460" xr:uid="{00000000-0005-0000-0000-00000A3C0000}"/>
    <cellStyle name="_20061117Holux_Scope and Deliverables Summary_0320 2 2_Steps of Doneness" xfId="15461" xr:uid="{00000000-0005-0000-0000-00000B3C0000}"/>
    <cellStyle name="_20061117Holux_Scope and Deliverables Summary_0320 2 3" xfId="15462" xr:uid="{00000000-0005-0000-0000-00000C3C0000}"/>
    <cellStyle name="_20061117Holux_Scope and Deliverables Summary_0320 2_Steps of Doneness" xfId="15463" xr:uid="{00000000-0005-0000-0000-00000D3C0000}"/>
    <cellStyle name="_20061117Holux_Scope and Deliverables Summary_0320 3" xfId="15464" xr:uid="{00000000-0005-0000-0000-00000E3C0000}"/>
    <cellStyle name="_20061117Holux_Scope and Deliverables Summary_0320 3 2" xfId="15465" xr:uid="{00000000-0005-0000-0000-00000F3C0000}"/>
    <cellStyle name="_20061117Holux_Scope and Deliverables Summary_0320 3 2_Steps of Doneness" xfId="15466" xr:uid="{00000000-0005-0000-0000-0000103C0000}"/>
    <cellStyle name="_20061117Holux_Scope and Deliverables Summary_0320 3 3" xfId="15467" xr:uid="{00000000-0005-0000-0000-0000113C0000}"/>
    <cellStyle name="_20061117Holux_Scope and Deliverables Summary_0320 3_Steps of Doneness" xfId="15468" xr:uid="{00000000-0005-0000-0000-0000123C0000}"/>
    <cellStyle name="_20061117Holux_Scope and Deliverables Summary_0320 4" xfId="15469" xr:uid="{00000000-0005-0000-0000-0000133C0000}"/>
    <cellStyle name="_20061117Holux_Scope and Deliverables Summary_0320 4_Steps of Doneness" xfId="15470" xr:uid="{00000000-0005-0000-0000-0000143C0000}"/>
    <cellStyle name="_20061117Holux_Scope and Deliverables Summary_0320 5" xfId="15471" xr:uid="{00000000-0005-0000-0000-0000153C0000}"/>
    <cellStyle name="_20061117Holux_Scope and Deliverables Summary_0320 6" xfId="15472" xr:uid="{00000000-0005-0000-0000-0000163C0000}"/>
    <cellStyle name="_20061117Holux_Scope and Deliverables Summary_0320_Commissioning System Implementation_Project Workbook_06_10_2011" xfId="15473" xr:uid="{00000000-0005-0000-0000-0000173C0000}"/>
    <cellStyle name="_20061117Holux_Scope and Deliverables Summary_0320_Commissioning System Implementation_Project Workbook_06_10_2011 2" xfId="15474" xr:uid="{00000000-0005-0000-0000-0000183C0000}"/>
    <cellStyle name="_20061117Holux_Scope and Deliverables Summary_0320_Commissioning System Implementation_Project Workbook_06_10_2011 2_Steps of Doneness" xfId="15475" xr:uid="{00000000-0005-0000-0000-0000193C0000}"/>
    <cellStyle name="_20061117Holux_Scope and Deliverables Summary_0320_Commissioning System Implementation_Project Workbook_06_10_2011 3" xfId="15476" xr:uid="{00000000-0005-0000-0000-00001A3C0000}"/>
    <cellStyle name="_20061117Holux_Scope and Deliverables Summary_0320_Commissioning System Implementation_Project Workbook_06_10_2011_Steps of Doneness" xfId="15477" xr:uid="{00000000-0005-0000-0000-00001B3C0000}"/>
    <cellStyle name="_20061117Holux_Scope and Deliverables Summary_0320_FairPoint_CampReport" xfId="15478" xr:uid="{00000000-0005-0000-0000-00001C3C0000}"/>
    <cellStyle name="_20061117Holux_Scope and Deliverables Summary_0320_FairPoint_CampReport 2" xfId="15479" xr:uid="{00000000-0005-0000-0000-00001D3C0000}"/>
    <cellStyle name="_20061117Holux_Scope and Deliverables Summary_0320_FairPoint_CampReport 2_Steps of Doneness" xfId="15480" xr:uid="{00000000-0005-0000-0000-00001E3C0000}"/>
    <cellStyle name="_20061117Holux_Scope and Deliverables Summary_0320_FairPoint_CampReport 3" xfId="15481" xr:uid="{00000000-0005-0000-0000-00001F3C0000}"/>
    <cellStyle name="_20061117Holux_Scope and Deliverables Summary_0320_FairPoint_CampReport_Steps of Doneness" xfId="15482" xr:uid="{00000000-0005-0000-0000-0000203C0000}"/>
    <cellStyle name="_20061117Holux_Scope and Deliverables Summary_0320_FairPoint_FP comTechOps_ProgramWorkbook" xfId="15483" xr:uid="{00000000-0005-0000-0000-0000213C0000}"/>
    <cellStyle name="_20061117Holux_Scope and Deliverables Summary_0320_FairPoint_FP comTechOps_ProgramWorkbook 2" xfId="15484" xr:uid="{00000000-0005-0000-0000-0000223C0000}"/>
    <cellStyle name="_20061117Holux_Scope and Deliverables Summary_0320_FairPoint_FP comTechOps_ProgramWorkbook 2_Steps of Doneness" xfId="15485" xr:uid="{00000000-0005-0000-0000-0000233C0000}"/>
    <cellStyle name="_20061117Holux_Scope and Deliverables Summary_0320_FairPoint_FP comTechOps_ProgramWorkbook 3" xfId="15486" xr:uid="{00000000-0005-0000-0000-0000243C0000}"/>
    <cellStyle name="_20061117Holux_Scope and Deliverables Summary_0320_FairPoint_FP comTechOps_ProgramWorkbook_sachin" xfId="15487" xr:uid="{00000000-0005-0000-0000-0000253C0000}"/>
    <cellStyle name="_20061117Holux_Scope and Deliverables Summary_0320_FairPoint_FP comTechOps_ProgramWorkbook_sachin 2" xfId="15488" xr:uid="{00000000-0005-0000-0000-0000263C0000}"/>
    <cellStyle name="_20061117Holux_Scope and Deliverables Summary_0320_FairPoint_FP comTechOps_ProgramWorkbook_sachin 2_Steps of Doneness" xfId="15489" xr:uid="{00000000-0005-0000-0000-0000273C0000}"/>
    <cellStyle name="_20061117Holux_Scope and Deliverables Summary_0320_FairPoint_FP comTechOps_ProgramWorkbook_sachin 3" xfId="15490" xr:uid="{00000000-0005-0000-0000-0000283C0000}"/>
    <cellStyle name="_20061117Holux_Scope and Deliverables Summary_0320_FairPoint_FP comTechOps_ProgramWorkbook_sachin_Steps of Doneness" xfId="15491" xr:uid="{00000000-0005-0000-0000-0000293C0000}"/>
    <cellStyle name="_20061117Holux_Scope and Deliverables Summary_0320_FairPoint_FP comTechOps_ProgramWorkbook_sachin_v1" xfId="15492" xr:uid="{00000000-0005-0000-0000-00002A3C0000}"/>
    <cellStyle name="_20061117Holux_Scope and Deliverables Summary_0320_FairPoint_FP comTechOps_ProgramWorkbook_sachin_v1 2" xfId="15493" xr:uid="{00000000-0005-0000-0000-00002B3C0000}"/>
    <cellStyle name="_20061117Holux_Scope and Deliverables Summary_0320_FairPoint_FP comTechOps_ProgramWorkbook_sachin_v1 2_Steps of Doneness" xfId="15494" xr:uid="{00000000-0005-0000-0000-00002C3C0000}"/>
    <cellStyle name="_20061117Holux_Scope and Deliverables Summary_0320_FairPoint_FP comTechOps_ProgramWorkbook_sachin_v1 3" xfId="15495" xr:uid="{00000000-0005-0000-0000-00002D3C0000}"/>
    <cellStyle name="_20061117Holux_Scope and Deliverables Summary_0320_FairPoint_FP comTechOps_ProgramWorkbook_sachin_v1_Steps of Doneness" xfId="15496" xr:uid="{00000000-0005-0000-0000-00002E3C0000}"/>
    <cellStyle name="_20061117Holux_Scope and Deliverables Summary_0320_FairPoint_FP comTechOps_ProgramWorkbook_Steps of Doneness" xfId="15497" xr:uid="{00000000-0005-0000-0000-00002F3C0000}"/>
    <cellStyle name="_20061117Holux_Scope and Deliverables Summary_0320_FP_CAMP&amp;ITReporting_Maintenance_Dashboard" xfId="15498" xr:uid="{00000000-0005-0000-0000-0000303C0000}"/>
    <cellStyle name="_20061117Holux_Scope and Deliverables Summary_0320_FP_CAMP&amp;ITReporting_Maintenance_Dashboard 2" xfId="15499" xr:uid="{00000000-0005-0000-0000-0000313C0000}"/>
    <cellStyle name="_20061117Holux_Scope and Deliverables Summary_0320_FP_CAMP&amp;ITReporting_Maintenance_Dashboard 2_Steps of Doneness" xfId="15500" xr:uid="{00000000-0005-0000-0000-0000323C0000}"/>
    <cellStyle name="_20061117Holux_Scope and Deliverables Summary_0320_FP_CAMP&amp;ITReporting_Maintenance_Dashboard 3" xfId="15501" xr:uid="{00000000-0005-0000-0000-0000333C0000}"/>
    <cellStyle name="_20061117Holux_Scope and Deliverables Summary_0320_FP_CAMP&amp;ITReporting_Maintenance_Dashboard_Steps of Doneness" xfId="15502" xr:uid="{00000000-0005-0000-0000-0000343C0000}"/>
    <cellStyle name="_20061117Holux_Scope and Deliverables Summary_0320_FP_CAMPITReporting_Maintenance_Dashboard" xfId="15503" xr:uid="{00000000-0005-0000-0000-0000353C0000}"/>
    <cellStyle name="_20061117Holux_Scope and Deliverables Summary_0320_FP_CAMPITReporting_Maintenance_Dashboard 2" xfId="15504" xr:uid="{00000000-0005-0000-0000-0000363C0000}"/>
    <cellStyle name="_20061117Holux_Scope and Deliverables Summary_0320_FP_CAMPITReporting_Maintenance_Dashboard 2_Steps of Doneness" xfId="15505" xr:uid="{00000000-0005-0000-0000-0000373C0000}"/>
    <cellStyle name="_20061117Holux_Scope and Deliverables Summary_0320_FP_CAMPITReporting_Maintenance_Dashboard 3" xfId="15506" xr:uid="{00000000-0005-0000-0000-0000383C0000}"/>
    <cellStyle name="_20061117Holux_Scope and Deliverables Summary_0320_FP_CAMPITReporting_Maintenance_Dashboard_Steps of Doneness" xfId="15507" xr:uid="{00000000-0005-0000-0000-0000393C0000}"/>
    <cellStyle name="_20061117Holux_Scope and Deliverables Summary_0320_FP_Commissions_Req_Dn_ProgramWorkBook_10-Dec-2010" xfId="15508" xr:uid="{00000000-0005-0000-0000-00003A3C0000}"/>
    <cellStyle name="_20061117Holux_Scope and Deliverables Summary_0320_FP_Commissions_Req_Dn_ProgramWorkBook_10-Dec-2010 2" xfId="15509" xr:uid="{00000000-0005-0000-0000-00003B3C0000}"/>
    <cellStyle name="_20061117Holux_Scope and Deliverables Summary_0320_FP_Commissions_Req_Dn_ProgramWorkBook_10-Dec-2010 2_Steps of Doneness" xfId="15510" xr:uid="{00000000-0005-0000-0000-00003C3C0000}"/>
    <cellStyle name="_20061117Holux_Scope and Deliverables Summary_0320_FP_Commissions_Req_Dn_ProgramWorkBook_10-Dec-2010 3" xfId="15511" xr:uid="{00000000-0005-0000-0000-00003D3C0000}"/>
    <cellStyle name="_20061117Holux_Scope and Deliverables Summary_0320_FP_Commissions_Req_Dn_ProgramWorkBook_10-Dec-2010_Steps of Doneness" xfId="15512" xr:uid="{00000000-0005-0000-0000-00003E3C0000}"/>
    <cellStyle name="_20061117Holux_Scope and Deliverables Summary_0320_FP_DW_Impl_ProgramWorkBook_07-Jan-2011" xfId="15513" xr:uid="{00000000-0005-0000-0000-00003F3C0000}"/>
    <cellStyle name="_20061117Holux_Scope and Deliverables Summary_0320_FP_DW_Impl_ProgramWorkBook_07-Jan-2011 2" xfId="15514" xr:uid="{00000000-0005-0000-0000-0000403C0000}"/>
    <cellStyle name="_20061117Holux_Scope and Deliverables Summary_0320_FP_DW_Impl_ProgramWorkBook_07-Jan-2011 2 2" xfId="15515" xr:uid="{00000000-0005-0000-0000-0000413C0000}"/>
    <cellStyle name="_20061117Holux_Scope and Deliverables Summary_0320_FP_DW_Impl_ProgramWorkBook_07-Jan-2011 2 2_Steps of Doneness" xfId="15516" xr:uid="{00000000-0005-0000-0000-0000423C0000}"/>
    <cellStyle name="_20061117Holux_Scope and Deliverables Summary_0320_FP_DW_Impl_ProgramWorkBook_07-Jan-2011 2 3" xfId="15517" xr:uid="{00000000-0005-0000-0000-0000433C0000}"/>
    <cellStyle name="_20061117Holux_Scope and Deliverables Summary_0320_FP_DW_Impl_ProgramWorkBook_07-Jan-2011 2_Steps of Doneness" xfId="15518" xr:uid="{00000000-0005-0000-0000-0000443C0000}"/>
    <cellStyle name="_20061117Holux_Scope and Deliverables Summary_0320_FP_DW_Impl_ProgramWorkBook_07-Jan-2011 3" xfId="15519" xr:uid="{00000000-0005-0000-0000-0000453C0000}"/>
    <cellStyle name="_20061117Holux_Scope and Deliverables Summary_0320_FP_DW_Impl_ProgramWorkBook_07-Jan-2011 3_Steps of Doneness" xfId="15520" xr:uid="{00000000-0005-0000-0000-0000463C0000}"/>
    <cellStyle name="_20061117Holux_Scope and Deliverables Summary_0320_FP_DW_Impl_ProgramWorkBook_07-Jan-2011 4" xfId="15521" xr:uid="{00000000-0005-0000-0000-0000473C0000}"/>
    <cellStyle name="_20061117Holux_Scope and Deliverables Summary_0320_FP_DW_Impl_ProgramWorkBook_07-Jan-2011_Steps of Doneness" xfId="15522" xr:uid="{00000000-0005-0000-0000-0000483C0000}"/>
    <cellStyle name="_20061117Holux_Scope and Deliverables Summary_0320_FP_DW_Impl_ProgramWorkBook_11-Feb-2011" xfId="15523" xr:uid="{00000000-0005-0000-0000-0000493C0000}"/>
    <cellStyle name="_20061117Holux_Scope and Deliverables Summary_0320_FP_DW_Impl_ProgramWorkBook_11-Feb-2011 2" xfId="15524" xr:uid="{00000000-0005-0000-0000-00004A3C0000}"/>
    <cellStyle name="_20061117Holux_Scope and Deliverables Summary_0320_FP_DW_Impl_ProgramWorkBook_11-Feb-2011 2_Steps of Doneness" xfId="15525" xr:uid="{00000000-0005-0000-0000-00004B3C0000}"/>
    <cellStyle name="_20061117Holux_Scope and Deliverables Summary_0320_FP_DW_Impl_ProgramWorkBook_11-Feb-2011 3" xfId="15526" xr:uid="{00000000-0005-0000-0000-00004C3C0000}"/>
    <cellStyle name="_20061117Holux_Scope and Deliverables Summary_0320_FP_DW_Impl_ProgramWorkBook_11-Feb-2011_Steps of Doneness" xfId="15527" xr:uid="{00000000-0005-0000-0000-00004D3C0000}"/>
    <cellStyle name="_20061117Holux_Scope and Deliverables Summary_0320_FP_DW_Impl_ProgramWorkBook_18-Feb-2011 - Working" xfId="15528" xr:uid="{00000000-0005-0000-0000-00004E3C0000}"/>
    <cellStyle name="_20061117Holux_Scope and Deliverables Summary_0320_FP_DW_Impl_ProgramWorkBook_18-Feb-2011 - Working 2" xfId="15529" xr:uid="{00000000-0005-0000-0000-00004F3C0000}"/>
    <cellStyle name="_20061117Holux_Scope and Deliverables Summary_0320_FP_DW_Impl_ProgramWorkBook_18-Feb-2011 - Working 2_Steps of Doneness" xfId="15530" xr:uid="{00000000-0005-0000-0000-0000503C0000}"/>
    <cellStyle name="_20061117Holux_Scope and Deliverables Summary_0320_FP_DW_Impl_ProgramWorkBook_18-Feb-2011 - Working 3" xfId="15531" xr:uid="{00000000-0005-0000-0000-0000513C0000}"/>
    <cellStyle name="_20061117Holux_Scope and Deliverables Summary_0320_FP_DW_Impl_ProgramWorkBook_18-Feb-2011 - Working_Steps of Doneness" xfId="15532" xr:uid="{00000000-0005-0000-0000-0000523C0000}"/>
    <cellStyle name="_20061117Holux_Scope and Deliverables Summary_0320_FP_EnterprisePortal_ProgramWorkbook" xfId="15533" xr:uid="{00000000-0005-0000-0000-0000533C0000}"/>
    <cellStyle name="_20061117Holux_Scope and Deliverables Summary_0320_FP_EnterprisePortal_ProgramWorkbook 2" xfId="15534" xr:uid="{00000000-0005-0000-0000-0000543C0000}"/>
    <cellStyle name="_20061117Holux_Scope and Deliverables Summary_0320_FP_EnterprisePortal_ProgramWorkbook 2_Steps of Doneness" xfId="15535" xr:uid="{00000000-0005-0000-0000-0000553C0000}"/>
    <cellStyle name="_20061117Holux_Scope and Deliverables Summary_0320_FP_EnterprisePortal_ProgramWorkbook 3" xfId="15536" xr:uid="{00000000-0005-0000-0000-0000563C0000}"/>
    <cellStyle name="_20061117Holux_Scope and Deliverables Summary_0320_FP_EnterprisePortal_ProgramWorkbook_Steps of Doneness" xfId="15537" xr:uid="{00000000-0005-0000-0000-0000573C0000}"/>
    <cellStyle name="_20061117Holux_Scope and Deliverables Summary_0320_FP_SAP_MLP v2" xfId="15538" xr:uid="{00000000-0005-0000-0000-0000583C0000}"/>
    <cellStyle name="_20061117Holux_Scope and Deliverables Summary_0320_FP_SAP_MLP v2 2" xfId="15539" xr:uid="{00000000-0005-0000-0000-0000593C0000}"/>
    <cellStyle name="_20061117Holux_Scope and Deliverables Summary_0320_FP_SAP_MLP v2 2_Steps of Doneness" xfId="15540" xr:uid="{00000000-0005-0000-0000-00005A3C0000}"/>
    <cellStyle name="_20061117Holux_Scope and Deliverables Summary_0320_FP_SAP_MLP v2 3" xfId="15541" xr:uid="{00000000-0005-0000-0000-00005B3C0000}"/>
    <cellStyle name="_20061117Holux_Scope and Deliverables Summary_0320_FP_SAP_MLP v2_Steps of Doneness" xfId="15542" xr:uid="{00000000-0005-0000-0000-00005C3C0000}"/>
    <cellStyle name="_20061117Holux_Scope and Deliverables Summary_0320_KeyDecisions" xfId="15543" xr:uid="{00000000-0005-0000-0000-00005D3C0000}"/>
    <cellStyle name="_20061117Holux_Scope and Deliverables Summary_0320_KeyDecisions 2" xfId="15544" xr:uid="{00000000-0005-0000-0000-00005E3C0000}"/>
    <cellStyle name="_20061117Holux_Scope and Deliverables Summary_0320_KeyDecisions 2_Steps of Doneness" xfId="15545" xr:uid="{00000000-0005-0000-0000-00005F3C0000}"/>
    <cellStyle name="_20061117Holux_Scope and Deliverables Summary_0320_KeyDecisions 3" xfId="15546" xr:uid="{00000000-0005-0000-0000-0000603C0000}"/>
    <cellStyle name="_20061117Holux_Scope and Deliverables Summary_0320_KeyDecisions_Steps of Doneness" xfId="15547" xr:uid="{00000000-0005-0000-0000-0000613C0000}"/>
    <cellStyle name="_20061117Holux_Scope and Deliverables Summary_0320_Sophia_Imp_ProjectWorkBook_02_18_2011" xfId="15548" xr:uid="{00000000-0005-0000-0000-0000623C0000}"/>
    <cellStyle name="_20061117Holux_Scope and Deliverables Summary_0320_Sophia_Imp_ProjectWorkBook_02_18_2011 2" xfId="15549" xr:uid="{00000000-0005-0000-0000-0000633C0000}"/>
    <cellStyle name="_20061117Holux_Scope and Deliverables Summary_0320_Sophia_Imp_ProjectWorkBook_02_18_2011 2_Steps of Doneness" xfId="15550" xr:uid="{00000000-0005-0000-0000-0000643C0000}"/>
    <cellStyle name="_20061117Holux_Scope and Deliverables Summary_0320_Sophia_Imp_ProjectWorkBook_02_18_2011 3" xfId="15551" xr:uid="{00000000-0005-0000-0000-0000653C0000}"/>
    <cellStyle name="_20061117Holux_Scope and Deliverables Summary_0320_Sophia_Imp_ProjectWorkBook_02_18_2011_Steps of Doneness" xfId="15552" xr:uid="{00000000-0005-0000-0000-0000663C0000}"/>
    <cellStyle name="_20061117Holux_Scope and Deliverables Summary_0320_Steps of Doneness" xfId="15553" xr:uid="{00000000-0005-0000-0000-0000673C0000}"/>
    <cellStyle name="_20061117Holux_Scope and Deliverables Summary_0320_t" xfId="15554" xr:uid="{00000000-0005-0000-0000-0000683C0000}"/>
    <cellStyle name="_20061117Holux_Scope and Deliverables Summary_0320_t 2" xfId="15555" xr:uid="{00000000-0005-0000-0000-0000693C0000}"/>
    <cellStyle name="_20061117Holux_Scope and Deliverables Summary_0320_t 2_Steps of Doneness" xfId="15556" xr:uid="{00000000-0005-0000-0000-00006A3C0000}"/>
    <cellStyle name="_20061117Holux_Scope and Deliverables Summary_0320_t 3" xfId="15557" xr:uid="{00000000-0005-0000-0000-00006B3C0000}"/>
    <cellStyle name="_20061117Holux_Scope and Deliverables Summary_0320_t_Steps of Doneness" xfId="15558" xr:uid="{00000000-0005-0000-0000-00006C3C0000}"/>
    <cellStyle name="_20061117Holux_Scope and Deliverables Summary_0323" xfId="15559" xr:uid="{00000000-0005-0000-0000-00006D3C0000}"/>
    <cellStyle name="_20061117Holux_Scope and Deliverables Summary_0323 2" xfId="15560" xr:uid="{00000000-0005-0000-0000-00006E3C0000}"/>
    <cellStyle name="_20061117Holux_Scope and Deliverables Summary_0323 2 2" xfId="15561" xr:uid="{00000000-0005-0000-0000-00006F3C0000}"/>
    <cellStyle name="_20061117Holux_Scope and Deliverables Summary_0323 2 2_Steps of Doneness" xfId="15562" xr:uid="{00000000-0005-0000-0000-0000703C0000}"/>
    <cellStyle name="_20061117Holux_Scope and Deliverables Summary_0323 2 3" xfId="15563" xr:uid="{00000000-0005-0000-0000-0000713C0000}"/>
    <cellStyle name="_20061117Holux_Scope and Deliverables Summary_0323 2_Steps of Doneness" xfId="15564" xr:uid="{00000000-0005-0000-0000-0000723C0000}"/>
    <cellStyle name="_20061117Holux_Scope and Deliverables Summary_0323 3" xfId="15565" xr:uid="{00000000-0005-0000-0000-0000733C0000}"/>
    <cellStyle name="_20061117Holux_Scope and Deliverables Summary_0323 3 2" xfId="15566" xr:uid="{00000000-0005-0000-0000-0000743C0000}"/>
    <cellStyle name="_20061117Holux_Scope and Deliverables Summary_0323 3 2_Steps of Doneness" xfId="15567" xr:uid="{00000000-0005-0000-0000-0000753C0000}"/>
    <cellStyle name="_20061117Holux_Scope and Deliverables Summary_0323 3 3" xfId="15568" xr:uid="{00000000-0005-0000-0000-0000763C0000}"/>
    <cellStyle name="_20061117Holux_Scope and Deliverables Summary_0323 3_Steps of Doneness" xfId="15569" xr:uid="{00000000-0005-0000-0000-0000773C0000}"/>
    <cellStyle name="_20061117Holux_Scope and Deliverables Summary_0323 4" xfId="15570" xr:uid="{00000000-0005-0000-0000-0000783C0000}"/>
    <cellStyle name="_20061117Holux_Scope and Deliverables Summary_0323 4_Steps of Doneness" xfId="15571" xr:uid="{00000000-0005-0000-0000-0000793C0000}"/>
    <cellStyle name="_20061117Holux_Scope and Deliverables Summary_0323 5" xfId="15572" xr:uid="{00000000-0005-0000-0000-00007A3C0000}"/>
    <cellStyle name="_20061117Holux_Scope and Deliverables Summary_0323 6" xfId="15573" xr:uid="{00000000-0005-0000-0000-00007B3C0000}"/>
    <cellStyle name="_20061117Holux_Scope and Deliverables Summary_0323_Commissioning System Implementation_Project Workbook_06_10_2011" xfId="15574" xr:uid="{00000000-0005-0000-0000-00007C3C0000}"/>
    <cellStyle name="_20061117Holux_Scope and Deliverables Summary_0323_Commissioning System Implementation_Project Workbook_06_10_2011 2" xfId="15575" xr:uid="{00000000-0005-0000-0000-00007D3C0000}"/>
    <cellStyle name="_20061117Holux_Scope and Deliverables Summary_0323_Commissioning System Implementation_Project Workbook_06_10_2011 2_Steps of Doneness" xfId="15576" xr:uid="{00000000-0005-0000-0000-00007E3C0000}"/>
    <cellStyle name="_20061117Holux_Scope and Deliverables Summary_0323_Commissioning System Implementation_Project Workbook_06_10_2011 3" xfId="15577" xr:uid="{00000000-0005-0000-0000-00007F3C0000}"/>
    <cellStyle name="_20061117Holux_Scope and Deliverables Summary_0323_Commissioning System Implementation_Project Workbook_06_10_2011_Steps of Doneness" xfId="15578" xr:uid="{00000000-0005-0000-0000-0000803C0000}"/>
    <cellStyle name="_20061117Holux_Scope and Deliverables Summary_0323_FairPoint_CampReport" xfId="15579" xr:uid="{00000000-0005-0000-0000-0000813C0000}"/>
    <cellStyle name="_20061117Holux_Scope and Deliverables Summary_0323_FairPoint_CampReport 2" xfId="15580" xr:uid="{00000000-0005-0000-0000-0000823C0000}"/>
    <cellStyle name="_20061117Holux_Scope and Deliverables Summary_0323_FairPoint_CampReport 2_Steps of Doneness" xfId="15581" xr:uid="{00000000-0005-0000-0000-0000833C0000}"/>
    <cellStyle name="_20061117Holux_Scope and Deliverables Summary_0323_FairPoint_CampReport 3" xfId="15582" xr:uid="{00000000-0005-0000-0000-0000843C0000}"/>
    <cellStyle name="_20061117Holux_Scope and Deliverables Summary_0323_FairPoint_CampReport_Steps of Doneness" xfId="15583" xr:uid="{00000000-0005-0000-0000-0000853C0000}"/>
    <cellStyle name="_20061117Holux_Scope and Deliverables Summary_0323_FairPoint_FP comTechOps_ProgramWorkbook" xfId="15584" xr:uid="{00000000-0005-0000-0000-0000863C0000}"/>
    <cellStyle name="_20061117Holux_Scope and Deliverables Summary_0323_FairPoint_FP comTechOps_ProgramWorkbook 2" xfId="15585" xr:uid="{00000000-0005-0000-0000-0000873C0000}"/>
    <cellStyle name="_20061117Holux_Scope and Deliverables Summary_0323_FairPoint_FP comTechOps_ProgramWorkbook 2_Steps of Doneness" xfId="15586" xr:uid="{00000000-0005-0000-0000-0000883C0000}"/>
    <cellStyle name="_20061117Holux_Scope and Deliverables Summary_0323_FairPoint_FP comTechOps_ProgramWorkbook 3" xfId="15587" xr:uid="{00000000-0005-0000-0000-0000893C0000}"/>
    <cellStyle name="_20061117Holux_Scope and Deliverables Summary_0323_FairPoint_FP comTechOps_ProgramWorkbook_sachin" xfId="15588" xr:uid="{00000000-0005-0000-0000-00008A3C0000}"/>
    <cellStyle name="_20061117Holux_Scope and Deliverables Summary_0323_FairPoint_FP comTechOps_ProgramWorkbook_sachin 2" xfId="15589" xr:uid="{00000000-0005-0000-0000-00008B3C0000}"/>
    <cellStyle name="_20061117Holux_Scope and Deliverables Summary_0323_FairPoint_FP comTechOps_ProgramWorkbook_sachin 2_Steps of Doneness" xfId="15590" xr:uid="{00000000-0005-0000-0000-00008C3C0000}"/>
    <cellStyle name="_20061117Holux_Scope and Deliverables Summary_0323_FairPoint_FP comTechOps_ProgramWorkbook_sachin 3" xfId="15591" xr:uid="{00000000-0005-0000-0000-00008D3C0000}"/>
    <cellStyle name="_20061117Holux_Scope and Deliverables Summary_0323_FairPoint_FP comTechOps_ProgramWorkbook_sachin_Steps of Doneness" xfId="15592" xr:uid="{00000000-0005-0000-0000-00008E3C0000}"/>
    <cellStyle name="_20061117Holux_Scope and Deliverables Summary_0323_FairPoint_FP comTechOps_ProgramWorkbook_sachin_v1" xfId="15593" xr:uid="{00000000-0005-0000-0000-00008F3C0000}"/>
    <cellStyle name="_20061117Holux_Scope and Deliverables Summary_0323_FairPoint_FP comTechOps_ProgramWorkbook_sachin_v1 2" xfId="15594" xr:uid="{00000000-0005-0000-0000-0000903C0000}"/>
    <cellStyle name="_20061117Holux_Scope and Deliverables Summary_0323_FairPoint_FP comTechOps_ProgramWorkbook_sachin_v1 2_Steps of Doneness" xfId="15595" xr:uid="{00000000-0005-0000-0000-0000913C0000}"/>
    <cellStyle name="_20061117Holux_Scope and Deliverables Summary_0323_FairPoint_FP comTechOps_ProgramWorkbook_sachin_v1 3" xfId="15596" xr:uid="{00000000-0005-0000-0000-0000923C0000}"/>
    <cellStyle name="_20061117Holux_Scope and Deliverables Summary_0323_FairPoint_FP comTechOps_ProgramWorkbook_sachin_v1_Steps of Doneness" xfId="15597" xr:uid="{00000000-0005-0000-0000-0000933C0000}"/>
    <cellStyle name="_20061117Holux_Scope and Deliverables Summary_0323_FairPoint_FP comTechOps_ProgramWorkbook_Steps of Doneness" xfId="15598" xr:uid="{00000000-0005-0000-0000-0000943C0000}"/>
    <cellStyle name="_20061117Holux_Scope and Deliverables Summary_0323_FP_CAMP&amp;ITReporting_Maintenance_Dashboard" xfId="15599" xr:uid="{00000000-0005-0000-0000-0000953C0000}"/>
    <cellStyle name="_20061117Holux_Scope and Deliverables Summary_0323_FP_CAMP&amp;ITReporting_Maintenance_Dashboard 2" xfId="15600" xr:uid="{00000000-0005-0000-0000-0000963C0000}"/>
    <cellStyle name="_20061117Holux_Scope and Deliverables Summary_0323_FP_CAMP&amp;ITReporting_Maintenance_Dashboard 2_Steps of Doneness" xfId="15601" xr:uid="{00000000-0005-0000-0000-0000973C0000}"/>
    <cellStyle name="_20061117Holux_Scope and Deliverables Summary_0323_FP_CAMP&amp;ITReporting_Maintenance_Dashboard 3" xfId="15602" xr:uid="{00000000-0005-0000-0000-0000983C0000}"/>
    <cellStyle name="_20061117Holux_Scope and Deliverables Summary_0323_FP_CAMP&amp;ITReporting_Maintenance_Dashboard_Steps of Doneness" xfId="15603" xr:uid="{00000000-0005-0000-0000-0000993C0000}"/>
    <cellStyle name="_20061117Holux_Scope and Deliverables Summary_0323_FP_CAMPITReporting_Maintenance_Dashboard" xfId="15604" xr:uid="{00000000-0005-0000-0000-00009A3C0000}"/>
    <cellStyle name="_20061117Holux_Scope and Deliverables Summary_0323_FP_CAMPITReporting_Maintenance_Dashboard 2" xfId="15605" xr:uid="{00000000-0005-0000-0000-00009B3C0000}"/>
    <cellStyle name="_20061117Holux_Scope and Deliverables Summary_0323_FP_CAMPITReporting_Maintenance_Dashboard 2_Steps of Doneness" xfId="15606" xr:uid="{00000000-0005-0000-0000-00009C3C0000}"/>
    <cellStyle name="_20061117Holux_Scope and Deliverables Summary_0323_FP_CAMPITReporting_Maintenance_Dashboard 3" xfId="15607" xr:uid="{00000000-0005-0000-0000-00009D3C0000}"/>
    <cellStyle name="_20061117Holux_Scope and Deliverables Summary_0323_FP_CAMPITReporting_Maintenance_Dashboard_Steps of Doneness" xfId="15608" xr:uid="{00000000-0005-0000-0000-00009E3C0000}"/>
    <cellStyle name="_20061117Holux_Scope and Deliverables Summary_0323_FP_Commissions_Req_Dn_ProgramWorkBook_10-Dec-2010" xfId="15609" xr:uid="{00000000-0005-0000-0000-00009F3C0000}"/>
    <cellStyle name="_20061117Holux_Scope and Deliverables Summary_0323_FP_Commissions_Req_Dn_ProgramWorkBook_10-Dec-2010 2" xfId="15610" xr:uid="{00000000-0005-0000-0000-0000A03C0000}"/>
    <cellStyle name="_20061117Holux_Scope and Deliverables Summary_0323_FP_Commissions_Req_Dn_ProgramWorkBook_10-Dec-2010 2_Steps of Doneness" xfId="15611" xr:uid="{00000000-0005-0000-0000-0000A13C0000}"/>
    <cellStyle name="_20061117Holux_Scope and Deliverables Summary_0323_FP_Commissions_Req_Dn_ProgramWorkBook_10-Dec-2010 3" xfId="15612" xr:uid="{00000000-0005-0000-0000-0000A23C0000}"/>
    <cellStyle name="_20061117Holux_Scope and Deliverables Summary_0323_FP_Commissions_Req_Dn_ProgramWorkBook_10-Dec-2010_Steps of Doneness" xfId="15613" xr:uid="{00000000-0005-0000-0000-0000A33C0000}"/>
    <cellStyle name="_20061117Holux_Scope and Deliverables Summary_0323_FP_DW_Impl_ProgramWorkBook_07-Jan-2011" xfId="15614" xr:uid="{00000000-0005-0000-0000-0000A43C0000}"/>
    <cellStyle name="_20061117Holux_Scope and Deliverables Summary_0323_FP_DW_Impl_ProgramWorkBook_07-Jan-2011 2" xfId="15615" xr:uid="{00000000-0005-0000-0000-0000A53C0000}"/>
    <cellStyle name="_20061117Holux_Scope and Deliverables Summary_0323_FP_DW_Impl_ProgramWorkBook_07-Jan-2011 2 2" xfId="15616" xr:uid="{00000000-0005-0000-0000-0000A63C0000}"/>
    <cellStyle name="_20061117Holux_Scope and Deliverables Summary_0323_FP_DW_Impl_ProgramWorkBook_07-Jan-2011 2 2_Steps of Doneness" xfId="15617" xr:uid="{00000000-0005-0000-0000-0000A73C0000}"/>
    <cellStyle name="_20061117Holux_Scope and Deliverables Summary_0323_FP_DW_Impl_ProgramWorkBook_07-Jan-2011 2 3" xfId="15618" xr:uid="{00000000-0005-0000-0000-0000A83C0000}"/>
    <cellStyle name="_20061117Holux_Scope and Deliverables Summary_0323_FP_DW_Impl_ProgramWorkBook_07-Jan-2011 2_Steps of Doneness" xfId="15619" xr:uid="{00000000-0005-0000-0000-0000A93C0000}"/>
    <cellStyle name="_20061117Holux_Scope and Deliverables Summary_0323_FP_DW_Impl_ProgramWorkBook_07-Jan-2011 3" xfId="15620" xr:uid="{00000000-0005-0000-0000-0000AA3C0000}"/>
    <cellStyle name="_20061117Holux_Scope and Deliverables Summary_0323_FP_DW_Impl_ProgramWorkBook_07-Jan-2011 3_Steps of Doneness" xfId="15621" xr:uid="{00000000-0005-0000-0000-0000AB3C0000}"/>
    <cellStyle name="_20061117Holux_Scope and Deliverables Summary_0323_FP_DW_Impl_ProgramWorkBook_07-Jan-2011 4" xfId="15622" xr:uid="{00000000-0005-0000-0000-0000AC3C0000}"/>
    <cellStyle name="_20061117Holux_Scope and Deliverables Summary_0323_FP_DW_Impl_ProgramWorkBook_07-Jan-2011_Steps of Doneness" xfId="15623" xr:uid="{00000000-0005-0000-0000-0000AD3C0000}"/>
    <cellStyle name="_20061117Holux_Scope and Deliverables Summary_0323_FP_DW_Impl_ProgramWorkBook_11-Feb-2011" xfId="15624" xr:uid="{00000000-0005-0000-0000-0000AE3C0000}"/>
    <cellStyle name="_20061117Holux_Scope and Deliverables Summary_0323_FP_DW_Impl_ProgramWorkBook_11-Feb-2011 2" xfId="15625" xr:uid="{00000000-0005-0000-0000-0000AF3C0000}"/>
    <cellStyle name="_20061117Holux_Scope and Deliverables Summary_0323_FP_DW_Impl_ProgramWorkBook_11-Feb-2011 2_Steps of Doneness" xfId="15626" xr:uid="{00000000-0005-0000-0000-0000B03C0000}"/>
    <cellStyle name="_20061117Holux_Scope and Deliverables Summary_0323_FP_DW_Impl_ProgramWorkBook_11-Feb-2011 3" xfId="15627" xr:uid="{00000000-0005-0000-0000-0000B13C0000}"/>
    <cellStyle name="_20061117Holux_Scope and Deliverables Summary_0323_FP_DW_Impl_ProgramWorkBook_11-Feb-2011_Steps of Doneness" xfId="15628" xr:uid="{00000000-0005-0000-0000-0000B23C0000}"/>
    <cellStyle name="_20061117Holux_Scope and Deliverables Summary_0323_FP_DW_Impl_ProgramWorkBook_18-Feb-2011 - Working" xfId="15629" xr:uid="{00000000-0005-0000-0000-0000B33C0000}"/>
    <cellStyle name="_20061117Holux_Scope and Deliverables Summary_0323_FP_DW_Impl_ProgramWorkBook_18-Feb-2011 - Working 2" xfId="15630" xr:uid="{00000000-0005-0000-0000-0000B43C0000}"/>
    <cellStyle name="_20061117Holux_Scope and Deliverables Summary_0323_FP_DW_Impl_ProgramWorkBook_18-Feb-2011 - Working 2_Steps of Doneness" xfId="15631" xr:uid="{00000000-0005-0000-0000-0000B53C0000}"/>
    <cellStyle name="_20061117Holux_Scope and Deliverables Summary_0323_FP_DW_Impl_ProgramWorkBook_18-Feb-2011 - Working 3" xfId="15632" xr:uid="{00000000-0005-0000-0000-0000B63C0000}"/>
    <cellStyle name="_20061117Holux_Scope and Deliverables Summary_0323_FP_DW_Impl_ProgramWorkBook_18-Feb-2011 - Working_Steps of Doneness" xfId="15633" xr:uid="{00000000-0005-0000-0000-0000B73C0000}"/>
    <cellStyle name="_20061117Holux_Scope and Deliverables Summary_0323_FP_EnterprisePortal_ProgramWorkbook" xfId="15634" xr:uid="{00000000-0005-0000-0000-0000B83C0000}"/>
    <cellStyle name="_20061117Holux_Scope and Deliverables Summary_0323_FP_EnterprisePortal_ProgramWorkbook 2" xfId="15635" xr:uid="{00000000-0005-0000-0000-0000B93C0000}"/>
    <cellStyle name="_20061117Holux_Scope and Deliverables Summary_0323_FP_EnterprisePortal_ProgramWorkbook 2_Steps of Doneness" xfId="15636" xr:uid="{00000000-0005-0000-0000-0000BA3C0000}"/>
    <cellStyle name="_20061117Holux_Scope and Deliverables Summary_0323_FP_EnterprisePortal_ProgramWorkbook 3" xfId="15637" xr:uid="{00000000-0005-0000-0000-0000BB3C0000}"/>
    <cellStyle name="_20061117Holux_Scope and Deliverables Summary_0323_FP_EnterprisePortal_ProgramWorkbook_Steps of Doneness" xfId="15638" xr:uid="{00000000-0005-0000-0000-0000BC3C0000}"/>
    <cellStyle name="_20061117Holux_Scope and Deliverables Summary_0323_FP_SAP_MLP v2" xfId="15639" xr:uid="{00000000-0005-0000-0000-0000BD3C0000}"/>
    <cellStyle name="_20061117Holux_Scope and Deliverables Summary_0323_FP_SAP_MLP v2 2" xfId="15640" xr:uid="{00000000-0005-0000-0000-0000BE3C0000}"/>
    <cellStyle name="_20061117Holux_Scope and Deliverables Summary_0323_FP_SAP_MLP v2 2_Steps of Doneness" xfId="15641" xr:uid="{00000000-0005-0000-0000-0000BF3C0000}"/>
    <cellStyle name="_20061117Holux_Scope and Deliverables Summary_0323_FP_SAP_MLP v2 3" xfId="15642" xr:uid="{00000000-0005-0000-0000-0000C03C0000}"/>
    <cellStyle name="_20061117Holux_Scope and Deliverables Summary_0323_FP_SAP_MLP v2_Steps of Doneness" xfId="15643" xr:uid="{00000000-0005-0000-0000-0000C13C0000}"/>
    <cellStyle name="_20061117Holux_Scope and Deliverables Summary_0323_KeyDecisions" xfId="15644" xr:uid="{00000000-0005-0000-0000-0000C23C0000}"/>
    <cellStyle name="_20061117Holux_Scope and Deliverables Summary_0323_KeyDecisions 2" xfId="15645" xr:uid="{00000000-0005-0000-0000-0000C33C0000}"/>
    <cellStyle name="_20061117Holux_Scope and Deliverables Summary_0323_KeyDecisions 2_Steps of Doneness" xfId="15646" xr:uid="{00000000-0005-0000-0000-0000C43C0000}"/>
    <cellStyle name="_20061117Holux_Scope and Deliverables Summary_0323_KeyDecisions 3" xfId="15647" xr:uid="{00000000-0005-0000-0000-0000C53C0000}"/>
    <cellStyle name="_20061117Holux_Scope and Deliverables Summary_0323_KeyDecisions_Steps of Doneness" xfId="15648" xr:uid="{00000000-0005-0000-0000-0000C63C0000}"/>
    <cellStyle name="_20061117Holux_Scope and Deliverables Summary_0323_Sophia_Imp_ProjectWorkBook_02_18_2011" xfId="15649" xr:uid="{00000000-0005-0000-0000-0000C73C0000}"/>
    <cellStyle name="_20061117Holux_Scope and Deliverables Summary_0323_Sophia_Imp_ProjectWorkBook_02_18_2011 2" xfId="15650" xr:uid="{00000000-0005-0000-0000-0000C83C0000}"/>
    <cellStyle name="_20061117Holux_Scope and Deliverables Summary_0323_Sophia_Imp_ProjectWorkBook_02_18_2011 2_Steps of Doneness" xfId="15651" xr:uid="{00000000-0005-0000-0000-0000C93C0000}"/>
    <cellStyle name="_20061117Holux_Scope and Deliverables Summary_0323_Sophia_Imp_ProjectWorkBook_02_18_2011 3" xfId="15652" xr:uid="{00000000-0005-0000-0000-0000CA3C0000}"/>
    <cellStyle name="_20061117Holux_Scope and Deliverables Summary_0323_Sophia_Imp_ProjectWorkBook_02_18_2011_Steps of Doneness" xfId="15653" xr:uid="{00000000-0005-0000-0000-0000CB3C0000}"/>
    <cellStyle name="_20061117Holux_Scope and Deliverables Summary_0323_Steps of Doneness" xfId="15654" xr:uid="{00000000-0005-0000-0000-0000CC3C0000}"/>
    <cellStyle name="_20061117Holux_Scope and Deliverables Summary_0323_t" xfId="15655" xr:uid="{00000000-0005-0000-0000-0000CD3C0000}"/>
    <cellStyle name="_20061117Holux_Scope and Deliverables Summary_0323_t 2" xfId="15656" xr:uid="{00000000-0005-0000-0000-0000CE3C0000}"/>
    <cellStyle name="_20061117Holux_Scope and Deliverables Summary_0323_t 2_Steps of Doneness" xfId="15657" xr:uid="{00000000-0005-0000-0000-0000CF3C0000}"/>
    <cellStyle name="_20061117Holux_Scope and Deliverables Summary_0323_t 3" xfId="15658" xr:uid="{00000000-0005-0000-0000-0000D03C0000}"/>
    <cellStyle name="_20061117Holux_Scope and Deliverables Summary_0323_t_Steps of Doneness" xfId="15659" xr:uid="{00000000-0005-0000-0000-0000D13C0000}"/>
    <cellStyle name="_20061117Holux_Scope and Deliverables Summary_CMS_0609" xfId="15660" xr:uid="{00000000-0005-0000-0000-0000D23C0000}"/>
    <cellStyle name="_20061117Holux_Scope and Deliverables Summary_CMS_0609 2" xfId="15661" xr:uid="{00000000-0005-0000-0000-0000D33C0000}"/>
    <cellStyle name="_20061117Holux_Scope and Deliverables Summary_CMS_0609 2 2" xfId="15662" xr:uid="{00000000-0005-0000-0000-0000D43C0000}"/>
    <cellStyle name="_20061117Holux_Scope and Deliverables Summary_CMS_0609 2 2_Steps of Doneness" xfId="15663" xr:uid="{00000000-0005-0000-0000-0000D53C0000}"/>
    <cellStyle name="_20061117Holux_Scope and Deliverables Summary_CMS_0609 2 3" xfId="15664" xr:uid="{00000000-0005-0000-0000-0000D63C0000}"/>
    <cellStyle name="_20061117Holux_Scope and Deliverables Summary_CMS_0609 2_Steps of Doneness" xfId="15665" xr:uid="{00000000-0005-0000-0000-0000D73C0000}"/>
    <cellStyle name="_20061117Holux_Scope and Deliverables Summary_CMS_0609 3" xfId="15666" xr:uid="{00000000-0005-0000-0000-0000D83C0000}"/>
    <cellStyle name="_20061117Holux_Scope and Deliverables Summary_CMS_0609 3 2" xfId="15667" xr:uid="{00000000-0005-0000-0000-0000D93C0000}"/>
    <cellStyle name="_20061117Holux_Scope and Deliverables Summary_CMS_0609 3 2_Steps of Doneness" xfId="15668" xr:uid="{00000000-0005-0000-0000-0000DA3C0000}"/>
    <cellStyle name="_20061117Holux_Scope and Deliverables Summary_CMS_0609 3 3" xfId="15669" xr:uid="{00000000-0005-0000-0000-0000DB3C0000}"/>
    <cellStyle name="_20061117Holux_Scope and Deliverables Summary_CMS_0609 3_Steps of Doneness" xfId="15670" xr:uid="{00000000-0005-0000-0000-0000DC3C0000}"/>
    <cellStyle name="_20061117Holux_Scope and Deliverables Summary_CMS_0609 4" xfId="15671" xr:uid="{00000000-0005-0000-0000-0000DD3C0000}"/>
    <cellStyle name="_20061117Holux_Scope and Deliverables Summary_CMS_0609 4_Steps of Doneness" xfId="15672" xr:uid="{00000000-0005-0000-0000-0000DE3C0000}"/>
    <cellStyle name="_20061117Holux_Scope and Deliverables Summary_CMS_0609 5" xfId="15673" xr:uid="{00000000-0005-0000-0000-0000DF3C0000}"/>
    <cellStyle name="_20061117Holux_Scope and Deliverables Summary_CMS_0609 6" xfId="15674" xr:uid="{00000000-0005-0000-0000-0000E03C0000}"/>
    <cellStyle name="_20061117Holux_Scope and Deliverables Summary_CMS_0609_Commissioning System Implementation_Project Workbook_06_10_2011" xfId="15675" xr:uid="{00000000-0005-0000-0000-0000E13C0000}"/>
    <cellStyle name="_20061117Holux_Scope and Deliverables Summary_CMS_0609_Commissioning System Implementation_Project Workbook_06_10_2011 2" xfId="15676" xr:uid="{00000000-0005-0000-0000-0000E23C0000}"/>
    <cellStyle name="_20061117Holux_Scope and Deliverables Summary_CMS_0609_Commissioning System Implementation_Project Workbook_06_10_2011 2_Steps of Doneness" xfId="15677" xr:uid="{00000000-0005-0000-0000-0000E33C0000}"/>
    <cellStyle name="_20061117Holux_Scope and Deliverables Summary_CMS_0609_Commissioning System Implementation_Project Workbook_06_10_2011 3" xfId="15678" xr:uid="{00000000-0005-0000-0000-0000E43C0000}"/>
    <cellStyle name="_20061117Holux_Scope and Deliverables Summary_CMS_0609_Commissioning System Implementation_Project Workbook_06_10_2011_Steps of Doneness" xfId="15679" xr:uid="{00000000-0005-0000-0000-0000E53C0000}"/>
    <cellStyle name="_20061117Holux_Scope and Deliverables Summary_CMS_0609_FairPoint_CampReport" xfId="15680" xr:uid="{00000000-0005-0000-0000-0000E63C0000}"/>
    <cellStyle name="_20061117Holux_Scope and Deliverables Summary_CMS_0609_FairPoint_CampReport 2" xfId="15681" xr:uid="{00000000-0005-0000-0000-0000E73C0000}"/>
    <cellStyle name="_20061117Holux_Scope and Deliverables Summary_CMS_0609_FairPoint_CampReport 2_Steps of Doneness" xfId="15682" xr:uid="{00000000-0005-0000-0000-0000E83C0000}"/>
    <cellStyle name="_20061117Holux_Scope and Deliverables Summary_CMS_0609_FairPoint_CampReport 3" xfId="15683" xr:uid="{00000000-0005-0000-0000-0000E93C0000}"/>
    <cellStyle name="_20061117Holux_Scope and Deliverables Summary_CMS_0609_FairPoint_CampReport_Steps of Doneness" xfId="15684" xr:uid="{00000000-0005-0000-0000-0000EA3C0000}"/>
    <cellStyle name="_20061117Holux_Scope and Deliverables Summary_CMS_0609_FairPoint_FP comTechOps_ProgramWorkbook" xfId="15685" xr:uid="{00000000-0005-0000-0000-0000EB3C0000}"/>
    <cellStyle name="_20061117Holux_Scope and Deliverables Summary_CMS_0609_FairPoint_FP comTechOps_ProgramWorkbook 2" xfId="15686" xr:uid="{00000000-0005-0000-0000-0000EC3C0000}"/>
    <cellStyle name="_20061117Holux_Scope and Deliverables Summary_CMS_0609_FairPoint_FP comTechOps_ProgramWorkbook 2_Steps of Doneness" xfId="15687" xr:uid="{00000000-0005-0000-0000-0000ED3C0000}"/>
    <cellStyle name="_20061117Holux_Scope and Deliverables Summary_CMS_0609_FairPoint_FP comTechOps_ProgramWorkbook 3" xfId="15688" xr:uid="{00000000-0005-0000-0000-0000EE3C0000}"/>
    <cellStyle name="_20061117Holux_Scope and Deliverables Summary_CMS_0609_FairPoint_FP comTechOps_ProgramWorkbook_sachin" xfId="15689" xr:uid="{00000000-0005-0000-0000-0000EF3C0000}"/>
    <cellStyle name="_20061117Holux_Scope and Deliverables Summary_CMS_0609_FairPoint_FP comTechOps_ProgramWorkbook_sachin 2" xfId="15690" xr:uid="{00000000-0005-0000-0000-0000F03C0000}"/>
    <cellStyle name="_20061117Holux_Scope and Deliverables Summary_CMS_0609_FairPoint_FP comTechOps_ProgramWorkbook_sachin 2_Steps of Doneness" xfId="15691" xr:uid="{00000000-0005-0000-0000-0000F13C0000}"/>
    <cellStyle name="_20061117Holux_Scope and Deliverables Summary_CMS_0609_FairPoint_FP comTechOps_ProgramWorkbook_sachin 3" xfId="15692" xr:uid="{00000000-0005-0000-0000-0000F23C0000}"/>
    <cellStyle name="_20061117Holux_Scope and Deliverables Summary_CMS_0609_FairPoint_FP comTechOps_ProgramWorkbook_sachin_Steps of Doneness" xfId="15693" xr:uid="{00000000-0005-0000-0000-0000F33C0000}"/>
    <cellStyle name="_20061117Holux_Scope and Deliverables Summary_CMS_0609_FairPoint_FP comTechOps_ProgramWorkbook_sachin_v1" xfId="15694" xr:uid="{00000000-0005-0000-0000-0000F43C0000}"/>
    <cellStyle name="_20061117Holux_Scope and Deliverables Summary_CMS_0609_FairPoint_FP comTechOps_ProgramWorkbook_sachin_v1 2" xfId="15695" xr:uid="{00000000-0005-0000-0000-0000F53C0000}"/>
    <cellStyle name="_20061117Holux_Scope and Deliverables Summary_CMS_0609_FairPoint_FP comTechOps_ProgramWorkbook_sachin_v1 2_Steps of Doneness" xfId="15696" xr:uid="{00000000-0005-0000-0000-0000F63C0000}"/>
    <cellStyle name="_20061117Holux_Scope and Deliverables Summary_CMS_0609_FairPoint_FP comTechOps_ProgramWorkbook_sachin_v1 3" xfId="15697" xr:uid="{00000000-0005-0000-0000-0000F73C0000}"/>
    <cellStyle name="_20061117Holux_Scope and Deliverables Summary_CMS_0609_FairPoint_FP comTechOps_ProgramWorkbook_sachin_v1_Steps of Doneness" xfId="15698" xr:uid="{00000000-0005-0000-0000-0000F83C0000}"/>
    <cellStyle name="_20061117Holux_Scope and Deliverables Summary_CMS_0609_FairPoint_FP comTechOps_ProgramWorkbook_Steps of Doneness" xfId="15699" xr:uid="{00000000-0005-0000-0000-0000F93C0000}"/>
    <cellStyle name="_20061117Holux_Scope and Deliverables Summary_CMS_0609_FP_CAMP&amp;ITReporting_Maintenance_Dashboard" xfId="15700" xr:uid="{00000000-0005-0000-0000-0000FA3C0000}"/>
    <cellStyle name="_20061117Holux_Scope and Deliverables Summary_CMS_0609_FP_CAMP&amp;ITReporting_Maintenance_Dashboard 2" xfId="15701" xr:uid="{00000000-0005-0000-0000-0000FB3C0000}"/>
    <cellStyle name="_20061117Holux_Scope and Deliverables Summary_CMS_0609_FP_CAMP&amp;ITReporting_Maintenance_Dashboard 2_Steps of Doneness" xfId="15702" xr:uid="{00000000-0005-0000-0000-0000FC3C0000}"/>
    <cellStyle name="_20061117Holux_Scope and Deliverables Summary_CMS_0609_FP_CAMP&amp;ITReporting_Maintenance_Dashboard 3" xfId="15703" xr:uid="{00000000-0005-0000-0000-0000FD3C0000}"/>
    <cellStyle name="_20061117Holux_Scope and Deliverables Summary_CMS_0609_FP_CAMP&amp;ITReporting_Maintenance_Dashboard_Steps of Doneness" xfId="15704" xr:uid="{00000000-0005-0000-0000-0000FE3C0000}"/>
    <cellStyle name="_20061117Holux_Scope and Deliverables Summary_CMS_0609_FP_CAMPITReporting_Maintenance_Dashboard" xfId="15705" xr:uid="{00000000-0005-0000-0000-0000FF3C0000}"/>
    <cellStyle name="_20061117Holux_Scope and Deliverables Summary_CMS_0609_FP_CAMPITReporting_Maintenance_Dashboard 2" xfId="15706" xr:uid="{00000000-0005-0000-0000-0000003D0000}"/>
    <cellStyle name="_20061117Holux_Scope and Deliverables Summary_CMS_0609_FP_CAMPITReporting_Maintenance_Dashboard 2_Steps of Doneness" xfId="15707" xr:uid="{00000000-0005-0000-0000-0000013D0000}"/>
    <cellStyle name="_20061117Holux_Scope and Deliverables Summary_CMS_0609_FP_CAMPITReporting_Maintenance_Dashboard 3" xfId="15708" xr:uid="{00000000-0005-0000-0000-0000023D0000}"/>
    <cellStyle name="_20061117Holux_Scope and Deliverables Summary_CMS_0609_FP_CAMPITReporting_Maintenance_Dashboard_Steps of Doneness" xfId="15709" xr:uid="{00000000-0005-0000-0000-0000033D0000}"/>
    <cellStyle name="_20061117Holux_Scope and Deliverables Summary_CMS_0609_FP_Commissions_Req_Dn_ProgramWorkBook_10-Dec-2010" xfId="15710" xr:uid="{00000000-0005-0000-0000-0000043D0000}"/>
    <cellStyle name="_20061117Holux_Scope and Deliverables Summary_CMS_0609_FP_Commissions_Req_Dn_ProgramWorkBook_10-Dec-2010 2" xfId="15711" xr:uid="{00000000-0005-0000-0000-0000053D0000}"/>
    <cellStyle name="_20061117Holux_Scope and Deliverables Summary_CMS_0609_FP_Commissions_Req_Dn_ProgramWorkBook_10-Dec-2010 2_Steps of Doneness" xfId="15712" xr:uid="{00000000-0005-0000-0000-0000063D0000}"/>
    <cellStyle name="_20061117Holux_Scope and Deliverables Summary_CMS_0609_FP_Commissions_Req_Dn_ProgramWorkBook_10-Dec-2010 3" xfId="15713" xr:uid="{00000000-0005-0000-0000-0000073D0000}"/>
    <cellStyle name="_20061117Holux_Scope and Deliverables Summary_CMS_0609_FP_Commissions_Req_Dn_ProgramWorkBook_10-Dec-2010_Steps of Doneness" xfId="15714" xr:uid="{00000000-0005-0000-0000-0000083D0000}"/>
    <cellStyle name="_20061117Holux_Scope and Deliverables Summary_CMS_0609_FP_DW_Impl_ProgramWorkBook_07-Jan-2011" xfId="15715" xr:uid="{00000000-0005-0000-0000-0000093D0000}"/>
    <cellStyle name="_20061117Holux_Scope and Deliverables Summary_CMS_0609_FP_DW_Impl_ProgramWorkBook_07-Jan-2011 2" xfId="15716" xr:uid="{00000000-0005-0000-0000-00000A3D0000}"/>
    <cellStyle name="_20061117Holux_Scope and Deliverables Summary_CMS_0609_FP_DW_Impl_ProgramWorkBook_07-Jan-2011 2 2" xfId="15717" xr:uid="{00000000-0005-0000-0000-00000B3D0000}"/>
    <cellStyle name="_20061117Holux_Scope and Deliverables Summary_CMS_0609_FP_DW_Impl_ProgramWorkBook_07-Jan-2011 2 2_Steps of Doneness" xfId="15718" xr:uid="{00000000-0005-0000-0000-00000C3D0000}"/>
    <cellStyle name="_20061117Holux_Scope and Deliverables Summary_CMS_0609_FP_DW_Impl_ProgramWorkBook_07-Jan-2011 2 3" xfId="15719" xr:uid="{00000000-0005-0000-0000-00000D3D0000}"/>
    <cellStyle name="_20061117Holux_Scope and Deliverables Summary_CMS_0609_FP_DW_Impl_ProgramWorkBook_07-Jan-2011 2_Steps of Doneness" xfId="15720" xr:uid="{00000000-0005-0000-0000-00000E3D0000}"/>
    <cellStyle name="_20061117Holux_Scope and Deliverables Summary_CMS_0609_FP_DW_Impl_ProgramWorkBook_07-Jan-2011 3" xfId="15721" xr:uid="{00000000-0005-0000-0000-00000F3D0000}"/>
    <cellStyle name="_20061117Holux_Scope and Deliverables Summary_CMS_0609_FP_DW_Impl_ProgramWorkBook_07-Jan-2011 3_Steps of Doneness" xfId="15722" xr:uid="{00000000-0005-0000-0000-0000103D0000}"/>
    <cellStyle name="_20061117Holux_Scope and Deliverables Summary_CMS_0609_FP_DW_Impl_ProgramWorkBook_07-Jan-2011 4" xfId="15723" xr:uid="{00000000-0005-0000-0000-0000113D0000}"/>
    <cellStyle name="_20061117Holux_Scope and Deliverables Summary_CMS_0609_FP_DW_Impl_ProgramWorkBook_07-Jan-2011_Steps of Doneness" xfId="15724" xr:uid="{00000000-0005-0000-0000-0000123D0000}"/>
    <cellStyle name="_20061117Holux_Scope and Deliverables Summary_CMS_0609_FP_DW_Impl_ProgramWorkBook_11-Feb-2011" xfId="15725" xr:uid="{00000000-0005-0000-0000-0000133D0000}"/>
    <cellStyle name="_20061117Holux_Scope and Deliverables Summary_CMS_0609_FP_DW_Impl_ProgramWorkBook_11-Feb-2011 2" xfId="15726" xr:uid="{00000000-0005-0000-0000-0000143D0000}"/>
    <cellStyle name="_20061117Holux_Scope and Deliverables Summary_CMS_0609_FP_DW_Impl_ProgramWorkBook_11-Feb-2011 2_Steps of Doneness" xfId="15727" xr:uid="{00000000-0005-0000-0000-0000153D0000}"/>
    <cellStyle name="_20061117Holux_Scope and Deliverables Summary_CMS_0609_FP_DW_Impl_ProgramWorkBook_11-Feb-2011 3" xfId="15728" xr:uid="{00000000-0005-0000-0000-0000163D0000}"/>
    <cellStyle name="_20061117Holux_Scope and Deliverables Summary_CMS_0609_FP_DW_Impl_ProgramWorkBook_11-Feb-2011_Steps of Doneness" xfId="15729" xr:uid="{00000000-0005-0000-0000-0000173D0000}"/>
    <cellStyle name="_20061117Holux_Scope and Deliverables Summary_CMS_0609_FP_DW_Impl_ProgramWorkBook_18-Feb-2011 - Working" xfId="15730" xr:uid="{00000000-0005-0000-0000-0000183D0000}"/>
    <cellStyle name="_20061117Holux_Scope and Deliverables Summary_CMS_0609_FP_DW_Impl_ProgramWorkBook_18-Feb-2011 - Working 2" xfId="15731" xr:uid="{00000000-0005-0000-0000-0000193D0000}"/>
    <cellStyle name="_20061117Holux_Scope and Deliverables Summary_CMS_0609_FP_DW_Impl_ProgramWorkBook_18-Feb-2011 - Working 2_Steps of Doneness" xfId="15732" xr:uid="{00000000-0005-0000-0000-00001A3D0000}"/>
    <cellStyle name="_20061117Holux_Scope and Deliverables Summary_CMS_0609_FP_DW_Impl_ProgramWorkBook_18-Feb-2011 - Working 3" xfId="15733" xr:uid="{00000000-0005-0000-0000-00001B3D0000}"/>
    <cellStyle name="_20061117Holux_Scope and Deliverables Summary_CMS_0609_FP_DW_Impl_ProgramWorkBook_18-Feb-2011 - Working_Steps of Doneness" xfId="15734" xr:uid="{00000000-0005-0000-0000-00001C3D0000}"/>
    <cellStyle name="_20061117Holux_Scope and Deliverables Summary_CMS_0609_FP_EnterprisePortal_ProgramWorkbook" xfId="15735" xr:uid="{00000000-0005-0000-0000-00001D3D0000}"/>
    <cellStyle name="_20061117Holux_Scope and Deliverables Summary_CMS_0609_FP_EnterprisePortal_ProgramWorkbook 2" xfId="15736" xr:uid="{00000000-0005-0000-0000-00001E3D0000}"/>
    <cellStyle name="_20061117Holux_Scope and Deliverables Summary_CMS_0609_FP_EnterprisePortal_ProgramWorkbook 2_Steps of Doneness" xfId="15737" xr:uid="{00000000-0005-0000-0000-00001F3D0000}"/>
    <cellStyle name="_20061117Holux_Scope and Deliverables Summary_CMS_0609_FP_EnterprisePortal_ProgramWorkbook 3" xfId="15738" xr:uid="{00000000-0005-0000-0000-0000203D0000}"/>
    <cellStyle name="_20061117Holux_Scope and Deliverables Summary_CMS_0609_FP_EnterprisePortal_ProgramWorkbook_Steps of Doneness" xfId="15739" xr:uid="{00000000-0005-0000-0000-0000213D0000}"/>
    <cellStyle name="_20061117Holux_Scope and Deliverables Summary_CMS_0609_FP_SAP_MLP v2" xfId="15740" xr:uid="{00000000-0005-0000-0000-0000223D0000}"/>
    <cellStyle name="_20061117Holux_Scope and Deliverables Summary_CMS_0609_FP_SAP_MLP v2 2" xfId="15741" xr:uid="{00000000-0005-0000-0000-0000233D0000}"/>
    <cellStyle name="_20061117Holux_Scope and Deliverables Summary_CMS_0609_FP_SAP_MLP v2 2_Steps of Doneness" xfId="15742" xr:uid="{00000000-0005-0000-0000-0000243D0000}"/>
    <cellStyle name="_20061117Holux_Scope and Deliverables Summary_CMS_0609_FP_SAP_MLP v2 3" xfId="15743" xr:uid="{00000000-0005-0000-0000-0000253D0000}"/>
    <cellStyle name="_20061117Holux_Scope and Deliverables Summary_CMS_0609_FP_SAP_MLP v2_Steps of Doneness" xfId="15744" xr:uid="{00000000-0005-0000-0000-0000263D0000}"/>
    <cellStyle name="_20061117Holux_Scope and Deliverables Summary_CMS_0609_KeyDecisions" xfId="15745" xr:uid="{00000000-0005-0000-0000-0000273D0000}"/>
    <cellStyle name="_20061117Holux_Scope and Deliverables Summary_CMS_0609_KeyDecisions 2" xfId="15746" xr:uid="{00000000-0005-0000-0000-0000283D0000}"/>
    <cellStyle name="_20061117Holux_Scope and Deliverables Summary_CMS_0609_KeyDecisions 2_Steps of Doneness" xfId="15747" xr:uid="{00000000-0005-0000-0000-0000293D0000}"/>
    <cellStyle name="_20061117Holux_Scope and Deliverables Summary_CMS_0609_KeyDecisions 3" xfId="15748" xr:uid="{00000000-0005-0000-0000-00002A3D0000}"/>
    <cellStyle name="_20061117Holux_Scope and Deliverables Summary_CMS_0609_KeyDecisions_Steps of Doneness" xfId="15749" xr:uid="{00000000-0005-0000-0000-00002B3D0000}"/>
    <cellStyle name="_20061117Holux_Scope and Deliverables Summary_CMS_0609_Sophia_Imp_ProjectWorkBook_02_18_2011" xfId="15750" xr:uid="{00000000-0005-0000-0000-00002C3D0000}"/>
    <cellStyle name="_20061117Holux_Scope and Deliverables Summary_CMS_0609_Sophia_Imp_ProjectWorkBook_02_18_2011 2" xfId="15751" xr:uid="{00000000-0005-0000-0000-00002D3D0000}"/>
    <cellStyle name="_20061117Holux_Scope and Deliverables Summary_CMS_0609_Sophia_Imp_ProjectWorkBook_02_18_2011 2_Steps of Doneness" xfId="15752" xr:uid="{00000000-0005-0000-0000-00002E3D0000}"/>
    <cellStyle name="_20061117Holux_Scope and Deliverables Summary_CMS_0609_Sophia_Imp_ProjectWorkBook_02_18_2011 3" xfId="15753" xr:uid="{00000000-0005-0000-0000-00002F3D0000}"/>
    <cellStyle name="_20061117Holux_Scope and Deliverables Summary_CMS_0609_Sophia_Imp_ProjectWorkBook_02_18_2011_Steps of Doneness" xfId="15754" xr:uid="{00000000-0005-0000-0000-0000303D0000}"/>
    <cellStyle name="_20061117Holux_Scope and Deliverables Summary_CMS_0609_Steps of Doneness" xfId="15755" xr:uid="{00000000-0005-0000-0000-0000313D0000}"/>
    <cellStyle name="_20061117Holux_Scope and Deliverables Summary_CMS_0609_t" xfId="15756" xr:uid="{00000000-0005-0000-0000-0000323D0000}"/>
    <cellStyle name="_20061117Holux_Scope and Deliverables Summary_CMS_0609_t 2" xfId="15757" xr:uid="{00000000-0005-0000-0000-0000333D0000}"/>
    <cellStyle name="_20061117Holux_Scope and Deliverables Summary_CMS_0609_t 2_Steps of Doneness" xfId="15758" xr:uid="{00000000-0005-0000-0000-0000343D0000}"/>
    <cellStyle name="_20061117Holux_Scope and Deliverables Summary_CMS_0609_t 3" xfId="15759" xr:uid="{00000000-0005-0000-0000-0000353D0000}"/>
    <cellStyle name="_20061117Holux_Scope and Deliverables Summary_CMS_0609_t_Steps of Doneness" xfId="15760" xr:uid="{00000000-0005-0000-0000-0000363D0000}"/>
    <cellStyle name="_20061117Holux_SLM -CMS &amp; Storefront PM Workbook" xfId="15761" xr:uid="{00000000-0005-0000-0000-0000373D0000}"/>
    <cellStyle name="_20061117Holux_SLM -CMS &amp; Storefront PM Workbook 2" xfId="15762" xr:uid="{00000000-0005-0000-0000-0000383D0000}"/>
    <cellStyle name="_20061117Holux_SLM -CMS &amp; Storefront PM Workbook 2 2" xfId="15763" xr:uid="{00000000-0005-0000-0000-0000393D0000}"/>
    <cellStyle name="_20061117Holux_SLM -CMS &amp; Storefront PM Workbook 2 2_Steps of Doneness" xfId="15764" xr:uid="{00000000-0005-0000-0000-00003A3D0000}"/>
    <cellStyle name="_20061117Holux_SLM -CMS &amp; Storefront PM Workbook 2 3" xfId="15765" xr:uid="{00000000-0005-0000-0000-00003B3D0000}"/>
    <cellStyle name="_20061117Holux_SLM -CMS &amp; Storefront PM Workbook 2_Steps of Doneness" xfId="15766" xr:uid="{00000000-0005-0000-0000-00003C3D0000}"/>
    <cellStyle name="_20061117Holux_SLM -CMS &amp; Storefront PM Workbook 3" xfId="15767" xr:uid="{00000000-0005-0000-0000-00003D3D0000}"/>
    <cellStyle name="_20061117Holux_SLM -CMS &amp; Storefront PM Workbook 3 2" xfId="15768" xr:uid="{00000000-0005-0000-0000-00003E3D0000}"/>
    <cellStyle name="_20061117Holux_SLM -CMS &amp; Storefront PM Workbook 3 2_Steps of Doneness" xfId="15769" xr:uid="{00000000-0005-0000-0000-00003F3D0000}"/>
    <cellStyle name="_20061117Holux_SLM -CMS &amp; Storefront PM Workbook 3 3" xfId="15770" xr:uid="{00000000-0005-0000-0000-0000403D0000}"/>
    <cellStyle name="_20061117Holux_SLM -CMS &amp; Storefront PM Workbook 3_Steps of Doneness" xfId="15771" xr:uid="{00000000-0005-0000-0000-0000413D0000}"/>
    <cellStyle name="_20061117Holux_SLM -CMS &amp; Storefront PM Workbook 4" xfId="15772" xr:uid="{00000000-0005-0000-0000-0000423D0000}"/>
    <cellStyle name="_20061117Holux_SLM -CMS &amp; Storefront PM Workbook 4_Steps of Doneness" xfId="15773" xr:uid="{00000000-0005-0000-0000-0000433D0000}"/>
    <cellStyle name="_20061117Holux_SLM -CMS &amp; Storefront PM Workbook 5" xfId="15774" xr:uid="{00000000-0005-0000-0000-0000443D0000}"/>
    <cellStyle name="_20061117Holux_SLM -CMS &amp; Storefront PM Workbook 6" xfId="15775" xr:uid="{00000000-0005-0000-0000-0000453D0000}"/>
    <cellStyle name="_20061117Holux_SLM -CMS &amp; Storefront PM Workbook_Commissioning System Implementation_Project Workbook_06_10_2011" xfId="15776" xr:uid="{00000000-0005-0000-0000-0000463D0000}"/>
    <cellStyle name="_20061117Holux_SLM -CMS &amp; Storefront PM Workbook_Commissioning System Implementation_Project Workbook_06_10_2011 2" xfId="15777" xr:uid="{00000000-0005-0000-0000-0000473D0000}"/>
    <cellStyle name="_20061117Holux_SLM -CMS &amp; Storefront PM Workbook_Commissioning System Implementation_Project Workbook_06_10_2011 2_Steps of Doneness" xfId="15778" xr:uid="{00000000-0005-0000-0000-0000483D0000}"/>
    <cellStyle name="_20061117Holux_SLM -CMS &amp; Storefront PM Workbook_Commissioning System Implementation_Project Workbook_06_10_2011 3" xfId="15779" xr:uid="{00000000-0005-0000-0000-0000493D0000}"/>
    <cellStyle name="_20061117Holux_SLM -CMS &amp; Storefront PM Workbook_Commissioning System Implementation_Project Workbook_06_10_2011_Steps of Doneness" xfId="15780" xr:uid="{00000000-0005-0000-0000-00004A3D0000}"/>
    <cellStyle name="_20061117Holux_SLM -CMS &amp; Storefront PM Workbook_FairPoint_CampReport" xfId="15781" xr:uid="{00000000-0005-0000-0000-00004B3D0000}"/>
    <cellStyle name="_20061117Holux_SLM -CMS &amp; Storefront PM Workbook_FairPoint_CampReport 2" xfId="15782" xr:uid="{00000000-0005-0000-0000-00004C3D0000}"/>
    <cellStyle name="_20061117Holux_SLM -CMS &amp; Storefront PM Workbook_FairPoint_CampReport 2_Steps of Doneness" xfId="15783" xr:uid="{00000000-0005-0000-0000-00004D3D0000}"/>
    <cellStyle name="_20061117Holux_SLM -CMS &amp; Storefront PM Workbook_FairPoint_CampReport 3" xfId="15784" xr:uid="{00000000-0005-0000-0000-00004E3D0000}"/>
    <cellStyle name="_20061117Holux_SLM -CMS &amp; Storefront PM Workbook_FairPoint_CampReport_Steps of Doneness" xfId="15785" xr:uid="{00000000-0005-0000-0000-00004F3D0000}"/>
    <cellStyle name="_20061117Holux_SLM -CMS &amp; Storefront PM Workbook_FairPoint_FP comTechOps_ProgramWorkbook" xfId="15786" xr:uid="{00000000-0005-0000-0000-0000503D0000}"/>
    <cellStyle name="_20061117Holux_SLM -CMS &amp; Storefront PM Workbook_FairPoint_FP comTechOps_ProgramWorkbook 2" xfId="15787" xr:uid="{00000000-0005-0000-0000-0000513D0000}"/>
    <cellStyle name="_20061117Holux_SLM -CMS &amp; Storefront PM Workbook_FairPoint_FP comTechOps_ProgramWorkbook 2_Steps of Doneness" xfId="15788" xr:uid="{00000000-0005-0000-0000-0000523D0000}"/>
    <cellStyle name="_20061117Holux_SLM -CMS &amp; Storefront PM Workbook_FairPoint_FP comTechOps_ProgramWorkbook 3" xfId="15789" xr:uid="{00000000-0005-0000-0000-0000533D0000}"/>
    <cellStyle name="_20061117Holux_SLM -CMS &amp; Storefront PM Workbook_FairPoint_FP comTechOps_ProgramWorkbook_sachin" xfId="15790" xr:uid="{00000000-0005-0000-0000-0000543D0000}"/>
    <cellStyle name="_20061117Holux_SLM -CMS &amp; Storefront PM Workbook_FairPoint_FP comTechOps_ProgramWorkbook_sachin 2" xfId="15791" xr:uid="{00000000-0005-0000-0000-0000553D0000}"/>
    <cellStyle name="_20061117Holux_SLM -CMS &amp; Storefront PM Workbook_FairPoint_FP comTechOps_ProgramWorkbook_sachin 2_Steps of Doneness" xfId="15792" xr:uid="{00000000-0005-0000-0000-0000563D0000}"/>
    <cellStyle name="_20061117Holux_SLM -CMS &amp; Storefront PM Workbook_FairPoint_FP comTechOps_ProgramWorkbook_sachin 3" xfId="15793" xr:uid="{00000000-0005-0000-0000-0000573D0000}"/>
    <cellStyle name="_20061117Holux_SLM -CMS &amp; Storefront PM Workbook_FairPoint_FP comTechOps_ProgramWorkbook_sachin_Steps of Doneness" xfId="15794" xr:uid="{00000000-0005-0000-0000-0000583D0000}"/>
    <cellStyle name="_20061117Holux_SLM -CMS &amp; Storefront PM Workbook_FairPoint_FP comTechOps_ProgramWorkbook_sachin_v1" xfId="15795" xr:uid="{00000000-0005-0000-0000-0000593D0000}"/>
    <cellStyle name="_20061117Holux_SLM -CMS &amp; Storefront PM Workbook_FairPoint_FP comTechOps_ProgramWorkbook_sachin_v1 2" xfId="15796" xr:uid="{00000000-0005-0000-0000-00005A3D0000}"/>
    <cellStyle name="_20061117Holux_SLM -CMS &amp; Storefront PM Workbook_FairPoint_FP comTechOps_ProgramWorkbook_sachin_v1 2_Steps of Doneness" xfId="15797" xr:uid="{00000000-0005-0000-0000-00005B3D0000}"/>
    <cellStyle name="_20061117Holux_SLM -CMS &amp; Storefront PM Workbook_FairPoint_FP comTechOps_ProgramWorkbook_sachin_v1 3" xfId="15798" xr:uid="{00000000-0005-0000-0000-00005C3D0000}"/>
    <cellStyle name="_20061117Holux_SLM -CMS &amp; Storefront PM Workbook_FairPoint_FP comTechOps_ProgramWorkbook_sachin_v1_Steps of Doneness" xfId="15799" xr:uid="{00000000-0005-0000-0000-00005D3D0000}"/>
    <cellStyle name="_20061117Holux_SLM -CMS &amp; Storefront PM Workbook_FairPoint_FP comTechOps_ProgramWorkbook_Steps of Doneness" xfId="15800" xr:uid="{00000000-0005-0000-0000-00005E3D0000}"/>
    <cellStyle name="_20061117Holux_SLM -CMS &amp; Storefront PM Workbook_FP_CAMP&amp;ITReporting_Maintenance_Dashboard" xfId="15801" xr:uid="{00000000-0005-0000-0000-00005F3D0000}"/>
    <cellStyle name="_20061117Holux_SLM -CMS &amp; Storefront PM Workbook_FP_CAMP&amp;ITReporting_Maintenance_Dashboard 2" xfId="15802" xr:uid="{00000000-0005-0000-0000-0000603D0000}"/>
    <cellStyle name="_20061117Holux_SLM -CMS &amp; Storefront PM Workbook_FP_CAMP&amp;ITReporting_Maintenance_Dashboard 2_Steps of Doneness" xfId="15803" xr:uid="{00000000-0005-0000-0000-0000613D0000}"/>
    <cellStyle name="_20061117Holux_SLM -CMS &amp; Storefront PM Workbook_FP_CAMP&amp;ITReporting_Maintenance_Dashboard 3" xfId="15804" xr:uid="{00000000-0005-0000-0000-0000623D0000}"/>
    <cellStyle name="_20061117Holux_SLM -CMS &amp; Storefront PM Workbook_FP_CAMP&amp;ITReporting_Maintenance_Dashboard_Steps of Doneness" xfId="15805" xr:uid="{00000000-0005-0000-0000-0000633D0000}"/>
    <cellStyle name="_20061117Holux_SLM -CMS &amp; Storefront PM Workbook_FP_CAMPITReporting_Maintenance_Dashboard" xfId="15806" xr:uid="{00000000-0005-0000-0000-0000643D0000}"/>
    <cellStyle name="_20061117Holux_SLM -CMS &amp; Storefront PM Workbook_FP_CAMPITReporting_Maintenance_Dashboard 2" xfId="15807" xr:uid="{00000000-0005-0000-0000-0000653D0000}"/>
    <cellStyle name="_20061117Holux_SLM -CMS &amp; Storefront PM Workbook_FP_CAMPITReporting_Maintenance_Dashboard 2_Steps of Doneness" xfId="15808" xr:uid="{00000000-0005-0000-0000-0000663D0000}"/>
    <cellStyle name="_20061117Holux_SLM -CMS &amp; Storefront PM Workbook_FP_CAMPITReporting_Maintenance_Dashboard 3" xfId="15809" xr:uid="{00000000-0005-0000-0000-0000673D0000}"/>
    <cellStyle name="_20061117Holux_SLM -CMS &amp; Storefront PM Workbook_FP_CAMPITReporting_Maintenance_Dashboard_Steps of Doneness" xfId="15810" xr:uid="{00000000-0005-0000-0000-0000683D0000}"/>
    <cellStyle name="_20061117Holux_SLM -CMS &amp; Storefront PM Workbook_FP_Commissions_Req_Dn_ProgramWorkBook_10-Dec-2010" xfId="15811" xr:uid="{00000000-0005-0000-0000-0000693D0000}"/>
    <cellStyle name="_20061117Holux_SLM -CMS &amp; Storefront PM Workbook_FP_Commissions_Req_Dn_ProgramWorkBook_10-Dec-2010 2" xfId="15812" xr:uid="{00000000-0005-0000-0000-00006A3D0000}"/>
    <cellStyle name="_20061117Holux_SLM -CMS &amp; Storefront PM Workbook_FP_Commissions_Req_Dn_ProgramWorkBook_10-Dec-2010 2_Steps of Doneness" xfId="15813" xr:uid="{00000000-0005-0000-0000-00006B3D0000}"/>
    <cellStyle name="_20061117Holux_SLM -CMS &amp; Storefront PM Workbook_FP_Commissions_Req_Dn_ProgramWorkBook_10-Dec-2010 3" xfId="15814" xr:uid="{00000000-0005-0000-0000-00006C3D0000}"/>
    <cellStyle name="_20061117Holux_SLM -CMS &amp; Storefront PM Workbook_FP_Commissions_Req_Dn_ProgramWorkBook_10-Dec-2010_Steps of Doneness" xfId="15815" xr:uid="{00000000-0005-0000-0000-00006D3D0000}"/>
    <cellStyle name="_20061117Holux_SLM -CMS &amp; Storefront PM Workbook_FP_DW_Impl_ProgramWorkBook_07-Jan-2011" xfId="15816" xr:uid="{00000000-0005-0000-0000-00006E3D0000}"/>
    <cellStyle name="_20061117Holux_SLM -CMS &amp; Storefront PM Workbook_FP_DW_Impl_ProgramWorkBook_07-Jan-2011 2" xfId="15817" xr:uid="{00000000-0005-0000-0000-00006F3D0000}"/>
    <cellStyle name="_20061117Holux_SLM -CMS &amp; Storefront PM Workbook_FP_DW_Impl_ProgramWorkBook_07-Jan-2011 2 2" xfId="15818" xr:uid="{00000000-0005-0000-0000-0000703D0000}"/>
    <cellStyle name="_20061117Holux_SLM -CMS &amp; Storefront PM Workbook_FP_DW_Impl_ProgramWorkBook_07-Jan-2011 2 2_Steps of Doneness" xfId="15819" xr:uid="{00000000-0005-0000-0000-0000713D0000}"/>
    <cellStyle name="_20061117Holux_SLM -CMS &amp; Storefront PM Workbook_FP_DW_Impl_ProgramWorkBook_07-Jan-2011 2 3" xfId="15820" xr:uid="{00000000-0005-0000-0000-0000723D0000}"/>
    <cellStyle name="_20061117Holux_SLM -CMS &amp; Storefront PM Workbook_FP_DW_Impl_ProgramWorkBook_07-Jan-2011 2_Steps of Doneness" xfId="15821" xr:uid="{00000000-0005-0000-0000-0000733D0000}"/>
    <cellStyle name="_20061117Holux_SLM -CMS &amp; Storefront PM Workbook_FP_DW_Impl_ProgramWorkBook_07-Jan-2011 3" xfId="15822" xr:uid="{00000000-0005-0000-0000-0000743D0000}"/>
    <cellStyle name="_20061117Holux_SLM -CMS &amp; Storefront PM Workbook_FP_DW_Impl_ProgramWorkBook_07-Jan-2011 3_Steps of Doneness" xfId="15823" xr:uid="{00000000-0005-0000-0000-0000753D0000}"/>
    <cellStyle name="_20061117Holux_SLM -CMS &amp; Storefront PM Workbook_FP_DW_Impl_ProgramWorkBook_07-Jan-2011 4" xfId="15824" xr:uid="{00000000-0005-0000-0000-0000763D0000}"/>
    <cellStyle name="_20061117Holux_SLM -CMS &amp; Storefront PM Workbook_FP_DW_Impl_ProgramWorkBook_07-Jan-2011_Steps of Doneness" xfId="15825" xr:uid="{00000000-0005-0000-0000-0000773D0000}"/>
    <cellStyle name="_20061117Holux_SLM -CMS &amp; Storefront PM Workbook_FP_DW_Impl_ProgramWorkBook_11-Feb-2011" xfId="15826" xr:uid="{00000000-0005-0000-0000-0000783D0000}"/>
    <cellStyle name="_20061117Holux_SLM -CMS &amp; Storefront PM Workbook_FP_DW_Impl_ProgramWorkBook_11-Feb-2011 2" xfId="15827" xr:uid="{00000000-0005-0000-0000-0000793D0000}"/>
    <cellStyle name="_20061117Holux_SLM -CMS &amp; Storefront PM Workbook_FP_DW_Impl_ProgramWorkBook_11-Feb-2011 2_Steps of Doneness" xfId="15828" xr:uid="{00000000-0005-0000-0000-00007A3D0000}"/>
    <cellStyle name="_20061117Holux_SLM -CMS &amp; Storefront PM Workbook_FP_DW_Impl_ProgramWorkBook_11-Feb-2011 3" xfId="15829" xr:uid="{00000000-0005-0000-0000-00007B3D0000}"/>
    <cellStyle name="_20061117Holux_SLM -CMS &amp; Storefront PM Workbook_FP_DW_Impl_ProgramWorkBook_11-Feb-2011_Steps of Doneness" xfId="15830" xr:uid="{00000000-0005-0000-0000-00007C3D0000}"/>
    <cellStyle name="_20061117Holux_SLM -CMS &amp; Storefront PM Workbook_FP_DW_Impl_ProgramWorkBook_18-Feb-2011 - Working" xfId="15831" xr:uid="{00000000-0005-0000-0000-00007D3D0000}"/>
    <cellStyle name="_20061117Holux_SLM -CMS &amp; Storefront PM Workbook_FP_DW_Impl_ProgramWorkBook_18-Feb-2011 - Working 2" xfId="15832" xr:uid="{00000000-0005-0000-0000-00007E3D0000}"/>
    <cellStyle name="_20061117Holux_SLM -CMS &amp; Storefront PM Workbook_FP_DW_Impl_ProgramWorkBook_18-Feb-2011 - Working 2_Steps of Doneness" xfId="15833" xr:uid="{00000000-0005-0000-0000-00007F3D0000}"/>
    <cellStyle name="_20061117Holux_SLM -CMS &amp; Storefront PM Workbook_FP_DW_Impl_ProgramWorkBook_18-Feb-2011 - Working 3" xfId="15834" xr:uid="{00000000-0005-0000-0000-0000803D0000}"/>
    <cellStyle name="_20061117Holux_SLM -CMS &amp; Storefront PM Workbook_FP_DW_Impl_ProgramWorkBook_18-Feb-2011 - Working_Steps of Doneness" xfId="15835" xr:uid="{00000000-0005-0000-0000-0000813D0000}"/>
    <cellStyle name="_20061117Holux_SLM -CMS &amp; Storefront PM Workbook_FP_EnterprisePortal_ProgramWorkbook" xfId="15836" xr:uid="{00000000-0005-0000-0000-0000823D0000}"/>
    <cellStyle name="_20061117Holux_SLM -CMS &amp; Storefront PM Workbook_FP_EnterprisePortal_ProgramWorkbook 2" xfId="15837" xr:uid="{00000000-0005-0000-0000-0000833D0000}"/>
    <cellStyle name="_20061117Holux_SLM -CMS &amp; Storefront PM Workbook_FP_EnterprisePortal_ProgramWorkbook 2_Steps of Doneness" xfId="15838" xr:uid="{00000000-0005-0000-0000-0000843D0000}"/>
    <cellStyle name="_20061117Holux_SLM -CMS &amp; Storefront PM Workbook_FP_EnterprisePortal_ProgramWorkbook 3" xfId="15839" xr:uid="{00000000-0005-0000-0000-0000853D0000}"/>
    <cellStyle name="_20061117Holux_SLM -CMS &amp; Storefront PM Workbook_FP_EnterprisePortal_ProgramWorkbook_Steps of Doneness" xfId="15840" xr:uid="{00000000-0005-0000-0000-0000863D0000}"/>
    <cellStyle name="_20061117Holux_SLM -CMS &amp; Storefront PM Workbook_FP_SAP_MLP v2" xfId="15841" xr:uid="{00000000-0005-0000-0000-0000873D0000}"/>
    <cellStyle name="_20061117Holux_SLM -CMS &amp; Storefront PM Workbook_FP_SAP_MLP v2 2" xfId="15842" xr:uid="{00000000-0005-0000-0000-0000883D0000}"/>
    <cellStyle name="_20061117Holux_SLM -CMS &amp; Storefront PM Workbook_FP_SAP_MLP v2 2_Steps of Doneness" xfId="15843" xr:uid="{00000000-0005-0000-0000-0000893D0000}"/>
    <cellStyle name="_20061117Holux_SLM -CMS &amp; Storefront PM Workbook_FP_SAP_MLP v2 3" xfId="15844" xr:uid="{00000000-0005-0000-0000-00008A3D0000}"/>
    <cellStyle name="_20061117Holux_SLM -CMS &amp; Storefront PM Workbook_FP_SAP_MLP v2_Steps of Doneness" xfId="15845" xr:uid="{00000000-0005-0000-0000-00008B3D0000}"/>
    <cellStyle name="_20061117Holux_SLM -CMS &amp; Storefront PM Workbook_KeyDecisions" xfId="15846" xr:uid="{00000000-0005-0000-0000-00008C3D0000}"/>
    <cellStyle name="_20061117Holux_SLM -CMS &amp; Storefront PM Workbook_KeyDecisions 2" xfId="15847" xr:uid="{00000000-0005-0000-0000-00008D3D0000}"/>
    <cellStyle name="_20061117Holux_SLM -CMS &amp; Storefront PM Workbook_KeyDecisions 2_Steps of Doneness" xfId="15848" xr:uid="{00000000-0005-0000-0000-00008E3D0000}"/>
    <cellStyle name="_20061117Holux_SLM -CMS &amp; Storefront PM Workbook_KeyDecisions 3" xfId="15849" xr:uid="{00000000-0005-0000-0000-00008F3D0000}"/>
    <cellStyle name="_20061117Holux_SLM -CMS &amp; Storefront PM Workbook_KeyDecisions_Steps of Doneness" xfId="15850" xr:uid="{00000000-0005-0000-0000-0000903D0000}"/>
    <cellStyle name="_20061117Holux_SLM -CMS &amp; Storefront PM Workbook_Sophia_Imp_ProjectWorkBook_02_18_2011" xfId="15851" xr:uid="{00000000-0005-0000-0000-0000913D0000}"/>
    <cellStyle name="_20061117Holux_SLM -CMS &amp; Storefront PM Workbook_Sophia_Imp_ProjectWorkBook_02_18_2011 2" xfId="15852" xr:uid="{00000000-0005-0000-0000-0000923D0000}"/>
    <cellStyle name="_20061117Holux_SLM -CMS &amp; Storefront PM Workbook_Sophia_Imp_ProjectWorkBook_02_18_2011 2_Steps of Doneness" xfId="15853" xr:uid="{00000000-0005-0000-0000-0000933D0000}"/>
    <cellStyle name="_20061117Holux_SLM -CMS &amp; Storefront PM Workbook_Sophia_Imp_ProjectWorkBook_02_18_2011 3" xfId="15854" xr:uid="{00000000-0005-0000-0000-0000943D0000}"/>
    <cellStyle name="_20061117Holux_SLM -CMS &amp; Storefront PM Workbook_Sophia_Imp_ProjectWorkBook_02_18_2011_Steps of Doneness" xfId="15855" xr:uid="{00000000-0005-0000-0000-0000953D0000}"/>
    <cellStyle name="_20061117Holux_SLM -CMS &amp; Storefront PM Workbook_Steps of Doneness" xfId="15856" xr:uid="{00000000-0005-0000-0000-0000963D0000}"/>
    <cellStyle name="_20061117Holux_SLM -CMS &amp; Storefront PM Workbook_t" xfId="15857" xr:uid="{00000000-0005-0000-0000-0000973D0000}"/>
    <cellStyle name="_20061117Holux_SLM -CMS &amp; Storefront PM Workbook_t 2" xfId="15858" xr:uid="{00000000-0005-0000-0000-0000983D0000}"/>
    <cellStyle name="_20061117Holux_SLM -CMS &amp; Storefront PM Workbook_t 2_Steps of Doneness" xfId="15859" xr:uid="{00000000-0005-0000-0000-0000993D0000}"/>
    <cellStyle name="_20061117Holux_SLM -CMS &amp; Storefront PM Workbook_t 3" xfId="15860" xr:uid="{00000000-0005-0000-0000-00009A3D0000}"/>
    <cellStyle name="_20061117Holux_SLM -CMS &amp; Storefront PM Workbook_t_Steps of Doneness" xfId="15861" xr:uid="{00000000-0005-0000-0000-00009B3D0000}"/>
    <cellStyle name="_20061117Holux_SLM Web Design Plan_0510" xfId="15862" xr:uid="{00000000-0005-0000-0000-00009C3D0000}"/>
    <cellStyle name="_20061117Holux_SLM Web Design Plan_0510 2" xfId="15863" xr:uid="{00000000-0005-0000-0000-00009D3D0000}"/>
    <cellStyle name="_20061117Holux_SLM Web Design Plan_0510 2_Steps of Doneness" xfId="15864" xr:uid="{00000000-0005-0000-0000-00009E3D0000}"/>
    <cellStyle name="_20061117Holux_SLM Web Design Plan_0510 3" xfId="15865" xr:uid="{00000000-0005-0000-0000-00009F3D0000}"/>
    <cellStyle name="_20061117Holux_SLM Web Design Plan_0510_Steps of Doneness" xfId="15866" xr:uid="{00000000-0005-0000-0000-0000A03D0000}"/>
    <cellStyle name="_20061117Holux_SLM_CMS_DesignPlan_0524" xfId="15867" xr:uid="{00000000-0005-0000-0000-0000A13D0000}"/>
    <cellStyle name="_20061117Holux_SLM_CMS_DesignPlan_0524 2" xfId="15868" xr:uid="{00000000-0005-0000-0000-0000A23D0000}"/>
    <cellStyle name="_20061117Holux_SLM_CMS_DesignPlan_0524 2_Steps of Doneness" xfId="15869" xr:uid="{00000000-0005-0000-0000-0000A33D0000}"/>
    <cellStyle name="_20061117Holux_SLM_CMS_DesignPlan_0524 3" xfId="15870" xr:uid="{00000000-0005-0000-0000-0000A43D0000}"/>
    <cellStyle name="_20061117Holux_SLM_CMS_DesignPlan_0524_Steps of Doneness" xfId="15871" xr:uid="{00000000-0005-0000-0000-0000A53D0000}"/>
    <cellStyle name="_20061117Holux_SLM_CMS_DesignPlan_Tasks_0614" xfId="15872" xr:uid="{00000000-0005-0000-0000-0000A63D0000}"/>
    <cellStyle name="_20061117Holux_SLM_CMS_DesignPlan_Tasks_0614 2" xfId="15873" xr:uid="{00000000-0005-0000-0000-0000A73D0000}"/>
    <cellStyle name="_20061117Holux_SLM_CMS_DesignPlan_Tasks_0614 2_Steps of Doneness" xfId="15874" xr:uid="{00000000-0005-0000-0000-0000A83D0000}"/>
    <cellStyle name="_20061117Holux_SLM_CMS_DesignPlan_Tasks_0614 3" xfId="15875" xr:uid="{00000000-0005-0000-0000-0000A93D0000}"/>
    <cellStyle name="_20061117Holux_SLM_CMS_DesignPlan_Tasks_0614_Steps of Doneness" xfId="15876" xr:uid="{00000000-0005-0000-0000-0000AA3D0000}"/>
    <cellStyle name="_20061117Holux_slm_llp_0520" xfId="15877" xr:uid="{00000000-0005-0000-0000-0000AB3D0000}"/>
    <cellStyle name="_20061117Holux_slm_llp_0520 2" xfId="15878" xr:uid="{00000000-0005-0000-0000-0000AC3D0000}"/>
    <cellStyle name="_20061117Holux_slm_llp_0520 2 2" xfId="15879" xr:uid="{00000000-0005-0000-0000-0000AD3D0000}"/>
    <cellStyle name="_20061117Holux_slm_llp_0520 2 2_Steps of Doneness" xfId="15880" xr:uid="{00000000-0005-0000-0000-0000AE3D0000}"/>
    <cellStyle name="_20061117Holux_slm_llp_0520 2 3" xfId="15881" xr:uid="{00000000-0005-0000-0000-0000AF3D0000}"/>
    <cellStyle name="_20061117Holux_slm_llp_0520 2_Steps of Doneness" xfId="15882" xr:uid="{00000000-0005-0000-0000-0000B03D0000}"/>
    <cellStyle name="_20061117Holux_slm_llp_0520 3" xfId="15883" xr:uid="{00000000-0005-0000-0000-0000B13D0000}"/>
    <cellStyle name="_20061117Holux_slm_llp_0520 3 2" xfId="15884" xr:uid="{00000000-0005-0000-0000-0000B23D0000}"/>
    <cellStyle name="_20061117Holux_slm_llp_0520 3 2_Steps of Doneness" xfId="15885" xr:uid="{00000000-0005-0000-0000-0000B33D0000}"/>
    <cellStyle name="_20061117Holux_slm_llp_0520 3 3" xfId="15886" xr:uid="{00000000-0005-0000-0000-0000B43D0000}"/>
    <cellStyle name="_20061117Holux_slm_llp_0520 3_Steps of Doneness" xfId="15887" xr:uid="{00000000-0005-0000-0000-0000B53D0000}"/>
    <cellStyle name="_20061117Holux_slm_llp_0520 4" xfId="15888" xr:uid="{00000000-0005-0000-0000-0000B63D0000}"/>
    <cellStyle name="_20061117Holux_slm_llp_0520 4_Steps of Doneness" xfId="15889" xr:uid="{00000000-0005-0000-0000-0000B73D0000}"/>
    <cellStyle name="_20061117Holux_slm_llp_0520 5" xfId="15890" xr:uid="{00000000-0005-0000-0000-0000B83D0000}"/>
    <cellStyle name="_20061117Holux_slm_llp_0520 6" xfId="15891" xr:uid="{00000000-0005-0000-0000-0000B93D0000}"/>
    <cellStyle name="_20061117Holux_slm_llp_0520_Commissioning System Implementation_Project Workbook_06_10_2011" xfId="15892" xr:uid="{00000000-0005-0000-0000-0000BA3D0000}"/>
    <cellStyle name="_20061117Holux_slm_llp_0520_Commissioning System Implementation_Project Workbook_06_10_2011 2" xfId="15893" xr:uid="{00000000-0005-0000-0000-0000BB3D0000}"/>
    <cellStyle name="_20061117Holux_slm_llp_0520_Commissioning System Implementation_Project Workbook_06_10_2011 2_Steps of Doneness" xfId="15894" xr:uid="{00000000-0005-0000-0000-0000BC3D0000}"/>
    <cellStyle name="_20061117Holux_slm_llp_0520_Commissioning System Implementation_Project Workbook_06_10_2011 3" xfId="15895" xr:uid="{00000000-0005-0000-0000-0000BD3D0000}"/>
    <cellStyle name="_20061117Holux_slm_llp_0520_Commissioning System Implementation_Project Workbook_06_10_2011_Steps of Doneness" xfId="15896" xr:uid="{00000000-0005-0000-0000-0000BE3D0000}"/>
    <cellStyle name="_20061117Holux_slm_llp_0520_FairPoint_CampReport" xfId="15897" xr:uid="{00000000-0005-0000-0000-0000BF3D0000}"/>
    <cellStyle name="_20061117Holux_slm_llp_0520_FairPoint_CampReport 2" xfId="15898" xr:uid="{00000000-0005-0000-0000-0000C03D0000}"/>
    <cellStyle name="_20061117Holux_slm_llp_0520_FairPoint_CampReport 2_Steps of Doneness" xfId="15899" xr:uid="{00000000-0005-0000-0000-0000C13D0000}"/>
    <cellStyle name="_20061117Holux_slm_llp_0520_FairPoint_CampReport 3" xfId="15900" xr:uid="{00000000-0005-0000-0000-0000C23D0000}"/>
    <cellStyle name="_20061117Holux_slm_llp_0520_FairPoint_CampReport_Steps of Doneness" xfId="15901" xr:uid="{00000000-0005-0000-0000-0000C33D0000}"/>
    <cellStyle name="_20061117Holux_slm_llp_0520_FairPoint_FP comTechOps_ProgramWorkbook" xfId="15902" xr:uid="{00000000-0005-0000-0000-0000C43D0000}"/>
    <cellStyle name="_20061117Holux_slm_llp_0520_FairPoint_FP comTechOps_ProgramWorkbook 2" xfId="15903" xr:uid="{00000000-0005-0000-0000-0000C53D0000}"/>
    <cellStyle name="_20061117Holux_slm_llp_0520_FairPoint_FP comTechOps_ProgramWorkbook 2_Steps of Doneness" xfId="15904" xr:uid="{00000000-0005-0000-0000-0000C63D0000}"/>
    <cellStyle name="_20061117Holux_slm_llp_0520_FairPoint_FP comTechOps_ProgramWorkbook 3" xfId="15905" xr:uid="{00000000-0005-0000-0000-0000C73D0000}"/>
    <cellStyle name="_20061117Holux_slm_llp_0520_FairPoint_FP comTechOps_ProgramWorkbook_sachin" xfId="15906" xr:uid="{00000000-0005-0000-0000-0000C83D0000}"/>
    <cellStyle name="_20061117Holux_slm_llp_0520_FairPoint_FP comTechOps_ProgramWorkbook_sachin 2" xfId="15907" xr:uid="{00000000-0005-0000-0000-0000C93D0000}"/>
    <cellStyle name="_20061117Holux_slm_llp_0520_FairPoint_FP comTechOps_ProgramWorkbook_sachin 2_Steps of Doneness" xfId="15908" xr:uid="{00000000-0005-0000-0000-0000CA3D0000}"/>
    <cellStyle name="_20061117Holux_slm_llp_0520_FairPoint_FP comTechOps_ProgramWorkbook_sachin 3" xfId="15909" xr:uid="{00000000-0005-0000-0000-0000CB3D0000}"/>
    <cellStyle name="_20061117Holux_slm_llp_0520_FairPoint_FP comTechOps_ProgramWorkbook_sachin_Steps of Doneness" xfId="15910" xr:uid="{00000000-0005-0000-0000-0000CC3D0000}"/>
    <cellStyle name="_20061117Holux_slm_llp_0520_FairPoint_FP comTechOps_ProgramWorkbook_sachin_v1" xfId="15911" xr:uid="{00000000-0005-0000-0000-0000CD3D0000}"/>
    <cellStyle name="_20061117Holux_slm_llp_0520_FairPoint_FP comTechOps_ProgramWorkbook_sachin_v1 2" xfId="15912" xr:uid="{00000000-0005-0000-0000-0000CE3D0000}"/>
    <cellStyle name="_20061117Holux_slm_llp_0520_FairPoint_FP comTechOps_ProgramWorkbook_sachin_v1 2_Steps of Doneness" xfId="15913" xr:uid="{00000000-0005-0000-0000-0000CF3D0000}"/>
    <cellStyle name="_20061117Holux_slm_llp_0520_FairPoint_FP comTechOps_ProgramWorkbook_sachin_v1 3" xfId="15914" xr:uid="{00000000-0005-0000-0000-0000D03D0000}"/>
    <cellStyle name="_20061117Holux_slm_llp_0520_FairPoint_FP comTechOps_ProgramWorkbook_sachin_v1_Steps of Doneness" xfId="15915" xr:uid="{00000000-0005-0000-0000-0000D13D0000}"/>
    <cellStyle name="_20061117Holux_slm_llp_0520_FairPoint_FP comTechOps_ProgramWorkbook_Steps of Doneness" xfId="15916" xr:uid="{00000000-0005-0000-0000-0000D23D0000}"/>
    <cellStyle name="_20061117Holux_slm_llp_0520_FP_CAMP&amp;ITReporting_Maintenance_Dashboard" xfId="15917" xr:uid="{00000000-0005-0000-0000-0000D33D0000}"/>
    <cellStyle name="_20061117Holux_slm_llp_0520_FP_CAMP&amp;ITReporting_Maintenance_Dashboard 2" xfId="15918" xr:uid="{00000000-0005-0000-0000-0000D43D0000}"/>
    <cellStyle name="_20061117Holux_slm_llp_0520_FP_CAMP&amp;ITReporting_Maintenance_Dashboard 2_Steps of Doneness" xfId="15919" xr:uid="{00000000-0005-0000-0000-0000D53D0000}"/>
    <cellStyle name="_20061117Holux_slm_llp_0520_FP_CAMP&amp;ITReporting_Maintenance_Dashboard 3" xfId="15920" xr:uid="{00000000-0005-0000-0000-0000D63D0000}"/>
    <cellStyle name="_20061117Holux_slm_llp_0520_FP_CAMP&amp;ITReporting_Maintenance_Dashboard_Steps of Doneness" xfId="15921" xr:uid="{00000000-0005-0000-0000-0000D73D0000}"/>
    <cellStyle name="_20061117Holux_slm_llp_0520_FP_CAMPITReporting_Maintenance_Dashboard" xfId="15922" xr:uid="{00000000-0005-0000-0000-0000D83D0000}"/>
    <cellStyle name="_20061117Holux_slm_llp_0520_FP_CAMPITReporting_Maintenance_Dashboard 2" xfId="15923" xr:uid="{00000000-0005-0000-0000-0000D93D0000}"/>
    <cellStyle name="_20061117Holux_slm_llp_0520_FP_CAMPITReporting_Maintenance_Dashboard 2_Steps of Doneness" xfId="15924" xr:uid="{00000000-0005-0000-0000-0000DA3D0000}"/>
    <cellStyle name="_20061117Holux_slm_llp_0520_FP_CAMPITReporting_Maintenance_Dashboard 3" xfId="15925" xr:uid="{00000000-0005-0000-0000-0000DB3D0000}"/>
    <cellStyle name="_20061117Holux_slm_llp_0520_FP_CAMPITReporting_Maintenance_Dashboard_Steps of Doneness" xfId="15926" xr:uid="{00000000-0005-0000-0000-0000DC3D0000}"/>
    <cellStyle name="_20061117Holux_slm_llp_0520_FP_Commissions_Req_Dn_ProgramWorkBook_10-Dec-2010" xfId="15927" xr:uid="{00000000-0005-0000-0000-0000DD3D0000}"/>
    <cellStyle name="_20061117Holux_slm_llp_0520_FP_Commissions_Req_Dn_ProgramWorkBook_10-Dec-2010 2" xfId="15928" xr:uid="{00000000-0005-0000-0000-0000DE3D0000}"/>
    <cellStyle name="_20061117Holux_slm_llp_0520_FP_Commissions_Req_Dn_ProgramWorkBook_10-Dec-2010 2_Steps of Doneness" xfId="15929" xr:uid="{00000000-0005-0000-0000-0000DF3D0000}"/>
    <cellStyle name="_20061117Holux_slm_llp_0520_FP_Commissions_Req_Dn_ProgramWorkBook_10-Dec-2010 3" xfId="15930" xr:uid="{00000000-0005-0000-0000-0000E03D0000}"/>
    <cellStyle name="_20061117Holux_slm_llp_0520_FP_Commissions_Req_Dn_ProgramWorkBook_10-Dec-2010_Steps of Doneness" xfId="15931" xr:uid="{00000000-0005-0000-0000-0000E13D0000}"/>
    <cellStyle name="_20061117Holux_slm_llp_0520_FP_DW_Impl_ProgramWorkBook_07-Jan-2011" xfId="15932" xr:uid="{00000000-0005-0000-0000-0000E23D0000}"/>
    <cellStyle name="_20061117Holux_slm_llp_0520_FP_DW_Impl_ProgramWorkBook_07-Jan-2011 2" xfId="15933" xr:uid="{00000000-0005-0000-0000-0000E33D0000}"/>
    <cellStyle name="_20061117Holux_slm_llp_0520_FP_DW_Impl_ProgramWorkBook_07-Jan-2011 2 2" xfId="15934" xr:uid="{00000000-0005-0000-0000-0000E43D0000}"/>
    <cellStyle name="_20061117Holux_slm_llp_0520_FP_DW_Impl_ProgramWorkBook_07-Jan-2011 2 2_Steps of Doneness" xfId="15935" xr:uid="{00000000-0005-0000-0000-0000E53D0000}"/>
    <cellStyle name="_20061117Holux_slm_llp_0520_FP_DW_Impl_ProgramWorkBook_07-Jan-2011 2 3" xfId="15936" xr:uid="{00000000-0005-0000-0000-0000E63D0000}"/>
    <cellStyle name="_20061117Holux_slm_llp_0520_FP_DW_Impl_ProgramWorkBook_07-Jan-2011 2_Steps of Doneness" xfId="15937" xr:uid="{00000000-0005-0000-0000-0000E73D0000}"/>
    <cellStyle name="_20061117Holux_slm_llp_0520_FP_DW_Impl_ProgramWorkBook_07-Jan-2011 3" xfId="15938" xr:uid="{00000000-0005-0000-0000-0000E83D0000}"/>
    <cellStyle name="_20061117Holux_slm_llp_0520_FP_DW_Impl_ProgramWorkBook_07-Jan-2011 3_Steps of Doneness" xfId="15939" xr:uid="{00000000-0005-0000-0000-0000E93D0000}"/>
    <cellStyle name="_20061117Holux_slm_llp_0520_FP_DW_Impl_ProgramWorkBook_07-Jan-2011 4" xfId="15940" xr:uid="{00000000-0005-0000-0000-0000EA3D0000}"/>
    <cellStyle name="_20061117Holux_slm_llp_0520_FP_DW_Impl_ProgramWorkBook_07-Jan-2011_Steps of Doneness" xfId="15941" xr:uid="{00000000-0005-0000-0000-0000EB3D0000}"/>
    <cellStyle name="_20061117Holux_slm_llp_0520_FP_DW_Impl_ProgramWorkBook_11-Feb-2011" xfId="15942" xr:uid="{00000000-0005-0000-0000-0000EC3D0000}"/>
    <cellStyle name="_20061117Holux_slm_llp_0520_FP_DW_Impl_ProgramWorkBook_11-Feb-2011 2" xfId="15943" xr:uid="{00000000-0005-0000-0000-0000ED3D0000}"/>
    <cellStyle name="_20061117Holux_slm_llp_0520_FP_DW_Impl_ProgramWorkBook_11-Feb-2011 2_Steps of Doneness" xfId="15944" xr:uid="{00000000-0005-0000-0000-0000EE3D0000}"/>
    <cellStyle name="_20061117Holux_slm_llp_0520_FP_DW_Impl_ProgramWorkBook_11-Feb-2011 3" xfId="15945" xr:uid="{00000000-0005-0000-0000-0000EF3D0000}"/>
    <cellStyle name="_20061117Holux_slm_llp_0520_FP_DW_Impl_ProgramWorkBook_11-Feb-2011_Steps of Doneness" xfId="15946" xr:uid="{00000000-0005-0000-0000-0000F03D0000}"/>
    <cellStyle name="_20061117Holux_slm_llp_0520_FP_DW_Impl_ProgramWorkBook_18-Feb-2011 - Working" xfId="15947" xr:uid="{00000000-0005-0000-0000-0000F13D0000}"/>
    <cellStyle name="_20061117Holux_slm_llp_0520_FP_DW_Impl_ProgramWorkBook_18-Feb-2011 - Working 2" xfId="15948" xr:uid="{00000000-0005-0000-0000-0000F23D0000}"/>
    <cellStyle name="_20061117Holux_slm_llp_0520_FP_DW_Impl_ProgramWorkBook_18-Feb-2011 - Working 2_Steps of Doneness" xfId="15949" xr:uid="{00000000-0005-0000-0000-0000F33D0000}"/>
    <cellStyle name="_20061117Holux_slm_llp_0520_FP_DW_Impl_ProgramWorkBook_18-Feb-2011 - Working 3" xfId="15950" xr:uid="{00000000-0005-0000-0000-0000F43D0000}"/>
    <cellStyle name="_20061117Holux_slm_llp_0520_FP_DW_Impl_ProgramWorkBook_18-Feb-2011 - Working_Steps of Doneness" xfId="15951" xr:uid="{00000000-0005-0000-0000-0000F53D0000}"/>
    <cellStyle name="_20061117Holux_slm_llp_0520_FP_EnterprisePortal_ProgramWorkbook" xfId="15952" xr:uid="{00000000-0005-0000-0000-0000F63D0000}"/>
    <cellStyle name="_20061117Holux_slm_llp_0520_FP_EnterprisePortal_ProgramWorkbook 2" xfId="15953" xr:uid="{00000000-0005-0000-0000-0000F73D0000}"/>
    <cellStyle name="_20061117Holux_slm_llp_0520_FP_EnterprisePortal_ProgramWorkbook 2_Steps of Doneness" xfId="15954" xr:uid="{00000000-0005-0000-0000-0000F83D0000}"/>
    <cellStyle name="_20061117Holux_slm_llp_0520_FP_EnterprisePortal_ProgramWorkbook 3" xfId="15955" xr:uid="{00000000-0005-0000-0000-0000F93D0000}"/>
    <cellStyle name="_20061117Holux_slm_llp_0520_FP_EnterprisePortal_ProgramWorkbook_Steps of Doneness" xfId="15956" xr:uid="{00000000-0005-0000-0000-0000FA3D0000}"/>
    <cellStyle name="_20061117Holux_slm_llp_0520_FP_SAP_MLP v2" xfId="15957" xr:uid="{00000000-0005-0000-0000-0000FB3D0000}"/>
    <cellStyle name="_20061117Holux_slm_llp_0520_FP_SAP_MLP v2 2" xfId="15958" xr:uid="{00000000-0005-0000-0000-0000FC3D0000}"/>
    <cellStyle name="_20061117Holux_slm_llp_0520_FP_SAP_MLP v2 2_Steps of Doneness" xfId="15959" xr:uid="{00000000-0005-0000-0000-0000FD3D0000}"/>
    <cellStyle name="_20061117Holux_slm_llp_0520_FP_SAP_MLP v2 3" xfId="15960" xr:uid="{00000000-0005-0000-0000-0000FE3D0000}"/>
    <cellStyle name="_20061117Holux_slm_llp_0520_FP_SAP_MLP v2_Steps of Doneness" xfId="15961" xr:uid="{00000000-0005-0000-0000-0000FF3D0000}"/>
    <cellStyle name="_20061117Holux_slm_llp_0520_KeyDecisions" xfId="15962" xr:uid="{00000000-0005-0000-0000-0000003E0000}"/>
    <cellStyle name="_20061117Holux_slm_llp_0520_KeyDecisions 2" xfId="15963" xr:uid="{00000000-0005-0000-0000-0000013E0000}"/>
    <cellStyle name="_20061117Holux_slm_llp_0520_KeyDecisions 2_Steps of Doneness" xfId="15964" xr:uid="{00000000-0005-0000-0000-0000023E0000}"/>
    <cellStyle name="_20061117Holux_slm_llp_0520_KeyDecisions 3" xfId="15965" xr:uid="{00000000-0005-0000-0000-0000033E0000}"/>
    <cellStyle name="_20061117Holux_slm_llp_0520_KeyDecisions_Steps of Doneness" xfId="15966" xr:uid="{00000000-0005-0000-0000-0000043E0000}"/>
    <cellStyle name="_20061117Holux_slm_llp_0520_Sophia_Imp_ProjectWorkBook_02_18_2011" xfId="15967" xr:uid="{00000000-0005-0000-0000-0000053E0000}"/>
    <cellStyle name="_20061117Holux_slm_llp_0520_Sophia_Imp_ProjectWorkBook_02_18_2011 2" xfId="15968" xr:uid="{00000000-0005-0000-0000-0000063E0000}"/>
    <cellStyle name="_20061117Holux_slm_llp_0520_Sophia_Imp_ProjectWorkBook_02_18_2011 2_Steps of Doneness" xfId="15969" xr:uid="{00000000-0005-0000-0000-0000073E0000}"/>
    <cellStyle name="_20061117Holux_slm_llp_0520_Sophia_Imp_ProjectWorkBook_02_18_2011 3" xfId="15970" xr:uid="{00000000-0005-0000-0000-0000083E0000}"/>
    <cellStyle name="_20061117Holux_slm_llp_0520_Sophia_Imp_ProjectWorkBook_02_18_2011_Steps of Doneness" xfId="15971" xr:uid="{00000000-0005-0000-0000-0000093E0000}"/>
    <cellStyle name="_20061117Holux_slm_llp_0520_Steps of Doneness" xfId="15972" xr:uid="{00000000-0005-0000-0000-00000A3E0000}"/>
    <cellStyle name="_20061117Holux_slm_llp_0520_t" xfId="15973" xr:uid="{00000000-0005-0000-0000-00000B3E0000}"/>
    <cellStyle name="_20061117Holux_slm_llp_0520_t 2" xfId="15974" xr:uid="{00000000-0005-0000-0000-00000C3E0000}"/>
    <cellStyle name="_20061117Holux_slm_llp_0520_t 2_Steps of Doneness" xfId="15975" xr:uid="{00000000-0005-0000-0000-00000D3E0000}"/>
    <cellStyle name="_20061117Holux_slm_llp_0520_t 3" xfId="15976" xr:uid="{00000000-0005-0000-0000-00000E3E0000}"/>
    <cellStyle name="_20061117Holux_slm_llp_0520_t_Steps of Doneness" xfId="15977" xr:uid="{00000000-0005-0000-0000-00000F3E0000}"/>
    <cellStyle name="_20061117Holux_SLM_PM_Workbook_053110" xfId="15978" xr:uid="{00000000-0005-0000-0000-0000103E0000}"/>
    <cellStyle name="_20061117Holux_SLM_PM_Workbook_053110 2" xfId="15979" xr:uid="{00000000-0005-0000-0000-0000113E0000}"/>
    <cellStyle name="_20061117Holux_SLM_PM_Workbook_053110 2 2" xfId="15980" xr:uid="{00000000-0005-0000-0000-0000123E0000}"/>
    <cellStyle name="_20061117Holux_SLM_PM_Workbook_053110 2 2_Steps of Doneness" xfId="15981" xr:uid="{00000000-0005-0000-0000-0000133E0000}"/>
    <cellStyle name="_20061117Holux_SLM_PM_Workbook_053110 2 3" xfId="15982" xr:uid="{00000000-0005-0000-0000-0000143E0000}"/>
    <cellStyle name="_20061117Holux_SLM_PM_Workbook_053110 2_Steps of Doneness" xfId="15983" xr:uid="{00000000-0005-0000-0000-0000153E0000}"/>
    <cellStyle name="_20061117Holux_SLM_PM_Workbook_053110 3" xfId="15984" xr:uid="{00000000-0005-0000-0000-0000163E0000}"/>
    <cellStyle name="_20061117Holux_SLM_PM_Workbook_053110 3 2" xfId="15985" xr:uid="{00000000-0005-0000-0000-0000173E0000}"/>
    <cellStyle name="_20061117Holux_SLM_PM_Workbook_053110 3 2_Steps of Doneness" xfId="15986" xr:uid="{00000000-0005-0000-0000-0000183E0000}"/>
    <cellStyle name="_20061117Holux_SLM_PM_Workbook_053110 3 3" xfId="15987" xr:uid="{00000000-0005-0000-0000-0000193E0000}"/>
    <cellStyle name="_20061117Holux_SLM_PM_Workbook_053110 3_Steps of Doneness" xfId="15988" xr:uid="{00000000-0005-0000-0000-00001A3E0000}"/>
    <cellStyle name="_20061117Holux_SLM_PM_Workbook_053110 4" xfId="15989" xr:uid="{00000000-0005-0000-0000-00001B3E0000}"/>
    <cellStyle name="_20061117Holux_SLM_PM_Workbook_053110 4_Steps of Doneness" xfId="15990" xr:uid="{00000000-0005-0000-0000-00001C3E0000}"/>
    <cellStyle name="_20061117Holux_SLM_PM_Workbook_053110 5" xfId="15991" xr:uid="{00000000-0005-0000-0000-00001D3E0000}"/>
    <cellStyle name="_20061117Holux_SLM_PM_Workbook_053110 6" xfId="15992" xr:uid="{00000000-0005-0000-0000-00001E3E0000}"/>
    <cellStyle name="_20061117Holux_SLM_PM_Workbook_053110_Commissioning System Implementation_Project Workbook_06_10_2011" xfId="15993" xr:uid="{00000000-0005-0000-0000-00001F3E0000}"/>
    <cellStyle name="_20061117Holux_SLM_PM_Workbook_053110_Commissioning System Implementation_Project Workbook_06_10_2011 2" xfId="15994" xr:uid="{00000000-0005-0000-0000-0000203E0000}"/>
    <cellStyle name="_20061117Holux_SLM_PM_Workbook_053110_Commissioning System Implementation_Project Workbook_06_10_2011 2_Steps of Doneness" xfId="15995" xr:uid="{00000000-0005-0000-0000-0000213E0000}"/>
    <cellStyle name="_20061117Holux_SLM_PM_Workbook_053110_Commissioning System Implementation_Project Workbook_06_10_2011 3" xfId="15996" xr:uid="{00000000-0005-0000-0000-0000223E0000}"/>
    <cellStyle name="_20061117Holux_SLM_PM_Workbook_053110_Commissioning System Implementation_Project Workbook_06_10_2011_Steps of Doneness" xfId="15997" xr:uid="{00000000-0005-0000-0000-0000233E0000}"/>
    <cellStyle name="_20061117Holux_SLM_PM_Workbook_053110_FairPoint_CampReport" xfId="15998" xr:uid="{00000000-0005-0000-0000-0000243E0000}"/>
    <cellStyle name="_20061117Holux_SLM_PM_Workbook_053110_FairPoint_CampReport 2" xfId="15999" xr:uid="{00000000-0005-0000-0000-0000253E0000}"/>
    <cellStyle name="_20061117Holux_SLM_PM_Workbook_053110_FairPoint_CampReport 2_Steps of Doneness" xfId="16000" xr:uid="{00000000-0005-0000-0000-0000263E0000}"/>
    <cellStyle name="_20061117Holux_SLM_PM_Workbook_053110_FairPoint_CampReport 3" xfId="16001" xr:uid="{00000000-0005-0000-0000-0000273E0000}"/>
    <cellStyle name="_20061117Holux_SLM_PM_Workbook_053110_FairPoint_CampReport_Steps of Doneness" xfId="16002" xr:uid="{00000000-0005-0000-0000-0000283E0000}"/>
    <cellStyle name="_20061117Holux_SLM_PM_Workbook_053110_FairPoint_FP comTechOps_ProgramWorkbook" xfId="16003" xr:uid="{00000000-0005-0000-0000-0000293E0000}"/>
    <cellStyle name="_20061117Holux_SLM_PM_Workbook_053110_FairPoint_FP comTechOps_ProgramWorkbook 2" xfId="16004" xr:uid="{00000000-0005-0000-0000-00002A3E0000}"/>
    <cellStyle name="_20061117Holux_SLM_PM_Workbook_053110_FairPoint_FP comTechOps_ProgramWorkbook 2_Steps of Doneness" xfId="16005" xr:uid="{00000000-0005-0000-0000-00002B3E0000}"/>
    <cellStyle name="_20061117Holux_SLM_PM_Workbook_053110_FairPoint_FP comTechOps_ProgramWorkbook 3" xfId="16006" xr:uid="{00000000-0005-0000-0000-00002C3E0000}"/>
    <cellStyle name="_20061117Holux_SLM_PM_Workbook_053110_FairPoint_FP comTechOps_ProgramWorkbook_sachin" xfId="16007" xr:uid="{00000000-0005-0000-0000-00002D3E0000}"/>
    <cellStyle name="_20061117Holux_SLM_PM_Workbook_053110_FairPoint_FP comTechOps_ProgramWorkbook_sachin 2" xfId="16008" xr:uid="{00000000-0005-0000-0000-00002E3E0000}"/>
    <cellStyle name="_20061117Holux_SLM_PM_Workbook_053110_FairPoint_FP comTechOps_ProgramWorkbook_sachin 2_Steps of Doneness" xfId="16009" xr:uid="{00000000-0005-0000-0000-00002F3E0000}"/>
    <cellStyle name="_20061117Holux_SLM_PM_Workbook_053110_FairPoint_FP comTechOps_ProgramWorkbook_sachin 3" xfId="16010" xr:uid="{00000000-0005-0000-0000-0000303E0000}"/>
    <cellStyle name="_20061117Holux_SLM_PM_Workbook_053110_FairPoint_FP comTechOps_ProgramWorkbook_sachin_Steps of Doneness" xfId="16011" xr:uid="{00000000-0005-0000-0000-0000313E0000}"/>
    <cellStyle name="_20061117Holux_SLM_PM_Workbook_053110_FairPoint_FP comTechOps_ProgramWorkbook_sachin_v1" xfId="16012" xr:uid="{00000000-0005-0000-0000-0000323E0000}"/>
    <cellStyle name="_20061117Holux_SLM_PM_Workbook_053110_FairPoint_FP comTechOps_ProgramWorkbook_sachin_v1 2" xfId="16013" xr:uid="{00000000-0005-0000-0000-0000333E0000}"/>
    <cellStyle name="_20061117Holux_SLM_PM_Workbook_053110_FairPoint_FP comTechOps_ProgramWorkbook_sachin_v1 2_Steps of Doneness" xfId="16014" xr:uid="{00000000-0005-0000-0000-0000343E0000}"/>
    <cellStyle name="_20061117Holux_SLM_PM_Workbook_053110_FairPoint_FP comTechOps_ProgramWorkbook_sachin_v1 3" xfId="16015" xr:uid="{00000000-0005-0000-0000-0000353E0000}"/>
    <cellStyle name="_20061117Holux_SLM_PM_Workbook_053110_FairPoint_FP comTechOps_ProgramWorkbook_sachin_v1_Steps of Doneness" xfId="16016" xr:uid="{00000000-0005-0000-0000-0000363E0000}"/>
    <cellStyle name="_20061117Holux_SLM_PM_Workbook_053110_FairPoint_FP comTechOps_ProgramWorkbook_Steps of Doneness" xfId="16017" xr:uid="{00000000-0005-0000-0000-0000373E0000}"/>
    <cellStyle name="_20061117Holux_SLM_PM_Workbook_053110_FP_CAMP&amp;ITReporting_Maintenance_Dashboard" xfId="16018" xr:uid="{00000000-0005-0000-0000-0000383E0000}"/>
    <cellStyle name="_20061117Holux_SLM_PM_Workbook_053110_FP_CAMP&amp;ITReporting_Maintenance_Dashboard 2" xfId="16019" xr:uid="{00000000-0005-0000-0000-0000393E0000}"/>
    <cellStyle name="_20061117Holux_SLM_PM_Workbook_053110_FP_CAMP&amp;ITReporting_Maintenance_Dashboard 2_Steps of Doneness" xfId="16020" xr:uid="{00000000-0005-0000-0000-00003A3E0000}"/>
    <cellStyle name="_20061117Holux_SLM_PM_Workbook_053110_FP_CAMP&amp;ITReporting_Maintenance_Dashboard 3" xfId="16021" xr:uid="{00000000-0005-0000-0000-00003B3E0000}"/>
    <cellStyle name="_20061117Holux_SLM_PM_Workbook_053110_FP_CAMP&amp;ITReporting_Maintenance_Dashboard_Steps of Doneness" xfId="16022" xr:uid="{00000000-0005-0000-0000-00003C3E0000}"/>
    <cellStyle name="_20061117Holux_SLM_PM_Workbook_053110_FP_CAMPITReporting_Maintenance_Dashboard" xfId="16023" xr:uid="{00000000-0005-0000-0000-00003D3E0000}"/>
    <cellStyle name="_20061117Holux_SLM_PM_Workbook_053110_FP_CAMPITReporting_Maintenance_Dashboard 2" xfId="16024" xr:uid="{00000000-0005-0000-0000-00003E3E0000}"/>
    <cellStyle name="_20061117Holux_SLM_PM_Workbook_053110_FP_CAMPITReporting_Maintenance_Dashboard 2_Steps of Doneness" xfId="16025" xr:uid="{00000000-0005-0000-0000-00003F3E0000}"/>
    <cellStyle name="_20061117Holux_SLM_PM_Workbook_053110_FP_CAMPITReporting_Maintenance_Dashboard 3" xfId="16026" xr:uid="{00000000-0005-0000-0000-0000403E0000}"/>
    <cellStyle name="_20061117Holux_SLM_PM_Workbook_053110_FP_CAMPITReporting_Maintenance_Dashboard_Steps of Doneness" xfId="16027" xr:uid="{00000000-0005-0000-0000-0000413E0000}"/>
    <cellStyle name="_20061117Holux_SLM_PM_Workbook_053110_FP_Commissions_Req_Dn_ProgramWorkBook_10-Dec-2010" xfId="16028" xr:uid="{00000000-0005-0000-0000-0000423E0000}"/>
    <cellStyle name="_20061117Holux_SLM_PM_Workbook_053110_FP_Commissions_Req_Dn_ProgramWorkBook_10-Dec-2010 2" xfId="16029" xr:uid="{00000000-0005-0000-0000-0000433E0000}"/>
    <cellStyle name="_20061117Holux_SLM_PM_Workbook_053110_FP_Commissions_Req_Dn_ProgramWorkBook_10-Dec-2010 2_Steps of Doneness" xfId="16030" xr:uid="{00000000-0005-0000-0000-0000443E0000}"/>
    <cellStyle name="_20061117Holux_SLM_PM_Workbook_053110_FP_Commissions_Req_Dn_ProgramWorkBook_10-Dec-2010 3" xfId="16031" xr:uid="{00000000-0005-0000-0000-0000453E0000}"/>
    <cellStyle name="_20061117Holux_SLM_PM_Workbook_053110_FP_Commissions_Req_Dn_ProgramWorkBook_10-Dec-2010_Steps of Doneness" xfId="16032" xr:uid="{00000000-0005-0000-0000-0000463E0000}"/>
    <cellStyle name="_20061117Holux_SLM_PM_Workbook_053110_FP_DW_Impl_ProgramWorkBook_07-Jan-2011" xfId="16033" xr:uid="{00000000-0005-0000-0000-0000473E0000}"/>
    <cellStyle name="_20061117Holux_SLM_PM_Workbook_053110_FP_DW_Impl_ProgramWorkBook_07-Jan-2011 2" xfId="16034" xr:uid="{00000000-0005-0000-0000-0000483E0000}"/>
    <cellStyle name="_20061117Holux_SLM_PM_Workbook_053110_FP_DW_Impl_ProgramWorkBook_07-Jan-2011 2 2" xfId="16035" xr:uid="{00000000-0005-0000-0000-0000493E0000}"/>
    <cellStyle name="_20061117Holux_SLM_PM_Workbook_053110_FP_DW_Impl_ProgramWorkBook_07-Jan-2011 2 2_Steps of Doneness" xfId="16036" xr:uid="{00000000-0005-0000-0000-00004A3E0000}"/>
    <cellStyle name="_20061117Holux_SLM_PM_Workbook_053110_FP_DW_Impl_ProgramWorkBook_07-Jan-2011 2 3" xfId="16037" xr:uid="{00000000-0005-0000-0000-00004B3E0000}"/>
    <cellStyle name="_20061117Holux_SLM_PM_Workbook_053110_FP_DW_Impl_ProgramWorkBook_07-Jan-2011 2_Steps of Doneness" xfId="16038" xr:uid="{00000000-0005-0000-0000-00004C3E0000}"/>
    <cellStyle name="_20061117Holux_SLM_PM_Workbook_053110_FP_DW_Impl_ProgramWorkBook_07-Jan-2011 3" xfId="16039" xr:uid="{00000000-0005-0000-0000-00004D3E0000}"/>
    <cellStyle name="_20061117Holux_SLM_PM_Workbook_053110_FP_DW_Impl_ProgramWorkBook_07-Jan-2011 3_Steps of Doneness" xfId="16040" xr:uid="{00000000-0005-0000-0000-00004E3E0000}"/>
    <cellStyle name="_20061117Holux_SLM_PM_Workbook_053110_FP_DW_Impl_ProgramWorkBook_07-Jan-2011 4" xfId="16041" xr:uid="{00000000-0005-0000-0000-00004F3E0000}"/>
    <cellStyle name="_20061117Holux_SLM_PM_Workbook_053110_FP_DW_Impl_ProgramWorkBook_07-Jan-2011_Steps of Doneness" xfId="16042" xr:uid="{00000000-0005-0000-0000-0000503E0000}"/>
    <cellStyle name="_20061117Holux_SLM_PM_Workbook_053110_FP_DW_Impl_ProgramWorkBook_11-Feb-2011" xfId="16043" xr:uid="{00000000-0005-0000-0000-0000513E0000}"/>
    <cellStyle name="_20061117Holux_SLM_PM_Workbook_053110_FP_DW_Impl_ProgramWorkBook_11-Feb-2011 2" xfId="16044" xr:uid="{00000000-0005-0000-0000-0000523E0000}"/>
    <cellStyle name="_20061117Holux_SLM_PM_Workbook_053110_FP_DW_Impl_ProgramWorkBook_11-Feb-2011 2_Steps of Doneness" xfId="16045" xr:uid="{00000000-0005-0000-0000-0000533E0000}"/>
    <cellStyle name="_20061117Holux_SLM_PM_Workbook_053110_FP_DW_Impl_ProgramWorkBook_11-Feb-2011 3" xfId="16046" xr:uid="{00000000-0005-0000-0000-0000543E0000}"/>
    <cellStyle name="_20061117Holux_SLM_PM_Workbook_053110_FP_DW_Impl_ProgramWorkBook_11-Feb-2011_Steps of Doneness" xfId="16047" xr:uid="{00000000-0005-0000-0000-0000553E0000}"/>
    <cellStyle name="_20061117Holux_SLM_PM_Workbook_053110_FP_DW_Impl_ProgramWorkBook_18-Feb-2011 - Working" xfId="16048" xr:uid="{00000000-0005-0000-0000-0000563E0000}"/>
    <cellStyle name="_20061117Holux_SLM_PM_Workbook_053110_FP_DW_Impl_ProgramWorkBook_18-Feb-2011 - Working 2" xfId="16049" xr:uid="{00000000-0005-0000-0000-0000573E0000}"/>
    <cellStyle name="_20061117Holux_SLM_PM_Workbook_053110_FP_DW_Impl_ProgramWorkBook_18-Feb-2011 - Working 2_Steps of Doneness" xfId="16050" xr:uid="{00000000-0005-0000-0000-0000583E0000}"/>
    <cellStyle name="_20061117Holux_SLM_PM_Workbook_053110_FP_DW_Impl_ProgramWorkBook_18-Feb-2011 - Working 3" xfId="16051" xr:uid="{00000000-0005-0000-0000-0000593E0000}"/>
    <cellStyle name="_20061117Holux_SLM_PM_Workbook_053110_FP_DW_Impl_ProgramWorkBook_18-Feb-2011 - Working_Steps of Doneness" xfId="16052" xr:uid="{00000000-0005-0000-0000-00005A3E0000}"/>
    <cellStyle name="_20061117Holux_SLM_PM_Workbook_053110_FP_EnterprisePortal_ProgramWorkbook" xfId="16053" xr:uid="{00000000-0005-0000-0000-00005B3E0000}"/>
    <cellStyle name="_20061117Holux_SLM_PM_Workbook_053110_FP_EnterprisePortal_ProgramWorkbook 2" xfId="16054" xr:uid="{00000000-0005-0000-0000-00005C3E0000}"/>
    <cellStyle name="_20061117Holux_SLM_PM_Workbook_053110_FP_EnterprisePortal_ProgramWorkbook 2_Steps of Doneness" xfId="16055" xr:uid="{00000000-0005-0000-0000-00005D3E0000}"/>
    <cellStyle name="_20061117Holux_SLM_PM_Workbook_053110_FP_EnterprisePortal_ProgramWorkbook 3" xfId="16056" xr:uid="{00000000-0005-0000-0000-00005E3E0000}"/>
    <cellStyle name="_20061117Holux_SLM_PM_Workbook_053110_FP_EnterprisePortal_ProgramWorkbook_Steps of Doneness" xfId="16057" xr:uid="{00000000-0005-0000-0000-00005F3E0000}"/>
    <cellStyle name="_20061117Holux_SLM_PM_Workbook_053110_FP_SAP_MLP v2" xfId="16058" xr:uid="{00000000-0005-0000-0000-0000603E0000}"/>
    <cellStyle name="_20061117Holux_SLM_PM_Workbook_053110_FP_SAP_MLP v2 2" xfId="16059" xr:uid="{00000000-0005-0000-0000-0000613E0000}"/>
    <cellStyle name="_20061117Holux_SLM_PM_Workbook_053110_FP_SAP_MLP v2 2_Steps of Doneness" xfId="16060" xr:uid="{00000000-0005-0000-0000-0000623E0000}"/>
    <cellStyle name="_20061117Holux_SLM_PM_Workbook_053110_FP_SAP_MLP v2 3" xfId="16061" xr:uid="{00000000-0005-0000-0000-0000633E0000}"/>
    <cellStyle name="_20061117Holux_SLM_PM_Workbook_053110_FP_SAP_MLP v2_Steps of Doneness" xfId="16062" xr:uid="{00000000-0005-0000-0000-0000643E0000}"/>
    <cellStyle name="_20061117Holux_SLM_PM_Workbook_053110_KeyDecisions" xfId="16063" xr:uid="{00000000-0005-0000-0000-0000653E0000}"/>
    <cellStyle name="_20061117Holux_SLM_PM_Workbook_053110_KeyDecisions 2" xfId="16064" xr:uid="{00000000-0005-0000-0000-0000663E0000}"/>
    <cellStyle name="_20061117Holux_SLM_PM_Workbook_053110_KeyDecisions 2_Steps of Doneness" xfId="16065" xr:uid="{00000000-0005-0000-0000-0000673E0000}"/>
    <cellStyle name="_20061117Holux_SLM_PM_Workbook_053110_KeyDecisions 3" xfId="16066" xr:uid="{00000000-0005-0000-0000-0000683E0000}"/>
    <cellStyle name="_20061117Holux_SLM_PM_Workbook_053110_KeyDecisions_Steps of Doneness" xfId="16067" xr:uid="{00000000-0005-0000-0000-0000693E0000}"/>
    <cellStyle name="_20061117Holux_SLM_PM_Workbook_053110_Sophia_Imp_ProjectWorkBook_02_18_2011" xfId="16068" xr:uid="{00000000-0005-0000-0000-00006A3E0000}"/>
    <cellStyle name="_20061117Holux_SLM_PM_Workbook_053110_Sophia_Imp_ProjectWorkBook_02_18_2011 2" xfId="16069" xr:uid="{00000000-0005-0000-0000-00006B3E0000}"/>
    <cellStyle name="_20061117Holux_SLM_PM_Workbook_053110_Sophia_Imp_ProjectWorkBook_02_18_2011 2_Steps of Doneness" xfId="16070" xr:uid="{00000000-0005-0000-0000-00006C3E0000}"/>
    <cellStyle name="_20061117Holux_SLM_PM_Workbook_053110_Sophia_Imp_ProjectWorkBook_02_18_2011 3" xfId="16071" xr:uid="{00000000-0005-0000-0000-00006D3E0000}"/>
    <cellStyle name="_20061117Holux_SLM_PM_Workbook_053110_Sophia_Imp_ProjectWorkBook_02_18_2011_Steps of Doneness" xfId="16072" xr:uid="{00000000-0005-0000-0000-00006E3E0000}"/>
    <cellStyle name="_20061117Holux_SLM_PM_Workbook_053110_Steps of Doneness" xfId="16073" xr:uid="{00000000-0005-0000-0000-00006F3E0000}"/>
    <cellStyle name="_20061117Holux_SLM_PM_Workbook_053110_t" xfId="16074" xr:uid="{00000000-0005-0000-0000-0000703E0000}"/>
    <cellStyle name="_20061117Holux_SLM_PM_Workbook_053110_t 2" xfId="16075" xr:uid="{00000000-0005-0000-0000-0000713E0000}"/>
    <cellStyle name="_20061117Holux_SLM_PM_Workbook_053110_t 2_Steps of Doneness" xfId="16076" xr:uid="{00000000-0005-0000-0000-0000723E0000}"/>
    <cellStyle name="_20061117Holux_SLM_PM_Workbook_053110_t 3" xfId="16077" xr:uid="{00000000-0005-0000-0000-0000733E0000}"/>
    <cellStyle name="_20061117Holux_SLM_PM_Workbook_053110_t_Steps of Doneness" xfId="16078" xr:uid="{00000000-0005-0000-0000-0000743E0000}"/>
    <cellStyle name="_20061117Holux_SLM_PMO_Workbook_060910" xfId="16079" xr:uid="{00000000-0005-0000-0000-0000753E0000}"/>
    <cellStyle name="_20061117Holux_SLM_PMO_Workbook_060910 2" xfId="16080" xr:uid="{00000000-0005-0000-0000-0000763E0000}"/>
    <cellStyle name="_20061117Holux_SLM_PMO_Workbook_060910 2 2" xfId="16081" xr:uid="{00000000-0005-0000-0000-0000773E0000}"/>
    <cellStyle name="_20061117Holux_SLM_PMO_Workbook_060910 2 2_Steps of Doneness" xfId="16082" xr:uid="{00000000-0005-0000-0000-0000783E0000}"/>
    <cellStyle name="_20061117Holux_SLM_PMO_Workbook_060910 2 3" xfId="16083" xr:uid="{00000000-0005-0000-0000-0000793E0000}"/>
    <cellStyle name="_20061117Holux_SLM_PMO_Workbook_060910 2_Steps of Doneness" xfId="16084" xr:uid="{00000000-0005-0000-0000-00007A3E0000}"/>
    <cellStyle name="_20061117Holux_SLM_PMO_Workbook_060910 3" xfId="16085" xr:uid="{00000000-0005-0000-0000-00007B3E0000}"/>
    <cellStyle name="_20061117Holux_SLM_PMO_Workbook_060910 3 2" xfId="16086" xr:uid="{00000000-0005-0000-0000-00007C3E0000}"/>
    <cellStyle name="_20061117Holux_SLM_PMO_Workbook_060910 3 2_Steps of Doneness" xfId="16087" xr:uid="{00000000-0005-0000-0000-00007D3E0000}"/>
    <cellStyle name="_20061117Holux_SLM_PMO_Workbook_060910 3 3" xfId="16088" xr:uid="{00000000-0005-0000-0000-00007E3E0000}"/>
    <cellStyle name="_20061117Holux_SLM_PMO_Workbook_060910 3_Steps of Doneness" xfId="16089" xr:uid="{00000000-0005-0000-0000-00007F3E0000}"/>
    <cellStyle name="_20061117Holux_SLM_PMO_Workbook_060910 4" xfId="16090" xr:uid="{00000000-0005-0000-0000-0000803E0000}"/>
    <cellStyle name="_20061117Holux_SLM_PMO_Workbook_060910 4_Steps of Doneness" xfId="16091" xr:uid="{00000000-0005-0000-0000-0000813E0000}"/>
    <cellStyle name="_20061117Holux_SLM_PMO_Workbook_060910 5" xfId="16092" xr:uid="{00000000-0005-0000-0000-0000823E0000}"/>
    <cellStyle name="_20061117Holux_SLM_PMO_Workbook_060910 6" xfId="16093" xr:uid="{00000000-0005-0000-0000-0000833E0000}"/>
    <cellStyle name="_20061117Holux_SLM_PMO_Workbook_060910_Commissioning System Implementation_Project Workbook_06_10_2011" xfId="16094" xr:uid="{00000000-0005-0000-0000-0000843E0000}"/>
    <cellStyle name="_20061117Holux_SLM_PMO_Workbook_060910_Commissioning System Implementation_Project Workbook_06_10_2011 2" xfId="16095" xr:uid="{00000000-0005-0000-0000-0000853E0000}"/>
    <cellStyle name="_20061117Holux_SLM_PMO_Workbook_060910_Commissioning System Implementation_Project Workbook_06_10_2011 2_Steps of Doneness" xfId="16096" xr:uid="{00000000-0005-0000-0000-0000863E0000}"/>
    <cellStyle name="_20061117Holux_SLM_PMO_Workbook_060910_Commissioning System Implementation_Project Workbook_06_10_2011 3" xfId="16097" xr:uid="{00000000-0005-0000-0000-0000873E0000}"/>
    <cellStyle name="_20061117Holux_SLM_PMO_Workbook_060910_Commissioning System Implementation_Project Workbook_06_10_2011_Steps of Doneness" xfId="16098" xr:uid="{00000000-0005-0000-0000-0000883E0000}"/>
    <cellStyle name="_20061117Holux_SLM_PMO_Workbook_060910_FairPoint_CampReport" xfId="16099" xr:uid="{00000000-0005-0000-0000-0000893E0000}"/>
    <cellStyle name="_20061117Holux_SLM_PMO_Workbook_060910_FairPoint_CampReport 2" xfId="16100" xr:uid="{00000000-0005-0000-0000-00008A3E0000}"/>
    <cellStyle name="_20061117Holux_SLM_PMO_Workbook_060910_FairPoint_CampReport 2_Steps of Doneness" xfId="16101" xr:uid="{00000000-0005-0000-0000-00008B3E0000}"/>
    <cellStyle name="_20061117Holux_SLM_PMO_Workbook_060910_FairPoint_CampReport 3" xfId="16102" xr:uid="{00000000-0005-0000-0000-00008C3E0000}"/>
    <cellStyle name="_20061117Holux_SLM_PMO_Workbook_060910_FairPoint_CampReport_Steps of Doneness" xfId="16103" xr:uid="{00000000-0005-0000-0000-00008D3E0000}"/>
    <cellStyle name="_20061117Holux_SLM_PMO_Workbook_060910_FairPoint_FP comTechOps_ProgramWorkbook" xfId="16104" xr:uid="{00000000-0005-0000-0000-00008E3E0000}"/>
    <cellStyle name="_20061117Holux_SLM_PMO_Workbook_060910_FairPoint_FP comTechOps_ProgramWorkbook 2" xfId="16105" xr:uid="{00000000-0005-0000-0000-00008F3E0000}"/>
    <cellStyle name="_20061117Holux_SLM_PMO_Workbook_060910_FairPoint_FP comTechOps_ProgramWorkbook 2_Steps of Doneness" xfId="16106" xr:uid="{00000000-0005-0000-0000-0000903E0000}"/>
    <cellStyle name="_20061117Holux_SLM_PMO_Workbook_060910_FairPoint_FP comTechOps_ProgramWorkbook 3" xfId="16107" xr:uid="{00000000-0005-0000-0000-0000913E0000}"/>
    <cellStyle name="_20061117Holux_SLM_PMO_Workbook_060910_FairPoint_FP comTechOps_ProgramWorkbook_sachin" xfId="16108" xr:uid="{00000000-0005-0000-0000-0000923E0000}"/>
    <cellStyle name="_20061117Holux_SLM_PMO_Workbook_060910_FairPoint_FP comTechOps_ProgramWorkbook_sachin 2" xfId="16109" xr:uid="{00000000-0005-0000-0000-0000933E0000}"/>
    <cellStyle name="_20061117Holux_SLM_PMO_Workbook_060910_FairPoint_FP comTechOps_ProgramWorkbook_sachin 2_Steps of Doneness" xfId="16110" xr:uid="{00000000-0005-0000-0000-0000943E0000}"/>
    <cellStyle name="_20061117Holux_SLM_PMO_Workbook_060910_FairPoint_FP comTechOps_ProgramWorkbook_sachin 3" xfId="16111" xr:uid="{00000000-0005-0000-0000-0000953E0000}"/>
    <cellStyle name="_20061117Holux_SLM_PMO_Workbook_060910_FairPoint_FP comTechOps_ProgramWorkbook_sachin_Steps of Doneness" xfId="16112" xr:uid="{00000000-0005-0000-0000-0000963E0000}"/>
    <cellStyle name="_20061117Holux_SLM_PMO_Workbook_060910_FairPoint_FP comTechOps_ProgramWorkbook_sachin_v1" xfId="16113" xr:uid="{00000000-0005-0000-0000-0000973E0000}"/>
    <cellStyle name="_20061117Holux_SLM_PMO_Workbook_060910_FairPoint_FP comTechOps_ProgramWorkbook_sachin_v1 2" xfId="16114" xr:uid="{00000000-0005-0000-0000-0000983E0000}"/>
    <cellStyle name="_20061117Holux_SLM_PMO_Workbook_060910_FairPoint_FP comTechOps_ProgramWorkbook_sachin_v1 2_Steps of Doneness" xfId="16115" xr:uid="{00000000-0005-0000-0000-0000993E0000}"/>
    <cellStyle name="_20061117Holux_SLM_PMO_Workbook_060910_FairPoint_FP comTechOps_ProgramWorkbook_sachin_v1 3" xfId="16116" xr:uid="{00000000-0005-0000-0000-00009A3E0000}"/>
    <cellStyle name="_20061117Holux_SLM_PMO_Workbook_060910_FairPoint_FP comTechOps_ProgramWorkbook_sachin_v1_Steps of Doneness" xfId="16117" xr:uid="{00000000-0005-0000-0000-00009B3E0000}"/>
    <cellStyle name="_20061117Holux_SLM_PMO_Workbook_060910_FairPoint_FP comTechOps_ProgramWorkbook_Steps of Doneness" xfId="16118" xr:uid="{00000000-0005-0000-0000-00009C3E0000}"/>
    <cellStyle name="_20061117Holux_SLM_PMO_Workbook_060910_FP_CAMP&amp;ITReporting_Maintenance_Dashboard" xfId="16119" xr:uid="{00000000-0005-0000-0000-00009D3E0000}"/>
    <cellStyle name="_20061117Holux_SLM_PMO_Workbook_060910_FP_CAMP&amp;ITReporting_Maintenance_Dashboard 2" xfId="16120" xr:uid="{00000000-0005-0000-0000-00009E3E0000}"/>
    <cellStyle name="_20061117Holux_SLM_PMO_Workbook_060910_FP_CAMP&amp;ITReporting_Maintenance_Dashboard 2_Steps of Doneness" xfId="16121" xr:uid="{00000000-0005-0000-0000-00009F3E0000}"/>
    <cellStyle name="_20061117Holux_SLM_PMO_Workbook_060910_FP_CAMP&amp;ITReporting_Maintenance_Dashboard 3" xfId="16122" xr:uid="{00000000-0005-0000-0000-0000A03E0000}"/>
    <cellStyle name="_20061117Holux_SLM_PMO_Workbook_060910_FP_CAMP&amp;ITReporting_Maintenance_Dashboard_Steps of Doneness" xfId="16123" xr:uid="{00000000-0005-0000-0000-0000A13E0000}"/>
    <cellStyle name="_20061117Holux_SLM_PMO_Workbook_060910_FP_CAMPITReporting_Maintenance_Dashboard" xfId="16124" xr:uid="{00000000-0005-0000-0000-0000A23E0000}"/>
    <cellStyle name="_20061117Holux_SLM_PMO_Workbook_060910_FP_CAMPITReporting_Maintenance_Dashboard 2" xfId="16125" xr:uid="{00000000-0005-0000-0000-0000A33E0000}"/>
    <cellStyle name="_20061117Holux_SLM_PMO_Workbook_060910_FP_CAMPITReporting_Maintenance_Dashboard 2_Steps of Doneness" xfId="16126" xr:uid="{00000000-0005-0000-0000-0000A43E0000}"/>
    <cellStyle name="_20061117Holux_SLM_PMO_Workbook_060910_FP_CAMPITReporting_Maintenance_Dashboard 3" xfId="16127" xr:uid="{00000000-0005-0000-0000-0000A53E0000}"/>
    <cellStyle name="_20061117Holux_SLM_PMO_Workbook_060910_FP_CAMPITReporting_Maintenance_Dashboard_Steps of Doneness" xfId="16128" xr:uid="{00000000-0005-0000-0000-0000A63E0000}"/>
    <cellStyle name="_20061117Holux_SLM_PMO_Workbook_060910_FP_Commissions_Req_Dn_ProgramWorkBook_10-Dec-2010" xfId="16129" xr:uid="{00000000-0005-0000-0000-0000A73E0000}"/>
    <cellStyle name="_20061117Holux_SLM_PMO_Workbook_060910_FP_Commissions_Req_Dn_ProgramWorkBook_10-Dec-2010 2" xfId="16130" xr:uid="{00000000-0005-0000-0000-0000A83E0000}"/>
    <cellStyle name="_20061117Holux_SLM_PMO_Workbook_060910_FP_Commissions_Req_Dn_ProgramWorkBook_10-Dec-2010 2_Steps of Doneness" xfId="16131" xr:uid="{00000000-0005-0000-0000-0000A93E0000}"/>
    <cellStyle name="_20061117Holux_SLM_PMO_Workbook_060910_FP_Commissions_Req_Dn_ProgramWorkBook_10-Dec-2010 3" xfId="16132" xr:uid="{00000000-0005-0000-0000-0000AA3E0000}"/>
    <cellStyle name="_20061117Holux_SLM_PMO_Workbook_060910_FP_Commissions_Req_Dn_ProgramWorkBook_10-Dec-2010_Steps of Doneness" xfId="16133" xr:uid="{00000000-0005-0000-0000-0000AB3E0000}"/>
    <cellStyle name="_20061117Holux_SLM_PMO_Workbook_060910_FP_DW_Impl_ProgramWorkBook_07-Jan-2011" xfId="16134" xr:uid="{00000000-0005-0000-0000-0000AC3E0000}"/>
    <cellStyle name="_20061117Holux_SLM_PMO_Workbook_060910_FP_DW_Impl_ProgramWorkBook_07-Jan-2011 2" xfId="16135" xr:uid="{00000000-0005-0000-0000-0000AD3E0000}"/>
    <cellStyle name="_20061117Holux_SLM_PMO_Workbook_060910_FP_DW_Impl_ProgramWorkBook_07-Jan-2011 2 2" xfId="16136" xr:uid="{00000000-0005-0000-0000-0000AE3E0000}"/>
    <cellStyle name="_20061117Holux_SLM_PMO_Workbook_060910_FP_DW_Impl_ProgramWorkBook_07-Jan-2011 2 2_Steps of Doneness" xfId="16137" xr:uid="{00000000-0005-0000-0000-0000AF3E0000}"/>
    <cellStyle name="_20061117Holux_SLM_PMO_Workbook_060910_FP_DW_Impl_ProgramWorkBook_07-Jan-2011 2 3" xfId="16138" xr:uid="{00000000-0005-0000-0000-0000B03E0000}"/>
    <cellStyle name="_20061117Holux_SLM_PMO_Workbook_060910_FP_DW_Impl_ProgramWorkBook_07-Jan-2011 2_Steps of Doneness" xfId="16139" xr:uid="{00000000-0005-0000-0000-0000B13E0000}"/>
    <cellStyle name="_20061117Holux_SLM_PMO_Workbook_060910_FP_DW_Impl_ProgramWorkBook_07-Jan-2011 3" xfId="16140" xr:uid="{00000000-0005-0000-0000-0000B23E0000}"/>
    <cellStyle name="_20061117Holux_SLM_PMO_Workbook_060910_FP_DW_Impl_ProgramWorkBook_07-Jan-2011 3_Steps of Doneness" xfId="16141" xr:uid="{00000000-0005-0000-0000-0000B33E0000}"/>
    <cellStyle name="_20061117Holux_SLM_PMO_Workbook_060910_FP_DW_Impl_ProgramWorkBook_07-Jan-2011 4" xfId="16142" xr:uid="{00000000-0005-0000-0000-0000B43E0000}"/>
    <cellStyle name="_20061117Holux_SLM_PMO_Workbook_060910_FP_DW_Impl_ProgramWorkBook_07-Jan-2011_Steps of Doneness" xfId="16143" xr:uid="{00000000-0005-0000-0000-0000B53E0000}"/>
    <cellStyle name="_20061117Holux_SLM_PMO_Workbook_060910_FP_DW_Impl_ProgramWorkBook_11-Feb-2011" xfId="16144" xr:uid="{00000000-0005-0000-0000-0000B63E0000}"/>
    <cellStyle name="_20061117Holux_SLM_PMO_Workbook_060910_FP_DW_Impl_ProgramWorkBook_11-Feb-2011 2" xfId="16145" xr:uid="{00000000-0005-0000-0000-0000B73E0000}"/>
    <cellStyle name="_20061117Holux_SLM_PMO_Workbook_060910_FP_DW_Impl_ProgramWorkBook_11-Feb-2011 2_Steps of Doneness" xfId="16146" xr:uid="{00000000-0005-0000-0000-0000B83E0000}"/>
    <cellStyle name="_20061117Holux_SLM_PMO_Workbook_060910_FP_DW_Impl_ProgramWorkBook_11-Feb-2011 3" xfId="16147" xr:uid="{00000000-0005-0000-0000-0000B93E0000}"/>
    <cellStyle name="_20061117Holux_SLM_PMO_Workbook_060910_FP_DW_Impl_ProgramWorkBook_11-Feb-2011_Steps of Doneness" xfId="16148" xr:uid="{00000000-0005-0000-0000-0000BA3E0000}"/>
    <cellStyle name="_20061117Holux_SLM_PMO_Workbook_060910_FP_DW_Impl_ProgramWorkBook_18-Feb-2011 - Working" xfId="16149" xr:uid="{00000000-0005-0000-0000-0000BB3E0000}"/>
    <cellStyle name="_20061117Holux_SLM_PMO_Workbook_060910_FP_DW_Impl_ProgramWorkBook_18-Feb-2011 - Working 2" xfId="16150" xr:uid="{00000000-0005-0000-0000-0000BC3E0000}"/>
    <cellStyle name="_20061117Holux_SLM_PMO_Workbook_060910_FP_DW_Impl_ProgramWorkBook_18-Feb-2011 - Working 2_Steps of Doneness" xfId="16151" xr:uid="{00000000-0005-0000-0000-0000BD3E0000}"/>
    <cellStyle name="_20061117Holux_SLM_PMO_Workbook_060910_FP_DW_Impl_ProgramWorkBook_18-Feb-2011 - Working 3" xfId="16152" xr:uid="{00000000-0005-0000-0000-0000BE3E0000}"/>
    <cellStyle name="_20061117Holux_SLM_PMO_Workbook_060910_FP_DW_Impl_ProgramWorkBook_18-Feb-2011 - Working_Steps of Doneness" xfId="16153" xr:uid="{00000000-0005-0000-0000-0000BF3E0000}"/>
    <cellStyle name="_20061117Holux_SLM_PMO_Workbook_060910_FP_EnterprisePortal_ProgramWorkbook" xfId="16154" xr:uid="{00000000-0005-0000-0000-0000C03E0000}"/>
    <cellStyle name="_20061117Holux_SLM_PMO_Workbook_060910_FP_EnterprisePortal_ProgramWorkbook 2" xfId="16155" xr:uid="{00000000-0005-0000-0000-0000C13E0000}"/>
    <cellStyle name="_20061117Holux_SLM_PMO_Workbook_060910_FP_EnterprisePortal_ProgramWorkbook 2_Steps of Doneness" xfId="16156" xr:uid="{00000000-0005-0000-0000-0000C23E0000}"/>
    <cellStyle name="_20061117Holux_SLM_PMO_Workbook_060910_FP_EnterprisePortal_ProgramWorkbook 3" xfId="16157" xr:uid="{00000000-0005-0000-0000-0000C33E0000}"/>
    <cellStyle name="_20061117Holux_SLM_PMO_Workbook_060910_FP_EnterprisePortal_ProgramWorkbook_Steps of Doneness" xfId="16158" xr:uid="{00000000-0005-0000-0000-0000C43E0000}"/>
    <cellStyle name="_20061117Holux_SLM_PMO_Workbook_060910_FP_SAP_MLP v2" xfId="16159" xr:uid="{00000000-0005-0000-0000-0000C53E0000}"/>
    <cellStyle name="_20061117Holux_SLM_PMO_Workbook_060910_FP_SAP_MLP v2 2" xfId="16160" xr:uid="{00000000-0005-0000-0000-0000C63E0000}"/>
    <cellStyle name="_20061117Holux_SLM_PMO_Workbook_060910_FP_SAP_MLP v2 2_Steps of Doneness" xfId="16161" xr:uid="{00000000-0005-0000-0000-0000C73E0000}"/>
    <cellStyle name="_20061117Holux_SLM_PMO_Workbook_060910_FP_SAP_MLP v2 3" xfId="16162" xr:uid="{00000000-0005-0000-0000-0000C83E0000}"/>
    <cellStyle name="_20061117Holux_SLM_PMO_Workbook_060910_FP_SAP_MLP v2_Steps of Doneness" xfId="16163" xr:uid="{00000000-0005-0000-0000-0000C93E0000}"/>
    <cellStyle name="_20061117Holux_SLM_PMO_Workbook_060910_KeyDecisions" xfId="16164" xr:uid="{00000000-0005-0000-0000-0000CA3E0000}"/>
    <cellStyle name="_20061117Holux_SLM_PMO_Workbook_060910_KeyDecisions 2" xfId="16165" xr:uid="{00000000-0005-0000-0000-0000CB3E0000}"/>
    <cellStyle name="_20061117Holux_SLM_PMO_Workbook_060910_KeyDecisions 2_Steps of Doneness" xfId="16166" xr:uid="{00000000-0005-0000-0000-0000CC3E0000}"/>
    <cellStyle name="_20061117Holux_SLM_PMO_Workbook_060910_KeyDecisions 3" xfId="16167" xr:uid="{00000000-0005-0000-0000-0000CD3E0000}"/>
    <cellStyle name="_20061117Holux_SLM_PMO_Workbook_060910_KeyDecisions_Steps of Doneness" xfId="16168" xr:uid="{00000000-0005-0000-0000-0000CE3E0000}"/>
    <cellStyle name="_20061117Holux_SLM_PMO_Workbook_060910_Sophia_Imp_ProjectWorkBook_02_18_2011" xfId="16169" xr:uid="{00000000-0005-0000-0000-0000CF3E0000}"/>
    <cellStyle name="_20061117Holux_SLM_PMO_Workbook_060910_Sophia_Imp_ProjectWorkBook_02_18_2011 2" xfId="16170" xr:uid="{00000000-0005-0000-0000-0000D03E0000}"/>
    <cellStyle name="_20061117Holux_SLM_PMO_Workbook_060910_Sophia_Imp_ProjectWorkBook_02_18_2011 2_Steps of Doneness" xfId="16171" xr:uid="{00000000-0005-0000-0000-0000D13E0000}"/>
    <cellStyle name="_20061117Holux_SLM_PMO_Workbook_060910_Sophia_Imp_ProjectWorkBook_02_18_2011 3" xfId="16172" xr:uid="{00000000-0005-0000-0000-0000D23E0000}"/>
    <cellStyle name="_20061117Holux_SLM_PMO_Workbook_060910_Sophia_Imp_ProjectWorkBook_02_18_2011_Steps of Doneness" xfId="16173" xr:uid="{00000000-0005-0000-0000-0000D33E0000}"/>
    <cellStyle name="_20061117Holux_SLM_PMO_Workbook_060910_Steps of Doneness" xfId="16174" xr:uid="{00000000-0005-0000-0000-0000D43E0000}"/>
    <cellStyle name="_20061117Holux_SLM_PMO_Workbook_060910_t" xfId="16175" xr:uid="{00000000-0005-0000-0000-0000D53E0000}"/>
    <cellStyle name="_20061117Holux_SLM_PMO_Workbook_060910_t 2" xfId="16176" xr:uid="{00000000-0005-0000-0000-0000D63E0000}"/>
    <cellStyle name="_20061117Holux_SLM_PMO_Workbook_060910_t 2_Steps of Doneness" xfId="16177" xr:uid="{00000000-0005-0000-0000-0000D73E0000}"/>
    <cellStyle name="_20061117Holux_SLM_PMO_Workbook_060910_t 3" xfId="16178" xr:uid="{00000000-0005-0000-0000-0000D83E0000}"/>
    <cellStyle name="_20061117Holux_SLM_PMO_Workbook_060910_t_Steps of Doneness" xfId="16179" xr:uid="{00000000-0005-0000-0000-0000D93E0000}"/>
    <cellStyle name="_20061117Holux_Sophia_Imp_ProjectWorkBook_02_18_2011" xfId="16180" xr:uid="{00000000-0005-0000-0000-0000DA3E0000}"/>
    <cellStyle name="_20061117Holux_Sophia_Imp_ProjectWorkBook_02_18_2011 2" xfId="16181" xr:uid="{00000000-0005-0000-0000-0000DB3E0000}"/>
    <cellStyle name="_20061117Holux_Sophia_Imp_ProjectWorkBook_02_18_2011 2_Steps of Doneness" xfId="16182" xr:uid="{00000000-0005-0000-0000-0000DC3E0000}"/>
    <cellStyle name="_20061117Holux_Sophia_Imp_ProjectWorkBook_02_18_2011 3" xfId="16183" xr:uid="{00000000-0005-0000-0000-0000DD3E0000}"/>
    <cellStyle name="_20061117Holux_Sophia_Imp_ProjectWorkBook_02_18_2011_Steps of Doneness" xfId="16184" xr:uid="{00000000-0005-0000-0000-0000DE3E0000}"/>
    <cellStyle name="_20061117Holux_Steps of Doneness" xfId="16185" xr:uid="{00000000-0005-0000-0000-0000DF3E0000}"/>
    <cellStyle name="_20061117Holux_t" xfId="16186" xr:uid="{00000000-0005-0000-0000-0000E03E0000}"/>
    <cellStyle name="_20061117Holux_t 2" xfId="16187" xr:uid="{00000000-0005-0000-0000-0000E13E0000}"/>
    <cellStyle name="_20061117Holux_t 2_Steps of Doneness" xfId="16188" xr:uid="{00000000-0005-0000-0000-0000E23E0000}"/>
    <cellStyle name="_20061117Holux_t 3" xfId="16189" xr:uid="{00000000-0005-0000-0000-0000E33E0000}"/>
    <cellStyle name="_20061117Holux_t_Steps of Doneness" xfId="16190" xr:uid="{00000000-0005-0000-0000-0000E43E0000}"/>
    <cellStyle name="_20061117Holux_UX Plan_0401" xfId="16191" xr:uid="{00000000-0005-0000-0000-0000E53E0000}"/>
    <cellStyle name="_20061117Holux_UX Plan_0401 2" xfId="16192" xr:uid="{00000000-0005-0000-0000-0000E63E0000}"/>
    <cellStyle name="_20061117Holux_UX Plan_0401 2 2" xfId="16193" xr:uid="{00000000-0005-0000-0000-0000E73E0000}"/>
    <cellStyle name="_20061117Holux_UX Plan_0401 2 2_Steps of Doneness" xfId="16194" xr:uid="{00000000-0005-0000-0000-0000E83E0000}"/>
    <cellStyle name="_20061117Holux_UX Plan_0401 2 3" xfId="16195" xr:uid="{00000000-0005-0000-0000-0000E93E0000}"/>
    <cellStyle name="_20061117Holux_UX Plan_0401 2_Steps of Doneness" xfId="16196" xr:uid="{00000000-0005-0000-0000-0000EA3E0000}"/>
    <cellStyle name="_20061117Holux_UX Plan_0401 3" xfId="16197" xr:uid="{00000000-0005-0000-0000-0000EB3E0000}"/>
    <cellStyle name="_20061117Holux_UX Plan_0401 3 2" xfId="16198" xr:uid="{00000000-0005-0000-0000-0000EC3E0000}"/>
    <cellStyle name="_20061117Holux_UX Plan_0401 3 2_Steps of Doneness" xfId="16199" xr:uid="{00000000-0005-0000-0000-0000ED3E0000}"/>
    <cellStyle name="_20061117Holux_UX Plan_0401 3 3" xfId="16200" xr:uid="{00000000-0005-0000-0000-0000EE3E0000}"/>
    <cellStyle name="_20061117Holux_UX Plan_0401 3_Steps of Doneness" xfId="16201" xr:uid="{00000000-0005-0000-0000-0000EF3E0000}"/>
    <cellStyle name="_20061117Holux_UX Plan_0401 4" xfId="16202" xr:uid="{00000000-0005-0000-0000-0000F03E0000}"/>
    <cellStyle name="_20061117Holux_UX Plan_0401 4_Steps of Doneness" xfId="16203" xr:uid="{00000000-0005-0000-0000-0000F13E0000}"/>
    <cellStyle name="_20061117Holux_UX Plan_0401 5" xfId="16204" xr:uid="{00000000-0005-0000-0000-0000F23E0000}"/>
    <cellStyle name="_20061117Holux_UX Plan_0401 6" xfId="16205" xr:uid="{00000000-0005-0000-0000-0000F33E0000}"/>
    <cellStyle name="_20061117Holux_UX Plan_0401_Commissioning System Implementation_Project Workbook_06_10_2011" xfId="16206" xr:uid="{00000000-0005-0000-0000-0000F43E0000}"/>
    <cellStyle name="_20061117Holux_UX Plan_0401_Commissioning System Implementation_Project Workbook_06_10_2011 2" xfId="16207" xr:uid="{00000000-0005-0000-0000-0000F53E0000}"/>
    <cellStyle name="_20061117Holux_UX Plan_0401_Commissioning System Implementation_Project Workbook_06_10_2011 2_Steps of Doneness" xfId="16208" xr:uid="{00000000-0005-0000-0000-0000F63E0000}"/>
    <cellStyle name="_20061117Holux_UX Plan_0401_Commissioning System Implementation_Project Workbook_06_10_2011 3" xfId="16209" xr:uid="{00000000-0005-0000-0000-0000F73E0000}"/>
    <cellStyle name="_20061117Holux_UX Plan_0401_Commissioning System Implementation_Project Workbook_06_10_2011_Steps of Doneness" xfId="16210" xr:uid="{00000000-0005-0000-0000-0000F83E0000}"/>
    <cellStyle name="_20061117Holux_UX Plan_0401_FairPoint_CampReport" xfId="16211" xr:uid="{00000000-0005-0000-0000-0000F93E0000}"/>
    <cellStyle name="_20061117Holux_UX Plan_0401_FairPoint_CampReport 2" xfId="16212" xr:uid="{00000000-0005-0000-0000-0000FA3E0000}"/>
    <cellStyle name="_20061117Holux_UX Plan_0401_FairPoint_CampReport 2_Steps of Doneness" xfId="16213" xr:uid="{00000000-0005-0000-0000-0000FB3E0000}"/>
    <cellStyle name="_20061117Holux_UX Plan_0401_FairPoint_CampReport 3" xfId="16214" xr:uid="{00000000-0005-0000-0000-0000FC3E0000}"/>
    <cellStyle name="_20061117Holux_UX Plan_0401_FairPoint_CampReport_Steps of Doneness" xfId="16215" xr:uid="{00000000-0005-0000-0000-0000FD3E0000}"/>
    <cellStyle name="_20061117Holux_UX Plan_0401_FairPoint_FP comTechOps_ProgramWorkbook" xfId="16216" xr:uid="{00000000-0005-0000-0000-0000FE3E0000}"/>
    <cellStyle name="_20061117Holux_UX Plan_0401_FairPoint_FP comTechOps_ProgramWorkbook 2" xfId="16217" xr:uid="{00000000-0005-0000-0000-0000FF3E0000}"/>
    <cellStyle name="_20061117Holux_UX Plan_0401_FairPoint_FP comTechOps_ProgramWorkbook 2_Steps of Doneness" xfId="16218" xr:uid="{00000000-0005-0000-0000-0000003F0000}"/>
    <cellStyle name="_20061117Holux_UX Plan_0401_FairPoint_FP comTechOps_ProgramWorkbook 3" xfId="16219" xr:uid="{00000000-0005-0000-0000-0000013F0000}"/>
    <cellStyle name="_20061117Holux_UX Plan_0401_FairPoint_FP comTechOps_ProgramWorkbook_sachin" xfId="16220" xr:uid="{00000000-0005-0000-0000-0000023F0000}"/>
    <cellStyle name="_20061117Holux_UX Plan_0401_FairPoint_FP comTechOps_ProgramWorkbook_sachin 2" xfId="16221" xr:uid="{00000000-0005-0000-0000-0000033F0000}"/>
    <cellStyle name="_20061117Holux_UX Plan_0401_FairPoint_FP comTechOps_ProgramWorkbook_sachin 2_Steps of Doneness" xfId="16222" xr:uid="{00000000-0005-0000-0000-0000043F0000}"/>
    <cellStyle name="_20061117Holux_UX Plan_0401_FairPoint_FP comTechOps_ProgramWorkbook_sachin 3" xfId="16223" xr:uid="{00000000-0005-0000-0000-0000053F0000}"/>
    <cellStyle name="_20061117Holux_UX Plan_0401_FairPoint_FP comTechOps_ProgramWorkbook_sachin_Steps of Doneness" xfId="16224" xr:uid="{00000000-0005-0000-0000-0000063F0000}"/>
    <cellStyle name="_20061117Holux_UX Plan_0401_FairPoint_FP comTechOps_ProgramWorkbook_sachin_v1" xfId="16225" xr:uid="{00000000-0005-0000-0000-0000073F0000}"/>
    <cellStyle name="_20061117Holux_UX Plan_0401_FairPoint_FP comTechOps_ProgramWorkbook_sachin_v1 2" xfId="16226" xr:uid="{00000000-0005-0000-0000-0000083F0000}"/>
    <cellStyle name="_20061117Holux_UX Plan_0401_FairPoint_FP comTechOps_ProgramWorkbook_sachin_v1 2_Steps of Doneness" xfId="16227" xr:uid="{00000000-0005-0000-0000-0000093F0000}"/>
    <cellStyle name="_20061117Holux_UX Plan_0401_FairPoint_FP comTechOps_ProgramWorkbook_sachin_v1 3" xfId="16228" xr:uid="{00000000-0005-0000-0000-00000A3F0000}"/>
    <cellStyle name="_20061117Holux_UX Plan_0401_FairPoint_FP comTechOps_ProgramWorkbook_sachin_v1_Steps of Doneness" xfId="16229" xr:uid="{00000000-0005-0000-0000-00000B3F0000}"/>
    <cellStyle name="_20061117Holux_UX Plan_0401_FairPoint_FP comTechOps_ProgramWorkbook_Steps of Doneness" xfId="16230" xr:uid="{00000000-0005-0000-0000-00000C3F0000}"/>
    <cellStyle name="_20061117Holux_UX Plan_0401_FP_CAMP&amp;ITReporting_Maintenance_Dashboard" xfId="16231" xr:uid="{00000000-0005-0000-0000-00000D3F0000}"/>
    <cellStyle name="_20061117Holux_UX Plan_0401_FP_CAMP&amp;ITReporting_Maintenance_Dashboard 2" xfId="16232" xr:uid="{00000000-0005-0000-0000-00000E3F0000}"/>
    <cellStyle name="_20061117Holux_UX Plan_0401_FP_CAMP&amp;ITReporting_Maintenance_Dashboard 2_Steps of Doneness" xfId="16233" xr:uid="{00000000-0005-0000-0000-00000F3F0000}"/>
    <cellStyle name="_20061117Holux_UX Plan_0401_FP_CAMP&amp;ITReporting_Maintenance_Dashboard 3" xfId="16234" xr:uid="{00000000-0005-0000-0000-0000103F0000}"/>
    <cellStyle name="_20061117Holux_UX Plan_0401_FP_CAMP&amp;ITReporting_Maintenance_Dashboard_Steps of Doneness" xfId="16235" xr:uid="{00000000-0005-0000-0000-0000113F0000}"/>
    <cellStyle name="_20061117Holux_UX Plan_0401_FP_CAMPITReporting_Maintenance_Dashboard" xfId="16236" xr:uid="{00000000-0005-0000-0000-0000123F0000}"/>
    <cellStyle name="_20061117Holux_UX Plan_0401_FP_CAMPITReporting_Maintenance_Dashboard 2" xfId="16237" xr:uid="{00000000-0005-0000-0000-0000133F0000}"/>
    <cellStyle name="_20061117Holux_UX Plan_0401_FP_CAMPITReporting_Maintenance_Dashboard 2_Steps of Doneness" xfId="16238" xr:uid="{00000000-0005-0000-0000-0000143F0000}"/>
    <cellStyle name="_20061117Holux_UX Plan_0401_FP_CAMPITReporting_Maintenance_Dashboard 3" xfId="16239" xr:uid="{00000000-0005-0000-0000-0000153F0000}"/>
    <cellStyle name="_20061117Holux_UX Plan_0401_FP_CAMPITReporting_Maintenance_Dashboard_Steps of Doneness" xfId="16240" xr:uid="{00000000-0005-0000-0000-0000163F0000}"/>
    <cellStyle name="_20061117Holux_UX Plan_0401_FP_Commissions_Req_Dn_ProgramWorkBook_10-Dec-2010" xfId="16241" xr:uid="{00000000-0005-0000-0000-0000173F0000}"/>
    <cellStyle name="_20061117Holux_UX Plan_0401_FP_Commissions_Req_Dn_ProgramWorkBook_10-Dec-2010 2" xfId="16242" xr:uid="{00000000-0005-0000-0000-0000183F0000}"/>
    <cellStyle name="_20061117Holux_UX Plan_0401_FP_Commissions_Req_Dn_ProgramWorkBook_10-Dec-2010 2_Steps of Doneness" xfId="16243" xr:uid="{00000000-0005-0000-0000-0000193F0000}"/>
    <cellStyle name="_20061117Holux_UX Plan_0401_FP_Commissions_Req_Dn_ProgramWorkBook_10-Dec-2010 3" xfId="16244" xr:uid="{00000000-0005-0000-0000-00001A3F0000}"/>
    <cellStyle name="_20061117Holux_UX Plan_0401_FP_Commissions_Req_Dn_ProgramWorkBook_10-Dec-2010_Steps of Doneness" xfId="16245" xr:uid="{00000000-0005-0000-0000-00001B3F0000}"/>
    <cellStyle name="_20061117Holux_UX Plan_0401_FP_DW_Impl_ProgramWorkBook_07-Jan-2011" xfId="16246" xr:uid="{00000000-0005-0000-0000-00001C3F0000}"/>
    <cellStyle name="_20061117Holux_UX Plan_0401_FP_DW_Impl_ProgramWorkBook_07-Jan-2011 2" xfId="16247" xr:uid="{00000000-0005-0000-0000-00001D3F0000}"/>
    <cellStyle name="_20061117Holux_UX Plan_0401_FP_DW_Impl_ProgramWorkBook_07-Jan-2011 2 2" xfId="16248" xr:uid="{00000000-0005-0000-0000-00001E3F0000}"/>
    <cellStyle name="_20061117Holux_UX Plan_0401_FP_DW_Impl_ProgramWorkBook_07-Jan-2011 2 2_Steps of Doneness" xfId="16249" xr:uid="{00000000-0005-0000-0000-00001F3F0000}"/>
    <cellStyle name="_20061117Holux_UX Plan_0401_FP_DW_Impl_ProgramWorkBook_07-Jan-2011 2 3" xfId="16250" xr:uid="{00000000-0005-0000-0000-0000203F0000}"/>
    <cellStyle name="_20061117Holux_UX Plan_0401_FP_DW_Impl_ProgramWorkBook_07-Jan-2011 2_Steps of Doneness" xfId="16251" xr:uid="{00000000-0005-0000-0000-0000213F0000}"/>
    <cellStyle name="_20061117Holux_UX Plan_0401_FP_DW_Impl_ProgramWorkBook_07-Jan-2011 3" xfId="16252" xr:uid="{00000000-0005-0000-0000-0000223F0000}"/>
    <cellStyle name="_20061117Holux_UX Plan_0401_FP_DW_Impl_ProgramWorkBook_07-Jan-2011 3_Steps of Doneness" xfId="16253" xr:uid="{00000000-0005-0000-0000-0000233F0000}"/>
    <cellStyle name="_20061117Holux_UX Plan_0401_FP_DW_Impl_ProgramWorkBook_07-Jan-2011 4" xfId="16254" xr:uid="{00000000-0005-0000-0000-0000243F0000}"/>
    <cellStyle name="_20061117Holux_UX Plan_0401_FP_DW_Impl_ProgramWorkBook_07-Jan-2011_Steps of Doneness" xfId="16255" xr:uid="{00000000-0005-0000-0000-0000253F0000}"/>
    <cellStyle name="_20061117Holux_UX Plan_0401_FP_DW_Impl_ProgramWorkBook_11-Feb-2011" xfId="16256" xr:uid="{00000000-0005-0000-0000-0000263F0000}"/>
    <cellStyle name="_20061117Holux_UX Plan_0401_FP_DW_Impl_ProgramWorkBook_11-Feb-2011 2" xfId="16257" xr:uid="{00000000-0005-0000-0000-0000273F0000}"/>
    <cellStyle name="_20061117Holux_UX Plan_0401_FP_DW_Impl_ProgramWorkBook_11-Feb-2011 2_Steps of Doneness" xfId="16258" xr:uid="{00000000-0005-0000-0000-0000283F0000}"/>
    <cellStyle name="_20061117Holux_UX Plan_0401_FP_DW_Impl_ProgramWorkBook_11-Feb-2011 3" xfId="16259" xr:uid="{00000000-0005-0000-0000-0000293F0000}"/>
    <cellStyle name="_20061117Holux_UX Plan_0401_FP_DW_Impl_ProgramWorkBook_11-Feb-2011_Steps of Doneness" xfId="16260" xr:uid="{00000000-0005-0000-0000-00002A3F0000}"/>
    <cellStyle name="_20061117Holux_UX Plan_0401_FP_DW_Impl_ProgramWorkBook_18-Feb-2011 - Working" xfId="16261" xr:uid="{00000000-0005-0000-0000-00002B3F0000}"/>
    <cellStyle name="_20061117Holux_UX Plan_0401_FP_DW_Impl_ProgramWorkBook_18-Feb-2011 - Working 2" xfId="16262" xr:uid="{00000000-0005-0000-0000-00002C3F0000}"/>
    <cellStyle name="_20061117Holux_UX Plan_0401_FP_DW_Impl_ProgramWorkBook_18-Feb-2011 - Working 2_Steps of Doneness" xfId="16263" xr:uid="{00000000-0005-0000-0000-00002D3F0000}"/>
    <cellStyle name="_20061117Holux_UX Plan_0401_FP_DW_Impl_ProgramWorkBook_18-Feb-2011 - Working 3" xfId="16264" xr:uid="{00000000-0005-0000-0000-00002E3F0000}"/>
    <cellStyle name="_20061117Holux_UX Plan_0401_FP_DW_Impl_ProgramWorkBook_18-Feb-2011 - Working_Steps of Doneness" xfId="16265" xr:uid="{00000000-0005-0000-0000-00002F3F0000}"/>
    <cellStyle name="_20061117Holux_UX Plan_0401_FP_EnterprisePortal_ProgramWorkbook" xfId="16266" xr:uid="{00000000-0005-0000-0000-0000303F0000}"/>
    <cellStyle name="_20061117Holux_UX Plan_0401_FP_EnterprisePortal_ProgramWorkbook 2" xfId="16267" xr:uid="{00000000-0005-0000-0000-0000313F0000}"/>
    <cellStyle name="_20061117Holux_UX Plan_0401_FP_EnterprisePortal_ProgramWorkbook 2_Steps of Doneness" xfId="16268" xr:uid="{00000000-0005-0000-0000-0000323F0000}"/>
    <cellStyle name="_20061117Holux_UX Plan_0401_FP_EnterprisePortal_ProgramWorkbook 3" xfId="16269" xr:uid="{00000000-0005-0000-0000-0000333F0000}"/>
    <cellStyle name="_20061117Holux_UX Plan_0401_FP_EnterprisePortal_ProgramWorkbook_Steps of Doneness" xfId="16270" xr:uid="{00000000-0005-0000-0000-0000343F0000}"/>
    <cellStyle name="_20061117Holux_UX Plan_0401_FP_SAP_MLP v2" xfId="16271" xr:uid="{00000000-0005-0000-0000-0000353F0000}"/>
    <cellStyle name="_20061117Holux_UX Plan_0401_FP_SAP_MLP v2 2" xfId="16272" xr:uid="{00000000-0005-0000-0000-0000363F0000}"/>
    <cellStyle name="_20061117Holux_UX Plan_0401_FP_SAP_MLP v2 2_Steps of Doneness" xfId="16273" xr:uid="{00000000-0005-0000-0000-0000373F0000}"/>
    <cellStyle name="_20061117Holux_UX Plan_0401_FP_SAP_MLP v2 3" xfId="16274" xr:uid="{00000000-0005-0000-0000-0000383F0000}"/>
    <cellStyle name="_20061117Holux_UX Plan_0401_FP_SAP_MLP v2_Steps of Doneness" xfId="16275" xr:uid="{00000000-0005-0000-0000-0000393F0000}"/>
    <cellStyle name="_20061117Holux_UX Plan_0401_KeyDecisions" xfId="16276" xr:uid="{00000000-0005-0000-0000-00003A3F0000}"/>
    <cellStyle name="_20061117Holux_UX Plan_0401_KeyDecisions 2" xfId="16277" xr:uid="{00000000-0005-0000-0000-00003B3F0000}"/>
    <cellStyle name="_20061117Holux_UX Plan_0401_KeyDecisions 2_Steps of Doneness" xfId="16278" xr:uid="{00000000-0005-0000-0000-00003C3F0000}"/>
    <cellStyle name="_20061117Holux_UX Plan_0401_KeyDecisions 3" xfId="16279" xr:uid="{00000000-0005-0000-0000-00003D3F0000}"/>
    <cellStyle name="_20061117Holux_UX Plan_0401_KeyDecisions_Steps of Doneness" xfId="16280" xr:uid="{00000000-0005-0000-0000-00003E3F0000}"/>
    <cellStyle name="_20061117Holux_UX Plan_0401_Sophia_Imp_ProjectWorkBook_02_18_2011" xfId="16281" xr:uid="{00000000-0005-0000-0000-00003F3F0000}"/>
    <cellStyle name="_20061117Holux_UX Plan_0401_Sophia_Imp_ProjectWorkBook_02_18_2011 2" xfId="16282" xr:uid="{00000000-0005-0000-0000-0000403F0000}"/>
    <cellStyle name="_20061117Holux_UX Plan_0401_Sophia_Imp_ProjectWorkBook_02_18_2011 2_Steps of Doneness" xfId="16283" xr:uid="{00000000-0005-0000-0000-0000413F0000}"/>
    <cellStyle name="_20061117Holux_UX Plan_0401_Sophia_Imp_ProjectWorkBook_02_18_2011 3" xfId="16284" xr:uid="{00000000-0005-0000-0000-0000423F0000}"/>
    <cellStyle name="_20061117Holux_UX Plan_0401_Sophia_Imp_ProjectWorkBook_02_18_2011_Steps of Doneness" xfId="16285" xr:uid="{00000000-0005-0000-0000-0000433F0000}"/>
    <cellStyle name="_20061117Holux_UX Plan_0401_Steps of Doneness" xfId="16286" xr:uid="{00000000-0005-0000-0000-0000443F0000}"/>
    <cellStyle name="_20061117Holux_UX Plan_0401_t" xfId="16287" xr:uid="{00000000-0005-0000-0000-0000453F0000}"/>
    <cellStyle name="_20061117Holux_UX Plan_0401_t 2" xfId="16288" xr:uid="{00000000-0005-0000-0000-0000463F0000}"/>
    <cellStyle name="_20061117Holux_UX Plan_0401_t 2_Steps of Doneness" xfId="16289" xr:uid="{00000000-0005-0000-0000-0000473F0000}"/>
    <cellStyle name="_20061117Holux_UX Plan_0401_t 3" xfId="16290" xr:uid="{00000000-0005-0000-0000-0000483F0000}"/>
    <cellStyle name="_20061117Holux_UX Plan_0401_t_Steps of Doneness" xfId="16291" xr:uid="{00000000-0005-0000-0000-0000493F0000}"/>
    <cellStyle name="_20061117Holux_WorldBankCMSScope" xfId="16292" xr:uid="{00000000-0005-0000-0000-00004A3F0000}"/>
    <cellStyle name="_20061117Holux_WorldBankCMSScope 2" xfId="16293" xr:uid="{00000000-0005-0000-0000-00004B3F0000}"/>
    <cellStyle name="_20061117Holux_WorldBankCMSScope 2 2" xfId="16294" xr:uid="{00000000-0005-0000-0000-00004C3F0000}"/>
    <cellStyle name="_20061117Holux_WorldBankCMSScope 2 2_Steps of Doneness" xfId="16295" xr:uid="{00000000-0005-0000-0000-00004D3F0000}"/>
    <cellStyle name="_20061117Holux_WorldBankCMSScope 2 3" xfId="16296" xr:uid="{00000000-0005-0000-0000-00004E3F0000}"/>
    <cellStyle name="_20061117Holux_WorldBankCMSScope 2_Steps of Doneness" xfId="16297" xr:uid="{00000000-0005-0000-0000-00004F3F0000}"/>
    <cellStyle name="_20061117Holux_WorldBankCMSScope 3" xfId="16298" xr:uid="{00000000-0005-0000-0000-0000503F0000}"/>
    <cellStyle name="_20061117Holux_WorldBankCMSScope 3_Steps of Doneness" xfId="16299" xr:uid="{00000000-0005-0000-0000-0000513F0000}"/>
    <cellStyle name="_20061117Holux_WorldBankCMSScope 4" xfId="16300" xr:uid="{00000000-0005-0000-0000-0000523F0000}"/>
    <cellStyle name="_20061117Holux_WorldBankCMSScope_CMS_SOW_Deliverables_0430" xfId="16301" xr:uid="{00000000-0005-0000-0000-0000533F0000}"/>
    <cellStyle name="_20061117Holux_WorldBankCMSScope_CMS_SOW_Deliverables_0430 2" xfId="16302" xr:uid="{00000000-0005-0000-0000-0000543F0000}"/>
    <cellStyle name="_20061117Holux_WorldBankCMSScope_CMS_SOW_Deliverables_0430 2 2" xfId="16303" xr:uid="{00000000-0005-0000-0000-0000553F0000}"/>
    <cellStyle name="_20061117Holux_WorldBankCMSScope_CMS_SOW_Deliverables_0430 2 2_Steps of Doneness" xfId="16304" xr:uid="{00000000-0005-0000-0000-0000563F0000}"/>
    <cellStyle name="_20061117Holux_WorldBankCMSScope_CMS_SOW_Deliverables_0430 2 3" xfId="16305" xr:uid="{00000000-0005-0000-0000-0000573F0000}"/>
    <cellStyle name="_20061117Holux_WorldBankCMSScope_CMS_SOW_Deliverables_0430 2_Steps of Doneness" xfId="16306" xr:uid="{00000000-0005-0000-0000-0000583F0000}"/>
    <cellStyle name="_20061117Holux_WorldBankCMSScope_CMS_SOW_Deliverables_0430 3" xfId="16307" xr:uid="{00000000-0005-0000-0000-0000593F0000}"/>
    <cellStyle name="_20061117Holux_WorldBankCMSScope_CMS_SOW_Deliverables_0430 3_Steps of Doneness" xfId="16308" xr:uid="{00000000-0005-0000-0000-00005A3F0000}"/>
    <cellStyle name="_20061117Holux_WorldBankCMSScope_CMS_SOW_Deliverables_0430 4" xfId="16309" xr:uid="{00000000-0005-0000-0000-00005B3F0000}"/>
    <cellStyle name="_20061117Holux_WorldBankCMSScope_CMS_SOW_Deliverables_0430_Commissioning System Implementation_Project Workbook_06_10_2011" xfId="16310" xr:uid="{00000000-0005-0000-0000-00005C3F0000}"/>
    <cellStyle name="_20061117Holux_WorldBankCMSScope_CMS_SOW_Deliverables_0430_Commissioning System Implementation_Project Workbook_06_10_2011 2" xfId="16311" xr:uid="{00000000-0005-0000-0000-00005D3F0000}"/>
    <cellStyle name="_20061117Holux_WorldBankCMSScope_CMS_SOW_Deliverables_0430_Commissioning System Implementation_Project Workbook_06_10_2011 2_Steps of Doneness" xfId="16312" xr:uid="{00000000-0005-0000-0000-00005E3F0000}"/>
    <cellStyle name="_20061117Holux_WorldBankCMSScope_CMS_SOW_Deliverables_0430_Commissioning System Implementation_Project Workbook_06_10_2011 3" xfId="16313" xr:uid="{00000000-0005-0000-0000-00005F3F0000}"/>
    <cellStyle name="_20061117Holux_WorldBankCMSScope_CMS_SOW_Deliverables_0430_Commissioning System Implementation_Project Workbook_06_10_2011_Steps of Doneness" xfId="16314" xr:uid="{00000000-0005-0000-0000-0000603F0000}"/>
    <cellStyle name="_20061117Holux_WorldBankCMSScope_CMS_SOW_Deliverables_0430_FairPoint_CampReport" xfId="16315" xr:uid="{00000000-0005-0000-0000-0000613F0000}"/>
    <cellStyle name="_20061117Holux_WorldBankCMSScope_CMS_SOW_Deliverables_0430_FairPoint_CampReport 2" xfId="16316" xr:uid="{00000000-0005-0000-0000-0000623F0000}"/>
    <cellStyle name="_20061117Holux_WorldBankCMSScope_CMS_SOW_Deliverables_0430_FairPoint_CampReport 2_Steps of Doneness" xfId="16317" xr:uid="{00000000-0005-0000-0000-0000633F0000}"/>
    <cellStyle name="_20061117Holux_WorldBankCMSScope_CMS_SOW_Deliverables_0430_FairPoint_CampReport 3" xfId="16318" xr:uid="{00000000-0005-0000-0000-0000643F0000}"/>
    <cellStyle name="_20061117Holux_WorldBankCMSScope_CMS_SOW_Deliverables_0430_FairPoint_CampReport_Steps of Doneness" xfId="16319" xr:uid="{00000000-0005-0000-0000-0000653F0000}"/>
    <cellStyle name="_20061117Holux_WorldBankCMSScope_CMS_SOW_Deliverables_0430_FairPoint_FP comTechOps_ProgramWorkbook" xfId="16320" xr:uid="{00000000-0005-0000-0000-0000663F0000}"/>
    <cellStyle name="_20061117Holux_WorldBankCMSScope_CMS_SOW_Deliverables_0430_FairPoint_FP comTechOps_ProgramWorkbook 2" xfId="16321" xr:uid="{00000000-0005-0000-0000-0000673F0000}"/>
    <cellStyle name="_20061117Holux_WorldBankCMSScope_CMS_SOW_Deliverables_0430_FairPoint_FP comTechOps_ProgramWorkbook 2_Steps of Doneness" xfId="16322" xr:uid="{00000000-0005-0000-0000-0000683F0000}"/>
    <cellStyle name="_20061117Holux_WorldBankCMSScope_CMS_SOW_Deliverables_0430_FairPoint_FP comTechOps_ProgramWorkbook 3" xfId="16323" xr:uid="{00000000-0005-0000-0000-0000693F0000}"/>
    <cellStyle name="_20061117Holux_WorldBankCMSScope_CMS_SOW_Deliverables_0430_FairPoint_FP comTechOps_ProgramWorkbook_sachin" xfId="16324" xr:uid="{00000000-0005-0000-0000-00006A3F0000}"/>
    <cellStyle name="_20061117Holux_WorldBankCMSScope_CMS_SOW_Deliverables_0430_FairPoint_FP comTechOps_ProgramWorkbook_sachin 2" xfId="16325" xr:uid="{00000000-0005-0000-0000-00006B3F0000}"/>
    <cellStyle name="_20061117Holux_WorldBankCMSScope_CMS_SOW_Deliverables_0430_FairPoint_FP comTechOps_ProgramWorkbook_sachin 2_Steps of Doneness" xfId="16326" xr:uid="{00000000-0005-0000-0000-00006C3F0000}"/>
    <cellStyle name="_20061117Holux_WorldBankCMSScope_CMS_SOW_Deliverables_0430_FairPoint_FP comTechOps_ProgramWorkbook_sachin 3" xfId="16327" xr:uid="{00000000-0005-0000-0000-00006D3F0000}"/>
    <cellStyle name="_20061117Holux_WorldBankCMSScope_CMS_SOW_Deliverables_0430_FairPoint_FP comTechOps_ProgramWorkbook_sachin_Steps of Doneness" xfId="16328" xr:uid="{00000000-0005-0000-0000-00006E3F0000}"/>
    <cellStyle name="_20061117Holux_WorldBankCMSScope_CMS_SOW_Deliverables_0430_FairPoint_FP comTechOps_ProgramWorkbook_sachin_v1" xfId="16329" xr:uid="{00000000-0005-0000-0000-00006F3F0000}"/>
    <cellStyle name="_20061117Holux_WorldBankCMSScope_CMS_SOW_Deliverables_0430_FairPoint_FP comTechOps_ProgramWorkbook_sachin_v1 2" xfId="16330" xr:uid="{00000000-0005-0000-0000-0000703F0000}"/>
    <cellStyle name="_20061117Holux_WorldBankCMSScope_CMS_SOW_Deliverables_0430_FairPoint_FP comTechOps_ProgramWorkbook_sachin_v1 2_Steps of Doneness" xfId="16331" xr:uid="{00000000-0005-0000-0000-0000713F0000}"/>
    <cellStyle name="_20061117Holux_WorldBankCMSScope_CMS_SOW_Deliverables_0430_FairPoint_FP comTechOps_ProgramWorkbook_sachin_v1 3" xfId="16332" xr:uid="{00000000-0005-0000-0000-0000723F0000}"/>
    <cellStyle name="_20061117Holux_WorldBankCMSScope_CMS_SOW_Deliverables_0430_FairPoint_FP comTechOps_ProgramWorkbook_sachin_v1_Steps of Doneness" xfId="16333" xr:uid="{00000000-0005-0000-0000-0000733F0000}"/>
    <cellStyle name="_20061117Holux_WorldBankCMSScope_CMS_SOW_Deliverables_0430_FairPoint_FP comTechOps_ProgramWorkbook_Steps of Doneness" xfId="16334" xr:uid="{00000000-0005-0000-0000-0000743F0000}"/>
    <cellStyle name="_20061117Holux_WorldBankCMSScope_CMS_SOW_Deliverables_0430_FP_CAMP&amp;ITReporting_Maintenance_Dashboard" xfId="16335" xr:uid="{00000000-0005-0000-0000-0000753F0000}"/>
    <cellStyle name="_20061117Holux_WorldBankCMSScope_CMS_SOW_Deliverables_0430_FP_CAMP&amp;ITReporting_Maintenance_Dashboard 2" xfId="16336" xr:uid="{00000000-0005-0000-0000-0000763F0000}"/>
    <cellStyle name="_20061117Holux_WorldBankCMSScope_CMS_SOW_Deliverables_0430_FP_CAMP&amp;ITReporting_Maintenance_Dashboard 2_Steps of Doneness" xfId="16337" xr:uid="{00000000-0005-0000-0000-0000773F0000}"/>
    <cellStyle name="_20061117Holux_WorldBankCMSScope_CMS_SOW_Deliverables_0430_FP_CAMP&amp;ITReporting_Maintenance_Dashboard 3" xfId="16338" xr:uid="{00000000-0005-0000-0000-0000783F0000}"/>
    <cellStyle name="_20061117Holux_WorldBankCMSScope_CMS_SOW_Deliverables_0430_FP_CAMP&amp;ITReporting_Maintenance_Dashboard_Steps of Doneness" xfId="16339" xr:uid="{00000000-0005-0000-0000-0000793F0000}"/>
    <cellStyle name="_20061117Holux_WorldBankCMSScope_CMS_SOW_Deliverables_0430_FP_CAMPITReporting_Maintenance_Dashboard" xfId="16340" xr:uid="{00000000-0005-0000-0000-00007A3F0000}"/>
    <cellStyle name="_20061117Holux_WorldBankCMSScope_CMS_SOW_Deliverables_0430_FP_CAMPITReporting_Maintenance_Dashboard 2" xfId="16341" xr:uid="{00000000-0005-0000-0000-00007B3F0000}"/>
    <cellStyle name="_20061117Holux_WorldBankCMSScope_CMS_SOW_Deliverables_0430_FP_CAMPITReporting_Maintenance_Dashboard 2_Steps of Doneness" xfId="16342" xr:uid="{00000000-0005-0000-0000-00007C3F0000}"/>
    <cellStyle name="_20061117Holux_WorldBankCMSScope_CMS_SOW_Deliverables_0430_FP_CAMPITReporting_Maintenance_Dashboard 3" xfId="16343" xr:uid="{00000000-0005-0000-0000-00007D3F0000}"/>
    <cellStyle name="_20061117Holux_WorldBankCMSScope_CMS_SOW_Deliverables_0430_FP_CAMPITReporting_Maintenance_Dashboard_Steps of Doneness" xfId="16344" xr:uid="{00000000-0005-0000-0000-00007E3F0000}"/>
    <cellStyle name="_20061117Holux_WorldBankCMSScope_CMS_SOW_Deliverables_0430_FP_Commissions_Req_Dn_ProgramWorkBook_10-Dec-2010" xfId="16345" xr:uid="{00000000-0005-0000-0000-00007F3F0000}"/>
    <cellStyle name="_20061117Holux_WorldBankCMSScope_CMS_SOW_Deliverables_0430_FP_Commissions_Req_Dn_ProgramWorkBook_10-Dec-2010 2" xfId="16346" xr:uid="{00000000-0005-0000-0000-0000803F0000}"/>
    <cellStyle name="_20061117Holux_WorldBankCMSScope_CMS_SOW_Deliverables_0430_FP_Commissions_Req_Dn_ProgramWorkBook_10-Dec-2010 2_Steps of Doneness" xfId="16347" xr:uid="{00000000-0005-0000-0000-0000813F0000}"/>
    <cellStyle name="_20061117Holux_WorldBankCMSScope_CMS_SOW_Deliverables_0430_FP_Commissions_Req_Dn_ProgramWorkBook_10-Dec-2010 3" xfId="16348" xr:uid="{00000000-0005-0000-0000-0000823F0000}"/>
    <cellStyle name="_20061117Holux_WorldBankCMSScope_CMS_SOW_Deliverables_0430_FP_Commissions_Req_Dn_ProgramWorkBook_10-Dec-2010_Steps of Doneness" xfId="16349" xr:uid="{00000000-0005-0000-0000-0000833F0000}"/>
    <cellStyle name="_20061117Holux_WorldBankCMSScope_CMS_SOW_Deliverables_0430_FP_DW_Impl_ProgramWorkBook_07-Jan-2011" xfId="16350" xr:uid="{00000000-0005-0000-0000-0000843F0000}"/>
    <cellStyle name="_20061117Holux_WorldBankCMSScope_CMS_SOW_Deliverables_0430_FP_DW_Impl_ProgramWorkBook_07-Jan-2011 2" xfId="16351" xr:uid="{00000000-0005-0000-0000-0000853F0000}"/>
    <cellStyle name="_20061117Holux_WorldBankCMSScope_CMS_SOW_Deliverables_0430_FP_DW_Impl_ProgramWorkBook_07-Jan-2011 2 2" xfId="16352" xr:uid="{00000000-0005-0000-0000-0000863F0000}"/>
    <cellStyle name="_20061117Holux_WorldBankCMSScope_CMS_SOW_Deliverables_0430_FP_DW_Impl_ProgramWorkBook_07-Jan-2011 2 2_Steps of Doneness" xfId="16353" xr:uid="{00000000-0005-0000-0000-0000873F0000}"/>
    <cellStyle name="_20061117Holux_WorldBankCMSScope_CMS_SOW_Deliverables_0430_FP_DW_Impl_ProgramWorkBook_07-Jan-2011 2 3" xfId="16354" xr:uid="{00000000-0005-0000-0000-0000883F0000}"/>
    <cellStyle name="_20061117Holux_WorldBankCMSScope_CMS_SOW_Deliverables_0430_FP_DW_Impl_ProgramWorkBook_07-Jan-2011 2_Steps of Doneness" xfId="16355" xr:uid="{00000000-0005-0000-0000-0000893F0000}"/>
    <cellStyle name="_20061117Holux_WorldBankCMSScope_CMS_SOW_Deliverables_0430_FP_DW_Impl_ProgramWorkBook_07-Jan-2011 3" xfId="16356" xr:uid="{00000000-0005-0000-0000-00008A3F0000}"/>
    <cellStyle name="_20061117Holux_WorldBankCMSScope_CMS_SOW_Deliverables_0430_FP_DW_Impl_ProgramWorkBook_07-Jan-2011 3_Steps of Doneness" xfId="16357" xr:uid="{00000000-0005-0000-0000-00008B3F0000}"/>
    <cellStyle name="_20061117Holux_WorldBankCMSScope_CMS_SOW_Deliverables_0430_FP_DW_Impl_ProgramWorkBook_07-Jan-2011 4" xfId="16358" xr:uid="{00000000-0005-0000-0000-00008C3F0000}"/>
    <cellStyle name="_20061117Holux_WorldBankCMSScope_CMS_SOW_Deliverables_0430_FP_DW_Impl_ProgramWorkBook_07-Jan-2011_Steps of Doneness" xfId="16359" xr:uid="{00000000-0005-0000-0000-00008D3F0000}"/>
    <cellStyle name="_20061117Holux_WorldBankCMSScope_CMS_SOW_Deliverables_0430_FP_DW_Impl_ProgramWorkBook_11-Feb-2011" xfId="16360" xr:uid="{00000000-0005-0000-0000-00008E3F0000}"/>
    <cellStyle name="_20061117Holux_WorldBankCMSScope_CMS_SOW_Deliverables_0430_FP_DW_Impl_ProgramWorkBook_11-Feb-2011 2" xfId="16361" xr:uid="{00000000-0005-0000-0000-00008F3F0000}"/>
    <cellStyle name="_20061117Holux_WorldBankCMSScope_CMS_SOW_Deliverables_0430_FP_DW_Impl_ProgramWorkBook_11-Feb-2011 2_Steps of Doneness" xfId="16362" xr:uid="{00000000-0005-0000-0000-0000903F0000}"/>
    <cellStyle name="_20061117Holux_WorldBankCMSScope_CMS_SOW_Deliverables_0430_FP_DW_Impl_ProgramWorkBook_11-Feb-2011 3" xfId="16363" xr:uid="{00000000-0005-0000-0000-0000913F0000}"/>
    <cellStyle name="_20061117Holux_WorldBankCMSScope_CMS_SOW_Deliverables_0430_FP_DW_Impl_ProgramWorkBook_11-Feb-2011_Steps of Doneness" xfId="16364" xr:uid="{00000000-0005-0000-0000-0000923F0000}"/>
    <cellStyle name="_20061117Holux_WorldBankCMSScope_CMS_SOW_Deliverables_0430_FP_DW_Impl_ProgramWorkBook_18-Feb-2011 - Working" xfId="16365" xr:uid="{00000000-0005-0000-0000-0000933F0000}"/>
    <cellStyle name="_20061117Holux_WorldBankCMSScope_CMS_SOW_Deliverables_0430_FP_DW_Impl_ProgramWorkBook_18-Feb-2011 - Working 2" xfId="16366" xr:uid="{00000000-0005-0000-0000-0000943F0000}"/>
    <cellStyle name="_20061117Holux_WorldBankCMSScope_CMS_SOW_Deliverables_0430_FP_DW_Impl_ProgramWorkBook_18-Feb-2011 - Working 2_Steps of Doneness" xfId="16367" xr:uid="{00000000-0005-0000-0000-0000953F0000}"/>
    <cellStyle name="_20061117Holux_WorldBankCMSScope_CMS_SOW_Deliverables_0430_FP_DW_Impl_ProgramWorkBook_18-Feb-2011 - Working 3" xfId="16368" xr:uid="{00000000-0005-0000-0000-0000963F0000}"/>
    <cellStyle name="_20061117Holux_WorldBankCMSScope_CMS_SOW_Deliverables_0430_FP_DW_Impl_ProgramWorkBook_18-Feb-2011 - Working_Steps of Doneness" xfId="16369" xr:uid="{00000000-0005-0000-0000-0000973F0000}"/>
    <cellStyle name="_20061117Holux_WorldBankCMSScope_CMS_SOW_Deliverables_0430_FP_EnterprisePortal_ProgramWorkbook" xfId="16370" xr:uid="{00000000-0005-0000-0000-0000983F0000}"/>
    <cellStyle name="_20061117Holux_WorldBankCMSScope_CMS_SOW_Deliverables_0430_FP_EnterprisePortal_ProgramWorkbook 2" xfId="16371" xr:uid="{00000000-0005-0000-0000-0000993F0000}"/>
    <cellStyle name="_20061117Holux_WorldBankCMSScope_CMS_SOW_Deliverables_0430_FP_EnterprisePortal_ProgramWorkbook 2_Steps of Doneness" xfId="16372" xr:uid="{00000000-0005-0000-0000-00009A3F0000}"/>
    <cellStyle name="_20061117Holux_WorldBankCMSScope_CMS_SOW_Deliverables_0430_FP_EnterprisePortal_ProgramWorkbook 3" xfId="16373" xr:uid="{00000000-0005-0000-0000-00009B3F0000}"/>
    <cellStyle name="_20061117Holux_WorldBankCMSScope_CMS_SOW_Deliverables_0430_FP_EnterprisePortal_ProgramWorkbook_Steps of Doneness" xfId="16374" xr:uid="{00000000-0005-0000-0000-00009C3F0000}"/>
    <cellStyle name="_20061117Holux_WorldBankCMSScope_CMS_SOW_Deliverables_0430_FP_SAP_MLP v2" xfId="16375" xr:uid="{00000000-0005-0000-0000-00009D3F0000}"/>
    <cellStyle name="_20061117Holux_WorldBankCMSScope_CMS_SOW_Deliverables_0430_FP_SAP_MLP v2 2" xfId="16376" xr:uid="{00000000-0005-0000-0000-00009E3F0000}"/>
    <cellStyle name="_20061117Holux_WorldBankCMSScope_CMS_SOW_Deliverables_0430_FP_SAP_MLP v2 2_Steps of Doneness" xfId="16377" xr:uid="{00000000-0005-0000-0000-00009F3F0000}"/>
    <cellStyle name="_20061117Holux_WorldBankCMSScope_CMS_SOW_Deliverables_0430_FP_SAP_MLP v2 3" xfId="16378" xr:uid="{00000000-0005-0000-0000-0000A03F0000}"/>
    <cellStyle name="_20061117Holux_WorldBankCMSScope_CMS_SOW_Deliverables_0430_FP_SAP_MLP v2_Steps of Doneness" xfId="16379" xr:uid="{00000000-0005-0000-0000-0000A13F0000}"/>
    <cellStyle name="_20061117Holux_WorldBankCMSScope_CMS_SOW_Deliverables_0430_KeyDecisions" xfId="16380" xr:uid="{00000000-0005-0000-0000-0000A23F0000}"/>
    <cellStyle name="_20061117Holux_WorldBankCMSScope_CMS_SOW_Deliverables_0430_KeyDecisions 2" xfId="16381" xr:uid="{00000000-0005-0000-0000-0000A33F0000}"/>
    <cellStyle name="_20061117Holux_WorldBankCMSScope_CMS_SOW_Deliverables_0430_KeyDecisions 2_Steps of Doneness" xfId="16382" xr:uid="{00000000-0005-0000-0000-0000A43F0000}"/>
    <cellStyle name="_20061117Holux_WorldBankCMSScope_CMS_SOW_Deliverables_0430_KeyDecisions 3" xfId="16383" xr:uid="{00000000-0005-0000-0000-0000A53F0000}"/>
    <cellStyle name="_20061117Holux_WorldBankCMSScope_CMS_SOW_Deliverables_0430_KeyDecisions_Steps of Doneness" xfId="16384" xr:uid="{00000000-0005-0000-0000-0000A63F0000}"/>
    <cellStyle name="_20061117Holux_WorldBankCMSScope_CMS_SOW_Deliverables_0430_Sophia_Imp_ProjectWorkBook_02_18_2011" xfId="16385" xr:uid="{00000000-0005-0000-0000-0000A73F0000}"/>
    <cellStyle name="_20061117Holux_WorldBankCMSScope_CMS_SOW_Deliverables_0430_Sophia_Imp_ProjectWorkBook_02_18_2011 2" xfId="16386" xr:uid="{00000000-0005-0000-0000-0000A83F0000}"/>
    <cellStyle name="_20061117Holux_WorldBankCMSScope_CMS_SOW_Deliverables_0430_Sophia_Imp_ProjectWorkBook_02_18_2011 2_Steps of Doneness" xfId="16387" xr:uid="{00000000-0005-0000-0000-0000A93F0000}"/>
    <cellStyle name="_20061117Holux_WorldBankCMSScope_CMS_SOW_Deliverables_0430_Sophia_Imp_ProjectWorkBook_02_18_2011 3" xfId="16388" xr:uid="{00000000-0005-0000-0000-0000AA3F0000}"/>
    <cellStyle name="_20061117Holux_WorldBankCMSScope_CMS_SOW_Deliverables_0430_Sophia_Imp_ProjectWorkBook_02_18_2011_Steps of Doneness" xfId="16389" xr:uid="{00000000-0005-0000-0000-0000AB3F0000}"/>
    <cellStyle name="_20061117Holux_WorldBankCMSScope_CMS_SOW_Deliverables_0430_Steps of Doneness" xfId="16390" xr:uid="{00000000-0005-0000-0000-0000AC3F0000}"/>
    <cellStyle name="_20061117Holux_WorldBankCMSScope_CMS_SOW_Deliverables_0430_t" xfId="16391" xr:uid="{00000000-0005-0000-0000-0000AD3F0000}"/>
    <cellStyle name="_20061117Holux_WorldBankCMSScope_CMS_SOW_Deliverables_0430_t 2" xfId="16392" xr:uid="{00000000-0005-0000-0000-0000AE3F0000}"/>
    <cellStyle name="_20061117Holux_WorldBankCMSScope_CMS_SOW_Deliverables_0430_t 2_Steps of Doneness" xfId="16393" xr:uid="{00000000-0005-0000-0000-0000AF3F0000}"/>
    <cellStyle name="_20061117Holux_WorldBankCMSScope_CMS_SOW_Deliverables_0430_t 3" xfId="16394" xr:uid="{00000000-0005-0000-0000-0000B03F0000}"/>
    <cellStyle name="_20061117Holux_WorldBankCMSScope_CMS_SOW_Deliverables_0430_t_Steps of Doneness" xfId="16395" xr:uid="{00000000-0005-0000-0000-0000B13F0000}"/>
    <cellStyle name="_20061117Holux_WorldBankCMSScope_CMS_Web_Design_Phase_Deliverables_0610" xfId="16396" xr:uid="{00000000-0005-0000-0000-0000B23F0000}"/>
    <cellStyle name="_20061117Holux_WorldBankCMSScope_CMS_Web_Design_Phase_Deliverables_0610 2" xfId="16397" xr:uid="{00000000-0005-0000-0000-0000B33F0000}"/>
    <cellStyle name="_20061117Holux_WorldBankCMSScope_CMS_Web_Design_Phase_Deliverables_0610 2 2" xfId="16398" xr:uid="{00000000-0005-0000-0000-0000B43F0000}"/>
    <cellStyle name="_20061117Holux_WorldBankCMSScope_CMS_Web_Design_Phase_Deliverables_0610 2 2_Steps of Doneness" xfId="16399" xr:uid="{00000000-0005-0000-0000-0000B53F0000}"/>
    <cellStyle name="_20061117Holux_WorldBankCMSScope_CMS_Web_Design_Phase_Deliverables_0610 2 3" xfId="16400" xr:uid="{00000000-0005-0000-0000-0000B63F0000}"/>
    <cellStyle name="_20061117Holux_WorldBankCMSScope_CMS_Web_Design_Phase_Deliverables_0610 2_Steps of Doneness" xfId="16401" xr:uid="{00000000-0005-0000-0000-0000B73F0000}"/>
    <cellStyle name="_20061117Holux_WorldBankCMSScope_CMS_Web_Design_Phase_Deliverables_0610 3" xfId="16402" xr:uid="{00000000-0005-0000-0000-0000B83F0000}"/>
    <cellStyle name="_20061117Holux_WorldBankCMSScope_CMS_Web_Design_Phase_Deliverables_0610 3_Steps of Doneness" xfId="16403" xr:uid="{00000000-0005-0000-0000-0000B93F0000}"/>
    <cellStyle name="_20061117Holux_WorldBankCMSScope_CMS_Web_Design_Phase_Deliverables_0610 4" xfId="16404" xr:uid="{00000000-0005-0000-0000-0000BA3F0000}"/>
    <cellStyle name="_20061117Holux_WorldBankCMSScope_CMS_Web_Design_Phase_Deliverables_0610_Commissioning System Implementation_Project Workbook_06_10_2011" xfId="16405" xr:uid="{00000000-0005-0000-0000-0000BB3F0000}"/>
    <cellStyle name="_20061117Holux_WorldBankCMSScope_CMS_Web_Design_Phase_Deliverables_0610_Commissioning System Implementation_Project Workbook_06_10_2011 2" xfId="16406" xr:uid="{00000000-0005-0000-0000-0000BC3F0000}"/>
    <cellStyle name="_20061117Holux_WorldBankCMSScope_CMS_Web_Design_Phase_Deliverables_0610_Commissioning System Implementation_Project Workbook_06_10_2011 2_Steps of Doneness" xfId="16407" xr:uid="{00000000-0005-0000-0000-0000BD3F0000}"/>
    <cellStyle name="_20061117Holux_WorldBankCMSScope_CMS_Web_Design_Phase_Deliverables_0610_Commissioning System Implementation_Project Workbook_06_10_2011 3" xfId="16408" xr:uid="{00000000-0005-0000-0000-0000BE3F0000}"/>
    <cellStyle name="_20061117Holux_WorldBankCMSScope_CMS_Web_Design_Phase_Deliverables_0610_Commissioning System Implementation_Project Workbook_06_10_2011_Steps of Doneness" xfId="16409" xr:uid="{00000000-0005-0000-0000-0000BF3F0000}"/>
    <cellStyle name="_20061117Holux_WorldBankCMSScope_CMS_Web_Design_Phase_Deliverables_0610_FairPoint_CampReport" xfId="16410" xr:uid="{00000000-0005-0000-0000-0000C03F0000}"/>
    <cellStyle name="_20061117Holux_WorldBankCMSScope_CMS_Web_Design_Phase_Deliverables_0610_FairPoint_CampReport 2" xfId="16411" xr:uid="{00000000-0005-0000-0000-0000C13F0000}"/>
    <cellStyle name="_20061117Holux_WorldBankCMSScope_CMS_Web_Design_Phase_Deliverables_0610_FairPoint_CampReport 2_Steps of Doneness" xfId="16412" xr:uid="{00000000-0005-0000-0000-0000C23F0000}"/>
    <cellStyle name="_20061117Holux_WorldBankCMSScope_CMS_Web_Design_Phase_Deliverables_0610_FairPoint_CampReport 3" xfId="16413" xr:uid="{00000000-0005-0000-0000-0000C33F0000}"/>
    <cellStyle name="_20061117Holux_WorldBankCMSScope_CMS_Web_Design_Phase_Deliverables_0610_FairPoint_CampReport_Steps of Doneness" xfId="16414" xr:uid="{00000000-0005-0000-0000-0000C43F0000}"/>
    <cellStyle name="_20061117Holux_WorldBankCMSScope_CMS_Web_Design_Phase_Deliverables_0610_FairPoint_FP comTechOps_ProgramWorkbook" xfId="16415" xr:uid="{00000000-0005-0000-0000-0000C53F0000}"/>
    <cellStyle name="_20061117Holux_WorldBankCMSScope_CMS_Web_Design_Phase_Deliverables_0610_FairPoint_FP comTechOps_ProgramWorkbook 2" xfId="16416" xr:uid="{00000000-0005-0000-0000-0000C63F0000}"/>
    <cellStyle name="_20061117Holux_WorldBankCMSScope_CMS_Web_Design_Phase_Deliverables_0610_FairPoint_FP comTechOps_ProgramWorkbook 2_Steps of Doneness" xfId="16417" xr:uid="{00000000-0005-0000-0000-0000C73F0000}"/>
    <cellStyle name="_20061117Holux_WorldBankCMSScope_CMS_Web_Design_Phase_Deliverables_0610_FairPoint_FP comTechOps_ProgramWorkbook 3" xfId="16418" xr:uid="{00000000-0005-0000-0000-0000C83F0000}"/>
    <cellStyle name="_20061117Holux_WorldBankCMSScope_CMS_Web_Design_Phase_Deliverables_0610_FairPoint_FP comTechOps_ProgramWorkbook_sachin" xfId="16419" xr:uid="{00000000-0005-0000-0000-0000C93F0000}"/>
    <cellStyle name="_20061117Holux_WorldBankCMSScope_CMS_Web_Design_Phase_Deliverables_0610_FairPoint_FP comTechOps_ProgramWorkbook_sachin 2" xfId="16420" xr:uid="{00000000-0005-0000-0000-0000CA3F0000}"/>
    <cellStyle name="_20061117Holux_WorldBankCMSScope_CMS_Web_Design_Phase_Deliverables_0610_FairPoint_FP comTechOps_ProgramWorkbook_sachin 2_Steps of Doneness" xfId="16421" xr:uid="{00000000-0005-0000-0000-0000CB3F0000}"/>
    <cellStyle name="_20061117Holux_WorldBankCMSScope_CMS_Web_Design_Phase_Deliverables_0610_FairPoint_FP comTechOps_ProgramWorkbook_sachin 3" xfId="16422" xr:uid="{00000000-0005-0000-0000-0000CC3F0000}"/>
    <cellStyle name="_20061117Holux_WorldBankCMSScope_CMS_Web_Design_Phase_Deliverables_0610_FairPoint_FP comTechOps_ProgramWorkbook_sachin_Steps of Doneness" xfId="16423" xr:uid="{00000000-0005-0000-0000-0000CD3F0000}"/>
    <cellStyle name="_20061117Holux_WorldBankCMSScope_CMS_Web_Design_Phase_Deliverables_0610_FairPoint_FP comTechOps_ProgramWorkbook_sachin_v1" xfId="16424" xr:uid="{00000000-0005-0000-0000-0000CE3F0000}"/>
    <cellStyle name="_20061117Holux_WorldBankCMSScope_CMS_Web_Design_Phase_Deliverables_0610_FairPoint_FP comTechOps_ProgramWorkbook_sachin_v1 2" xfId="16425" xr:uid="{00000000-0005-0000-0000-0000CF3F0000}"/>
    <cellStyle name="_20061117Holux_WorldBankCMSScope_CMS_Web_Design_Phase_Deliverables_0610_FairPoint_FP comTechOps_ProgramWorkbook_sachin_v1 2_Steps of Doneness" xfId="16426" xr:uid="{00000000-0005-0000-0000-0000D03F0000}"/>
    <cellStyle name="_20061117Holux_WorldBankCMSScope_CMS_Web_Design_Phase_Deliverables_0610_FairPoint_FP comTechOps_ProgramWorkbook_sachin_v1 3" xfId="16427" xr:uid="{00000000-0005-0000-0000-0000D13F0000}"/>
    <cellStyle name="_20061117Holux_WorldBankCMSScope_CMS_Web_Design_Phase_Deliverables_0610_FairPoint_FP comTechOps_ProgramWorkbook_sachin_v1_Steps of Doneness" xfId="16428" xr:uid="{00000000-0005-0000-0000-0000D23F0000}"/>
    <cellStyle name="_20061117Holux_WorldBankCMSScope_CMS_Web_Design_Phase_Deliverables_0610_FairPoint_FP comTechOps_ProgramWorkbook_Steps of Doneness" xfId="16429" xr:uid="{00000000-0005-0000-0000-0000D33F0000}"/>
    <cellStyle name="_20061117Holux_WorldBankCMSScope_CMS_Web_Design_Phase_Deliverables_0610_FP_CAMP&amp;ITReporting_Maintenance_Dashboard" xfId="16430" xr:uid="{00000000-0005-0000-0000-0000D43F0000}"/>
    <cellStyle name="_20061117Holux_WorldBankCMSScope_CMS_Web_Design_Phase_Deliverables_0610_FP_CAMP&amp;ITReporting_Maintenance_Dashboard 2" xfId="16431" xr:uid="{00000000-0005-0000-0000-0000D53F0000}"/>
    <cellStyle name="_20061117Holux_WorldBankCMSScope_CMS_Web_Design_Phase_Deliverables_0610_FP_CAMP&amp;ITReporting_Maintenance_Dashboard 2_Steps of Doneness" xfId="16432" xr:uid="{00000000-0005-0000-0000-0000D63F0000}"/>
    <cellStyle name="_20061117Holux_WorldBankCMSScope_CMS_Web_Design_Phase_Deliverables_0610_FP_CAMP&amp;ITReporting_Maintenance_Dashboard 3" xfId="16433" xr:uid="{00000000-0005-0000-0000-0000D73F0000}"/>
    <cellStyle name="_20061117Holux_WorldBankCMSScope_CMS_Web_Design_Phase_Deliverables_0610_FP_CAMP&amp;ITReporting_Maintenance_Dashboard_Steps of Doneness" xfId="16434" xr:uid="{00000000-0005-0000-0000-0000D83F0000}"/>
    <cellStyle name="_20061117Holux_WorldBankCMSScope_CMS_Web_Design_Phase_Deliverables_0610_FP_CAMPITReporting_Maintenance_Dashboard" xfId="16435" xr:uid="{00000000-0005-0000-0000-0000D93F0000}"/>
    <cellStyle name="_20061117Holux_WorldBankCMSScope_CMS_Web_Design_Phase_Deliverables_0610_FP_CAMPITReporting_Maintenance_Dashboard 2" xfId="16436" xr:uid="{00000000-0005-0000-0000-0000DA3F0000}"/>
    <cellStyle name="_20061117Holux_WorldBankCMSScope_CMS_Web_Design_Phase_Deliverables_0610_FP_CAMPITReporting_Maintenance_Dashboard 2_Steps of Doneness" xfId="16437" xr:uid="{00000000-0005-0000-0000-0000DB3F0000}"/>
    <cellStyle name="_20061117Holux_WorldBankCMSScope_CMS_Web_Design_Phase_Deliverables_0610_FP_CAMPITReporting_Maintenance_Dashboard 3" xfId="16438" xr:uid="{00000000-0005-0000-0000-0000DC3F0000}"/>
    <cellStyle name="_20061117Holux_WorldBankCMSScope_CMS_Web_Design_Phase_Deliverables_0610_FP_CAMPITReporting_Maintenance_Dashboard_Steps of Doneness" xfId="16439" xr:uid="{00000000-0005-0000-0000-0000DD3F0000}"/>
    <cellStyle name="_20061117Holux_WorldBankCMSScope_CMS_Web_Design_Phase_Deliverables_0610_FP_Commissions_Req_Dn_ProgramWorkBook_10-Dec-2010" xfId="16440" xr:uid="{00000000-0005-0000-0000-0000DE3F0000}"/>
    <cellStyle name="_20061117Holux_WorldBankCMSScope_CMS_Web_Design_Phase_Deliverables_0610_FP_Commissions_Req_Dn_ProgramWorkBook_10-Dec-2010 2" xfId="16441" xr:uid="{00000000-0005-0000-0000-0000DF3F0000}"/>
    <cellStyle name="_20061117Holux_WorldBankCMSScope_CMS_Web_Design_Phase_Deliverables_0610_FP_Commissions_Req_Dn_ProgramWorkBook_10-Dec-2010 2_Steps of Doneness" xfId="16442" xr:uid="{00000000-0005-0000-0000-0000E03F0000}"/>
    <cellStyle name="_20061117Holux_WorldBankCMSScope_CMS_Web_Design_Phase_Deliverables_0610_FP_Commissions_Req_Dn_ProgramWorkBook_10-Dec-2010 3" xfId="16443" xr:uid="{00000000-0005-0000-0000-0000E13F0000}"/>
    <cellStyle name="_20061117Holux_WorldBankCMSScope_CMS_Web_Design_Phase_Deliverables_0610_FP_Commissions_Req_Dn_ProgramWorkBook_10-Dec-2010_Steps of Doneness" xfId="16444" xr:uid="{00000000-0005-0000-0000-0000E23F0000}"/>
    <cellStyle name="_20061117Holux_WorldBankCMSScope_CMS_Web_Design_Phase_Deliverables_0610_FP_DW_Impl_ProgramWorkBook_07-Jan-2011" xfId="16445" xr:uid="{00000000-0005-0000-0000-0000E33F0000}"/>
    <cellStyle name="_20061117Holux_WorldBankCMSScope_CMS_Web_Design_Phase_Deliverables_0610_FP_DW_Impl_ProgramWorkBook_07-Jan-2011 2" xfId="16446" xr:uid="{00000000-0005-0000-0000-0000E43F0000}"/>
    <cellStyle name="_20061117Holux_WorldBankCMSScope_CMS_Web_Design_Phase_Deliverables_0610_FP_DW_Impl_ProgramWorkBook_07-Jan-2011 2 2" xfId="16447" xr:uid="{00000000-0005-0000-0000-0000E53F0000}"/>
    <cellStyle name="_20061117Holux_WorldBankCMSScope_CMS_Web_Design_Phase_Deliverables_0610_FP_DW_Impl_ProgramWorkBook_07-Jan-2011 2 2_Steps of Doneness" xfId="16448" xr:uid="{00000000-0005-0000-0000-0000E63F0000}"/>
    <cellStyle name="_20061117Holux_WorldBankCMSScope_CMS_Web_Design_Phase_Deliverables_0610_FP_DW_Impl_ProgramWorkBook_07-Jan-2011 2 3" xfId="16449" xr:uid="{00000000-0005-0000-0000-0000E73F0000}"/>
    <cellStyle name="_20061117Holux_WorldBankCMSScope_CMS_Web_Design_Phase_Deliverables_0610_FP_DW_Impl_ProgramWorkBook_07-Jan-2011 2_Steps of Doneness" xfId="16450" xr:uid="{00000000-0005-0000-0000-0000E83F0000}"/>
    <cellStyle name="_20061117Holux_WorldBankCMSScope_CMS_Web_Design_Phase_Deliverables_0610_FP_DW_Impl_ProgramWorkBook_07-Jan-2011 3" xfId="16451" xr:uid="{00000000-0005-0000-0000-0000E93F0000}"/>
    <cellStyle name="_20061117Holux_WorldBankCMSScope_CMS_Web_Design_Phase_Deliverables_0610_FP_DW_Impl_ProgramWorkBook_07-Jan-2011 3_Steps of Doneness" xfId="16452" xr:uid="{00000000-0005-0000-0000-0000EA3F0000}"/>
    <cellStyle name="_20061117Holux_WorldBankCMSScope_CMS_Web_Design_Phase_Deliverables_0610_FP_DW_Impl_ProgramWorkBook_07-Jan-2011 4" xfId="16453" xr:uid="{00000000-0005-0000-0000-0000EB3F0000}"/>
    <cellStyle name="_20061117Holux_WorldBankCMSScope_CMS_Web_Design_Phase_Deliverables_0610_FP_DW_Impl_ProgramWorkBook_07-Jan-2011_Steps of Doneness" xfId="16454" xr:uid="{00000000-0005-0000-0000-0000EC3F0000}"/>
    <cellStyle name="_20061117Holux_WorldBankCMSScope_CMS_Web_Design_Phase_Deliverables_0610_FP_DW_Impl_ProgramWorkBook_11-Feb-2011" xfId="16455" xr:uid="{00000000-0005-0000-0000-0000ED3F0000}"/>
    <cellStyle name="_20061117Holux_WorldBankCMSScope_CMS_Web_Design_Phase_Deliverables_0610_FP_DW_Impl_ProgramWorkBook_11-Feb-2011 2" xfId="16456" xr:uid="{00000000-0005-0000-0000-0000EE3F0000}"/>
    <cellStyle name="_20061117Holux_WorldBankCMSScope_CMS_Web_Design_Phase_Deliverables_0610_FP_DW_Impl_ProgramWorkBook_11-Feb-2011 2_Steps of Doneness" xfId="16457" xr:uid="{00000000-0005-0000-0000-0000EF3F0000}"/>
    <cellStyle name="_20061117Holux_WorldBankCMSScope_CMS_Web_Design_Phase_Deliverables_0610_FP_DW_Impl_ProgramWorkBook_11-Feb-2011 3" xfId="16458" xr:uid="{00000000-0005-0000-0000-0000F03F0000}"/>
    <cellStyle name="_20061117Holux_WorldBankCMSScope_CMS_Web_Design_Phase_Deliverables_0610_FP_DW_Impl_ProgramWorkBook_11-Feb-2011_Steps of Doneness" xfId="16459" xr:uid="{00000000-0005-0000-0000-0000F13F0000}"/>
    <cellStyle name="_20061117Holux_WorldBankCMSScope_CMS_Web_Design_Phase_Deliverables_0610_FP_DW_Impl_ProgramWorkBook_18-Feb-2011 - Working" xfId="16460" xr:uid="{00000000-0005-0000-0000-0000F23F0000}"/>
    <cellStyle name="_20061117Holux_WorldBankCMSScope_CMS_Web_Design_Phase_Deliverables_0610_FP_DW_Impl_ProgramWorkBook_18-Feb-2011 - Working 2" xfId="16461" xr:uid="{00000000-0005-0000-0000-0000F33F0000}"/>
    <cellStyle name="_20061117Holux_WorldBankCMSScope_CMS_Web_Design_Phase_Deliverables_0610_FP_DW_Impl_ProgramWorkBook_18-Feb-2011 - Working 2_Steps of Doneness" xfId="16462" xr:uid="{00000000-0005-0000-0000-0000F43F0000}"/>
    <cellStyle name="_20061117Holux_WorldBankCMSScope_CMS_Web_Design_Phase_Deliverables_0610_FP_DW_Impl_ProgramWorkBook_18-Feb-2011 - Working 3" xfId="16463" xr:uid="{00000000-0005-0000-0000-0000F53F0000}"/>
    <cellStyle name="_20061117Holux_WorldBankCMSScope_CMS_Web_Design_Phase_Deliverables_0610_FP_DW_Impl_ProgramWorkBook_18-Feb-2011 - Working_Steps of Doneness" xfId="16464" xr:uid="{00000000-0005-0000-0000-0000F63F0000}"/>
    <cellStyle name="_20061117Holux_WorldBankCMSScope_CMS_Web_Design_Phase_Deliverables_0610_FP_EnterprisePortal_ProgramWorkbook" xfId="16465" xr:uid="{00000000-0005-0000-0000-0000F73F0000}"/>
    <cellStyle name="_20061117Holux_WorldBankCMSScope_CMS_Web_Design_Phase_Deliverables_0610_FP_EnterprisePortal_ProgramWorkbook 2" xfId="16466" xr:uid="{00000000-0005-0000-0000-0000F83F0000}"/>
    <cellStyle name="_20061117Holux_WorldBankCMSScope_CMS_Web_Design_Phase_Deliverables_0610_FP_EnterprisePortal_ProgramWorkbook 2_Steps of Doneness" xfId="16467" xr:uid="{00000000-0005-0000-0000-0000F93F0000}"/>
    <cellStyle name="_20061117Holux_WorldBankCMSScope_CMS_Web_Design_Phase_Deliverables_0610_FP_EnterprisePortal_ProgramWorkbook 3" xfId="16468" xr:uid="{00000000-0005-0000-0000-0000FA3F0000}"/>
    <cellStyle name="_20061117Holux_WorldBankCMSScope_CMS_Web_Design_Phase_Deliverables_0610_FP_EnterprisePortal_ProgramWorkbook_Steps of Doneness" xfId="16469" xr:uid="{00000000-0005-0000-0000-0000FB3F0000}"/>
    <cellStyle name="_20061117Holux_WorldBankCMSScope_CMS_Web_Design_Phase_Deliverables_0610_FP_SAP_MLP v2" xfId="16470" xr:uid="{00000000-0005-0000-0000-0000FC3F0000}"/>
    <cellStyle name="_20061117Holux_WorldBankCMSScope_CMS_Web_Design_Phase_Deliverables_0610_FP_SAP_MLP v2 2" xfId="16471" xr:uid="{00000000-0005-0000-0000-0000FD3F0000}"/>
    <cellStyle name="_20061117Holux_WorldBankCMSScope_CMS_Web_Design_Phase_Deliverables_0610_FP_SAP_MLP v2 2_Steps of Doneness" xfId="16472" xr:uid="{00000000-0005-0000-0000-0000FE3F0000}"/>
    <cellStyle name="_20061117Holux_WorldBankCMSScope_CMS_Web_Design_Phase_Deliverables_0610_FP_SAP_MLP v2 3" xfId="16473" xr:uid="{00000000-0005-0000-0000-0000FF3F0000}"/>
    <cellStyle name="_20061117Holux_WorldBankCMSScope_CMS_Web_Design_Phase_Deliverables_0610_FP_SAP_MLP v2_Steps of Doneness" xfId="16474" xr:uid="{00000000-0005-0000-0000-000000400000}"/>
    <cellStyle name="_20061117Holux_WorldBankCMSScope_CMS_Web_Design_Phase_Deliverables_0610_KeyDecisions" xfId="16475" xr:uid="{00000000-0005-0000-0000-000001400000}"/>
    <cellStyle name="_20061117Holux_WorldBankCMSScope_CMS_Web_Design_Phase_Deliverables_0610_KeyDecisions 2" xfId="16476" xr:uid="{00000000-0005-0000-0000-000002400000}"/>
    <cellStyle name="_20061117Holux_WorldBankCMSScope_CMS_Web_Design_Phase_Deliverables_0610_KeyDecisions 2_Steps of Doneness" xfId="16477" xr:uid="{00000000-0005-0000-0000-000003400000}"/>
    <cellStyle name="_20061117Holux_WorldBankCMSScope_CMS_Web_Design_Phase_Deliverables_0610_KeyDecisions 3" xfId="16478" xr:uid="{00000000-0005-0000-0000-000004400000}"/>
    <cellStyle name="_20061117Holux_WorldBankCMSScope_CMS_Web_Design_Phase_Deliverables_0610_KeyDecisions_Steps of Doneness" xfId="16479" xr:uid="{00000000-0005-0000-0000-000005400000}"/>
    <cellStyle name="_20061117Holux_WorldBankCMSScope_CMS_Web_Design_Phase_Deliverables_0610_Sophia_Imp_ProjectWorkBook_02_18_2011" xfId="16480" xr:uid="{00000000-0005-0000-0000-000006400000}"/>
    <cellStyle name="_20061117Holux_WorldBankCMSScope_CMS_Web_Design_Phase_Deliverables_0610_Sophia_Imp_ProjectWorkBook_02_18_2011 2" xfId="16481" xr:uid="{00000000-0005-0000-0000-000007400000}"/>
    <cellStyle name="_20061117Holux_WorldBankCMSScope_CMS_Web_Design_Phase_Deliverables_0610_Sophia_Imp_ProjectWorkBook_02_18_2011 2_Steps of Doneness" xfId="16482" xr:uid="{00000000-0005-0000-0000-000008400000}"/>
    <cellStyle name="_20061117Holux_WorldBankCMSScope_CMS_Web_Design_Phase_Deliverables_0610_Sophia_Imp_ProjectWorkBook_02_18_2011 3" xfId="16483" xr:uid="{00000000-0005-0000-0000-000009400000}"/>
    <cellStyle name="_20061117Holux_WorldBankCMSScope_CMS_Web_Design_Phase_Deliverables_0610_Sophia_Imp_ProjectWorkBook_02_18_2011_Steps of Doneness" xfId="16484" xr:uid="{00000000-0005-0000-0000-00000A400000}"/>
    <cellStyle name="_20061117Holux_WorldBankCMSScope_CMS_Web_Design_Phase_Deliverables_0610_Steps of Doneness" xfId="16485" xr:uid="{00000000-0005-0000-0000-00000B400000}"/>
    <cellStyle name="_20061117Holux_WorldBankCMSScope_CMS_Web_Design_Phase_Deliverables_0610_t" xfId="16486" xr:uid="{00000000-0005-0000-0000-00000C400000}"/>
    <cellStyle name="_20061117Holux_WorldBankCMSScope_CMS_Web_Design_Phase_Deliverables_0610_t 2" xfId="16487" xr:uid="{00000000-0005-0000-0000-00000D400000}"/>
    <cellStyle name="_20061117Holux_WorldBankCMSScope_CMS_Web_Design_Phase_Deliverables_0610_t 2_Steps of Doneness" xfId="16488" xr:uid="{00000000-0005-0000-0000-00000E400000}"/>
    <cellStyle name="_20061117Holux_WorldBankCMSScope_CMS_Web_Design_Phase_Deliverables_0610_t 3" xfId="16489" xr:uid="{00000000-0005-0000-0000-00000F400000}"/>
    <cellStyle name="_20061117Holux_WorldBankCMSScope_CMS_Web_Design_Phase_Deliverables_0610_t_Steps of Doneness" xfId="16490" xr:uid="{00000000-0005-0000-0000-000010400000}"/>
    <cellStyle name="_20061117Holux_WorldBankCMSScope_CMS_Web_Design_Phase_Deliverables_0618a" xfId="16491" xr:uid="{00000000-0005-0000-0000-000011400000}"/>
    <cellStyle name="_20061117Holux_WorldBankCMSScope_CMS_Web_Design_Phase_Deliverables_0618a 2" xfId="16492" xr:uid="{00000000-0005-0000-0000-000012400000}"/>
    <cellStyle name="_20061117Holux_WorldBankCMSScope_CMS_Web_Design_Phase_Deliverables_0618a 2 2" xfId="16493" xr:uid="{00000000-0005-0000-0000-000013400000}"/>
    <cellStyle name="_20061117Holux_WorldBankCMSScope_CMS_Web_Design_Phase_Deliverables_0618a 2 2_Steps of Doneness" xfId="16494" xr:uid="{00000000-0005-0000-0000-000014400000}"/>
    <cellStyle name="_20061117Holux_WorldBankCMSScope_CMS_Web_Design_Phase_Deliverables_0618a 2 3" xfId="16495" xr:uid="{00000000-0005-0000-0000-000015400000}"/>
    <cellStyle name="_20061117Holux_WorldBankCMSScope_CMS_Web_Design_Phase_Deliverables_0618a 2_Steps of Doneness" xfId="16496" xr:uid="{00000000-0005-0000-0000-000016400000}"/>
    <cellStyle name="_20061117Holux_WorldBankCMSScope_CMS_Web_Design_Phase_Deliverables_0618a 3" xfId="16497" xr:uid="{00000000-0005-0000-0000-000017400000}"/>
    <cellStyle name="_20061117Holux_WorldBankCMSScope_CMS_Web_Design_Phase_Deliverables_0618a 3_Steps of Doneness" xfId="16498" xr:uid="{00000000-0005-0000-0000-000018400000}"/>
    <cellStyle name="_20061117Holux_WorldBankCMSScope_CMS_Web_Design_Phase_Deliverables_0618a 4" xfId="16499" xr:uid="{00000000-0005-0000-0000-000019400000}"/>
    <cellStyle name="_20061117Holux_WorldBankCMSScope_CMS_Web_Design_Phase_Deliverables_0618a_Commissioning System Implementation_Project Workbook_06_10_2011" xfId="16500" xr:uid="{00000000-0005-0000-0000-00001A400000}"/>
    <cellStyle name="_20061117Holux_WorldBankCMSScope_CMS_Web_Design_Phase_Deliverables_0618a_Commissioning System Implementation_Project Workbook_06_10_2011 2" xfId="16501" xr:uid="{00000000-0005-0000-0000-00001B400000}"/>
    <cellStyle name="_20061117Holux_WorldBankCMSScope_CMS_Web_Design_Phase_Deliverables_0618a_Commissioning System Implementation_Project Workbook_06_10_2011 2_Steps of Doneness" xfId="16502" xr:uid="{00000000-0005-0000-0000-00001C400000}"/>
    <cellStyle name="_20061117Holux_WorldBankCMSScope_CMS_Web_Design_Phase_Deliverables_0618a_Commissioning System Implementation_Project Workbook_06_10_2011 3" xfId="16503" xr:uid="{00000000-0005-0000-0000-00001D400000}"/>
    <cellStyle name="_20061117Holux_WorldBankCMSScope_CMS_Web_Design_Phase_Deliverables_0618a_Commissioning System Implementation_Project Workbook_06_10_2011_Steps of Doneness" xfId="16504" xr:uid="{00000000-0005-0000-0000-00001E400000}"/>
    <cellStyle name="_20061117Holux_WorldBankCMSScope_CMS_Web_Design_Phase_Deliverables_0618a_FairPoint_CampReport" xfId="16505" xr:uid="{00000000-0005-0000-0000-00001F400000}"/>
    <cellStyle name="_20061117Holux_WorldBankCMSScope_CMS_Web_Design_Phase_Deliverables_0618a_FairPoint_CampReport 2" xfId="16506" xr:uid="{00000000-0005-0000-0000-000020400000}"/>
    <cellStyle name="_20061117Holux_WorldBankCMSScope_CMS_Web_Design_Phase_Deliverables_0618a_FairPoint_CampReport 2_Steps of Doneness" xfId="16507" xr:uid="{00000000-0005-0000-0000-000021400000}"/>
    <cellStyle name="_20061117Holux_WorldBankCMSScope_CMS_Web_Design_Phase_Deliverables_0618a_FairPoint_CampReport 3" xfId="16508" xr:uid="{00000000-0005-0000-0000-000022400000}"/>
    <cellStyle name="_20061117Holux_WorldBankCMSScope_CMS_Web_Design_Phase_Deliverables_0618a_FairPoint_CampReport_Steps of Doneness" xfId="16509" xr:uid="{00000000-0005-0000-0000-000023400000}"/>
    <cellStyle name="_20061117Holux_WorldBankCMSScope_CMS_Web_Design_Phase_Deliverables_0618a_FairPoint_FP comTechOps_ProgramWorkbook" xfId="16510" xr:uid="{00000000-0005-0000-0000-000024400000}"/>
    <cellStyle name="_20061117Holux_WorldBankCMSScope_CMS_Web_Design_Phase_Deliverables_0618a_FairPoint_FP comTechOps_ProgramWorkbook 2" xfId="16511" xr:uid="{00000000-0005-0000-0000-000025400000}"/>
    <cellStyle name="_20061117Holux_WorldBankCMSScope_CMS_Web_Design_Phase_Deliverables_0618a_FairPoint_FP comTechOps_ProgramWorkbook 2_Steps of Doneness" xfId="16512" xr:uid="{00000000-0005-0000-0000-000026400000}"/>
    <cellStyle name="_20061117Holux_WorldBankCMSScope_CMS_Web_Design_Phase_Deliverables_0618a_FairPoint_FP comTechOps_ProgramWorkbook 3" xfId="16513" xr:uid="{00000000-0005-0000-0000-000027400000}"/>
    <cellStyle name="_20061117Holux_WorldBankCMSScope_CMS_Web_Design_Phase_Deliverables_0618a_FairPoint_FP comTechOps_ProgramWorkbook_sachin" xfId="16514" xr:uid="{00000000-0005-0000-0000-000028400000}"/>
    <cellStyle name="_20061117Holux_WorldBankCMSScope_CMS_Web_Design_Phase_Deliverables_0618a_FairPoint_FP comTechOps_ProgramWorkbook_sachin 2" xfId="16515" xr:uid="{00000000-0005-0000-0000-000029400000}"/>
    <cellStyle name="_20061117Holux_WorldBankCMSScope_CMS_Web_Design_Phase_Deliverables_0618a_FairPoint_FP comTechOps_ProgramWorkbook_sachin 2_Steps of Doneness" xfId="16516" xr:uid="{00000000-0005-0000-0000-00002A400000}"/>
    <cellStyle name="_20061117Holux_WorldBankCMSScope_CMS_Web_Design_Phase_Deliverables_0618a_FairPoint_FP comTechOps_ProgramWorkbook_sachin 3" xfId="16517" xr:uid="{00000000-0005-0000-0000-00002B400000}"/>
    <cellStyle name="_20061117Holux_WorldBankCMSScope_CMS_Web_Design_Phase_Deliverables_0618a_FairPoint_FP comTechOps_ProgramWorkbook_sachin_Steps of Doneness" xfId="16518" xr:uid="{00000000-0005-0000-0000-00002C400000}"/>
    <cellStyle name="_20061117Holux_WorldBankCMSScope_CMS_Web_Design_Phase_Deliverables_0618a_FairPoint_FP comTechOps_ProgramWorkbook_sachin_v1" xfId="16519" xr:uid="{00000000-0005-0000-0000-00002D400000}"/>
    <cellStyle name="_20061117Holux_WorldBankCMSScope_CMS_Web_Design_Phase_Deliverables_0618a_FairPoint_FP comTechOps_ProgramWorkbook_sachin_v1 2" xfId="16520" xr:uid="{00000000-0005-0000-0000-00002E400000}"/>
    <cellStyle name="_20061117Holux_WorldBankCMSScope_CMS_Web_Design_Phase_Deliverables_0618a_FairPoint_FP comTechOps_ProgramWorkbook_sachin_v1 2_Steps of Doneness" xfId="16521" xr:uid="{00000000-0005-0000-0000-00002F400000}"/>
    <cellStyle name="_20061117Holux_WorldBankCMSScope_CMS_Web_Design_Phase_Deliverables_0618a_FairPoint_FP comTechOps_ProgramWorkbook_sachin_v1 3" xfId="16522" xr:uid="{00000000-0005-0000-0000-000030400000}"/>
    <cellStyle name="_20061117Holux_WorldBankCMSScope_CMS_Web_Design_Phase_Deliverables_0618a_FairPoint_FP comTechOps_ProgramWorkbook_sachin_v1_Steps of Doneness" xfId="16523" xr:uid="{00000000-0005-0000-0000-000031400000}"/>
    <cellStyle name="_20061117Holux_WorldBankCMSScope_CMS_Web_Design_Phase_Deliverables_0618a_FairPoint_FP comTechOps_ProgramWorkbook_Steps of Doneness" xfId="16524" xr:uid="{00000000-0005-0000-0000-000032400000}"/>
    <cellStyle name="_20061117Holux_WorldBankCMSScope_CMS_Web_Design_Phase_Deliverables_0618a_FP_CAMP&amp;ITReporting_Maintenance_Dashboard" xfId="16525" xr:uid="{00000000-0005-0000-0000-000033400000}"/>
    <cellStyle name="_20061117Holux_WorldBankCMSScope_CMS_Web_Design_Phase_Deliverables_0618a_FP_CAMP&amp;ITReporting_Maintenance_Dashboard 2" xfId="16526" xr:uid="{00000000-0005-0000-0000-000034400000}"/>
    <cellStyle name="_20061117Holux_WorldBankCMSScope_CMS_Web_Design_Phase_Deliverables_0618a_FP_CAMP&amp;ITReporting_Maintenance_Dashboard 2_Steps of Doneness" xfId="16527" xr:uid="{00000000-0005-0000-0000-000035400000}"/>
    <cellStyle name="_20061117Holux_WorldBankCMSScope_CMS_Web_Design_Phase_Deliverables_0618a_FP_CAMP&amp;ITReporting_Maintenance_Dashboard 3" xfId="16528" xr:uid="{00000000-0005-0000-0000-000036400000}"/>
    <cellStyle name="_20061117Holux_WorldBankCMSScope_CMS_Web_Design_Phase_Deliverables_0618a_FP_CAMP&amp;ITReporting_Maintenance_Dashboard_Steps of Doneness" xfId="16529" xr:uid="{00000000-0005-0000-0000-000037400000}"/>
    <cellStyle name="_20061117Holux_WorldBankCMSScope_CMS_Web_Design_Phase_Deliverables_0618a_FP_CAMPITReporting_Maintenance_Dashboard" xfId="16530" xr:uid="{00000000-0005-0000-0000-000038400000}"/>
    <cellStyle name="_20061117Holux_WorldBankCMSScope_CMS_Web_Design_Phase_Deliverables_0618a_FP_CAMPITReporting_Maintenance_Dashboard 2" xfId="16531" xr:uid="{00000000-0005-0000-0000-000039400000}"/>
    <cellStyle name="_20061117Holux_WorldBankCMSScope_CMS_Web_Design_Phase_Deliverables_0618a_FP_CAMPITReporting_Maintenance_Dashboard 2_Steps of Doneness" xfId="16532" xr:uid="{00000000-0005-0000-0000-00003A400000}"/>
    <cellStyle name="_20061117Holux_WorldBankCMSScope_CMS_Web_Design_Phase_Deliverables_0618a_FP_CAMPITReporting_Maintenance_Dashboard 3" xfId="16533" xr:uid="{00000000-0005-0000-0000-00003B400000}"/>
    <cellStyle name="_20061117Holux_WorldBankCMSScope_CMS_Web_Design_Phase_Deliverables_0618a_FP_CAMPITReporting_Maintenance_Dashboard_Steps of Doneness" xfId="16534" xr:uid="{00000000-0005-0000-0000-00003C400000}"/>
    <cellStyle name="_20061117Holux_WorldBankCMSScope_CMS_Web_Design_Phase_Deliverables_0618a_FP_Commissions_Req_Dn_ProgramWorkBook_10-Dec-2010" xfId="16535" xr:uid="{00000000-0005-0000-0000-00003D400000}"/>
    <cellStyle name="_20061117Holux_WorldBankCMSScope_CMS_Web_Design_Phase_Deliverables_0618a_FP_Commissions_Req_Dn_ProgramWorkBook_10-Dec-2010 2" xfId="16536" xr:uid="{00000000-0005-0000-0000-00003E400000}"/>
    <cellStyle name="_20061117Holux_WorldBankCMSScope_CMS_Web_Design_Phase_Deliverables_0618a_FP_Commissions_Req_Dn_ProgramWorkBook_10-Dec-2010 2_Steps of Doneness" xfId="16537" xr:uid="{00000000-0005-0000-0000-00003F400000}"/>
    <cellStyle name="_20061117Holux_WorldBankCMSScope_CMS_Web_Design_Phase_Deliverables_0618a_FP_Commissions_Req_Dn_ProgramWorkBook_10-Dec-2010 3" xfId="16538" xr:uid="{00000000-0005-0000-0000-000040400000}"/>
    <cellStyle name="_20061117Holux_WorldBankCMSScope_CMS_Web_Design_Phase_Deliverables_0618a_FP_Commissions_Req_Dn_ProgramWorkBook_10-Dec-2010_Steps of Doneness" xfId="16539" xr:uid="{00000000-0005-0000-0000-000041400000}"/>
    <cellStyle name="_20061117Holux_WorldBankCMSScope_CMS_Web_Design_Phase_Deliverables_0618a_FP_DW_Impl_ProgramWorkBook_07-Jan-2011" xfId="16540" xr:uid="{00000000-0005-0000-0000-000042400000}"/>
    <cellStyle name="_20061117Holux_WorldBankCMSScope_CMS_Web_Design_Phase_Deliverables_0618a_FP_DW_Impl_ProgramWorkBook_07-Jan-2011 2" xfId="16541" xr:uid="{00000000-0005-0000-0000-000043400000}"/>
    <cellStyle name="_20061117Holux_WorldBankCMSScope_CMS_Web_Design_Phase_Deliverables_0618a_FP_DW_Impl_ProgramWorkBook_07-Jan-2011 2 2" xfId="16542" xr:uid="{00000000-0005-0000-0000-000044400000}"/>
    <cellStyle name="_20061117Holux_WorldBankCMSScope_CMS_Web_Design_Phase_Deliverables_0618a_FP_DW_Impl_ProgramWorkBook_07-Jan-2011 2 2_Steps of Doneness" xfId="16543" xr:uid="{00000000-0005-0000-0000-000045400000}"/>
    <cellStyle name="_20061117Holux_WorldBankCMSScope_CMS_Web_Design_Phase_Deliverables_0618a_FP_DW_Impl_ProgramWorkBook_07-Jan-2011 2 3" xfId="16544" xr:uid="{00000000-0005-0000-0000-000046400000}"/>
    <cellStyle name="_20061117Holux_WorldBankCMSScope_CMS_Web_Design_Phase_Deliverables_0618a_FP_DW_Impl_ProgramWorkBook_07-Jan-2011 2_Steps of Doneness" xfId="16545" xr:uid="{00000000-0005-0000-0000-000047400000}"/>
    <cellStyle name="_20061117Holux_WorldBankCMSScope_CMS_Web_Design_Phase_Deliverables_0618a_FP_DW_Impl_ProgramWorkBook_07-Jan-2011 3" xfId="16546" xr:uid="{00000000-0005-0000-0000-000048400000}"/>
    <cellStyle name="_20061117Holux_WorldBankCMSScope_CMS_Web_Design_Phase_Deliverables_0618a_FP_DW_Impl_ProgramWorkBook_07-Jan-2011 3_Steps of Doneness" xfId="16547" xr:uid="{00000000-0005-0000-0000-000049400000}"/>
    <cellStyle name="_20061117Holux_WorldBankCMSScope_CMS_Web_Design_Phase_Deliverables_0618a_FP_DW_Impl_ProgramWorkBook_07-Jan-2011 4" xfId="16548" xr:uid="{00000000-0005-0000-0000-00004A400000}"/>
    <cellStyle name="_20061117Holux_WorldBankCMSScope_CMS_Web_Design_Phase_Deliverables_0618a_FP_DW_Impl_ProgramWorkBook_07-Jan-2011_Steps of Doneness" xfId="16549" xr:uid="{00000000-0005-0000-0000-00004B400000}"/>
    <cellStyle name="_20061117Holux_WorldBankCMSScope_CMS_Web_Design_Phase_Deliverables_0618a_FP_DW_Impl_ProgramWorkBook_11-Feb-2011" xfId="16550" xr:uid="{00000000-0005-0000-0000-00004C400000}"/>
    <cellStyle name="_20061117Holux_WorldBankCMSScope_CMS_Web_Design_Phase_Deliverables_0618a_FP_DW_Impl_ProgramWorkBook_11-Feb-2011 2" xfId="16551" xr:uid="{00000000-0005-0000-0000-00004D400000}"/>
    <cellStyle name="_20061117Holux_WorldBankCMSScope_CMS_Web_Design_Phase_Deliverables_0618a_FP_DW_Impl_ProgramWorkBook_11-Feb-2011 2_Steps of Doneness" xfId="16552" xr:uid="{00000000-0005-0000-0000-00004E400000}"/>
    <cellStyle name="_20061117Holux_WorldBankCMSScope_CMS_Web_Design_Phase_Deliverables_0618a_FP_DW_Impl_ProgramWorkBook_11-Feb-2011 3" xfId="16553" xr:uid="{00000000-0005-0000-0000-00004F400000}"/>
    <cellStyle name="_20061117Holux_WorldBankCMSScope_CMS_Web_Design_Phase_Deliverables_0618a_FP_DW_Impl_ProgramWorkBook_11-Feb-2011_Steps of Doneness" xfId="16554" xr:uid="{00000000-0005-0000-0000-000050400000}"/>
    <cellStyle name="_20061117Holux_WorldBankCMSScope_CMS_Web_Design_Phase_Deliverables_0618a_FP_DW_Impl_ProgramWorkBook_18-Feb-2011 - Working" xfId="16555" xr:uid="{00000000-0005-0000-0000-000051400000}"/>
    <cellStyle name="_20061117Holux_WorldBankCMSScope_CMS_Web_Design_Phase_Deliverables_0618a_FP_DW_Impl_ProgramWorkBook_18-Feb-2011 - Working 2" xfId="16556" xr:uid="{00000000-0005-0000-0000-000052400000}"/>
    <cellStyle name="_20061117Holux_WorldBankCMSScope_CMS_Web_Design_Phase_Deliverables_0618a_FP_DW_Impl_ProgramWorkBook_18-Feb-2011 - Working 2_Steps of Doneness" xfId="16557" xr:uid="{00000000-0005-0000-0000-000053400000}"/>
    <cellStyle name="_20061117Holux_WorldBankCMSScope_CMS_Web_Design_Phase_Deliverables_0618a_FP_DW_Impl_ProgramWorkBook_18-Feb-2011 - Working 3" xfId="16558" xr:uid="{00000000-0005-0000-0000-000054400000}"/>
    <cellStyle name="_20061117Holux_WorldBankCMSScope_CMS_Web_Design_Phase_Deliverables_0618a_FP_DW_Impl_ProgramWorkBook_18-Feb-2011 - Working_Steps of Doneness" xfId="16559" xr:uid="{00000000-0005-0000-0000-000055400000}"/>
    <cellStyle name="_20061117Holux_WorldBankCMSScope_CMS_Web_Design_Phase_Deliverables_0618a_FP_EnterprisePortal_ProgramWorkbook" xfId="16560" xr:uid="{00000000-0005-0000-0000-000056400000}"/>
    <cellStyle name="_20061117Holux_WorldBankCMSScope_CMS_Web_Design_Phase_Deliverables_0618a_FP_EnterprisePortal_ProgramWorkbook 2" xfId="16561" xr:uid="{00000000-0005-0000-0000-000057400000}"/>
    <cellStyle name="_20061117Holux_WorldBankCMSScope_CMS_Web_Design_Phase_Deliverables_0618a_FP_EnterprisePortal_ProgramWorkbook 2_Steps of Doneness" xfId="16562" xr:uid="{00000000-0005-0000-0000-000058400000}"/>
    <cellStyle name="_20061117Holux_WorldBankCMSScope_CMS_Web_Design_Phase_Deliverables_0618a_FP_EnterprisePortal_ProgramWorkbook 3" xfId="16563" xr:uid="{00000000-0005-0000-0000-000059400000}"/>
    <cellStyle name="_20061117Holux_WorldBankCMSScope_CMS_Web_Design_Phase_Deliverables_0618a_FP_EnterprisePortal_ProgramWorkbook_Steps of Doneness" xfId="16564" xr:uid="{00000000-0005-0000-0000-00005A400000}"/>
    <cellStyle name="_20061117Holux_WorldBankCMSScope_CMS_Web_Design_Phase_Deliverables_0618a_FP_SAP_MLP v2" xfId="16565" xr:uid="{00000000-0005-0000-0000-00005B400000}"/>
    <cellStyle name="_20061117Holux_WorldBankCMSScope_CMS_Web_Design_Phase_Deliverables_0618a_FP_SAP_MLP v2 2" xfId="16566" xr:uid="{00000000-0005-0000-0000-00005C400000}"/>
    <cellStyle name="_20061117Holux_WorldBankCMSScope_CMS_Web_Design_Phase_Deliverables_0618a_FP_SAP_MLP v2 2_Steps of Doneness" xfId="16567" xr:uid="{00000000-0005-0000-0000-00005D400000}"/>
    <cellStyle name="_20061117Holux_WorldBankCMSScope_CMS_Web_Design_Phase_Deliverables_0618a_FP_SAP_MLP v2 3" xfId="16568" xr:uid="{00000000-0005-0000-0000-00005E400000}"/>
    <cellStyle name="_20061117Holux_WorldBankCMSScope_CMS_Web_Design_Phase_Deliverables_0618a_FP_SAP_MLP v2_Steps of Doneness" xfId="16569" xr:uid="{00000000-0005-0000-0000-00005F400000}"/>
    <cellStyle name="_20061117Holux_WorldBankCMSScope_CMS_Web_Design_Phase_Deliverables_0618a_KeyDecisions" xfId="16570" xr:uid="{00000000-0005-0000-0000-000060400000}"/>
    <cellStyle name="_20061117Holux_WorldBankCMSScope_CMS_Web_Design_Phase_Deliverables_0618a_KeyDecisions 2" xfId="16571" xr:uid="{00000000-0005-0000-0000-000061400000}"/>
    <cellStyle name="_20061117Holux_WorldBankCMSScope_CMS_Web_Design_Phase_Deliverables_0618a_KeyDecisions 2_Steps of Doneness" xfId="16572" xr:uid="{00000000-0005-0000-0000-000062400000}"/>
    <cellStyle name="_20061117Holux_WorldBankCMSScope_CMS_Web_Design_Phase_Deliverables_0618a_KeyDecisions 3" xfId="16573" xr:uid="{00000000-0005-0000-0000-000063400000}"/>
    <cellStyle name="_20061117Holux_WorldBankCMSScope_CMS_Web_Design_Phase_Deliverables_0618a_KeyDecisions_Steps of Doneness" xfId="16574" xr:uid="{00000000-0005-0000-0000-000064400000}"/>
    <cellStyle name="_20061117Holux_WorldBankCMSScope_CMS_Web_Design_Phase_Deliverables_0618a_Sophia_Imp_ProjectWorkBook_02_18_2011" xfId="16575" xr:uid="{00000000-0005-0000-0000-000065400000}"/>
    <cellStyle name="_20061117Holux_WorldBankCMSScope_CMS_Web_Design_Phase_Deliverables_0618a_Sophia_Imp_ProjectWorkBook_02_18_2011 2" xfId="16576" xr:uid="{00000000-0005-0000-0000-000066400000}"/>
    <cellStyle name="_20061117Holux_WorldBankCMSScope_CMS_Web_Design_Phase_Deliverables_0618a_Sophia_Imp_ProjectWorkBook_02_18_2011 2_Steps of Doneness" xfId="16577" xr:uid="{00000000-0005-0000-0000-000067400000}"/>
    <cellStyle name="_20061117Holux_WorldBankCMSScope_CMS_Web_Design_Phase_Deliverables_0618a_Sophia_Imp_ProjectWorkBook_02_18_2011 3" xfId="16578" xr:uid="{00000000-0005-0000-0000-000068400000}"/>
    <cellStyle name="_20061117Holux_WorldBankCMSScope_CMS_Web_Design_Phase_Deliverables_0618a_Sophia_Imp_ProjectWorkBook_02_18_2011_Steps of Doneness" xfId="16579" xr:uid="{00000000-0005-0000-0000-000069400000}"/>
    <cellStyle name="_20061117Holux_WorldBankCMSScope_CMS_Web_Design_Phase_Deliverables_0618a_Steps of Doneness" xfId="16580" xr:uid="{00000000-0005-0000-0000-00006A400000}"/>
    <cellStyle name="_20061117Holux_WorldBankCMSScope_CMS_Web_Design_Phase_Deliverables_0618a_t" xfId="16581" xr:uid="{00000000-0005-0000-0000-00006B400000}"/>
    <cellStyle name="_20061117Holux_WorldBankCMSScope_CMS_Web_Design_Phase_Deliverables_0618a_t 2" xfId="16582" xr:uid="{00000000-0005-0000-0000-00006C400000}"/>
    <cellStyle name="_20061117Holux_WorldBankCMSScope_CMS_Web_Design_Phase_Deliverables_0618a_t 2_Steps of Doneness" xfId="16583" xr:uid="{00000000-0005-0000-0000-00006D400000}"/>
    <cellStyle name="_20061117Holux_WorldBankCMSScope_CMS_Web_Design_Phase_Deliverables_0618a_t 3" xfId="16584" xr:uid="{00000000-0005-0000-0000-00006E400000}"/>
    <cellStyle name="_20061117Holux_WorldBankCMSScope_CMS_Web_Design_Phase_Deliverables_0618a_t_Steps of Doneness" xfId="16585" xr:uid="{00000000-0005-0000-0000-00006F400000}"/>
    <cellStyle name="_20061117Holux_WorldBankCMSScope_CMS_Web_Design_Phase_Deliverables_0621" xfId="16586" xr:uid="{00000000-0005-0000-0000-000070400000}"/>
    <cellStyle name="_20061117Holux_WorldBankCMSScope_CMS_Web_Design_Phase_Deliverables_0621 2" xfId="16587" xr:uid="{00000000-0005-0000-0000-000071400000}"/>
    <cellStyle name="_20061117Holux_WorldBankCMSScope_CMS_Web_Design_Phase_Deliverables_0621 2 2" xfId="16588" xr:uid="{00000000-0005-0000-0000-000072400000}"/>
    <cellStyle name="_20061117Holux_WorldBankCMSScope_CMS_Web_Design_Phase_Deliverables_0621 2 2_Steps of Doneness" xfId="16589" xr:uid="{00000000-0005-0000-0000-000073400000}"/>
    <cellStyle name="_20061117Holux_WorldBankCMSScope_CMS_Web_Design_Phase_Deliverables_0621 2 3" xfId="16590" xr:uid="{00000000-0005-0000-0000-000074400000}"/>
    <cellStyle name="_20061117Holux_WorldBankCMSScope_CMS_Web_Design_Phase_Deliverables_0621 2_Steps of Doneness" xfId="16591" xr:uid="{00000000-0005-0000-0000-000075400000}"/>
    <cellStyle name="_20061117Holux_WorldBankCMSScope_CMS_Web_Design_Phase_Deliverables_0621 3" xfId="16592" xr:uid="{00000000-0005-0000-0000-000076400000}"/>
    <cellStyle name="_20061117Holux_WorldBankCMSScope_CMS_Web_Design_Phase_Deliverables_0621 3_Steps of Doneness" xfId="16593" xr:uid="{00000000-0005-0000-0000-000077400000}"/>
    <cellStyle name="_20061117Holux_WorldBankCMSScope_CMS_Web_Design_Phase_Deliverables_0621 4" xfId="16594" xr:uid="{00000000-0005-0000-0000-000078400000}"/>
    <cellStyle name="_20061117Holux_WorldBankCMSScope_CMS_Web_Design_Phase_Deliverables_0621_Commissioning System Implementation_Project Workbook_06_10_2011" xfId="16595" xr:uid="{00000000-0005-0000-0000-000079400000}"/>
    <cellStyle name="_20061117Holux_WorldBankCMSScope_CMS_Web_Design_Phase_Deliverables_0621_Commissioning System Implementation_Project Workbook_06_10_2011 2" xfId="16596" xr:uid="{00000000-0005-0000-0000-00007A400000}"/>
    <cellStyle name="_20061117Holux_WorldBankCMSScope_CMS_Web_Design_Phase_Deliverables_0621_Commissioning System Implementation_Project Workbook_06_10_2011 2_Steps of Doneness" xfId="16597" xr:uid="{00000000-0005-0000-0000-00007B400000}"/>
    <cellStyle name="_20061117Holux_WorldBankCMSScope_CMS_Web_Design_Phase_Deliverables_0621_Commissioning System Implementation_Project Workbook_06_10_2011 3" xfId="16598" xr:uid="{00000000-0005-0000-0000-00007C400000}"/>
    <cellStyle name="_20061117Holux_WorldBankCMSScope_CMS_Web_Design_Phase_Deliverables_0621_Commissioning System Implementation_Project Workbook_06_10_2011_Steps of Doneness" xfId="16599" xr:uid="{00000000-0005-0000-0000-00007D400000}"/>
    <cellStyle name="_20061117Holux_WorldBankCMSScope_CMS_Web_Design_Phase_Deliverables_0621_FairPoint_CampReport" xfId="16600" xr:uid="{00000000-0005-0000-0000-00007E400000}"/>
    <cellStyle name="_20061117Holux_WorldBankCMSScope_CMS_Web_Design_Phase_Deliverables_0621_FairPoint_CampReport 2" xfId="16601" xr:uid="{00000000-0005-0000-0000-00007F400000}"/>
    <cellStyle name="_20061117Holux_WorldBankCMSScope_CMS_Web_Design_Phase_Deliverables_0621_FairPoint_CampReport 2_Steps of Doneness" xfId="16602" xr:uid="{00000000-0005-0000-0000-000080400000}"/>
    <cellStyle name="_20061117Holux_WorldBankCMSScope_CMS_Web_Design_Phase_Deliverables_0621_FairPoint_CampReport 3" xfId="16603" xr:uid="{00000000-0005-0000-0000-000081400000}"/>
    <cellStyle name="_20061117Holux_WorldBankCMSScope_CMS_Web_Design_Phase_Deliverables_0621_FairPoint_CampReport_Steps of Doneness" xfId="16604" xr:uid="{00000000-0005-0000-0000-000082400000}"/>
    <cellStyle name="_20061117Holux_WorldBankCMSScope_CMS_Web_Design_Phase_Deliverables_0621_FairPoint_FP comTechOps_ProgramWorkbook" xfId="16605" xr:uid="{00000000-0005-0000-0000-000083400000}"/>
    <cellStyle name="_20061117Holux_WorldBankCMSScope_CMS_Web_Design_Phase_Deliverables_0621_FairPoint_FP comTechOps_ProgramWorkbook 2" xfId="16606" xr:uid="{00000000-0005-0000-0000-000084400000}"/>
    <cellStyle name="_20061117Holux_WorldBankCMSScope_CMS_Web_Design_Phase_Deliverables_0621_FairPoint_FP comTechOps_ProgramWorkbook 2_Steps of Doneness" xfId="16607" xr:uid="{00000000-0005-0000-0000-000085400000}"/>
    <cellStyle name="_20061117Holux_WorldBankCMSScope_CMS_Web_Design_Phase_Deliverables_0621_FairPoint_FP comTechOps_ProgramWorkbook 3" xfId="16608" xr:uid="{00000000-0005-0000-0000-000086400000}"/>
    <cellStyle name="_20061117Holux_WorldBankCMSScope_CMS_Web_Design_Phase_Deliverables_0621_FairPoint_FP comTechOps_ProgramWorkbook_sachin" xfId="16609" xr:uid="{00000000-0005-0000-0000-000087400000}"/>
    <cellStyle name="_20061117Holux_WorldBankCMSScope_CMS_Web_Design_Phase_Deliverables_0621_FairPoint_FP comTechOps_ProgramWorkbook_sachin 2" xfId="16610" xr:uid="{00000000-0005-0000-0000-000088400000}"/>
    <cellStyle name="_20061117Holux_WorldBankCMSScope_CMS_Web_Design_Phase_Deliverables_0621_FairPoint_FP comTechOps_ProgramWorkbook_sachin 2_Steps of Doneness" xfId="16611" xr:uid="{00000000-0005-0000-0000-000089400000}"/>
    <cellStyle name="_20061117Holux_WorldBankCMSScope_CMS_Web_Design_Phase_Deliverables_0621_FairPoint_FP comTechOps_ProgramWorkbook_sachin 3" xfId="16612" xr:uid="{00000000-0005-0000-0000-00008A400000}"/>
    <cellStyle name="_20061117Holux_WorldBankCMSScope_CMS_Web_Design_Phase_Deliverables_0621_FairPoint_FP comTechOps_ProgramWorkbook_sachin_Steps of Doneness" xfId="16613" xr:uid="{00000000-0005-0000-0000-00008B400000}"/>
    <cellStyle name="_20061117Holux_WorldBankCMSScope_CMS_Web_Design_Phase_Deliverables_0621_FairPoint_FP comTechOps_ProgramWorkbook_sachin_v1" xfId="16614" xr:uid="{00000000-0005-0000-0000-00008C400000}"/>
    <cellStyle name="_20061117Holux_WorldBankCMSScope_CMS_Web_Design_Phase_Deliverables_0621_FairPoint_FP comTechOps_ProgramWorkbook_sachin_v1 2" xfId="16615" xr:uid="{00000000-0005-0000-0000-00008D400000}"/>
    <cellStyle name="_20061117Holux_WorldBankCMSScope_CMS_Web_Design_Phase_Deliverables_0621_FairPoint_FP comTechOps_ProgramWorkbook_sachin_v1 2_Steps of Doneness" xfId="16616" xr:uid="{00000000-0005-0000-0000-00008E400000}"/>
    <cellStyle name="_20061117Holux_WorldBankCMSScope_CMS_Web_Design_Phase_Deliverables_0621_FairPoint_FP comTechOps_ProgramWorkbook_sachin_v1 3" xfId="16617" xr:uid="{00000000-0005-0000-0000-00008F400000}"/>
    <cellStyle name="_20061117Holux_WorldBankCMSScope_CMS_Web_Design_Phase_Deliverables_0621_FairPoint_FP comTechOps_ProgramWorkbook_sachin_v1_Steps of Doneness" xfId="16618" xr:uid="{00000000-0005-0000-0000-000090400000}"/>
    <cellStyle name="_20061117Holux_WorldBankCMSScope_CMS_Web_Design_Phase_Deliverables_0621_FairPoint_FP comTechOps_ProgramWorkbook_Steps of Doneness" xfId="16619" xr:uid="{00000000-0005-0000-0000-000091400000}"/>
    <cellStyle name="_20061117Holux_WorldBankCMSScope_CMS_Web_Design_Phase_Deliverables_0621_FP_CAMP&amp;ITReporting_Maintenance_Dashboard" xfId="16620" xr:uid="{00000000-0005-0000-0000-000092400000}"/>
    <cellStyle name="_20061117Holux_WorldBankCMSScope_CMS_Web_Design_Phase_Deliverables_0621_FP_CAMP&amp;ITReporting_Maintenance_Dashboard 2" xfId="16621" xr:uid="{00000000-0005-0000-0000-000093400000}"/>
    <cellStyle name="_20061117Holux_WorldBankCMSScope_CMS_Web_Design_Phase_Deliverables_0621_FP_CAMP&amp;ITReporting_Maintenance_Dashboard 2_Steps of Doneness" xfId="16622" xr:uid="{00000000-0005-0000-0000-000094400000}"/>
    <cellStyle name="_20061117Holux_WorldBankCMSScope_CMS_Web_Design_Phase_Deliverables_0621_FP_CAMP&amp;ITReporting_Maintenance_Dashboard 3" xfId="16623" xr:uid="{00000000-0005-0000-0000-000095400000}"/>
    <cellStyle name="_20061117Holux_WorldBankCMSScope_CMS_Web_Design_Phase_Deliverables_0621_FP_CAMP&amp;ITReporting_Maintenance_Dashboard_Steps of Doneness" xfId="16624" xr:uid="{00000000-0005-0000-0000-000096400000}"/>
    <cellStyle name="_20061117Holux_WorldBankCMSScope_CMS_Web_Design_Phase_Deliverables_0621_FP_CAMPITReporting_Maintenance_Dashboard" xfId="16625" xr:uid="{00000000-0005-0000-0000-000097400000}"/>
    <cellStyle name="_20061117Holux_WorldBankCMSScope_CMS_Web_Design_Phase_Deliverables_0621_FP_CAMPITReporting_Maintenance_Dashboard 2" xfId="16626" xr:uid="{00000000-0005-0000-0000-000098400000}"/>
    <cellStyle name="_20061117Holux_WorldBankCMSScope_CMS_Web_Design_Phase_Deliverables_0621_FP_CAMPITReporting_Maintenance_Dashboard 2_Steps of Doneness" xfId="16627" xr:uid="{00000000-0005-0000-0000-000099400000}"/>
    <cellStyle name="_20061117Holux_WorldBankCMSScope_CMS_Web_Design_Phase_Deliverables_0621_FP_CAMPITReporting_Maintenance_Dashboard 3" xfId="16628" xr:uid="{00000000-0005-0000-0000-00009A400000}"/>
    <cellStyle name="_20061117Holux_WorldBankCMSScope_CMS_Web_Design_Phase_Deliverables_0621_FP_CAMPITReporting_Maintenance_Dashboard_Steps of Doneness" xfId="16629" xr:uid="{00000000-0005-0000-0000-00009B400000}"/>
    <cellStyle name="_20061117Holux_WorldBankCMSScope_CMS_Web_Design_Phase_Deliverables_0621_FP_Commissions_Req_Dn_ProgramWorkBook_10-Dec-2010" xfId="16630" xr:uid="{00000000-0005-0000-0000-00009C400000}"/>
    <cellStyle name="_20061117Holux_WorldBankCMSScope_CMS_Web_Design_Phase_Deliverables_0621_FP_Commissions_Req_Dn_ProgramWorkBook_10-Dec-2010 2" xfId="16631" xr:uid="{00000000-0005-0000-0000-00009D400000}"/>
    <cellStyle name="_20061117Holux_WorldBankCMSScope_CMS_Web_Design_Phase_Deliverables_0621_FP_Commissions_Req_Dn_ProgramWorkBook_10-Dec-2010 2_Steps of Doneness" xfId="16632" xr:uid="{00000000-0005-0000-0000-00009E400000}"/>
    <cellStyle name="_20061117Holux_WorldBankCMSScope_CMS_Web_Design_Phase_Deliverables_0621_FP_Commissions_Req_Dn_ProgramWorkBook_10-Dec-2010 3" xfId="16633" xr:uid="{00000000-0005-0000-0000-00009F400000}"/>
    <cellStyle name="_20061117Holux_WorldBankCMSScope_CMS_Web_Design_Phase_Deliverables_0621_FP_Commissions_Req_Dn_ProgramWorkBook_10-Dec-2010_Steps of Doneness" xfId="16634" xr:uid="{00000000-0005-0000-0000-0000A0400000}"/>
    <cellStyle name="_20061117Holux_WorldBankCMSScope_CMS_Web_Design_Phase_Deliverables_0621_FP_DW_Impl_ProgramWorkBook_07-Jan-2011" xfId="16635" xr:uid="{00000000-0005-0000-0000-0000A1400000}"/>
    <cellStyle name="_20061117Holux_WorldBankCMSScope_CMS_Web_Design_Phase_Deliverables_0621_FP_DW_Impl_ProgramWorkBook_07-Jan-2011 2" xfId="16636" xr:uid="{00000000-0005-0000-0000-0000A2400000}"/>
    <cellStyle name="_20061117Holux_WorldBankCMSScope_CMS_Web_Design_Phase_Deliverables_0621_FP_DW_Impl_ProgramWorkBook_07-Jan-2011 2 2" xfId="16637" xr:uid="{00000000-0005-0000-0000-0000A3400000}"/>
    <cellStyle name="_20061117Holux_WorldBankCMSScope_CMS_Web_Design_Phase_Deliverables_0621_FP_DW_Impl_ProgramWorkBook_07-Jan-2011 2 2_Steps of Doneness" xfId="16638" xr:uid="{00000000-0005-0000-0000-0000A4400000}"/>
    <cellStyle name="_20061117Holux_WorldBankCMSScope_CMS_Web_Design_Phase_Deliverables_0621_FP_DW_Impl_ProgramWorkBook_07-Jan-2011 2 3" xfId="16639" xr:uid="{00000000-0005-0000-0000-0000A5400000}"/>
    <cellStyle name="_20061117Holux_WorldBankCMSScope_CMS_Web_Design_Phase_Deliverables_0621_FP_DW_Impl_ProgramWorkBook_07-Jan-2011 2_Steps of Doneness" xfId="16640" xr:uid="{00000000-0005-0000-0000-0000A6400000}"/>
    <cellStyle name="_20061117Holux_WorldBankCMSScope_CMS_Web_Design_Phase_Deliverables_0621_FP_DW_Impl_ProgramWorkBook_07-Jan-2011 3" xfId="16641" xr:uid="{00000000-0005-0000-0000-0000A7400000}"/>
    <cellStyle name="_20061117Holux_WorldBankCMSScope_CMS_Web_Design_Phase_Deliverables_0621_FP_DW_Impl_ProgramWorkBook_07-Jan-2011 3_Steps of Doneness" xfId="16642" xr:uid="{00000000-0005-0000-0000-0000A8400000}"/>
    <cellStyle name="_20061117Holux_WorldBankCMSScope_CMS_Web_Design_Phase_Deliverables_0621_FP_DW_Impl_ProgramWorkBook_07-Jan-2011 4" xfId="16643" xr:uid="{00000000-0005-0000-0000-0000A9400000}"/>
    <cellStyle name="_20061117Holux_WorldBankCMSScope_CMS_Web_Design_Phase_Deliverables_0621_FP_DW_Impl_ProgramWorkBook_07-Jan-2011_Steps of Doneness" xfId="16644" xr:uid="{00000000-0005-0000-0000-0000AA400000}"/>
    <cellStyle name="_20061117Holux_WorldBankCMSScope_CMS_Web_Design_Phase_Deliverables_0621_FP_DW_Impl_ProgramWorkBook_11-Feb-2011" xfId="16645" xr:uid="{00000000-0005-0000-0000-0000AB400000}"/>
    <cellStyle name="_20061117Holux_WorldBankCMSScope_CMS_Web_Design_Phase_Deliverables_0621_FP_DW_Impl_ProgramWorkBook_11-Feb-2011 2" xfId="16646" xr:uid="{00000000-0005-0000-0000-0000AC400000}"/>
    <cellStyle name="_20061117Holux_WorldBankCMSScope_CMS_Web_Design_Phase_Deliverables_0621_FP_DW_Impl_ProgramWorkBook_11-Feb-2011 2_Steps of Doneness" xfId="16647" xr:uid="{00000000-0005-0000-0000-0000AD400000}"/>
    <cellStyle name="_20061117Holux_WorldBankCMSScope_CMS_Web_Design_Phase_Deliverables_0621_FP_DW_Impl_ProgramWorkBook_11-Feb-2011 3" xfId="16648" xr:uid="{00000000-0005-0000-0000-0000AE400000}"/>
    <cellStyle name="_20061117Holux_WorldBankCMSScope_CMS_Web_Design_Phase_Deliverables_0621_FP_DW_Impl_ProgramWorkBook_11-Feb-2011_Steps of Doneness" xfId="16649" xr:uid="{00000000-0005-0000-0000-0000AF400000}"/>
    <cellStyle name="_20061117Holux_WorldBankCMSScope_CMS_Web_Design_Phase_Deliverables_0621_FP_DW_Impl_ProgramWorkBook_18-Feb-2011 - Working" xfId="16650" xr:uid="{00000000-0005-0000-0000-0000B0400000}"/>
    <cellStyle name="_20061117Holux_WorldBankCMSScope_CMS_Web_Design_Phase_Deliverables_0621_FP_DW_Impl_ProgramWorkBook_18-Feb-2011 - Working 2" xfId="16651" xr:uid="{00000000-0005-0000-0000-0000B1400000}"/>
    <cellStyle name="_20061117Holux_WorldBankCMSScope_CMS_Web_Design_Phase_Deliverables_0621_FP_DW_Impl_ProgramWorkBook_18-Feb-2011 - Working 2_Steps of Doneness" xfId="16652" xr:uid="{00000000-0005-0000-0000-0000B2400000}"/>
    <cellStyle name="_20061117Holux_WorldBankCMSScope_CMS_Web_Design_Phase_Deliverables_0621_FP_DW_Impl_ProgramWorkBook_18-Feb-2011 - Working 3" xfId="16653" xr:uid="{00000000-0005-0000-0000-0000B3400000}"/>
    <cellStyle name="_20061117Holux_WorldBankCMSScope_CMS_Web_Design_Phase_Deliverables_0621_FP_DW_Impl_ProgramWorkBook_18-Feb-2011 - Working_Steps of Doneness" xfId="16654" xr:uid="{00000000-0005-0000-0000-0000B4400000}"/>
    <cellStyle name="_20061117Holux_WorldBankCMSScope_CMS_Web_Design_Phase_Deliverables_0621_FP_EnterprisePortal_ProgramWorkbook" xfId="16655" xr:uid="{00000000-0005-0000-0000-0000B5400000}"/>
    <cellStyle name="_20061117Holux_WorldBankCMSScope_CMS_Web_Design_Phase_Deliverables_0621_FP_EnterprisePortal_ProgramWorkbook 2" xfId="16656" xr:uid="{00000000-0005-0000-0000-0000B6400000}"/>
    <cellStyle name="_20061117Holux_WorldBankCMSScope_CMS_Web_Design_Phase_Deliverables_0621_FP_EnterprisePortal_ProgramWorkbook 2_Steps of Doneness" xfId="16657" xr:uid="{00000000-0005-0000-0000-0000B7400000}"/>
    <cellStyle name="_20061117Holux_WorldBankCMSScope_CMS_Web_Design_Phase_Deliverables_0621_FP_EnterprisePortal_ProgramWorkbook 3" xfId="16658" xr:uid="{00000000-0005-0000-0000-0000B8400000}"/>
    <cellStyle name="_20061117Holux_WorldBankCMSScope_CMS_Web_Design_Phase_Deliverables_0621_FP_EnterprisePortal_ProgramWorkbook_Steps of Doneness" xfId="16659" xr:uid="{00000000-0005-0000-0000-0000B9400000}"/>
    <cellStyle name="_20061117Holux_WorldBankCMSScope_CMS_Web_Design_Phase_Deliverables_0621_FP_SAP_MLP v2" xfId="16660" xr:uid="{00000000-0005-0000-0000-0000BA400000}"/>
    <cellStyle name="_20061117Holux_WorldBankCMSScope_CMS_Web_Design_Phase_Deliverables_0621_FP_SAP_MLP v2 2" xfId="16661" xr:uid="{00000000-0005-0000-0000-0000BB400000}"/>
    <cellStyle name="_20061117Holux_WorldBankCMSScope_CMS_Web_Design_Phase_Deliverables_0621_FP_SAP_MLP v2 2_Steps of Doneness" xfId="16662" xr:uid="{00000000-0005-0000-0000-0000BC400000}"/>
    <cellStyle name="_20061117Holux_WorldBankCMSScope_CMS_Web_Design_Phase_Deliverables_0621_FP_SAP_MLP v2 3" xfId="16663" xr:uid="{00000000-0005-0000-0000-0000BD400000}"/>
    <cellStyle name="_20061117Holux_WorldBankCMSScope_CMS_Web_Design_Phase_Deliverables_0621_FP_SAP_MLP v2_Steps of Doneness" xfId="16664" xr:uid="{00000000-0005-0000-0000-0000BE400000}"/>
    <cellStyle name="_20061117Holux_WorldBankCMSScope_CMS_Web_Design_Phase_Deliverables_0621_KeyDecisions" xfId="16665" xr:uid="{00000000-0005-0000-0000-0000BF400000}"/>
    <cellStyle name="_20061117Holux_WorldBankCMSScope_CMS_Web_Design_Phase_Deliverables_0621_KeyDecisions 2" xfId="16666" xr:uid="{00000000-0005-0000-0000-0000C0400000}"/>
    <cellStyle name="_20061117Holux_WorldBankCMSScope_CMS_Web_Design_Phase_Deliverables_0621_KeyDecisions 2_Steps of Doneness" xfId="16667" xr:uid="{00000000-0005-0000-0000-0000C1400000}"/>
    <cellStyle name="_20061117Holux_WorldBankCMSScope_CMS_Web_Design_Phase_Deliverables_0621_KeyDecisions 3" xfId="16668" xr:uid="{00000000-0005-0000-0000-0000C2400000}"/>
    <cellStyle name="_20061117Holux_WorldBankCMSScope_CMS_Web_Design_Phase_Deliverables_0621_KeyDecisions_Steps of Doneness" xfId="16669" xr:uid="{00000000-0005-0000-0000-0000C3400000}"/>
    <cellStyle name="_20061117Holux_WorldBankCMSScope_CMS_Web_Design_Phase_Deliverables_0621_Sophia_Imp_ProjectWorkBook_02_18_2011" xfId="16670" xr:uid="{00000000-0005-0000-0000-0000C4400000}"/>
    <cellStyle name="_20061117Holux_WorldBankCMSScope_CMS_Web_Design_Phase_Deliverables_0621_Sophia_Imp_ProjectWorkBook_02_18_2011 2" xfId="16671" xr:uid="{00000000-0005-0000-0000-0000C5400000}"/>
    <cellStyle name="_20061117Holux_WorldBankCMSScope_CMS_Web_Design_Phase_Deliverables_0621_Sophia_Imp_ProjectWorkBook_02_18_2011 2_Steps of Doneness" xfId="16672" xr:uid="{00000000-0005-0000-0000-0000C6400000}"/>
    <cellStyle name="_20061117Holux_WorldBankCMSScope_CMS_Web_Design_Phase_Deliverables_0621_Sophia_Imp_ProjectWorkBook_02_18_2011 3" xfId="16673" xr:uid="{00000000-0005-0000-0000-0000C7400000}"/>
    <cellStyle name="_20061117Holux_WorldBankCMSScope_CMS_Web_Design_Phase_Deliverables_0621_Sophia_Imp_ProjectWorkBook_02_18_2011_Steps of Doneness" xfId="16674" xr:uid="{00000000-0005-0000-0000-0000C8400000}"/>
    <cellStyle name="_20061117Holux_WorldBankCMSScope_CMS_Web_Design_Phase_Deliverables_0621_Steps of Doneness" xfId="16675" xr:uid="{00000000-0005-0000-0000-0000C9400000}"/>
    <cellStyle name="_20061117Holux_WorldBankCMSScope_CMS_Web_Design_Phase_Deliverables_0621_t" xfId="16676" xr:uid="{00000000-0005-0000-0000-0000CA400000}"/>
    <cellStyle name="_20061117Holux_WorldBankCMSScope_CMS_Web_Design_Phase_Deliverables_0621_t 2" xfId="16677" xr:uid="{00000000-0005-0000-0000-0000CB400000}"/>
    <cellStyle name="_20061117Holux_WorldBankCMSScope_CMS_Web_Design_Phase_Deliverables_0621_t 2_Steps of Doneness" xfId="16678" xr:uid="{00000000-0005-0000-0000-0000CC400000}"/>
    <cellStyle name="_20061117Holux_WorldBankCMSScope_CMS_Web_Design_Phase_Deliverables_0621_t 3" xfId="16679" xr:uid="{00000000-0005-0000-0000-0000CD400000}"/>
    <cellStyle name="_20061117Holux_WorldBankCMSScope_CMS_Web_Design_Phase_Deliverables_0621_t_Steps of Doneness" xfId="16680" xr:uid="{00000000-0005-0000-0000-0000CE400000}"/>
    <cellStyle name="_20061117Holux_WorldBankCMSScope_CMS_Web_Design_Phase_Deliverables_0625" xfId="16681" xr:uid="{00000000-0005-0000-0000-0000CF400000}"/>
    <cellStyle name="_20061117Holux_WorldBankCMSScope_CMS_Web_Design_Phase_Deliverables_0625 2" xfId="16682" xr:uid="{00000000-0005-0000-0000-0000D0400000}"/>
    <cellStyle name="_20061117Holux_WorldBankCMSScope_CMS_Web_Design_Phase_Deliverables_0625 2 2" xfId="16683" xr:uid="{00000000-0005-0000-0000-0000D1400000}"/>
    <cellStyle name="_20061117Holux_WorldBankCMSScope_CMS_Web_Design_Phase_Deliverables_0625 2 2_Steps of Doneness" xfId="16684" xr:uid="{00000000-0005-0000-0000-0000D2400000}"/>
    <cellStyle name="_20061117Holux_WorldBankCMSScope_CMS_Web_Design_Phase_Deliverables_0625 2 3" xfId="16685" xr:uid="{00000000-0005-0000-0000-0000D3400000}"/>
    <cellStyle name="_20061117Holux_WorldBankCMSScope_CMS_Web_Design_Phase_Deliverables_0625 2_Steps of Doneness" xfId="16686" xr:uid="{00000000-0005-0000-0000-0000D4400000}"/>
    <cellStyle name="_20061117Holux_WorldBankCMSScope_CMS_Web_Design_Phase_Deliverables_0625 3" xfId="16687" xr:uid="{00000000-0005-0000-0000-0000D5400000}"/>
    <cellStyle name="_20061117Holux_WorldBankCMSScope_CMS_Web_Design_Phase_Deliverables_0625 3_Steps of Doneness" xfId="16688" xr:uid="{00000000-0005-0000-0000-0000D6400000}"/>
    <cellStyle name="_20061117Holux_WorldBankCMSScope_CMS_Web_Design_Phase_Deliverables_0625 4" xfId="16689" xr:uid="{00000000-0005-0000-0000-0000D7400000}"/>
    <cellStyle name="_20061117Holux_WorldBankCMSScope_CMS_Web_Design_Phase_Deliverables_0625_Commissioning System Implementation_Project Workbook_06_10_2011" xfId="16690" xr:uid="{00000000-0005-0000-0000-0000D8400000}"/>
    <cellStyle name="_20061117Holux_WorldBankCMSScope_CMS_Web_Design_Phase_Deliverables_0625_Commissioning System Implementation_Project Workbook_06_10_2011 2" xfId="16691" xr:uid="{00000000-0005-0000-0000-0000D9400000}"/>
    <cellStyle name="_20061117Holux_WorldBankCMSScope_CMS_Web_Design_Phase_Deliverables_0625_Commissioning System Implementation_Project Workbook_06_10_2011 2_Steps of Doneness" xfId="16692" xr:uid="{00000000-0005-0000-0000-0000DA400000}"/>
    <cellStyle name="_20061117Holux_WorldBankCMSScope_CMS_Web_Design_Phase_Deliverables_0625_Commissioning System Implementation_Project Workbook_06_10_2011 3" xfId="16693" xr:uid="{00000000-0005-0000-0000-0000DB400000}"/>
    <cellStyle name="_20061117Holux_WorldBankCMSScope_CMS_Web_Design_Phase_Deliverables_0625_Commissioning System Implementation_Project Workbook_06_10_2011_Steps of Doneness" xfId="16694" xr:uid="{00000000-0005-0000-0000-0000DC400000}"/>
    <cellStyle name="_20061117Holux_WorldBankCMSScope_CMS_Web_Design_Phase_Deliverables_0625_FairPoint_CampReport" xfId="16695" xr:uid="{00000000-0005-0000-0000-0000DD400000}"/>
    <cellStyle name="_20061117Holux_WorldBankCMSScope_CMS_Web_Design_Phase_Deliverables_0625_FairPoint_CampReport 2" xfId="16696" xr:uid="{00000000-0005-0000-0000-0000DE400000}"/>
    <cellStyle name="_20061117Holux_WorldBankCMSScope_CMS_Web_Design_Phase_Deliverables_0625_FairPoint_CampReport 2_Steps of Doneness" xfId="16697" xr:uid="{00000000-0005-0000-0000-0000DF400000}"/>
    <cellStyle name="_20061117Holux_WorldBankCMSScope_CMS_Web_Design_Phase_Deliverables_0625_FairPoint_CampReport 3" xfId="16698" xr:uid="{00000000-0005-0000-0000-0000E0400000}"/>
    <cellStyle name="_20061117Holux_WorldBankCMSScope_CMS_Web_Design_Phase_Deliverables_0625_FairPoint_CampReport_Steps of Doneness" xfId="16699" xr:uid="{00000000-0005-0000-0000-0000E1400000}"/>
    <cellStyle name="_20061117Holux_WorldBankCMSScope_CMS_Web_Design_Phase_Deliverables_0625_FairPoint_FP comTechOps_ProgramWorkbook" xfId="16700" xr:uid="{00000000-0005-0000-0000-0000E2400000}"/>
    <cellStyle name="_20061117Holux_WorldBankCMSScope_CMS_Web_Design_Phase_Deliverables_0625_FairPoint_FP comTechOps_ProgramWorkbook 2" xfId="16701" xr:uid="{00000000-0005-0000-0000-0000E3400000}"/>
    <cellStyle name="_20061117Holux_WorldBankCMSScope_CMS_Web_Design_Phase_Deliverables_0625_FairPoint_FP comTechOps_ProgramWorkbook 2_Steps of Doneness" xfId="16702" xr:uid="{00000000-0005-0000-0000-0000E4400000}"/>
    <cellStyle name="_20061117Holux_WorldBankCMSScope_CMS_Web_Design_Phase_Deliverables_0625_FairPoint_FP comTechOps_ProgramWorkbook 3" xfId="16703" xr:uid="{00000000-0005-0000-0000-0000E5400000}"/>
    <cellStyle name="_20061117Holux_WorldBankCMSScope_CMS_Web_Design_Phase_Deliverables_0625_FairPoint_FP comTechOps_ProgramWorkbook_sachin" xfId="16704" xr:uid="{00000000-0005-0000-0000-0000E6400000}"/>
    <cellStyle name="_20061117Holux_WorldBankCMSScope_CMS_Web_Design_Phase_Deliverables_0625_FairPoint_FP comTechOps_ProgramWorkbook_sachin 2" xfId="16705" xr:uid="{00000000-0005-0000-0000-0000E7400000}"/>
    <cellStyle name="_20061117Holux_WorldBankCMSScope_CMS_Web_Design_Phase_Deliverables_0625_FairPoint_FP comTechOps_ProgramWorkbook_sachin 2_Steps of Doneness" xfId="16706" xr:uid="{00000000-0005-0000-0000-0000E8400000}"/>
    <cellStyle name="_20061117Holux_WorldBankCMSScope_CMS_Web_Design_Phase_Deliverables_0625_FairPoint_FP comTechOps_ProgramWorkbook_sachin 3" xfId="16707" xr:uid="{00000000-0005-0000-0000-0000E9400000}"/>
    <cellStyle name="_20061117Holux_WorldBankCMSScope_CMS_Web_Design_Phase_Deliverables_0625_FairPoint_FP comTechOps_ProgramWorkbook_sachin_Steps of Doneness" xfId="16708" xr:uid="{00000000-0005-0000-0000-0000EA400000}"/>
    <cellStyle name="_20061117Holux_WorldBankCMSScope_CMS_Web_Design_Phase_Deliverables_0625_FairPoint_FP comTechOps_ProgramWorkbook_sachin_v1" xfId="16709" xr:uid="{00000000-0005-0000-0000-0000EB400000}"/>
    <cellStyle name="_20061117Holux_WorldBankCMSScope_CMS_Web_Design_Phase_Deliverables_0625_FairPoint_FP comTechOps_ProgramWorkbook_sachin_v1 2" xfId="16710" xr:uid="{00000000-0005-0000-0000-0000EC400000}"/>
    <cellStyle name="_20061117Holux_WorldBankCMSScope_CMS_Web_Design_Phase_Deliverables_0625_FairPoint_FP comTechOps_ProgramWorkbook_sachin_v1 2_Steps of Doneness" xfId="16711" xr:uid="{00000000-0005-0000-0000-0000ED400000}"/>
    <cellStyle name="_20061117Holux_WorldBankCMSScope_CMS_Web_Design_Phase_Deliverables_0625_FairPoint_FP comTechOps_ProgramWorkbook_sachin_v1 3" xfId="16712" xr:uid="{00000000-0005-0000-0000-0000EE400000}"/>
    <cellStyle name="_20061117Holux_WorldBankCMSScope_CMS_Web_Design_Phase_Deliverables_0625_FairPoint_FP comTechOps_ProgramWorkbook_sachin_v1_Steps of Doneness" xfId="16713" xr:uid="{00000000-0005-0000-0000-0000EF400000}"/>
    <cellStyle name="_20061117Holux_WorldBankCMSScope_CMS_Web_Design_Phase_Deliverables_0625_FairPoint_FP comTechOps_ProgramWorkbook_Steps of Doneness" xfId="16714" xr:uid="{00000000-0005-0000-0000-0000F0400000}"/>
    <cellStyle name="_20061117Holux_WorldBankCMSScope_CMS_Web_Design_Phase_Deliverables_0625_FP_CAMP&amp;ITReporting_Maintenance_Dashboard" xfId="16715" xr:uid="{00000000-0005-0000-0000-0000F1400000}"/>
    <cellStyle name="_20061117Holux_WorldBankCMSScope_CMS_Web_Design_Phase_Deliverables_0625_FP_CAMP&amp;ITReporting_Maintenance_Dashboard 2" xfId="16716" xr:uid="{00000000-0005-0000-0000-0000F2400000}"/>
    <cellStyle name="_20061117Holux_WorldBankCMSScope_CMS_Web_Design_Phase_Deliverables_0625_FP_CAMP&amp;ITReporting_Maintenance_Dashboard 2_Steps of Doneness" xfId="16717" xr:uid="{00000000-0005-0000-0000-0000F3400000}"/>
    <cellStyle name="_20061117Holux_WorldBankCMSScope_CMS_Web_Design_Phase_Deliverables_0625_FP_CAMP&amp;ITReporting_Maintenance_Dashboard 3" xfId="16718" xr:uid="{00000000-0005-0000-0000-0000F4400000}"/>
    <cellStyle name="_20061117Holux_WorldBankCMSScope_CMS_Web_Design_Phase_Deliverables_0625_FP_CAMP&amp;ITReporting_Maintenance_Dashboard_Steps of Doneness" xfId="16719" xr:uid="{00000000-0005-0000-0000-0000F5400000}"/>
    <cellStyle name="_20061117Holux_WorldBankCMSScope_CMS_Web_Design_Phase_Deliverables_0625_FP_CAMPITReporting_Maintenance_Dashboard" xfId="16720" xr:uid="{00000000-0005-0000-0000-0000F6400000}"/>
    <cellStyle name="_20061117Holux_WorldBankCMSScope_CMS_Web_Design_Phase_Deliverables_0625_FP_CAMPITReporting_Maintenance_Dashboard 2" xfId="16721" xr:uid="{00000000-0005-0000-0000-0000F7400000}"/>
    <cellStyle name="_20061117Holux_WorldBankCMSScope_CMS_Web_Design_Phase_Deliverables_0625_FP_CAMPITReporting_Maintenance_Dashboard 2_Steps of Doneness" xfId="16722" xr:uid="{00000000-0005-0000-0000-0000F8400000}"/>
    <cellStyle name="_20061117Holux_WorldBankCMSScope_CMS_Web_Design_Phase_Deliverables_0625_FP_CAMPITReporting_Maintenance_Dashboard 3" xfId="16723" xr:uid="{00000000-0005-0000-0000-0000F9400000}"/>
    <cellStyle name="_20061117Holux_WorldBankCMSScope_CMS_Web_Design_Phase_Deliverables_0625_FP_CAMPITReporting_Maintenance_Dashboard_Steps of Doneness" xfId="16724" xr:uid="{00000000-0005-0000-0000-0000FA400000}"/>
    <cellStyle name="_20061117Holux_WorldBankCMSScope_CMS_Web_Design_Phase_Deliverables_0625_FP_Commissions_Req_Dn_ProgramWorkBook_10-Dec-2010" xfId="16725" xr:uid="{00000000-0005-0000-0000-0000FB400000}"/>
    <cellStyle name="_20061117Holux_WorldBankCMSScope_CMS_Web_Design_Phase_Deliverables_0625_FP_Commissions_Req_Dn_ProgramWorkBook_10-Dec-2010 2" xfId="16726" xr:uid="{00000000-0005-0000-0000-0000FC400000}"/>
    <cellStyle name="_20061117Holux_WorldBankCMSScope_CMS_Web_Design_Phase_Deliverables_0625_FP_Commissions_Req_Dn_ProgramWorkBook_10-Dec-2010 2_Steps of Doneness" xfId="16727" xr:uid="{00000000-0005-0000-0000-0000FD400000}"/>
    <cellStyle name="_20061117Holux_WorldBankCMSScope_CMS_Web_Design_Phase_Deliverables_0625_FP_Commissions_Req_Dn_ProgramWorkBook_10-Dec-2010 3" xfId="16728" xr:uid="{00000000-0005-0000-0000-0000FE400000}"/>
    <cellStyle name="_20061117Holux_WorldBankCMSScope_CMS_Web_Design_Phase_Deliverables_0625_FP_Commissions_Req_Dn_ProgramWorkBook_10-Dec-2010_Steps of Doneness" xfId="16729" xr:uid="{00000000-0005-0000-0000-0000FF400000}"/>
    <cellStyle name="_20061117Holux_WorldBankCMSScope_CMS_Web_Design_Phase_Deliverables_0625_FP_DW_Impl_ProgramWorkBook_07-Jan-2011" xfId="16730" xr:uid="{00000000-0005-0000-0000-000000410000}"/>
    <cellStyle name="_20061117Holux_WorldBankCMSScope_CMS_Web_Design_Phase_Deliverables_0625_FP_DW_Impl_ProgramWorkBook_07-Jan-2011 2" xfId="16731" xr:uid="{00000000-0005-0000-0000-000001410000}"/>
    <cellStyle name="_20061117Holux_WorldBankCMSScope_CMS_Web_Design_Phase_Deliverables_0625_FP_DW_Impl_ProgramWorkBook_07-Jan-2011 2 2" xfId="16732" xr:uid="{00000000-0005-0000-0000-000002410000}"/>
    <cellStyle name="_20061117Holux_WorldBankCMSScope_CMS_Web_Design_Phase_Deliverables_0625_FP_DW_Impl_ProgramWorkBook_07-Jan-2011 2 2_Steps of Doneness" xfId="16733" xr:uid="{00000000-0005-0000-0000-000003410000}"/>
    <cellStyle name="_20061117Holux_WorldBankCMSScope_CMS_Web_Design_Phase_Deliverables_0625_FP_DW_Impl_ProgramWorkBook_07-Jan-2011 2 3" xfId="16734" xr:uid="{00000000-0005-0000-0000-000004410000}"/>
    <cellStyle name="_20061117Holux_WorldBankCMSScope_CMS_Web_Design_Phase_Deliverables_0625_FP_DW_Impl_ProgramWorkBook_07-Jan-2011 2_Steps of Doneness" xfId="16735" xr:uid="{00000000-0005-0000-0000-000005410000}"/>
    <cellStyle name="_20061117Holux_WorldBankCMSScope_CMS_Web_Design_Phase_Deliverables_0625_FP_DW_Impl_ProgramWorkBook_07-Jan-2011 3" xfId="16736" xr:uid="{00000000-0005-0000-0000-000006410000}"/>
    <cellStyle name="_20061117Holux_WorldBankCMSScope_CMS_Web_Design_Phase_Deliverables_0625_FP_DW_Impl_ProgramWorkBook_07-Jan-2011 3_Steps of Doneness" xfId="16737" xr:uid="{00000000-0005-0000-0000-000007410000}"/>
    <cellStyle name="_20061117Holux_WorldBankCMSScope_CMS_Web_Design_Phase_Deliverables_0625_FP_DW_Impl_ProgramWorkBook_07-Jan-2011 4" xfId="16738" xr:uid="{00000000-0005-0000-0000-000008410000}"/>
    <cellStyle name="_20061117Holux_WorldBankCMSScope_CMS_Web_Design_Phase_Deliverables_0625_FP_DW_Impl_ProgramWorkBook_07-Jan-2011_Steps of Doneness" xfId="16739" xr:uid="{00000000-0005-0000-0000-000009410000}"/>
    <cellStyle name="_20061117Holux_WorldBankCMSScope_CMS_Web_Design_Phase_Deliverables_0625_FP_DW_Impl_ProgramWorkBook_11-Feb-2011" xfId="16740" xr:uid="{00000000-0005-0000-0000-00000A410000}"/>
    <cellStyle name="_20061117Holux_WorldBankCMSScope_CMS_Web_Design_Phase_Deliverables_0625_FP_DW_Impl_ProgramWorkBook_11-Feb-2011 2" xfId="16741" xr:uid="{00000000-0005-0000-0000-00000B410000}"/>
    <cellStyle name="_20061117Holux_WorldBankCMSScope_CMS_Web_Design_Phase_Deliverables_0625_FP_DW_Impl_ProgramWorkBook_11-Feb-2011 2_Steps of Doneness" xfId="16742" xr:uid="{00000000-0005-0000-0000-00000C410000}"/>
    <cellStyle name="_20061117Holux_WorldBankCMSScope_CMS_Web_Design_Phase_Deliverables_0625_FP_DW_Impl_ProgramWorkBook_11-Feb-2011 3" xfId="16743" xr:uid="{00000000-0005-0000-0000-00000D410000}"/>
    <cellStyle name="_20061117Holux_WorldBankCMSScope_CMS_Web_Design_Phase_Deliverables_0625_FP_DW_Impl_ProgramWorkBook_11-Feb-2011_Steps of Doneness" xfId="16744" xr:uid="{00000000-0005-0000-0000-00000E410000}"/>
    <cellStyle name="_20061117Holux_WorldBankCMSScope_CMS_Web_Design_Phase_Deliverables_0625_FP_DW_Impl_ProgramWorkBook_18-Feb-2011 - Working" xfId="16745" xr:uid="{00000000-0005-0000-0000-00000F410000}"/>
    <cellStyle name="_20061117Holux_WorldBankCMSScope_CMS_Web_Design_Phase_Deliverables_0625_FP_DW_Impl_ProgramWorkBook_18-Feb-2011 - Working 2" xfId="16746" xr:uid="{00000000-0005-0000-0000-000010410000}"/>
    <cellStyle name="_20061117Holux_WorldBankCMSScope_CMS_Web_Design_Phase_Deliverables_0625_FP_DW_Impl_ProgramWorkBook_18-Feb-2011 - Working 2_Steps of Doneness" xfId="16747" xr:uid="{00000000-0005-0000-0000-000011410000}"/>
    <cellStyle name="_20061117Holux_WorldBankCMSScope_CMS_Web_Design_Phase_Deliverables_0625_FP_DW_Impl_ProgramWorkBook_18-Feb-2011 - Working 3" xfId="16748" xr:uid="{00000000-0005-0000-0000-000012410000}"/>
    <cellStyle name="_20061117Holux_WorldBankCMSScope_CMS_Web_Design_Phase_Deliverables_0625_FP_DW_Impl_ProgramWorkBook_18-Feb-2011 - Working_Steps of Doneness" xfId="16749" xr:uid="{00000000-0005-0000-0000-000013410000}"/>
    <cellStyle name="_20061117Holux_WorldBankCMSScope_CMS_Web_Design_Phase_Deliverables_0625_FP_EnterprisePortal_ProgramWorkbook" xfId="16750" xr:uid="{00000000-0005-0000-0000-000014410000}"/>
    <cellStyle name="_20061117Holux_WorldBankCMSScope_CMS_Web_Design_Phase_Deliverables_0625_FP_EnterprisePortal_ProgramWorkbook 2" xfId="16751" xr:uid="{00000000-0005-0000-0000-000015410000}"/>
    <cellStyle name="_20061117Holux_WorldBankCMSScope_CMS_Web_Design_Phase_Deliverables_0625_FP_EnterprisePortal_ProgramWorkbook 2_Steps of Doneness" xfId="16752" xr:uid="{00000000-0005-0000-0000-000016410000}"/>
    <cellStyle name="_20061117Holux_WorldBankCMSScope_CMS_Web_Design_Phase_Deliverables_0625_FP_EnterprisePortal_ProgramWorkbook 3" xfId="16753" xr:uid="{00000000-0005-0000-0000-000017410000}"/>
    <cellStyle name="_20061117Holux_WorldBankCMSScope_CMS_Web_Design_Phase_Deliverables_0625_FP_EnterprisePortal_ProgramWorkbook_Steps of Doneness" xfId="16754" xr:uid="{00000000-0005-0000-0000-000018410000}"/>
    <cellStyle name="_20061117Holux_WorldBankCMSScope_CMS_Web_Design_Phase_Deliverables_0625_FP_SAP_MLP v2" xfId="16755" xr:uid="{00000000-0005-0000-0000-000019410000}"/>
    <cellStyle name="_20061117Holux_WorldBankCMSScope_CMS_Web_Design_Phase_Deliverables_0625_FP_SAP_MLP v2 2" xfId="16756" xr:uid="{00000000-0005-0000-0000-00001A410000}"/>
    <cellStyle name="_20061117Holux_WorldBankCMSScope_CMS_Web_Design_Phase_Deliverables_0625_FP_SAP_MLP v2 2_Steps of Doneness" xfId="16757" xr:uid="{00000000-0005-0000-0000-00001B410000}"/>
    <cellStyle name="_20061117Holux_WorldBankCMSScope_CMS_Web_Design_Phase_Deliverables_0625_FP_SAP_MLP v2 3" xfId="16758" xr:uid="{00000000-0005-0000-0000-00001C410000}"/>
    <cellStyle name="_20061117Holux_WorldBankCMSScope_CMS_Web_Design_Phase_Deliverables_0625_FP_SAP_MLP v2_Steps of Doneness" xfId="16759" xr:uid="{00000000-0005-0000-0000-00001D410000}"/>
    <cellStyle name="_20061117Holux_WorldBankCMSScope_CMS_Web_Design_Phase_Deliverables_0625_KeyDecisions" xfId="16760" xr:uid="{00000000-0005-0000-0000-00001E410000}"/>
    <cellStyle name="_20061117Holux_WorldBankCMSScope_CMS_Web_Design_Phase_Deliverables_0625_KeyDecisions 2" xfId="16761" xr:uid="{00000000-0005-0000-0000-00001F410000}"/>
    <cellStyle name="_20061117Holux_WorldBankCMSScope_CMS_Web_Design_Phase_Deliverables_0625_KeyDecisions 2_Steps of Doneness" xfId="16762" xr:uid="{00000000-0005-0000-0000-000020410000}"/>
    <cellStyle name="_20061117Holux_WorldBankCMSScope_CMS_Web_Design_Phase_Deliverables_0625_KeyDecisions 3" xfId="16763" xr:uid="{00000000-0005-0000-0000-000021410000}"/>
    <cellStyle name="_20061117Holux_WorldBankCMSScope_CMS_Web_Design_Phase_Deliverables_0625_KeyDecisions_Steps of Doneness" xfId="16764" xr:uid="{00000000-0005-0000-0000-000022410000}"/>
    <cellStyle name="_20061117Holux_WorldBankCMSScope_CMS_Web_Design_Phase_Deliverables_0625_Sophia_Imp_ProjectWorkBook_02_18_2011" xfId="16765" xr:uid="{00000000-0005-0000-0000-000023410000}"/>
    <cellStyle name="_20061117Holux_WorldBankCMSScope_CMS_Web_Design_Phase_Deliverables_0625_Sophia_Imp_ProjectWorkBook_02_18_2011 2" xfId="16766" xr:uid="{00000000-0005-0000-0000-000024410000}"/>
    <cellStyle name="_20061117Holux_WorldBankCMSScope_CMS_Web_Design_Phase_Deliverables_0625_Sophia_Imp_ProjectWorkBook_02_18_2011 2_Steps of Doneness" xfId="16767" xr:uid="{00000000-0005-0000-0000-000025410000}"/>
    <cellStyle name="_20061117Holux_WorldBankCMSScope_CMS_Web_Design_Phase_Deliverables_0625_Sophia_Imp_ProjectWorkBook_02_18_2011 3" xfId="16768" xr:uid="{00000000-0005-0000-0000-000026410000}"/>
    <cellStyle name="_20061117Holux_WorldBankCMSScope_CMS_Web_Design_Phase_Deliverables_0625_Sophia_Imp_ProjectWorkBook_02_18_2011_Steps of Doneness" xfId="16769" xr:uid="{00000000-0005-0000-0000-000027410000}"/>
    <cellStyle name="_20061117Holux_WorldBankCMSScope_CMS_Web_Design_Phase_Deliverables_0625_Steps of Doneness" xfId="16770" xr:uid="{00000000-0005-0000-0000-000028410000}"/>
    <cellStyle name="_20061117Holux_WorldBankCMSScope_CMS_Web_Design_Phase_Deliverables_0625_t" xfId="16771" xr:uid="{00000000-0005-0000-0000-000029410000}"/>
    <cellStyle name="_20061117Holux_WorldBankCMSScope_CMS_Web_Design_Phase_Deliverables_0625_t 2" xfId="16772" xr:uid="{00000000-0005-0000-0000-00002A410000}"/>
    <cellStyle name="_20061117Holux_WorldBankCMSScope_CMS_Web_Design_Phase_Deliverables_0625_t 2_Steps of Doneness" xfId="16773" xr:uid="{00000000-0005-0000-0000-00002B410000}"/>
    <cellStyle name="_20061117Holux_WorldBankCMSScope_CMS_Web_Design_Phase_Deliverables_0625_t 3" xfId="16774" xr:uid="{00000000-0005-0000-0000-00002C410000}"/>
    <cellStyle name="_20061117Holux_WorldBankCMSScope_CMS_Web_Design_Phase_Deliverables_0625_t_Steps of Doneness" xfId="16775" xr:uid="{00000000-0005-0000-0000-00002D410000}"/>
    <cellStyle name="_20061117Holux_WorldBankCMSScope_CMS_Web_Design_Phase_Deliverables_MLP_0627" xfId="16776" xr:uid="{00000000-0005-0000-0000-00002E410000}"/>
    <cellStyle name="_20061117Holux_WorldBankCMSScope_CMS_Web_Design_Phase_Deliverables_MLP_0627 2" xfId="16777" xr:uid="{00000000-0005-0000-0000-00002F410000}"/>
    <cellStyle name="_20061117Holux_WorldBankCMSScope_CMS_Web_Design_Phase_Deliverables_MLP_0627 2 2" xfId="16778" xr:uid="{00000000-0005-0000-0000-000030410000}"/>
    <cellStyle name="_20061117Holux_WorldBankCMSScope_CMS_Web_Design_Phase_Deliverables_MLP_0627 2 2_Steps of Doneness" xfId="16779" xr:uid="{00000000-0005-0000-0000-000031410000}"/>
    <cellStyle name="_20061117Holux_WorldBankCMSScope_CMS_Web_Design_Phase_Deliverables_MLP_0627 2 3" xfId="16780" xr:uid="{00000000-0005-0000-0000-000032410000}"/>
    <cellStyle name="_20061117Holux_WorldBankCMSScope_CMS_Web_Design_Phase_Deliverables_MLP_0627 2_Steps of Doneness" xfId="16781" xr:uid="{00000000-0005-0000-0000-000033410000}"/>
    <cellStyle name="_20061117Holux_WorldBankCMSScope_CMS_Web_Design_Phase_Deliverables_MLP_0627 3" xfId="16782" xr:uid="{00000000-0005-0000-0000-000034410000}"/>
    <cellStyle name="_20061117Holux_WorldBankCMSScope_CMS_Web_Design_Phase_Deliverables_MLP_0627 3_Steps of Doneness" xfId="16783" xr:uid="{00000000-0005-0000-0000-000035410000}"/>
    <cellStyle name="_20061117Holux_WorldBankCMSScope_CMS_Web_Design_Phase_Deliverables_MLP_0627 4" xfId="16784" xr:uid="{00000000-0005-0000-0000-000036410000}"/>
    <cellStyle name="_20061117Holux_WorldBankCMSScope_CMS_Web_Design_Phase_Deliverables_MLP_0627_Commissioning System Implementation_Project Workbook_06_10_2011" xfId="16785" xr:uid="{00000000-0005-0000-0000-000037410000}"/>
    <cellStyle name="_20061117Holux_WorldBankCMSScope_CMS_Web_Design_Phase_Deliverables_MLP_0627_Commissioning System Implementation_Project Workbook_06_10_2011 2" xfId="16786" xr:uid="{00000000-0005-0000-0000-000038410000}"/>
    <cellStyle name="_20061117Holux_WorldBankCMSScope_CMS_Web_Design_Phase_Deliverables_MLP_0627_Commissioning System Implementation_Project Workbook_06_10_2011 2_Steps of Doneness" xfId="16787" xr:uid="{00000000-0005-0000-0000-000039410000}"/>
    <cellStyle name="_20061117Holux_WorldBankCMSScope_CMS_Web_Design_Phase_Deliverables_MLP_0627_Commissioning System Implementation_Project Workbook_06_10_2011 3" xfId="16788" xr:uid="{00000000-0005-0000-0000-00003A410000}"/>
    <cellStyle name="_20061117Holux_WorldBankCMSScope_CMS_Web_Design_Phase_Deliverables_MLP_0627_Commissioning System Implementation_Project Workbook_06_10_2011_Steps of Doneness" xfId="16789" xr:uid="{00000000-0005-0000-0000-00003B410000}"/>
    <cellStyle name="_20061117Holux_WorldBankCMSScope_CMS_Web_Design_Phase_Deliverables_MLP_0627_FairPoint_CampReport" xfId="16790" xr:uid="{00000000-0005-0000-0000-00003C410000}"/>
    <cellStyle name="_20061117Holux_WorldBankCMSScope_CMS_Web_Design_Phase_Deliverables_MLP_0627_FairPoint_CampReport 2" xfId="16791" xr:uid="{00000000-0005-0000-0000-00003D410000}"/>
    <cellStyle name="_20061117Holux_WorldBankCMSScope_CMS_Web_Design_Phase_Deliverables_MLP_0627_FairPoint_CampReport 2_Steps of Doneness" xfId="16792" xr:uid="{00000000-0005-0000-0000-00003E410000}"/>
    <cellStyle name="_20061117Holux_WorldBankCMSScope_CMS_Web_Design_Phase_Deliverables_MLP_0627_FairPoint_CampReport 3" xfId="16793" xr:uid="{00000000-0005-0000-0000-00003F410000}"/>
    <cellStyle name="_20061117Holux_WorldBankCMSScope_CMS_Web_Design_Phase_Deliverables_MLP_0627_FairPoint_CampReport_Steps of Doneness" xfId="16794" xr:uid="{00000000-0005-0000-0000-000040410000}"/>
    <cellStyle name="_20061117Holux_WorldBankCMSScope_CMS_Web_Design_Phase_Deliverables_MLP_0627_FairPoint_FP comTechOps_ProgramWorkbook" xfId="16795" xr:uid="{00000000-0005-0000-0000-000041410000}"/>
    <cellStyle name="_20061117Holux_WorldBankCMSScope_CMS_Web_Design_Phase_Deliverables_MLP_0627_FairPoint_FP comTechOps_ProgramWorkbook 2" xfId="16796" xr:uid="{00000000-0005-0000-0000-000042410000}"/>
    <cellStyle name="_20061117Holux_WorldBankCMSScope_CMS_Web_Design_Phase_Deliverables_MLP_0627_FairPoint_FP comTechOps_ProgramWorkbook 2_Steps of Doneness" xfId="16797" xr:uid="{00000000-0005-0000-0000-000043410000}"/>
    <cellStyle name="_20061117Holux_WorldBankCMSScope_CMS_Web_Design_Phase_Deliverables_MLP_0627_FairPoint_FP comTechOps_ProgramWorkbook 3" xfId="16798" xr:uid="{00000000-0005-0000-0000-000044410000}"/>
    <cellStyle name="_20061117Holux_WorldBankCMSScope_CMS_Web_Design_Phase_Deliverables_MLP_0627_FairPoint_FP comTechOps_ProgramWorkbook_sachin" xfId="16799" xr:uid="{00000000-0005-0000-0000-000045410000}"/>
    <cellStyle name="_20061117Holux_WorldBankCMSScope_CMS_Web_Design_Phase_Deliverables_MLP_0627_FairPoint_FP comTechOps_ProgramWorkbook_sachin 2" xfId="16800" xr:uid="{00000000-0005-0000-0000-000046410000}"/>
    <cellStyle name="_20061117Holux_WorldBankCMSScope_CMS_Web_Design_Phase_Deliverables_MLP_0627_FairPoint_FP comTechOps_ProgramWorkbook_sachin 2_Steps of Doneness" xfId="16801" xr:uid="{00000000-0005-0000-0000-000047410000}"/>
    <cellStyle name="_20061117Holux_WorldBankCMSScope_CMS_Web_Design_Phase_Deliverables_MLP_0627_FairPoint_FP comTechOps_ProgramWorkbook_sachin 3" xfId="16802" xr:uid="{00000000-0005-0000-0000-000048410000}"/>
    <cellStyle name="_20061117Holux_WorldBankCMSScope_CMS_Web_Design_Phase_Deliverables_MLP_0627_FairPoint_FP comTechOps_ProgramWorkbook_sachin_Steps of Doneness" xfId="16803" xr:uid="{00000000-0005-0000-0000-000049410000}"/>
    <cellStyle name="_20061117Holux_WorldBankCMSScope_CMS_Web_Design_Phase_Deliverables_MLP_0627_FairPoint_FP comTechOps_ProgramWorkbook_sachin_v1" xfId="16804" xr:uid="{00000000-0005-0000-0000-00004A410000}"/>
    <cellStyle name="_20061117Holux_WorldBankCMSScope_CMS_Web_Design_Phase_Deliverables_MLP_0627_FairPoint_FP comTechOps_ProgramWorkbook_sachin_v1 2" xfId="16805" xr:uid="{00000000-0005-0000-0000-00004B410000}"/>
    <cellStyle name="_20061117Holux_WorldBankCMSScope_CMS_Web_Design_Phase_Deliverables_MLP_0627_FairPoint_FP comTechOps_ProgramWorkbook_sachin_v1 2_Steps of Doneness" xfId="16806" xr:uid="{00000000-0005-0000-0000-00004C410000}"/>
    <cellStyle name="_20061117Holux_WorldBankCMSScope_CMS_Web_Design_Phase_Deliverables_MLP_0627_FairPoint_FP comTechOps_ProgramWorkbook_sachin_v1 3" xfId="16807" xr:uid="{00000000-0005-0000-0000-00004D410000}"/>
    <cellStyle name="_20061117Holux_WorldBankCMSScope_CMS_Web_Design_Phase_Deliverables_MLP_0627_FairPoint_FP comTechOps_ProgramWorkbook_sachin_v1_Steps of Doneness" xfId="16808" xr:uid="{00000000-0005-0000-0000-00004E410000}"/>
    <cellStyle name="_20061117Holux_WorldBankCMSScope_CMS_Web_Design_Phase_Deliverables_MLP_0627_FairPoint_FP comTechOps_ProgramWorkbook_Steps of Doneness" xfId="16809" xr:uid="{00000000-0005-0000-0000-00004F410000}"/>
    <cellStyle name="_20061117Holux_WorldBankCMSScope_CMS_Web_Design_Phase_Deliverables_MLP_0627_FP_CAMP&amp;ITReporting_Maintenance_Dashboard" xfId="16810" xr:uid="{00000000-0005-0000-0000-000050410000}"/>
    <cellStyle name="_20061117Holux_WorldBankCMSScope_CMS_Web_Design_Phase_Deliverables_MLP_0627_FP_CAMP&amp;ITReporting_Maintenance_Dashboard 2" xfId="16811" xr:uid="{00000000-0005-0000-0000-000051410000}"/>
    <cellStyle name="_20061117Holux_WorldBankCMSScope_CMS_Web_Design_Phase_Deliverables_MLP_0627_FP_CAMP&amp;ITReporting_Maintenance_Dashboard 2_Steps of Doneness" xfId="16812" xr:uid="{00000000-0005-0000-0000-000052410000}"/>
    <cellStyle name="_20061117Holux_WorldBankCMSScope_CMS_Web_Design_Phase_Deliverables_MLP_0627_FP_CAMP&amp;ITReporting_Maintenance_Dashboard 3" xfId="16813" xr:uid="{00000000-0005-0000-0000-000053410000}"/>
    <cellStyle name="_20061117Holux_WorldBankCMSScope_CMS_Web_Design_Phase_Deliverables_MLP_0627_FP_CAMP&amp;ITReporting_Maintenance_Dashboard_Steps of Doneness" xfId="16814" xr:uid="{00000000-0005-0000-0000-000054410000}"/>
    <cellStyle name="_20061117Holux_WorldBankCMSScope_CMS_Web_Design_Phase_Deliverables_MLP_0627_FP_CAMPITReporting_Maintenance_Dashboard" xfId="16815" xr:uid="{00000000-0005-0000-0000-000055410000}"/>
    <cellStyle name="_20061117Holux_WorldBankCMSScope_CMS_Web_Design_Phase_Deliverables_MLP_0627_FP_CAMPITReporting_Maintenance_Dashboard 2" xfId="16816" xr:uid="{00000000-0005-0000-0000-000056410000}"/>
    <cellStyle name="_20061117Holux_WorldBankCMSScope_CMS_Web_Design_Phase_Deliverables_MLP_0627_FP_CAMPITReporting_Maintenance_Dashboard 2_Steps of Doneness" xfId="16817" xr:uid="{00000000-0005-0000-0000-000057410000}"/>
    <cellStyle name="_20061117Holux_WorldBankCMSScope_CMS_Web_Design_Phase_Deliverables_MLP_0627_FP_CAMPITReporting_Maintenance_Dashboard 3" xfId="16818" xr:uid="{00000000-0005-0000-0000-000058410000}"/>
    <cellStyle name="_20061117Holux_WorldBankCMSScope_CMS_Web_Design_Phase_Deliverables_MLP_0627_FP_CAMPITReporting_Maintenance_Dashboard_Steps of Doneness" xfId="16819" xr:uid="{00000000-0005-0000-0000-000059410000}"/>
    <cellStyle name="_20061117Holux_WorldBankCMSScope_CMS_Web_Design_Phase_Deliverables_MLP_0627_FP_Commissions_Req_Dn_ProgramWorkBook_10-Dec-2010" xfId="16820" xr:uid="{00000000-0005-0000-0000-00005A410000}"/>
    <cellStyle name="_20061117Holux_WorldBankCMSScope_CMS_Web_Design_Phase_Deliverables_MLP_0627_FP_Commissions_Req_Dn_ProgramWorkBook_10-Dec-2010 2" xfId="16821" xr:uid="{00000000-0005-0000-0000-00005B410000}"/>
    <cellStyle name="_20061117Holux_WorldBankCMSScope_CMS_Web_Design_Phase_Deliverables_MLP_0627_FP_Commissions_Req_Dn_ProgramWorkBook_10-Dec-2010 2_Steps of Doneness" xfId="16822" xr:uid="{00000000-0005-0000-0000-00005C410000}"/>
    <cellStyle name="_20061117Holux_WorldBankCMSScope_CMS_Web_Design_Phase_Deliverables_MLP_0627_FP_Commissions_Req_Dn_ProgramWorkBook_10-Dec-2010 3" xfId="16823" xr:uid="{00000000-0005-0000-0000-00005D410000}"/>
    <cellStyle name="_20061117Holux_WorldBankCMSScope_CMS_Web_Design_Phase_Deliverables_MLP_0627_FP_Commissions_Req_Dn_ProgramWorkBook_10-Dec-2010_Steps of Doneness" xfId="16824" xr:uid="{00000000-0005-0000-0000-00005E410000}"/>
    <cellStyle name="_20061117Holux_WorldBankCMSScope_CMS_Web_Design_Phase_Deliverables_MLP_0627_FP_DW_Impl_ProgramWorkBook_07-Jan-2011" xfId="16825" xr:uid="{00000000-0005-0000-0000-00005F410000}"/>
    <cellStyle name="_20061117Holux_WorldBankCMSScope_CMS_Web_Design_Phase_Deliverables_MLP_0627_FP_DW_Impl_ProgramWorkBook_07-Jan-2011 2" xfId="16826" xr:uid="{00000000-0005-0000-0000-000060410000}"/>
    <cellStyle name="_20061117Holux_WorldBankCMSScope_CMS_Web_Design_Phase_Deliverables_MLP_0627_FP_DW_Impl_ProgramWorkBook_07-Jan-2011 2 2" xfId="16827" xr:uid="{00000000-0005-0000-0000-000061410000}"/>
    <cellStyle name="_20061117Holux_WorldBankCMSScope_CMS_Web_Design_Phase_Deliverables_MLP_0627_FP_DW_Impl_ProgramWorkBook_07-Jan-2011 2 2_Steps of Doneness" xfId="16828" xr:uid="{00000000-0005-0000-0000-000062410000}"/>
    <cellStyle name="_20061117Holux_WorldBankCMSScope_CMS_Web_Design_Phase_Deliverables_MLP_0627_FP_DW_Impl_ProgramWorkBook_07-Jan-2011 2 3" xfId="16829" xr:uid="{00000000-0005-0000-0000-000063410000}"/>
    <cellStyle name="_20061117Holux_WorldBankCMSScope_CMS_Web_Design_Phase_Deliverables_MLP_0627_FP_DW_Impl_ProgramWorkBook_07-Jan-2011 2_Steps of Doneness" xfId="16830" xr:uid="{00000000-0005-0000-0000-000064410000}"/>
    <cellStyle name="_20061117Holux_WorldBankCMSScope_CMS_Web_Design_Phase_Deliverables_MLP_0627_FP_DW_Impl_ProgramWorkBook_07-Jan-2011 3" xfId="16831" xr:uid="{00000000-0005-0000-0000-000065410000}"/>
    <cellStyle name="_20061117Holux_WorldBankCMSScope_CMS_Web_Design_Phase_Deliverables_MLP_0627_FP_DW_Impl_ProgramWorkBook_07-Jan-2011 3_Steps of Doneness" xfId="16832" xr:uid="{00000000-0005-0000-0000-000066410000}"/>
    <cellStyle name="_20061117Holux_WorldBankCMSScope_CMS_Web_Design_Phase_Deliverables_MLP_0627_FP_DW_Impl_ProgramWorkBook_07-Jan-2011 4" xfId="16833" xr:uid="{00000000-0005-0000-0000-000067410000}"/>
    <cellStyle name="_20061117Holux_WorldBankCMSScope_CMS_Web_Design_Phase_Deliverables_MLP_0627_FP_DW_Impl_ProgramWorkBook_07-Jan-2011_Steps of Doneness" xfId="16834" xr:uid="{00000000-0005-0000-0000-000068410000}"/>
    <cellStyle name="_20061117Holux_WorldBankCMSScope_CMS_Web_Design_Phase_Deliverables_MLP_0627_FP_DW_Impl_ProgramWorkBook_11-Feb-2011" xfId="16835" xr:uid="{00000000-0005-0000-0000-000069410000}"/>
    <cellStyle name="_20061117Holux_WorldBankCMSScope_CMS_Web_Design_Phase_Deliverables_MLP_0627_FP_DW_Impl_ProgramWorkBook_11-Feb-2011 2" xfId="16836" xr:uid="{00000000-0005-0000-0000-00006A410000}"/>
    <cellStyle name="_20061117Holux_WorldBankCMSScope_CMS_Web_Design_Phase_Deliverables_MLP_0627_FP_DW_Impl_ProgramWorkBook_11-Feb-2011 2_Steps of Doneness" xfId="16837" xr:uid="{00000000-0005-0000-0000-00006B410000}"/>
    <cellStyle name="_20061117Holux_WorldBankCMSScope_CMS_Web_Design_Phase_Deliverables_MLP_0627_FP_DW_Impl_ProgramWorkBook_11-Feb-2011 3" xfId="16838" xr:uid="{00000000-0005-0000-0000-00006C410000}"/>
    <cellStyle name="_20061117Holux_WorldBankCMSScope_CMS_Web_Design_Phase_Deliverables_MLP_0627_FP_DW_Impl_ProgramWorkBook_11-Feb-2011_Steps of Doneness" xfId="16839" xr:uid="{00000000-0005-0000-0000-00006D410000}"/>
    <cellStyle name="_20061117Holux_WorldBankCMSScope_CMS_Web_Design_Phase_Deliverables_MLP_0627_FP_DW_Impl_ProgramWorkBook_18-Feb-2011 - Working" xfId="16840" xr:uid="{00000000-0005-0000-0000-00006E410000}"/>
    <cellStyle name="_20061117Holux_WorldBankCMSScope_CMS_Web_Design_Phase_Deliverables_MLP_0627_FP_DW_Impl_ProgramWorkBook_18-Feb-2011 - Working 2" xfId="16841" xr:uid="{00000000-0005-0000-0000-00006F410000}"/>
    <cellStyle name="_20061117Holux_WorldBankCMSScope_CMS_Web_Design_Phase_Deliverables_MLP_0627_FP_DW_Impl_ProgramWorkBook_18-Feb-2011 - Working 2_Steps of Doneness" xfId="16842" xr:uid="{00000000-0005-0000-0000-000070410000}"/>
    <cellStyle name="_20061117Holux_WorldBankCMSScope_CMS_Web_Design_Phase_Deliverables_MLP_0627_FP_DW_Impl_ProgramWorkBook_18-Feb-2011 - Working 3" xfId="16843" xr:uid="{00000000-0005-0000-0000-000071410000}"/>
    <cellStyle name="_20061117Holux_WorldBankCMSScope_CMS_Web_Design_Phase_Deliverables_MLP_0627_FP_DW_Impl_ProgramWorkBook_18-Feb-2011 - Working_Steps of Doneness" xfId="16844" xr:uid="{00000000-0005-0000-0000-000072410000}"/>
    <cellStyle name="_20061117Holux_WorldBankCMSScope_CMS_Web_Design_Phase_Deliverables_MLP_0627_FP_EnterprisePortal_ProgramWorkbook" xfId="16845" xr:uid="{00000000-0005-0000-0000-000073410000}"/>
    <cellStyle name="_20061117Holux_WorldBankCMSScope_CMS_Web_Design_Phase_Deliverables_MLP_0627_FP_EnterprisePortal_ProgramWorkbook 2" xfId="16846" xr:uid="{00000000-0005-0000-0000-000074410000}"/>
    <cellStyle name="_20061117Holux_WorldBankCMSScope_CMS_Web_Design_Phase_Deliverables_MLP_0627_FP_EnterprisePortal_ProgramWorkbook 2_Steps of Doneness" xfId="16847" xr:uid="{00000000-0005-0000-0000-000075410000}"/>
    <cellStyle name="_20061117Holux_WorldBankCMSScope_CMS_Web_Design_Phase_Deliverables_MLP_0627_FP_EnterprisePortal_ProgramWorkbook 3" xfId="16848" xr:uid="{00000000-0005-0000-0000-000076410000}"/>
    <cellStyle name="_20061117Holux_WorldBankCMSScope_CMS_Web_Design_Phase_Deliverables_MLP_0627_FP_EnterprisePortal_ProgramWorkbook_Steps of Doneness" xfId="16849" xr:uid="{00000000-0005-0000-0000-000077410000}"/>
    <cellStyle name="_20061117Holux_WorldBankCMSScope_CMS_Web_Design_Phase_Deliverables_MLP_0627_FP_SAP_MLP v2" xfId="16850" xr:uid="{00000000-0005-0000-0000-000078410000}"/>
    <cellStyle name="_20061117Holux_WorldBankCMSScope_CMS_Web_Design_Phase_Deliverables_MLP_0627_FP_SAP_MLP v2 2" xfId="16851" xr:uid="{00000000-0005-0000-0000-000079410000}"/>
    <cellStyle name="_20061117Holux_WorldBankCMSScope_CMS_Web_Design_Phase_Deliverables_MLP_0627_FP_SAP_MLP v2 2_Steps of Doneness" xfId="16852" xr:uid="{00000000-0005-0000-0000-00007A410000}"/>
    <cellStyle name="_20061117Holux_WorldBankCMSScope_CMS_Web_Design_Phase_Deliverables_MLP_0627_FP_SAP_MLP v2 3" xfId="16853" xr:uid="{00000000-0005-0000-0000-00007B410000}"/>
    <cellStyle name="_20061117Holux_WorldBankCMSScope_CMS_Web_Design_Phase_Deliverables_MLP_0627_FP_SAP_MLP v2_Steps of Doneness" xfId="16854" xr:uid="{00000000-0005-0000-0000-00007C410000}"/>
    <cellStyle name="_20061117Holux_WorldBankCMSScope_CMS_Web_Design_Phase_Deliverables_MLP_0627_KeyDecisions" xfId="16855" xr:uid="{00000000-0005-0000-0000-00007D410000}"/>
    <cellStyle name="_20061117Holux_WorldBankCMSScope_CMS_Web_Design_Phase_Deliverables_MLP_0627_KeyDecisions 2" xfId="16856" xr:uid="{00000000-0005-0000-0000-00007E410000}"/>
    <cellStyle name="_20061117Holux_WorldBankCMSScope_CMS_Web_Design_Phase_Deliverables_MLP_0627_KeyDecisions 2_Steps of Doneness" xfId="16857" xr:uid="{00000000-0005-0000-0000-00007F410000}"/>
    <cellStyle name="_20061117Holux_WorldBankCMSScope_CMS_Web_Design_Phase_Deliverables_MLP_0627_KeyDecisions 3" xfId="16858" xr:uid="{00000000-0005-0000-0000-000080410000}"/>
    <cellStyle name="_20061117Holux_WorldBankCMSScope_CMS_Web_Design_Phase_Deliverables_MLP_0627_KeyDecisions_Steps of Doneness" xfId="16859" xr:uid="{00000000-0005-0000-0000-000081410000}"/>
    <cellStyle name="_20061117Holux_WorldBankCMSScope_CMS_Web_Design_Phase_Deliverables_MLP_0627_Sophia_Imp_ProjectWorkBook_02_18_2011" xfId="16860" xr:uid="{00000000-0005-0000-0000-000082410000}"/>
    <cellStyle name="_20061117Holux_WorldBankCMSScope_CMS_Web_Design_Phase_Deliverables_MLP_0627_Sophia_Imp_ProjectWorkBook_02_18_2011 2" xfId="16861" xr:uid="{00000000-0005-0000-0000-000083410000}"/>
    <cellStyle name="_20061117Holux_WorldBankCMSScope_CMS_Web_Design_Phase_Deliverables_MLP_0627_Sophia_Imp_ProjectWorkBook_02_18_2011 2_Steps of Doneness" xfId="16862" xr:uid="{00000000-0005-0000-0000-000084410000}"/>
    <cellStyle name="_20061117Holux_WorldBankCMSScope_CMS_Web_Design_Phase_Deliverables_MLP_0627_Sophia_Imp_ProjectWorkBook_02_18_2011 3" xfId="16863" xr:uid="{00000000-0005-0000-0000-000085410000}"/>
    <cellStyle name="_20061117Holux_WorldBankCMSScope_CMS_Web_Design_Phase_Deliverables_MLP_0627_Sophia_Imp_ProjectWorkBook_02_18_2011_Steps of Doneness" xfId="16864" xr:uid="{00000000-0005-0000-0000-000086410000}"/>
    <cellStyle name="_20061117Holux_WorldBankCMSScope_CMS_Web_Design_Phase_Deliverables_MLP_0627_Steps of Doneness" xfId="16865" xr:uid="{00000000-0005-0000-0000-000087410000}"/>
    <cellStyle name="_20061117Holux_WorldBankCMSScope_CMS_Web_Design_Phase_Deliverables_MLP_0627_t" xfId="16866" xr:uid="{00000000-0005-0000-0000-000088410000}"/>
    <cellStyle name="_20061117Holux_WorldBankCMSScope_CMS_Web_Design_Phase_Deliverables_MLP_0627_t 2" xfId="16867" xr:uid="{00000000-0005-0000-0000-000089410000}"/>
    <cellStyle name="_20061117Holux_WorldBankCMSScope_CMS_Web_Design_Phase_Deliverables_MLP_0627_t 2_Steps of Doneness" xfId="16868" xr:uid="{00000000-0005-0000-0000-00008A410000}"/>
    <cellStyle name="_20061117Holux_WorldBankCMSScope_CMS_Web_Design_Phase_Deliverables_MLP_0627_t 3" xfId="16869" xr:uid="{00000000-0005-0000-0000-00008B410000}"/>
    <cellStyle name="_20061117Holux_WorldBankCMSScope_CMS_Web_Design_Phase_Deliverables_MLP_0627_t_Steps of Doneness" xfId="16870" xr:uid="{00000000-0005-0000-0000-00008C410000}"/>
    <cellStyle name="_20061117Holux_WorldBankCMSScope_CMS_Web_Design_Phase_Deliverables_MLP_LLP_7-12-2010_Combined" xfId="16871" xr:uid="{00000000-0005-0000-0000-00008D410000}"/>
    <cellStyle name="_20061117Holux_WorldBankCMSScope_CMS_Web_Design_Phase_Deliverables_MLP_LLP_7-12-2010_Combined 2" xfId="16872" xr:uid="{00000000-0005-0000-0000-00008E410000}"/>
    <cellStyle name="_20061117Holux_WorldBankCMSScope_CMS_Web_Design_Phase_Deliverables_MLP_LLP_7-12-2010_Combined 2 2" xfId="16873" xr:uid="{00000000-0005-0000-0000-00008F410000}"/>
    <cellStyle name="_20061117Holux_WorldBankCMSScope_CMS_Web_Design_Phase_Deliverables_MLP_LLP_7-12-2010_Combined 2 2_Steps of Doneness" xfId="16874" xr:uid="{00000000-0005-0000-0000-000090410000}"/>
    <cellStyle name="_20061117Holux_WorldBankCMSScope_CMS_Web_Design_Phase_Deliverables_MLP_LLP_7-12-2010_Combined 2 3" xfId="16875" xr:uid="{00000000-0005-0000-0000-000091410000}"/>
    <cellStyle name="_20061117Holux_WorldBankCMSScope_CMS_Web_Design_Phase_Deliverables_MLP_LLP_7-12-2010_Combined 2_Steps of Doneness" xfId="16876" xr:uid="{00000000-0005-0000-0000-000092410000}"/>
    <cellStyle name="_20061117Holux_WorldBankCMSScope_CMS_Web_Design_Phase_Deliverables_MLP_LLP_7-12-2010_Combined 3" xfId="16877" xr:uid="{00000000-0005-0000-0000-000093410000}"/>
    <cellStyle name="_20061117Holux_WorldBankCMSScope_CMS_Web_Design_Phase_Deliverables_MLP_LLP_7-12-2010_Combined 3_Steps of Doneness" xfId="16878" xr:uid="{00000000-0005-0000-0000-000094410000}"/>
    <cellStyle name="_20061117Holux_WorldBankCMSScope_CMS_Web_Design_Phase_Deliverables_MLP_LLP_7-12-2010_Combined 4" xfId="16879" xr:uid="{00000000-0005-0000-0000-000095410000}"/>
    <cellStyle name="_20061117Holux_WorldBankCMSScope_CMS_Web_Design_Phase_Deliverables_MLP_LLP_7-12-2010_Combined_Commissioning System Implementation_Project Workbook_06_10_2011" xfId="16880" xr:uid="{00000000-0005-0000-0000-000096410000}"/>
    <cellStyle name="_20061117Holux_WorldBankCMSScope_CMS_Web_Design_Phase_Deliverables_MLP_LLP_7-12-2010_Combined_Commissioning System Implementation_Project Workbook_06_10_2011 2" xfId="16881" xr:uid="{00000000-0005-0000-0000-000097410000}"/>
    <cellStyle name="_20061117Holux_WorldBankCMSScope_CMS_Web_Design_Phase_Deliverables_MLP_LLP_7-12-2010_Combined_Commissioning System Implementation_Project Workbook_06_10_2011 2_Steps of Doneness" xfId="16882" xr:uid="{00000000-0005-0000-0000-000098410000}"/>
    <cellStyle name="_20061117Holux_WorldBankCMSScope_CMS_Web_Design_Phase_Deliverables_MLP_LLP_7-12-2010_Combined_Commissioning System Implementation_Project Workbook_06_10_2011 3" xfId="16883" xr:uid="{00000000-0005-0000-0000-000099410000}"/>
    <cellStyle name="_20061117Holux_WorldBankCMSScope_CMS_Web_Design_Phase_Deliverables_MLP_LLP_7-12-2010_Combined_Commissioning System Implementation_Project Workbook_06_10_2011_Steps of Doneness" xfId="16884" xr:uid="{00000000-0005-0000-0000-00009A410000}"/>
    <cellStyle name="_20061117Holux_WorldBankCMSScope_CMS_Web_Design_Phase_Deliverables_MLP_LLP_7-12-2010_Combined_FairPoint_CampReport" xfId="16885" xr:uid="{00000000-0005-0000-0000-00009B410000}"/>
    <cellStyle name="_20061117Holux_WorldBankCMSScope_CMS_Web_Design_Phase_Deliverables_MLP_LLP_7-12-2010_Combined_FairPoint_CampReport 2" xfId="16886" xr:uid="{00000000-0005-0000-0000-00009C410000}"/>
    <cellStyle name="_20061117Holux_WorldBankCMSScope_CMS_Web_Design_Phase_Deliverables_MLP_LLP_7-12-2010_Combined_FairPoint_CampReport 2_Steps of Doneness" xfId="16887" xr:uid="{00000000-0005-0000-0000-00009D410000}"/>
    <cellStyle name="_20061117Holux_WorldBankCMSScope_CMS_Web_Design_Phase_Deliverables_MLP_LLP_7-12-2010_Combined_FairPoint_CampReport 3" xfId="16888" xr:uid="{00000000-0005-0000-0000-00009E410000}"/>
    <cellStyle name="_20061117Holux_WorldBankCMSScope_CMS_Web_Design_Phase_Deliverables_MLP_LLP_7-12-2010_Combined_FairPoint_CampReport_Steps of Doneness" xfId="16889" xr:uid="{00000000-0005-0000-0000-00009F410000}"/>
    <cellStyle name="_20061117Holux_WorldBankCMSScope_CMS_Web_Design_Phase_Deliverables_MLP_LLP_7-12-2010_Combined_FairPoint_FP comTechOps_ProgramWorkbook" xfId="16890" xr:uid="{00000000-0005-0000-0000-0000A0410000}"/>
    <cellStyle name="_20061117Holux_WorldBankCMSScope_CMS_Web_Design_Phase_Deliverables_MLP_LLP_7-12-2010_Combined_FairPoint_FP comTechOps_ProgramWorkbook 2" xfId="16891" xr:uid="{00000000-0005-0000-0000-0000A1410000}"/>
    <cellStyle name="_20061117Holux_WorldBankCMSScope_CMS_Web_Design_Phase_Deliverables_MLP_LLP_7-12-2010_Combined_FairPoint_FP comTechOps_ProgramWorkbook 2_Steps of Doneness" xfId="16892" xr:uid="{00000000-0005-0000-0000-0000A2410000}"/>
    <cellStyle name="_20061117Holux_WorldBankCMSScope_CMS_Web_Design_Phase_Deliverables_MLP_LLP_7-12-2010_Combined_FairPoint_FP comTechOps_ProgramWorkbook 3" xfId="16893" xr:uid="{00000000-0005-0000-0000-0000A3410000}"/>
    <cellStyle name="_20061117Holux_WorldBankCMSScope_CMS_Web_Design_Phase_Deliverables_MLP_LLP_7-12-2010_Combined_FairPoint_FP comTechOps_ProgramWorkbook_sachin" xfId="16894" xr:uid="{00000000-0005-0000-0000-0000A4410000}"/>
    <cellStyle name="_20061117Holux_WorldBankCMSScope_CMS_Web_Design_Phase_Deliverables_MLP_LLP_7-12-2010_Combined_FairPoint_FP comTechOps_ProgramWorkbook_sachin 2" xfId="16895" xr:uid="{00000000-0005-0000-0000-0000A5410000}"/>
    <cellStyle name="_20061117Holux_WorldBankCMSScope_CMS_Web_Design_Phase_Deliverables_MLP_LLP_7-12-2010_Combined_FairPoint_FP comTechOps_ProgramWorkbook_sachin 2_Steps of Doneness" xfId="16896" xr:uid="{00000000-0005-0000-0000-0000A6410000}"/>
    <cellStyle name="_20061117Holux_WorldBankCMSScope_CMS_Web_Design_Phase_Deliverables_MLP_LLP_7-12-2010_Combined_FairPoint_FP comTechOps_ProgramWorkbook_sachin 3" xfId="16897" xr:uid="{00000000-0005-0000-0000-0000A7410000}"/>
    <cellStyle name="_20061117Holux_WorldBankCMSScope_CMS_Web_Design_Phase_Deliverables_MLP_LLP_7-12-2010_Combined_FairPoint_FP comTechOps_ProgramWorkbook_sachin_Steps of Doneness" xfId="16898" xr:uid="{00000000-0005-0000-0000-0000A8410000}"/>
    <cellStyle name="_20061117Holux_WorldBankCMSScope_CMS_Web_Design_Phase_Deliverables_MLP_LLP_7-12-2010_Combined_FairPoint_FP comTechOps_ProgramWorkbook_sachin_v1" xfId="16899" xr:uid="{00000000-0005-0000-0000-0000A9410000}"/>
    <cellStyle name="_20061117Holux_WorldBankCMSScope_CMS_Web_Design_Phase_Deliverables_MLP_LLP_7-12-2010_Combined_FairPoint_FP comTechOps_ProgramWorkbook_sachin_v1 2" xfId="16900" xr:uid="{00000000-0005-0000-0000-0000AA410000}"/>
    <cellStyle name="_20061117Holux_WorldBankCMSScope_CMS_Web_Design_Phase_Deliverables_MLP_LLP_7-12-2010_Combined_FairPoint_FP comTechOps_ProgramWorkbook_sachin_v1 2_Steps of Doneness" xfId="16901" xr:uid="{00000000-0005-0000-0000-0000AB410000}"/>
    <cellStyle name="_20061117Holux_WorldBankCMSScope_CMS_Web_Design_Phase_Deliverables_MLP_LLP_7-12-2010_Combined_FairPoint_FP comTechOps_ProgramWorkbook_sachin_v1 3" xfId="16902" xr:uid="{00000000-0005-0000-0000-0000AC410000}"/>
    <cellStyle name="_20061117Holux_WorldBankCMSScope_CMS_Web_Design_Phase_Deliverables_MLP_LLP_7-12-2010_Combined_FairPoint_FP comTechOps_ProgramWorkbook_sachin_v1_Steps of Doneness" xfId="16903" xr:uid="{00000000-0005-0000-0000-0000AD410000}"/>
    <cellStyle name="_20061117Holux_WorldBankCMSScope_CMS_Web_Design_Phase_Deliverables_MLP_LLP_7-12-2010_Combined_FairPoint_FP comTechOps_ProgramWorkbook_Steps of Doneness" xfId="16904" xr:uid="{00000000-0005-0000-0000-0000AE410000}"/>
    <cellStyle name="_20061117Holux_WorldBankCMSScope_CMS_Web_Design_Phase_Deliverables_MLP_LLP_7-12-2010_Combined_FP_CAMP&amp;ITReporting_Maintenance_Dashboard" xfId="16905" xr:uid="{00000000-0005-0000-0000-0000AF410000}"/>
    <cellStyle name="_20061117Holux_WorldBankCMSScope_CMS_Web_Design_Phase_Deliverables_MLP_LLP_7-12-2010_Combined_FP_CAMP&amp;ITReporting_Maintenance_Dashboard 2" xfId="16906" xr:uid="{00000000-0005-0000-0000-0000B0410000}"/>
    <cellStyle name="_20061117Holux_WorldBankCMSScope_CMS_Web_Design_Phase_Deliverables_MLP_LLP_7-12-2010_Combined_FP_CAMP&amp;ITReporting_Maintenance_Dashboard 2_Steps of Doneness" xfId="16907" xr:uid="{00000000-0005-0000-0000-0000B1410000}"/>
    <cellStyle name="_20061117Holux_WorldBankCMSScope_CMS_Web_Design_Phase_Deliverables_MLP_LLP_7-12-2010_Combined_FP_CAMP&amp;ITReporting_Maintenance_Dashboard 3" xfId="16908" xr:uid="{00000000-0005-0000-0000-0000B2410000}"/>
    <cellStyle name="_20061117Holux_WorldBankCMSScope_CMS_Web_Design_Phase_Deliverables_MLP_LLP_7-12-2010_Combined_FP_CAMP&amp;ITReporting_Maintenance_Dashboard_Steps of Doneness" xfId="16909" xr:uid="{00000000-0005-0000-0000-0000B3410000}"/>
    <cellStyle name="_20061117Holux_WorldBankCMSScope_CMS_Web_Design_Phase_Deliverables_MLP_LLP_7-12-2010_Combined_FP_CAMPITReporting_Maintenance_Dashboard" xfId="16910" xr:uid="{00000000-0005-0000-0000-0000B4410000}"/>
    <cellStyle name="_20061117Holux_WorldBankCMSScope_CMS_Web_Design_Phase_Deliverables_MLP_LLP_7-12-2010_Combined_FP_CAMPITReporting_Maintenance_Dashboard 2" xfId="16911" xr:uid="{00000000-0005-0000-0000-0000B5410000}"/>
    <cellStyle name="_20061117Holux_WorldBankCMSScope_CMS_Web_Design_Phase_Deliverables_MLP_LLP_7-12-2010_Combined_FP_CAMPITReporting_Maintenance_Dashboard 2_Steps of Doneness" xfId="16912" xr:uid="{00000000-0005-0000-0000-0000B6410000}"/>
    <cellStyle name="_20061117Holux_WorldBankCMSScope_CMS_Web_Design_Phase_Deliverables_MLP_LLP_7-12-2010_Combined_FP_CAMPITReporting_Maintenance_Dashboard 3" xfId="16913" xr:uid="{00000000-0005-0000-0000-0000B7410000}"/>
    <cellStyle name="_20061117Holux_WorldBankCMSScope_CMS_Web_Design_Phase_Deliverables_MLP_LLP_7-12-2010_Combined_FP_CAMPITReporting_Maintenance_Dashboard_Steps of Doneness" xfId="16914" xr:uid="{00000000-0005-0000-0000-0000B8410000}"/>
    <cellStyle name="_20061117Holux_WorldBankCMSScope_CMS_Web_Design_Phase_Deliverables_MLP_LLP_7-12-2010_Combined_FP_Commissions_Req_Dn_ProgramWorkBook_10-Dec-2010" xfId="16915" xr:uid="{00000000-0005-0000-0000-0000B9410000}"/>
    <cellStyle name="_20061117Holux_WorldBankCMSScope_CMS_Web_Design_Phase_Deliverables_MLP_LLP_7-12-2010_Combined_FP_Commissions_Req_Dn_ProgramWorkBook_10-Dec-2010 2" xfId="16916" xr:uid="{00000000-0005-0000-0000-0000BA410000}"/>
    <cellStyle name="_20061117Holux_WorldBankCMSScope_CMS_Web_Design_Phase_Deliverables_MLP_LLP_7-12-2010_Combined_FP_Commissions_Req_Dn_ProgramWorkBook_10-Dec-2010 2_Steps of Doneness" xfId="16917" xr:uid="{00000000-0005-0000-0000-0000BB410000}"/>
    <cellStyle name="_20061117Holux_WorldBankCMSScope_CMS_Web_Design_Phase_Deliverables_MLP_LLP_7-12-2010_Combined_FP_Commissions_Req_Dn_ProgramWorkBook_10-Dec-2010 3" xfId="16918" xr:uid="{00000000-0005-0000-0000-0000BC410000}"/>
    <cellStyle name="_20061117Holux_WorldBankCMSScope_CMS_Web_Design_Phase_Deliverables_MLP_LLP_7-12-2010_Combined_FP_Commissions_Req_Dn_ProgramWorkBook_10-Dec-2010_Steps of Doneness" xfId="16919" xr:uid="{00000000-0005-0000-0000-0000BD410000}"/>
    <cellStyle name="_20061117Holux_WorldBankCMSScope_CMS_Web_Design_Phase_Deliverables_MLP_LLP_7-12-2010_Combined_FP_DW_Impl_ProgramWorkBook_07-Jan-2011" xfId="16920" xr:uid="{00000000-0005-0000-0000-0000BE410000}"/>
    <cellStyle name="_20061117Holux_WorldBankCMSScope_CMS_Web_Design_Phase_Deliverables_MLP_LLP_7-12-2010_Combined_FP_DW_Impl_ProgramWorkBook_07-Jan-2011 2" xfId="16921" xr:uid="{00000000-0005-0000-0000-0000BF410000}"/>
    <cellStyle name="_20061117Holux_WorldBankCMSScope_CMS_Web_Design_Phase_Deliverables_MLP_LLP_7-12-2010_Combined_FP_DW_Impl_ProgramWorkBook_07-Jan-2011 2 2" xfId="16922" xr:uid="{00000000-0005-0000-0000-0000C0410000}"/>
    <cellStyle name="_20061117Holux_WorldBankCMSScope_CMS_Web_Design_Phase_Deliverables_MLP_LLP_7-12-2010_Combined_FP_DW_Impl_ProgramWorkBook_07-Jan-2011 2 2_Steps of Doneness" xfId="16923" xr:uid="{00000000-0005-0000-0000-0000C1410000}"/>
    <cellStyle name="_20061117Holux_WorldBankCMSScope_CMS_Web_Design_Phase_Deliverables_MLP_LLP_7-12-2010_Combined_FP_DW_Impl_ProgramWorkBook_07-Jan-2011 2 3" xfId="16924" xr:uid="{00000000-0005-0000-0000-0000C2410000}"/>
    <cellStyle name="_20061117Holux_WorldBankCMSScope_CMS_Web_Design_Phase_Deliverables_MLP_LLP_7-12-2010_Combined_FP_DW_Impl_ProgramWorkBook_07-Jan-2011 2_Steps of Doneness" xfId="16925" xr:uid="{00000000-0005-0000-0000-0000C3410000}"/>
    <cellStyle name="_20061117Holux_WorldBankCMSScope_CMS_Web_Design_Phase_Deliverables_MLP_LLP_7-12-2010_Combined_FP_DW_Impl_ProgramWorkBook_07-Jan-2011 3" xfId="16926" xr:uid="{00000000-0005-0000-0000-0000C4410000}"/>
    <cellStyle name="_20061117Holux_WorldBankCMSScope_CMS_Web_Design_Phase_Deliverables_MLP_LLP_7-12-2010_Combined_FP_DW_Impl_ProgramWorkBook_07-Jan-2011 3_Steps of Doneness" xfId="16927" xr:uid="{00000000-0005-0000-0000-0000C5410000}"/>
    <cellStyle name="_20061117Holux_WorldBankCMSScope_CMS_Web_Design_Phase_Deliverables_MLP_LLP_7-12-2010_Combined_FP_DW_Impl_ProgramWorkBook_07-Jan-2011 4" xfId="16928" xr:uid="{00000000-0005-0000-0000-0000C6410000}"/>
    <cellStyle name="_20061117Holux_WorldBankCMSScope_CMS_Web_Design_Phase_Deliverables_MLP_LLP_7-12-2010_Combined_FP_DW_Impl_ProgramWorkBook_07-Jan-2011_Steps of Doneness" xfId="16929" xr:uid="{00000000-0005-0000-0000-0000C7410000}"/>
    <cellStyle name="_20061117Holux_WorldBankCMSScope_CMS_Web_Design_Phase_Deliverables_MLP_LLP_7-12-2010_Combined_FP_DW_Impl_ProgramWorkBook_11-Feb-2011" xfId="16930" xr:uid="{00000000-0005-0000-0000-0000C8410000}"/>
    <cellStyle name="_20061117Holux_WorldBankCMSScope_CMS_Web_Design_Phase_Deliverables_MLP_LLP_7-12-2010_Combined_FP_DW_Impl_ProgramWorkBook_11-Feb-2011 2" xfId="16931" xr:uid="{00000000-0005-0000-0000-0000C9410000}"/>
    <cellStyle name="_20061117Holux_WorldBankCMSScope_CMS_Web_Design_Phase_Deliverables_MLP_LLP_7-12-2010_Combined_FP_DW_Impl_ProgramWorkBook_11-Feb-2011 2_Steps of Doneness" xfId="16932" xr:uid="{00000000-0005-0000-0000-0000CA410000}"/>
    <cellStyle name="_20061117Holux_WorldBankCMSScope_CMS_Web_Design_Phase_Deliverables_MLP_LLP_7-12-2010_Combined_FP_DW_Impl_ProgramWorkBook_11-Feb-2011 3" xfId="16933" xr:uid="{00000000-0005-0000-0000-0000CB410000}"/>
    <cellStyle name="_20061117Holux_WorldBankCMSScope_CMS_Web_Design_Phase_Deliverables_MLP_LLP_7-12-2010_Combined_FP_DW_Impl_ProgramWorkBook_11-Feb-2011_Steps of Doneness" xfId="16934" xr:uid="{00000000-0005-0000-0000-0000CC410000}"/>
    <cellStyle name="_20061117Holux_WorldBankCMSScope_CMS_Web_Design_Phase_Deliverables_MLP_LLP_7-12-2010_Combined_FP_DW_Impl_ProgramWorkBook_18-Feb-2011 - Working" xfId="16935" xr:uid="{00000000-0005-0000-0000-0000CD410000}"/>
    <cellStyle name="_20061117Holux_WorldBankCMSScope_CMS_Web_Design_Phase_Deliverables_MLP_LLP_7-12-2010_Combined_FP_DW_Impl_ProgramWorkBook_18-Feb-2011 - Working 2" xfId="16936" xr:uid="{00000000-0005-0000-0000-0000CE410000}"/>
    <cellStyle name="_20061117Holux_WorldBankCMSScope_CMS_Web_Design_Phase_Deliverables_MLP_LLP_7-12-2010_Combined_FP_DW_Impl_ProgramWorkBook_18-Feb-2011 - Working 2_Steps of Doneness" xfId="16937" xr:uid="{00000000-0005-0000-0000-0000CF410000}"/>
    <cellStyle name="_20061117Holux_WorldBankCMSScope_CMS_Web_Design_Phase_Deliverables_MLP_LLP_7-12-2010_Combined_FP_DW_Impl_ProgramWorkBook_18-Feb-2011 - Working 3" xfId="16938" xr:uid="{00000000-0005-0000-0000-0000D0410000}"/>
    <cellStyle name="_20061117Holux_WorldBankCMSScope_CMS_Web_Design_Phase_Deliverables_MLP_LLP_7-12-2010_Combined_FP_DW_Impl_ProgramWorkBook_18-Feb-2011 - Working_Steps of Doneness" xfId="16939" xr:uid="{00000000-0005-0000-0000-0000D1410000}"/>
    <cellStyle name="_20061117Holux_WorldBankCMSScope_CMS_Web_Design_Phase_Deliverables_MLP_LLP_7-12-2010_Combined_FP_EnterprisePortal_ProgramWorkbook" xfId="16940" xr:uid="{00000000-0005-0000-0000-0000D2410000}"/>
    <cellStyle name="_20061117Holux_WorldBankCMSScope_CMS_Web_Design_Phase_Deliverables_MLP_LLP_7-12-2010_Combined_FP_EnterprisePortal_ProgramWorkbook 2" xfId="16941" xr:uid="{00000000-0005-0000-0000-0000D3410000}"/>
    <cellStyle name="_20061117Holux_WorldBankCMSScope_CMS_Web_Design_Phase_Deliverables_MLP_LLP_7-12-2010_Combined_FP_EnterprisePortal_ProgramWorkbook 2_Steps of Doneness" xfId="16942" xr:uid="{00000000-0005-0000-0000-0000D4410000}"/>
    <cellStyle name="_20061117Holux_WorldBankCMSScope_CMS_Web_Design_Phase_Deliverables_MLP_LLP_7-12-2010_Combined_FP_EnterprisePortal_ProgramWorkbook 3" xfId="16943" xr:uid="{00000000-0005-0000-0000-0000D5410000}"/>
    <cellStyle name="_20061117Holux_WorldBankCMSScope_CMS_Web_Design_Phase_Deliverables_MLP_LLP_7-12-2010_Combined_FP_EnterprisePortal_ProgramWorkbook_Steps of Doneness" xfId="16944" xr:uid="{00000000-0005-0000-0000-0000D6410000}"/>
    <cellStyle name="_20061117Holux_WorldBankCMSScope_CMS_Web_Design_Phase_Deliverables_MLP_LLP_7-12-2010_Combined_FP_SAP_MLP v2" xfId="16945" xr:uid="{00000000-0005-0000-0000-0000D7410000}"/>
    <cellStyle name="_20061117Holux_WorldBankCMSScope_CMS_Web_Design_Phase_Deliverables_MLP_LLP_7-12-2010_Combined_FP_SAP_MLP v2 2" xfId="16946" xr:uid="{00000000-0005-0000-0000-0000D8410000}"/>
    <cellStyle name="_20061117Holux_WorldBankCMSScope_CMS_Web_Design_Phase_Deliverables_MLP_LLP_7-12-2010_Combined_FP_SAP_MLP v2 2_Steps of Doneness" xfId="16947" xr:uid="{00000000-0005-0000-0000-0000D9410000}"/>
    <cellStyle name="_20061117Holux_WorldBankCMSScope_CMS_Web_Design_Phase_Deliverables_MLP_LLP_7-12-2010_Combined_FP_SAP_MLP v2 3" xfId="16948" xr:uid="{00000000-0005-0000-0000-0000DA410000}"/>
    <cellStyle name="_20061117Holux_WorldBankCMSScope_CMS_Web_Design_Phase_Deliverables_MLP_LLP_7-12-2010_Combined_FP_SAP_MLP v2_Steps of Doneness" xfId="16949" xr:uid="{00000000-0005-0000-0000-0000DB410000}"/>
    <cellStyle name="_20061117Holux_WorldBankCMSScope_CMS_Web_Design_Phase_Deliverables_MLP_LLP_7-12-2010_Combined_KeyDecisions" xfId="16950" xr:uid="{00000000-0005-0000-0000-0000DC410000}"/>
    <cellStyle name="_20061117Holux_WorldBankCMSScope_CMS_Web_Design_Phase_Deliverables_MLP_LLP_7-12-2010_Combined_KeyDecisions 2" xfId="16951" xr:uid="{00000000-0005-0000-0000-0000DD410000}"/>
    <cellStyle name="_20061117Holux_WorldBankCMSScope_CMS_Web_Design_Phase_Deliverables_MLP_LLP_7-12-2010_Combined_KeyDecisions 2_Steps of Doneness" xfId="16952" xr:uid="{00000000-0005-0000-0000-0000DE410000}"/>
    <cellStyle name="_20061117Holux_WorldBankCMSScope_CMS_Web_Design_Phase_Deliverables_MLP_LLP_7-12-2010_Combined_KeyDecisions 3" xfId="16953" xr:uid="{00000000-0005-0000-0000-0000DF410000}"/>
    <cellStyle name="_20061117Holux_WorldBankCMSScope_CMS_Web_Design_Phase_Deliverables_MLP_LLP_7-12-2010_Combined_KeyDecisions_Steps of Doneness" xfId="16954" xr:uid="{00000000-0005-0000-0000-0000E0410000}"/>
    <cellStyle name="_20061117Holux_WorldBankCMSScope_CMS_Web_Design_Phase_Deliverables_MLP_LLP_7-12-2010_Combined_Sophia_Imp_ProjectWorkBook_02_18_2011" xfId="16955" xr:uid="{00000000-0005-0000-0000-0000E1410000}"/>
    <cellStyle name="_20061117Holux_WorldBankCMSScope_CMS_Web_Design_Phase_Deliverables_MLP_LLP_7-12-2010_Combined_Sophia_Imp_ProjectWorkBook_02_18_2011 2" xfId="16956" xr:uid="{00000000-0005-0000-0000-0000E2410000}"/>
    <cellStyle name="_20061117Holux_WorldBankCMSScope_CMS_Web_Design_Phase_Deliverables_MLP_LLP_7-12-2010_Combined_Sophia_Imp_ProjectWorkBook_02_18_2011 2_Steps of Doneness" xfId="16957" xr:uid="{00000000-0005-0000-0000-0000E3410000}"/>
    <cellStyle name="_20061117Holux_WorldBankCMSScope_CMS_Web_Design_Phase_Deliverables_MLP_LLP_7-12-2010_Combined_Sophia_Imp_ProjectWorkBook_02_18_2011 3" xfId="16958" xr:uid="{00000000-0005-0000-0000-0000E4410000}"/>
    <cellStyle name="_20061117Holux_WorldBankCMSScope_CMS_Web_Design_Phase_Deliverables_MLP_LLP_7-12-2010_Combined_Sophia_Imp_ProjectWorkBook_02_18_2011_Steps of Doneness" xfId="16959" xr:uid="{00000000-0005-0000-0000-0000E5410000}"/>
    <cellStyle name="_20061117Holux_WorldBankCMSScope_CMS_Web_Design_Phase_Deliverables_MLP_LLP_7-12-2010_Combined_Steps of Doneness" xfId="16960" xr:uid="{00000000-0005-0000-0000-0000E6410000}"/>
    <cellStyle name="_20061117Holux_WorldBankCMSScope_CMS_Web_Design_Phase_Deliverables_MLP_LLP_7-12-2010_Combined_t" xfId="16961" xr:uid="{00000000-0005-0000-0000-0000E7410000}"/>
    <cellStyle name="_20061117Holux_WorldBankCMSScope_CMS_Web_Design_Phase_Deliverables_MLP_LLP_7-12-2010_Combined_t 2" xfId="16962" xr:uid="{00000000-0005-0000-0000-0000E8410000}"/>
    <cellStyle name="_20061117Holux_WorldBankCMSScope_CMS_Web_Design_Phase_Deliverables_MLP_LLP_7-12-2010_Combined_t 2_Steps of Doneness" xfId="16963" xr:uid="{00000000-0005-0000-0000-0000E9410000}"/>
    <cellStyle name="_20061117Holux_WorldBankCMSScope_CMS_Web_Design_Phase_Deliverables_MLP_LLP_7-12-2010_Combined_t 3" xfId="16964" xr:uid="{00000000-0005-0000-0000-0000EA410000}"/>
    <cellStyle name="_20061117Holux_WorldBankCMSScope_CMS_Web_Design_Phase_Deliverables_MLP_LLP_7-12-2010_Combined_t_Steps of Doneness" xfId="16965" xr:uid="{00000000-0005-0000-0000-0000EB410000}"/>
    <cellStyle name="_20061117Holux_WorldBankCMSScope_CMS_Web_Design_Phase_Deliverables_MLP_LLP_7-14-2010_Combined" xfId="16966" xr:uid="{00000000-0005-0000-0000-0000EC410000}"/>
    <cellStyle name="_20061117Holux_WorldBankCMSScope_CMS_Web_Design_Phase_Deliverables_MLP_LLP_7-14-2010_Combined 2" xfId="16967" xr:uid="{00000000-0005-0000-0000-0000ED410000}"/>
    <cellStyle name="_20061117Holux_WorldBankCMSScope_CMS_Web_Design_Phase_Deliverables_MLP_LLP_7-14-2010_Combined 2 2" xfId="16968" xr:uid="{00000000-0005-0000-0000-0000EE410000}"/>
    <cellStyle name="_20061117Holux_WorldBankCMSScope_CMS_Web_Design_Phase_Deliverables_MLP_LLP_7-14-2010_Combined 2 2_Steps of Doneness" xfId="16969" xr:uid="{00000000-0005-0000-0000-0000EF410000}"/>
    <cellStyle name="_20061117Holux_WorldBankCMSScope_CMS_Web_Design_Phase_Deliverables_MLP_LLP_7-14-2010_Combined 2 3" xfId="16970" xr:uid="{00000000-0005-0000-0000-0000F0410000}"/>
    <cellStyle name="_20061117Holux_WorldBankCMSScope_CMS_Web_Design_Phase_Deliverables_MLP_LLP_7-14-2010_Combined 2_Steps of Doneness" xfId="16971" xr:uid="{00000000-0005-0000-0000-0000F1410000}"/>
    <cellStyle name="_20061117Holux_WorldBankCMSScope_CMS_Web_Design_Phase_Deliverables_MLP_LLP_7-14-2010_Combined 3" xfId="16972" xr:uid="{00000000-0005-0000-0000-0000F2410000}"/>
    <cellStyle name="_20061117Holux_WorldBankCMSScope_CMS_Web_Design_Phase_Deliverables_MLP_LLP_7-14-2010_Combined 3_Steps of Doneness" xfId="16973" xr:uid="{00000000-0005-0000-0000-0000F3410000}"/>
    <cellStyle name="_20061117Holux_WorldBankCMSScope_CMS_Web_Design_Phase_Deliverables_MLP_LLP_7-14-2010_Combined 4" xfId="16974" xr:uid="{00000000-0005-0000-0000-0000F4410000}"/>
    <cellStyle name="_20061117Holux_WorldBankCMSScope_CMS_Web_Design_Phase_Deliverables_MLP_LLP_7-14-2010_Combined_Commissioning System Implementation_Project Workbook_06_10_2011" xfId="16975" xr:uid="{00000000-0005-0000-0000-0000F5410000}"/>
    <cellStyle name="_20061117Holux_WorldBankCMSScope_CMS_Web_Design_Phase_Deliverables_MLP_LLP_7-14-2010_Combined_Commissioning System Implementation_Project Workbook_06_10_2011 2" xfId="16976" xr:uid="{00000000-0005-0000-0000-0000F6410000}"/>
    <cellStyle name="_20061117Holux_WorldBankCMSScope_CMS_Web_Design_Phase_Deliverables_MLP_LLP_7-14-2010_Combined_Commissioning System Implementation_Project Workbook_06_10_2011 2_Steps of Doneness" xfId="16977" xr:uid="{00000000-0005-0000-0000-0000F7410000}"/>
    <cellStyle name="_20061117Holux_WorldBankCMSScope_CMS_Web_Design_Phase_Deliverables_MLP_LLP_7-14-2010_Combined_Commissioning System Implementation_Project Workbook_06_10_2011 3" xfId="16978" xr:uid="{00000000-0005-0000-0000-0000F8410000}"/>
    <cellStyle name="_20061117Holux_WorldBankCMSScope_CMS_Web_Design_Phase_Deliverables_MLP_LLP_7-14-2010_Combined_Commissioning System Implementation_Project Workbook_06_10_2011_Steps of Doneness" xfId="16979" xr:uid="{00000000-0005-0000-0000-0000F9410000}"/>
    <cellStyle name="_20061117Holux_WorldBankCMSScope_CMS_Web_Design_Phase_Deliverables_MLP_LLP_7-14-2010_Combined_FairPoint_CampReport" xfId="16980" xr:uid="{00000000-0005-0000-0000-0000FA410000}"/>
    <cellStyle name="_20061117Holux_WorldBankCMSScope_CMS_Web_Design_Phase_Deliverables_MLP_LLP_7-14-2010_Combined_FairPoint_CampReport 2" xfId="16981" xr:uid="{00000000-0005-0000-0000-0000FB410000}"/>
    <cellStyle name="_20061117Holux_WorldBankCMSScope_CMS_Web_Design_Phase_Deliverables_MLP_LLP_7-14-2010_Combined_FairPoint_CampReport 2_Steps of Doneness" xfId="16982" xr:uid="{00000000-0005-0000-0000-0000FC410000}"/>
    <cellStyle name="_20061117Holux_WorldBankCMSScope_CMS_Web_Design_Phase_Deliverables_MLP_LLP_7-14-2010_Combined_FairPoint_CampReport 3" xfId="16983" xr:uid="{00000000-0005-0000-0000-0000FD410000}"/>
    <cellStyle name="_20061117Holux_WorldBankCMSScope_CMS_Web_Design_Phase_Deliverables_MLP_LLP_7-14-2010_Combined_FairPoint_CampReport_Steps of Doneness" xfId="16984" xr:uid="{00000000-0005-0000-0000-0000FE410000}"/>
    <cellStyle name="_20061117Holux_WorldBankCMSScope_CMS_Web_Design_Phase_Deliverables_MLP_LLP_7-14-2010_Combined_FairPoint_FP comTechOps_ProgramWorkbook" xfId="16985" xr:uid="{00000000-0005-0000-0000-0000FF410000}"/>
    <cellStyle name="_20061117Holux_WorldBankCMSScope_CMS_Web_Design_Phase_Deliverables_MLP_LLP_7-14-2010_Combined_FairPoint_FP comTechOps_ProgramWorkbook 2" xfId="16986" xr:uid="{00000000-0005-0000-0000-000000420000}"/>
    <cellStyle name="_20061117Holux_WorldBankCMSScope_CMS_Web_Design_Phase_Deliverables_MLP_LLP_7-14-2010_Combined_FairPoint_FP comTechOps_ProgramWorkbook 2_Steps of Doneness" xfId="16987" xr:uid="{00000000-0005-0000-0000-000001420000}"/>
    <cellStyle name="_20061117Holux_WorldBankCMSScope_CMS_Web_Design_Phase_Deliverables_MLP_LLP_7-14-2010_Combined_FairPoint_FP comTechOps_ProgramWorkbook 3" xfId="16988" xr:uid="{00000000-0005-0000-0000-000002420000}"/>
    <cellStyle name="_20061117Holux_WorldBankCMSScope_CMS_Web_Design_Phase_Deliverables_MLP_LLP_7-14-2010_Combined_FairPoint_FP comTechOps_ProgramWorkbook_sachin" xfId="16989" xr:uid="{00000000-0005-0000-0000-000003420000}"/>
    <cellStyle name="_20061117Holux_WorldBankCMSScope_CMS_Web_Design_Phase_Deliverables_MLP_LLP_7-14-2010_Combined_FairPoint_FP comTechOps_ProgramWorkbook_sachin 2" xfId="16990" xr:uid="{00000000-0005-0000-0000-000004420000}"/>
    <cellStyle name="_20061117Holux_WorldBankCMSScope_CMS_Web_Design_Phase_Deliverables_MLP_LLP_7-14-2010_Combined_FairPoint_FP comTechOps_ProgramWorkbook_sachin 2_Steps of Doneness" xfId="16991" xr:uid="{00000000-0005-0000-0000-000005420000}"/>
    <cellStyle name="_20061117Holux_WorldBankCMSScope_CMS_Web_Design_Phase_Deliverables_MLP_LLP_7-14-2010_Combined_FairPoint_FP comTechOps_ProgramWorkbook_sachin 3" xfId="16992" xr:uid="{00000000-0005-0000-0000-000006420000}"/>
    <cellStyle name="_20061117Holux_WorldBankCMSScope_CMS_Web_Design_Phase_Deliverables_MLP_LLP_7-14-2010_Combined_FairPoint_FP comTechOps_ProgramWorkbook_sachin_Steps of Doneness" xfId="16993" xr:uid="{00000000-0005-0000-0000-000007420000}"/>
    <cellStyle name="_20061117Holux_WorldBankCMSScope_CMS_Web_Design_Phase_Deliverables_MLP_LLP_7-14-2010_Combined_FairPoint_FP comTechOps_ProgramWorkbook_sachin_v1" xfId="16994" xr:uid="{00000000-0005-0000-0000-000008420000}"/>
    <cellStyle name="_20061117Holux_WorldBankCMSScope_CMS_Web_Design_Phase_Deliverables_MLP_LLP_7-14-2010_Combined_FairPoint_FP comTechOps_ProgramWorkbook_sachin_v1 2" xfId="16995" xr:uid="{00000000-0005-0000-0000-000009420000}"/>
    <cellStyle name="_20061117Holux_WorldBankCMSScope_CMS_Web_Design_Phase_Deliverables_MLP_LLP_7-14-2010_Combined_FairPoint_FP comTechOps_ProgramWorkbook_sachin_v1 2_Steps of Doneness" xfId="16996" xr:uid="{00000000-0005-0000-0000-00000A420000}"/>
    <cellStyle name="_20061117Holux_WorldBankCMSScope_CMS_Web_Design_Phase_Deliverables_MLP_LLP_7-14-2010_Combined_FairPoint_FP comTechOps_ProgramWorkbook_sachin_v1 3" xfId="16997" xr:uid="{00000000-0005-0000-0000-00000B420000}"/>
    <cellStyle name="_20061117Holux_WorldBankCMSScope_CMS_Web_Design_Phase_Deliverables_MLP_LLP_7-14-2010_Combined_FairPoint_FP comTechOps_ProgramWorkbook_sachin_v1_Steps of Doneness" xfId="16998" xr:uid="{00000000-0005-0000-0000-00000C420000}"/>
    <cellStyle name="_20061117Holux_WorldBankCMSScope_CMS_Web_Design_Phase_Deliverables_MLP_LLP_7-14-2010_Combined_FairPoint_FP comTechOps_ProgramWorkbook_Steps of Doneness" xfId="16999" xr:uid="{00000000-0005-0000-0000-00000D420000}"/>
    <cellStyle name="_20061117Holux_WorldBankCMSScope_CMS_Web_Design_Phase_Deliverables_MLP_LLP_7-14-2010_Combined_FP_CAMP&amp;ITReporting_Maintenance_Dashboard" xfId="17000" xr:uid="{00000000-0005-0000-0000-00000E420000}"/>
    <cellStyle name="_20061117Holux_WorldBankCMSScope_CMS_Web_Design_Phase_Deliverables_MLP_LLP_7-14-2010_Combined_FP_CAMP&amp;ITReporting_Maintenance_Dashboard 2" xfId="17001" xr:uid="{00000000-0005-0000-0000-00000F420000}"/>
    <cellStyle name="_20061117Holux_WorldBankCMSScope_CMS_Web_Design_Phase_Deliverables_MLP_LLP_7-14-2010_Combined_FP_CAMP&amp;ITReporting_Maintenance_Dashboard 2_Steps of Doneness" xfId="17002" xr:uid="{00000000-0005-0000-0000-000010420000}"/>
    <cellStyle name="_20061117Holux_WorldBankCMSScope_CMS_Web_Design_Phase_Deliverables_MLP_LLP_7-14-2010_Combined_FP_CAMP&amp;ITReporting_Maintenance_Dashboard 3" xfId="17003" xr:uid="{00000000-0005-0000-0000-000011420000}"/>
    <cellStyle name="_20061117Holux_WorldBankCMSScope_CMS_Web_Design_Phase_Deliverables_MLP_LLP_7-14-2010_Combined_FP_CAMP&amp;ITReporting_Maintenance_Dashboard_Steps of Doneness" xfId="17004" xr:uid="{00000000-0005-0000-0000-000012420000}"/>
    <cellStyle name="_20061117Holux_WorldBankCMSScope_CMS_Web_Design_Phase_Deliverables_MLP_LLP_7-14-2010_Combined_FP_CAMPITReporting_Maintenance_Dashboard" xfId="17005" xr:uid="{00000000-0005-0000-0000-000013420000}"/>
    <cellStyle name="_20061117Holux_WorldBankCMSScope_CMS_Web_Design_Phase_Deliverables_MLP_LLP_7-14-2010_Combined_FP_CAMPITReporting_Maintenance_Dashboard 2" xfId="17006" xr:uid="{00000000-0005-0000-0000-000014420000}"/>
    <cellStyle name="_20061117Holux_WorldBankCMSScope_CMS_Web_Design_Phase_Deliverables_MLP_LLP_7-14-2010_Combined_FP_CAMPITReporting_Maintenance_Dashboard 2_Steps of Doneness" xfId="17007" xr:uid="{00000000-0005-0000-0000-000015420000}"/>
    <cellStyle name="_20061117Holux_WorldBankCMSScope_CMS_Web_Design_Phase_Deliverables_MLP_LLP_7-14-2010_Combined_FP_CAMPITReporting_Maintenance_Dashboard 3" xfId="17008" xr:uid="{00000000-0005-0000-0000-000016420000}"/>
    <cellStyle name="_20061117Holux_WorldBankCMSScope_CMS_Web_Design_Phase_Deliverables_MLP_LLP_7-14-2010_Combined_FP_CAMPITReporting_Maintenance_Dashboard_Steps of Doneness" xfId="17009" xr:uid="{00000000-0005-0000-0000-000017420000}"/>
    <cellStyle name="_20061117Holux_WorldBankCMSScope_CMS_Web_Design_Phase_Deliverables_MLP_LLP_7-14-2010_Combined_FP_Commissions_Req_Dn_ProgramWorkBook_10-Dec-2010" xfId="17010" xr:uid="{00000000-0005-0000-0000-000018420000}"/>
    <cellStyle name="_20061117Holux_WorldBankCMSScope_CMS_Web_Design_Phase_Deliverables_MLP_LLP_7-14-2010_Combined_FP_Commissions_Req_Dn_ProgramWorkBook_10-Dec-2010 2" xfId="17011" xr:uid="{00000000-0005-0000-0000-000019420000}"/>
    <cellStyle name="_20061117Holux_WorldBankCMSScope_CMS_Web_Design_Phase_Deliverables_MLP_LLP_7-14-2010_Combined_FP_Commissions_Req_Dn_ProgramWorkBook_10-Dec-2010 2_Steps of Doneness" xfId="17012" xr:uid="{00000000-0005-0000-0000-00001A420000}"/>
    <cellStyle name="_20061117Holux_WorldBankCMSScope_CMS_Web_Design_Phase_Deliverables_MLP_LLP_7-14-2010_Combined_FP_Commissions_Req_Dn_ProgramWorkBook_10-Dec-2010 3" xfId="17013" xr:uid="{00000000-0005-0000-0000-00001B420000}"/>
    <cellStyle name="_20061117Holux_WorldBankCMSScope_CMS_Web_Design_Phase_Deliverables_MLP_LLP_7-14-2010_Combined_FP_Commissions_Req_Dn_ProgramWorkBook_10-Dec-2010_Steps of Doneness" xfId="17014" xr:uid="{00000000-0005-0000-0000-00001C420000}"/>
    <cellStyle name="_20061117Holux_WorldBankCMSScope_CMS_Web_Design_Phase_Deliverables_MLP_LLP_7-14-2010_Combined_FP_DW_Impl_ProgramWorkBook_07-Jan-2011" xfId="17015" xr:uid="{00000000-0005-0000-0000-00001D420000}"/>
    <cellStyle name="_20061117Holux_WorldBankCMSScope_CMS_Web_Design_Phase_Deliverables_MLP_LLP_7-14-2010_Combined_FP_DW_Impl_ProgramWorkBook_07-Jan-2011 2" xfId="17016" xr:uid="{00000000-0005-0000-0000-00001E420000}"/>
    <cellStyle name="_20061117Holux_WorldBankCMSScope_CMS_Web_Design_Phase_Deliverables_MLP_LLP_7-14-2010_Combined_FP_DW_Impl_ProgramWorkBook_07-Jan-2011 2 2" xfId="17017" xr:uid="{00000000-0005-0000-0000-00001F420000}"/>
    <cellStyle name="_20061117Holux_WorldBankCMSScope_CMS_Web_Design_Phase_Deliverables_MLP_LLP_7-14-2010_Combined_FP_DW_Impl_ProgramWorkBook_07-Jan-2011 2 2_Steps of Doneness" xfId="17018" xr:uid="{00000000-0005-0000-0000-000020420000}"/>
    <cellStyle name="_20061117Holux_WorldBankCMSScope_CMS_Web_Design_Phase_Deliverables_MLP_LLP_7-14-2010_Combined_FP_DW_Impl_ProgramWorkBook_07-Jan-2011 2 3" xfId="17019" xr:uid="{00000000-0005-0000-0000-000021420000}"/>
    <cellStyle name="_20061117Holux_WorldBankCMSScope_CMS_Web_Design_Phase_Deliverables_MLP_LLP_7-14-2010_Combined_FP_DW_Impl_ProgramWorkBook_07-Jan-2011 2_Steps of Doneness" xfId="17020" xr:uid="{00000000-0005-0000-0000-000022420000}"/>
    <cellStyle name="_20061117Holux_WorldBankCMSScope_CMS_Web_Design_Phase_Deliverables_MLP_LLP_7-14-2010_Combined_FP_DW_Impl_ProgramWorkBook_07-Jan-2011 3" xfId="17021" xr:uid="{00000000-0005-0000-0000-000023420000}"/>
    <cellStyle name="_20061117Holux_WorldBankCMSScope_CMS_Web_Design_Phase_Deliverables_MLP_LLP_7-14-2010_Combined_FP_DW_Impl_ProgramWorkBook_07-Jan-2011 3_Steps of Doneness" xfId="17022" xr:uid="{00000000-0005-0000-0000-000024420000}"/>
    <cellStyle name="_20061117Holux_WorldBankCMSScope_CMS_Web_Design_Phase_Deliverables_MLP_LLP_7-14-2010_Combined_FP_DW_Impl_ProgramWorkBook_07-Jan-2011 4" xfId="17023" xr:uid="{00000000-0005-0000-0000-000025420000}"/>
    <cellStyle name="_20061117Holux_WorldBankCMSScope_CMS_Web_Design_Phase_Deliverables_MLP_LLP_7-14-2010_Combined_FP_DW_Impl_ProgramWorkBook_07-Jan-2011_Steps of Doneness" xfId="17024" xr:uid="{00000000-0005-0000-0000-000026420000}"/>
    <cellStyle name="_20061117Holux_WorldBankCMSScope_CMS_Web_Design_Phase_Deliverables_MLP_LLP_7-14-2010_Combined_FP_DW_Impl_ProgramWorkBook_11-Feb-2011" xfId="17025" xr:uid="{00000000-0005-0000-0000-000027420000}"/>
    <cellStyle name="_20061117Holux_WorldBankCMSScope_CMS_Web_Design_Phase_Deliverables_MLP_LLP_7-14-2010_Combined_FP_DW_Impl_ProgramWorkBook_11-Feb-2011 2" xfId="17026" xr:uid="{00000000-0005-0000-0000-000028420000}"/>
    <cellStyle name="_20061117Holux_WorldBankCMSScope_CMS_Web_Design_Phase_Deliverables_MLP_LLP_7-14-2010_Combined_FP_DW_Impl_ProgramWorkBook_11-Feb-2011 2_Steps of Doneness" xfId="17027" xr:uid="{00000000-0005-0000-0000-000029420000}"/>
    <cellStyle name="_20061117Holux_WorldBankCMSScope_CMS_Web_Design_Phase_Deliverables_MLP_LLP_7-14-2010_Combined_FP_DW_Impl_ProgramWorkBook_11-Feb-2011 3" xfId="17028" xr:uid="{00000000-0005-0000-0000-00002A420000}"/>
    <cellStyle name="_20061117Holux_WorldBankCMSScope_CMS_Web_Design_Phase_Deliverables_MLP_LLP_7-14-2010_Combined_FP_DW_Impl_ProgramWorkBook_11-Feb-2011_Steps of Doneness" xfId="17029" xr:uid="{00000000-0005-0000-0000-00002B420000}"/>
    <cellStyle name="_20061117Holux_WorldBankCMSScope_CMS_Web_Design_Phase_Deliverables_MLP_LLP_7-14-2010_Combined_FP_DW_Impl_ProgramWorkBook_18-Feb-2011 - Working" xfId="17030" xr:uid="{00000000-0005-0000-0000-00002C420000}"/>
    <cellStyle name="_20061117Holux_WorldBankCMSScope_CMS_Web_Design_Phase_Deliverables_MLP_LLP_7-14-2010_Combined_FP_DW_Impl_ProgramWorkBook_18-Feb-2011 - Working 2" xfId="17031" xr:uid="{00000000-0005-0000-0000-00002D420000}"/>
    <cellStyle name="_20061117Holux_WorldBankCMSScope_CMS_Web_Design_Phase_Deliverables_MLP_LLP_7-14-2010_Combined_FP_DW_Impl_ProgramWorkBook_18-Feb-2011 - Working 2_Steps of Doneness" xfId="17032" xr:uid="{00000000-0005-0000-0000-00002E420000}"/>
    <cellStyle name="_20061117Holux_WorldBankCMSScope_CMS_Web_Design_Phase_Deliverables_MLP_LLP_7-14-2010_Combined_FP_DW_Impl_ProgramWorkBook_18-Feb-2011 - Working 3" xfId="17033" xr:uid="{00000000-0005-0000-0000-00002F420000}"/>
    <cellStyle name="_20061117Holux_WorldBankCMSScope_CMS_Web_Design_Phase_Deliverables_MLP_LLP_7-14-2010_Combined_FP_DW_Impl_ProgramWorkBook_18-Feb-2011 - Working_Steps of Doneness" xfId="17034" xr:uid="{00000000-0005-0000-0000-000030420000}"/>
    <cellStyle name="_20061117Holux_WorldBankCMSScope_CMS_Web_Design_Phase_Deliverables_MLP_LLP_7-14-2010_Combined_FP_EnterprisePortal_ProgramWorkbook" xfId="17035" xr:uid="{00000000-0005-0000-0000-000031420000}"/>
    <cellStyle name="_20061117Holux_WorldBankCMSScope_CMS_Web_Design_Phase_Deliverables_MLP_LLP_7-14-2010_Combined_FP_EnterprisePortal_ProgramWorkbook 2" xfId="17036" xr:uid="{00000000-0005-0000-0000-000032420000}"/>
    <cellStyle name="_20061117Holux_WorldBankCMSScope_CMS_Web_Design_Phase_Deliverables_MLP_LLP_7-14-2010_Combined_FP_EnterprisePortal_ProgramWorkbook 2_Steps of Doneness" xfId="17037" xr:uid="{00000000-0005-0000-0000-000033420000}"/>
    <cellStyle name="_20061117Holux_WorldBankCMSScope_CMS_Web_Design_Phase_Deliverables_MLP_LLP_7-14-2010_Combined_FP_EnterprisePortal_ProgramWorkbook 3" xfId="17038" xr:uid="{00000000-0005-0000-0000-000034420000}"/>
    <cellStyle name="_20061117Holux_WorldBankCMSScope_CMS_Web_Design_Phase_Deliverables_MLP_LLP_7-14-2010_Combined_FP_EnterprisePortal_ProgramWorkbook_Steps of Doneness" xfId="17039" xr:uid="{00000000-0005-0000-0000-000035420000}"/>
    <cellStyle name="_20061117Holux_WorldBankCMSScope_CMS_Web_Design_Phase_Deliverables_MLP_LLP_7-14-2010_Combined_FP_SAP_MLP v2" xfId="17040" xr:uid="{00000000-0005-0000-0000-000036420000}"/>
    <cellStyle name="_20061117Holux_WorldBankCMSScope_CMS_Web_Design_Phase_Deliverables_MLP_LLP_7-14-2010_Combined_FP_SAP_MLP v2 2" xfId="17041" xr:uid="{00000000-0005-0000-0000-000037420000}"/>
    <cellStyle name="_20061117Holux_WorldBankCMSScope_CMS_Web_Design_Phase_Deliverables_MLP_LLP_7-14-2010_Combined_FP_SAP_MLP v2 2_Steps of Doneness" xfId="17042" xr:uid="{00000000-0005-0000-0000-000038420000}"/>
    <cellStyle name="_20061117Holux_WorldBankCMSScope_CMS_Web_Design_Phase_Deliverables_MLP_LLP_7-14-2010_Combined_FP_SAP_MLP v2 3" xfId="17043" xr:uid="{00000000-0005-0000-0000-000039420000}"/>
    <cellStyle name="_20061117Holux_WorldBankCMSScope_CMS_Web_Design_Phase_Deliverables_MLP_LLP_7-14-2010_Combined_FP_SAP_MLP v2_Steps of Doneness" xfId="17044" xr:uid="{00000000-0005-0000-0000-00003A420000}"/>
    <cellStyle name="_20061117Holux_WorldBankCMSScope_CMS_Web_Design_Phase_Deliverables_MLP_LLP_7-14-2010_Combined_KeyDecisions" xfId="17045" xr:uid="{00000000-0005-0000-0000-00003B420000}"/>
    <cellStyle name="_20061117Holux_WorldBankCMSScope_CMS_Web_Design_Phase_Deliverables_MLP_LLP_7-14-2010_Combined_KeyDecisions 2" xfId="17046" xr:uid="{00000000-0005-0000-0000-00003C420000}"/>
    <cellStyle name="_20061117Holux_WorldBankCMSScope_CMS_Web_Design_Phase_Deliverables_MLP_LLP_7-14-2010_Combined_KeyDecisions 2_Steps of Doneness" xfId="17047" xr:uid="{00000000-0005-0000-0000-00003D420000}"/>
    <cellStyle name="_20061117Holux_WorldBankCMSScope_CMS_Web_Design_Phase_Deliverables_MLP_LLP_7-14-2010_Combined_KeyDecisions 3" xfId="17048" xr:uid="{00000000-0005-0000-0000-00003E420000}"/>
    <cellStyle name="_20061117Holux_WorldBankCMSScope_CMS_Web_Design_Phase_Deliverables_MLP_LLP_7-14-2010_Combined_KeyDecisions_Steps of Doneness" xfId="17049" xr:uid="{00000000-0005-0000-0000-00003F420000}"/>
    <cellStyle name="_20061117Holux_WorldBankCMSScope_CMS_Web_Design_Phase_Deliverables_MLP_LLP_7-14-2010_Combined_Sophia_Imp_ProjectWorkBook_02_18_2011" xfId="17050" xr:uid="{00000000-0005-0000-0000-000040420000}"/>
    <cellStyle name="_20061117Holux_WorldBankCMSScope_CMS_Web_Design_Phase_Deliverables_MLP_LLP_7-14-2010_Combined_Sophia_Imp_ProjectWorkBook_02_18_2011 2" xfId="17051" xr:uid="{00000000-0005-0000-0000-000041420000}"/>
    <cellStyle name="_20061117Holux_WorldBankCMSScope_CMS_Web_Design_Phase_Deliverables_MLP_LLP_7-14-2010_Combined_Sophia_Imp_ProjectWorkBook_02_18_2011 2_Steps of Doneness" xfId="17052" xr:uid="{00000000-0005-0000-0000-000042420000}"/>
    <cellStyle name="_20061117Holux_WorldBankCMSScope_CMS_Web_Design_Phase_Deliverables_MLP_LLP_7-14-2010_Combined_Sophia_Imp_ProjectWorkBook_02_18_2011 3" xfId="17053" xr:uid="{00000000-0005-0000-0000-000043420000}"/>
    <cellStyle name="_20061117Holux_WorldBankCMSScope_CMS_Web_Design_Phase_Deliverables_MLP_LLP_7-14-2010_Combined_Sophia_Imp_ProjectWorkBook_02_18_2011_Steps of Doneness" xfId="17054" xr:uid="{00000000-0005-0000-0000-000044420000}"/>
    <cellStyle name="_20061117Holux_WorldBankCMSScope_CMS_Web_Design_Phase_Deliverables_MLP_LLP_7-14-2010_Combined_Steps of Doneness" xfId="17055" xr:uid="{00000000-0005-0000-0000-000045420000}"/>
    <cellStyle name="_20061117Holux_WorldBankCMSScope_CMS_Web_Design_Phase_Deliverables_MLP_LLP_7-14-2010_Combined_t" xfId="17056" xr:uid="{00000000-0005-0000-0000-000046420000}"/>
    <cellStyle name="_20061117Holux_WorldBankCMSScope_CMS_Web_Design_Phase_Deliverables_MLP_LLP_7-14-2010_Combined_t 2" xfId="17057" xr:uid="{00000000-0005-0000-0000-000047420000}"/>
    <cellStyle name="_20061117Holux_WorldBankCMSScope_CMS_Web_Design_Phase_Deliverables_MLP_LLP_7-14-2010_Combined_t 2_Steps of Doneness" xfId="17058" xr:uid="{00000000-0005-0000-0000-000048420000}"/>
    <cellStyle name="_20061117Holux_WorldBankCMSScope_CMS_Web_Design_Phase_Deliverables_MLP_LLP_7-14-2010_Combined_t 3" xfId="17059" xr:uid="{00000000-0005-0000-0000-000049420000}"/>
    <cellStyle name="_20061117Holux_WorldBankCMSScope_CMS_Web_Design_Phase_Deliverables_MLP_LLP_7-14-2010_Combined_t_Steps of Doneness" xfId="17060" xr:uid="{00000000-0005-0000-0000-00004A420000}"/>
    <cellStyle name="_20061117Holux_WorldBankCMSScope_Commissioning System Implementation_Project Workbook_06_10_2011" xfId="17061" xr:uid="{00000000-0005-0000-0000-00004B420000}"/>
    <cellStyle name="_20061117Holux_WorldBankCMSScope_Commissioning System Implementation_Project Workbook_06_10_2011 2" xfId="17062" xr:uid="{00000000-0005-0000-0000-00004C420000}"/>
    <cellStyle name="_20061117Holux_WorldBankCMSScope_Commissioning System Implementation_Project Workbook_06_10_2011 2_Steps of Doneness" xfId="17063" xr:uid="{00000000-0005-0000-0000-00004D420000}"/>
    <cellStyle name="_20061117Holux_WorldBankCMSScope_Commissioning System Implementation_Project Workbook_06_10_2011 3" xfId="17064" xr:uid="{00000000-0005-0000-0000-00004E420000}"/>
    <cellStyle name="_20061117Holux_WorldBankCMSScope_Commissioning System Implementation_Project Workbook_06_10_2011_Steps of Doneness" xfId="17065" xr:uid="{00000000-0005-0000-0000-00004F420000}"/>
    <cellStyle name="_20061117Holux_WorldBankCMSScope_Detailed_Requirements_Plan" xfId="17066" xr:uid="{00000000-0005-0000-0000-000050420000}"/>
    <cellStyle name="_20061117Holux_WorldBankCMSScope_Detailed_Requirements_Plan 2" xfId="17067" xr:uid="{00000000-0005-0000-0000-000051420000}"/>
    <cellStyle name="_20061117Holux_WorldBankCMSScope_Detailed_Requirements_Plan 2_Steps of Doneness" xfId="17068" xr:uid="{00000000-0005-0000-0000-000052420000}"/>
    <cellStyle name="_20061117Holux_WorldBankCMSScope_Detailed_Requirements_Plan 3" xfId="17069" xr:uid="{00000000-0005-0000-0000-000053420000}"/>
    <cellStyle name="_20061117Holux_WorldBankCMSScope_Detailed_Requirements_Plan_Steps of Doneness" xfId="17070" xr:uid="{00000000-0005-0000-0000-000054420000}"/>
    <cellStyle name="_20061117Holux_WorldBankCMSScope_Doneness Matrix v2" xfId="17071" xr:uid="{00000000-0005-0000-0000-000055420000}"/>
    <cellStyle name="_20061117Holux_WorldBankCMSScope_Doneness Matrix v2 2" xfId="17072" xr:uid="{00000000-0005-0000-0000-000056420000}"/>
    <cellStyle name="_20061117Holux_WorldBankCMSScope_Doneness Matrix v2 2 2" xfId="17073" xr:uid="{00000000-0005-0000-0000-000057420000}"/>
    <cellStyle name="_20061117Holux_WorldBankCMSScope_Doneness Matrix v2 2 2_Steps of Doneness" xfId="17074" xr:uid="{00000000-0005-0000-0000-000058420000}"/>
    <cellStyle name="_20061117Holux_WorldBankCMSScope_Doneness Matrix v2 2 3" xfId="17075" xr:uid="{00000000-0005-0000-0000-000059420000}"/>
    <cellStyle name="_20061117Holux_WorldBankCMSScope_Doneness Matrix v2 2_Steps of Doneness" xfId="17076" xr:uid="{00000000-0005-0000-0000-00005A420000}"/>
    <cellStyle name="_20061117Holux_WorldBankCMSScope_Doneness Matrix v2 3" xfId="17077" xr:uid="{00000000-0005-0000-0000-00005B420000}"/>
    <cellStyle name="_20061117Holux_WorldBankCMSScope_Doneness Matrix v2 3_Steps of Doneness" xfId="17078" xr:uid="{00000000-0005-0000-0000-00005C420000}"/>
    <cellStyle name="_20061117Holux_WorldBankCMSScope_Doneness Matrix v2 4" xfId="17079" xr:uid="{00000000-0005-0000-0000-00005D420000}"/>
    <cellStyle name="_20061117Holux_WorldBankCMSScope_Doneness Matrix v2_Commissioning System Implementation_Project Workbook_06_10_2011" xfId="17080" xr:uid="{00000000-0005-0000-0000-00005E420000}"/>
    <cellStyle name="_20061117Holux_WorldBankCMSScope_Doneness Matrix v2_Commissioning System Implementation_Project Workbook_06_10_2011 2" xfId="17081" xr:uid="{00000000-0005-0000-0000-00005F420000}"/>
    <cellStyle name="_20061117Holux_WorldBankCMSScope_Doneness Matrix v2_Commissioning System Implementation_Project Workbook_06_10_2011 2_Steps of Doneness" xfId="17082" xr:uid="{00000000-0005-0000-0000-000060420000}"/>
    <cellStyle name="_20061117Holux_WorldBankCMSScope_Doneness Matrix v2_Commissioning System Implementation_Project Workbook_06_10_2011 3" xfId="17083" xr:uid="{00000000-0005-0000-0000-000061420000}"/>
    <cellStyle name="_20061117Holux_WorldBankCMSScope_Doneness Matrix v2_Commissioning System Implementation_Project Workbook_06_10_2011_Steps of Doneness" xfId="17084" xr:uid="{00000000-0005-0000-0000-000062420000}"/>
    <cellStyle name="_20061117Holux_WorldBankCMSScope_Doneness Matrix v2_FairPoint_CampReport" xfId="17085" xr:uid="{00000000-0005-0000-0000-000063420000}"/>
    <cellStyle name="_20061117Holux_WorldBankCMSScope_Doneness Matrix v2_FairPoint_CampReport 2" xfId="17086" xr:uid="{00000000-0005-0000-0000-000064420000}"/>
    <cellStyle name="_20061117Holux_WorldBankCMSScope_Doneness Matrix v2_FairPoint_CampReport 2_Steps of Doneness" xfId="17087" xr:uid="{00000000-0005-0000-0000-000065420000}"/>
    <cellStyle name="_20061117Holux_WorldBankCMSScope_Doneness Matrix v2_FairPoint_CampReport 3" xfId="17088" xr:uid="{00000000-0005-0000-0000-000066420000}"/>
    <cellStyle name="_20061117Holux_WorldBankCMSScope_Doneness Matrix v2_FairPoint_CampReport_Steps of Doneness" xfId="17089" xr:uid="{00000000-0005-0000-0000-000067420000}"/>
    <cellStyle name="_20061117Holux_WorldBankCMSScope_Doneness Matrix v2_FairPoint_FP comTechOps_ProgramWorkbook" xfId="17090" xr:uid="{00000000-0005-0000-0000-000068420000}"/>
    <cellStyle name="_20061117Holux_WorldBankCMSScope_Doneness Matrix v2_FairPoint_FP comTechOps_ProgramWorkbook 2" xfId="17091" xr:uid="{00000000-0005-0000-0000-000069420000}"/>
    <cellStyle name="_20061117Holux_WorldBankCMSScope_Doneness Matrix v2_FairPoint_FP comTechOps_ProgramWorkbook 2_Steps of Doneness" xfId="17092" xr:uid="{00000000-0005-0000-0000-00006A420000}"/>
    <cellStyle name="_20061117Holux_WorldBankCMSScope_Doneness Matrix v2_FairPoint_FP comTechOps_ProgramWorkbook 3" xfId="17093" xr:uid="{00000000-0005-0000-0000-00006B420000}"/>
    <cellStyle name="_20061117Holux_WorldBankCMSScope_Doneness Matrix v2_FairPoint_FP comTechOps_ProgramWorkbook_sachin" xfId="17094" xr:uid="{00000000-0005-0000-0000-00006C420000}"/>
    <cellStyle name="_20061117Holux_WorldBankCMSScope_Doneness Matrix v2_FairPoint_FP comTechOps_ProgramWorkbook_sachin 2" xfId="17095" xr:uid="{00000000-0005-0000-0000-00006D420000}"/>
    <cellStyle name="_20061117Holux_WorldBankCMSScope_Doneness Matrix v2_FairPoint_FP comTechOps_ProgramWorkbook_sachin 2_Steps of Doneness" xfId="17096" xr:uid="{00000000-0005-0000-0000-00006E420000}"/>
    <cellStyle name="_20061117Holux_WorldBankCMSScope_Doneness Matrix v2_FairPoint_FP comTechOps_ProgramWorkbook_sachin 3" xfId="17097" xr:uid="{00000000-0005-0000-0000-00006F420000}"/>
    <cellStyle name="_20061117Holux_WorldBankCMSScope_Doneness Matrix v2_FairPoint_FP comTechOps_ProgramWorkbook_sachin_Steps of Doneness" xfId="17098" xr:uid="{00000000-0005-0000-0000-000070420000}"/>
    <cellStyle name="_20061117Holux_WorldBankCMSScope_Doneness Matrix v2_FairPoint_FP comTechOps_ProgramWorkbook_sachin_v1" xfId="17099" xr:uid="{00000000-0005-0000-0000-000071420000}"/>
    <cellStyle name="_20061117Holux_WorldBankCMSScope_Doneness Matrix v2_FairPoint_FP comTechOps_ProgramWorkbook_sachin_v1 2" xfId="17100" xr:uid="{00000000-0005-0000-0000-000072420000}"/>
    <cellStyle name="_20061117Holux_WorldBankCMSScope_Doneness Matrix v2_FairPoint_FP comTechOps_ProgramWorkbook_sachin_v1 2_Steps of Doneness" xfId="17101" xr:uid="{00000000-0005-0000-0000-000073420000}"/>
    <cellStyle name="_20061117Holux_WorldBankCMSScope_Doneness Matrix v2_FairPoint_FP comTechOps_ProgramWorkbook_sachin_v1 3" xfId="17102" xr:uid="{00000000-0005-0000-0000-000074420000}"/>
    <cellStyle name="_20061117Holux_WorldBankCMSScope_Doneness Matrix v2_FairPoint_FP comTechOps_ProgramWorkbook_sachin_v1_Steps of Doneness" xfId="17103" xr:uid="{00000000-0005-0000-0000-000075420000}"/>
    <cellStyle name="_20061117Holux_WorldBankCMSScope_Doneness Matrix v2_FairPoint_FP comTechOps_ProgramWorkbook_Steps of Doneness" xfId="17104" xr:uid="{00000000-0005-0000-0000-000076420000}"/>
    <cellStyle name="_20061117Holux_WorldBankCMSScope_Doneness Matrix v2_FP_CAMP&amp;ITReporting_Maintenance_Dashboard" xfId="17105" xr:uid="{00000000-0005-0000-0000-000077420000}"/>
    <cellStyle name="_20061117Holux_WorldBankCMSScope_Doneness Matrix v2_FP_CAMP&amp;ITReporting_Maintenance_Dashboard 2" xfId="17106" xr:uid="{00000000-0005-0000-0000-000078420000}"/>
    <cellStyle name="_20061117Holux_WorldBankCMSScope_Doneness Matrix v2_FP_CAMP&amp;ITReporting_Maintenance_Dashboard 2_Steps of Doneness" xfId="17107" xr:uid="{00000000-0005-0000-0000-000079420000}"/>
    <cellStyle name="_20061117Holux_WorldBankCMSScope_Doneness Matrix v2_FP_CAMP&amp;ITReporting_Maintenance_Dashboard 3" xfId="17108" xr:uid="{00000000-0005-0000-0000-00007A420000}"/>
    <cellStyle name="_20061117Holux_WorldBankCMSScope_Doneness Matrix v2_FP_CAMP&amp;ITReporting_Maintenance_Dashboard_Steps of Doneness" xfId="17109" xr:uid="{00000000-0005-0000-0000-00007B420000}"/>
    <cellStyle name="_20061117Holux_WorldBankCMSScope_Doneness Matrix v2_FP_CAMPITReporting_Maintenance_Dashboard" xfId="17110" xr:uid="{00000000-0005-0000-0000-00007C420000}"/>
    <cellStyle name="_20061117Holux_WorldBankCMSScope_Doneness Matrix v2_FP_CAMPITReporting_Maintenance_Dashboard 2" xfId="17111" xr:uid="{00000000-0005-0000-0000-00007D420000}"/>
    <cellStyle name="_20061117Holux_WorldBankCMSScope_Doneness Matrix v2_FP_CAMPITReporting_Maintenance_Dashboard 2_Steps of Doneness" xfId="17112" xr:uid="{00000000-0005-0000-0000-00007E420000}"/>
    <cellStyle name="_20061117Holux_WorldBankCMSScope_Doneness Matrix v2_FP_CAMPITReporting_Maintenance_Dashboard 3" xfId="17113" xr:uid="{00000000-0005-0000-0000-00007F420000}"/>
    <cellStyle name="_20061117Holux_WorldBankCMSScope_Doneness Matrix v2_FP_CAMPITReporting_Maintenance_Dashboard_Steps of Doneness" xfId="17114" xr:uid="{00000000-0005-0000-0000-000080420000}"/>
    <cellStyle name="_20061117Holux_WorldBankCMSScope_Doneness Matrix v2_FP_Commissions_Req_Dn_ProgramWorkBook_10-Dec-2010" xfId="17115" xr:uid="{00000000-0005-0000-0000-000081420000}"/>
    <cellStyle name="_20061117Holux_WorldBankCMSScope_Doneness Matrix v2_FP_Commissions_Req_Dn_ProgramWorkBook_10-Dec-2010 2" xfId="17116" xr:uid="{00000000-0005-0000-0000-000082420000}"/>
    <cellStyle name="_20061117Holux_WorldBankCMSScope_Doneness Matrix v2_FP_Commissions_Req_Dn_ProgramWorkBook_10-Dec-2010 2_Steps of Doneness" xfId="17117" xr:uid="{00000000-0005-0000-0000-000083420000}"/>
    <cellStyle name="_20061117Holux_WorldBankCMSScope_Doneness Matrix v2_FP_Commissions_Req_Dn_ProgramWorkBook_10-Dec-2010 3" xfId="17118" xr:uid="{00000000-0005-0000-0000-000084420000}"/>
    <cellStyle name="_20061117Holux_WorldBankCMSScope_Doneness Matrix v2_FP_Commissions_Req_Dn_ProgramWorkBook_10-Dec-2010_Steps of Doneness" xfId="17119" xr:uid="{00000000-0005-0000-0000-000085420000}"/>
    <cellStyle name="_20061117Holux_WorldBankCMSScope_Doneness Matrix v2_FP_DW_Impl_ProgramWorkBook_07-Jan-2011" xfId="17120" xr:uid="{00000000-0005-0000-0000-000086420000}"/>
    <cellStyle name="_20061117Holux_WorldBankCMSScope_Doneness Matrix v2_FP_DW_Impl_ProgramWorkBook_07-Jan-2011 2" xfId="17121" xr:uid="{00000000-0005-0000-0000-000087420000}"/>
    <cellStyle name="_20061117Holux_WorldBankCMSScope_Doneness Matrix v2_FP_DW_Impl_ProgramWorkBook_07-Jan-2011 2 2" xfId="17122" xr:uid="{00000000-0005-0000-0000-000088420000}"/>
    <cellStyle name="_20061117Holux_WorldBankCMSScope_Doneness Matrix v2_FP_DW_Impl_ProgramWorkBook_07-Jan-2011 2 2_Steps of Doneness" xfId="17123" xr:uid="{00000000-0005-0000-0000-000089420000}"/>
    <cellStyle name="_20061117Holux_WorldBankCMSScope_Doneness Matrix v2_FP_DW_Impl_ProgramWorkBook_07-Jan-2011 2 3" xfId="17124" xr:uid="{00000000-0005-0000-0000-00008A420000}"/>
    <cellStyle name="_20061117Holux_WorldBankCMSScope_Doneness Matrix v2_FP_DW_Impl_ProgramWorkBook_07-Jan-2011 2_Steps of Doneness" xfId="17125" xr:uid="{00000000-0005-0000-0000-00008B420000}"/>
    <cellStyle name="_20061117Holux_WorldBankCMSScope_Doneness Matrix v2_FP_DW_Impl_ProgramWorkBook_07-Jan-2011 3" xfId="17126" xr:uid="{00000000-0005-0000-0000-00008C420000}"/>
    <cellStyle name="_20061117Holux_WorldBankCMSScope_Doneness Matrix v2_FP_DW_Impl_ProgramWorkBook_07-Jan-2011 3_Steps of Doneness" xfId="17127" xr:uid="{00000000-0005-0000-0000-00008D420000}"/>
    <cellStyle name="_20061117Holux_WorldBankCMSScope_Doneness Matrix v2_FP_DW_Impl_ProgramWorkBook_07-Jan-2011 4" xfId="17128" xr:uid="{00000000-0005-0000-0000-00008E420000}"/>
    <cellStyle name="_20061117Holux_WorldBankCMSScope_Doneness Matrix v2_FP_DW_Impl_ProgramWorkBook_07-Jan-2011_Steps of Doneness" xfId="17129" xr:uid="{00000000-0005-0000-0000-00008F420000}"/>
    <cellStyle name="_20061117Holux_WorldBankCMSScope_Doneness Matrix v2_FP_DW_Impl_ProgramWorkBook_11-Feb-2011" xfId="17130" xr:uid="{00000000-0005-0000-0000-000090420000}"/>
    <cellStyle name="_20061117Holux_WorldBankCMSScope_Doneness Matrix v2_FP_DW_Impl_ProgramWorkBook_11-Feb-2011 2" xfId="17131" xr:uid="{00000000-0005-0000-0000-000091420000}"/>
    <cellStyle name="_20061117Holux_WorldBankCMSScope_Doneness Matrix v2_FP_DW_Impl_ProgramWorkBook_11-Feb-2011 2_Steps of Doneness" xfId="17132" xr:uid="{00000000-0005-0000-0000-000092420000}"/>
    <cellStyle name="_20061117Holux_WorldBankCMSScope_Doneness Matrix v2_FP_DW_Impl_ProgramWorkBook_11-Feb-2011 3" xfId="17133" xr:uid="{00000000-0005-0000-0000-000093420000}"/>
    <cellStyle name="_20061117Holux_WorldBankCMSScope_Doneness Matrix v2_FP_DW_Impl_ProgramWorkBook_11-Feb-2011_Steps of Doneness" xfId="17134" xr:uid="{00000000-0005-0000-0000-000094420000}"/>
    <cellStyle name="_20061117Holux_WorldBankCMSScope_Doneness Matrix v2_FP_DW_Impl_ProgramWorkBook_18-Feb-2011 - Working" xfId="17135" xr:uid="{00000000-0005-0000-0000-000095420000}"/>
    <cellStyle name="_20061117Holux_WorldBankCMSScope_Doneness Matrix v2_FP_DW_Impl_ProgramWorkBook_18-Feb-2011 - Working 2" xfId="17136" xr:uid="{00000000-0005-0000-0000-000096420000}"/>
    <cellStyle name="_20061117Holux_WorldBankCMSScope_Doneness Matrix v2_FP_DW_Impl_ProgramWorkBook_18-Feb-2011 - Working 2_Steps of Doneness" xfId="17137" xr:uid="{00000000-0005-0000-0000-000097420000}"/>
    <cellStyle name="_20061117Holux_WorldBankCMSScope_Doneness Matrix v2_FP_DW_Impl_ProgramWorkBook_18-Feb-2011 - Working 3" xfId="17138" xr:uid="{00000000-0005-0000-0000-000098420000}"/>
    <cellStyle name="_20061117Holux_WorldBankCMSScope_Doneness Matrix v2_FP_DW_Impl_ProgramWorkBook_18-Feb-2011 - Working_Steps of Doneness" xfId="17139" xr:uid="{00000000-0005-0000-0000-000099420000}"/>
    <cellStyle name="_20061117Holux_WorldBankCMSScope_Doneness Matrix v2_FP_EnterprisePortal_ProgramWorkbook" xfId="17140" xr:uid="{00000000-0005-0000-0000-00009A420000}"/>
    <cellStyle name="_20061117Holux_WorldBankCMSScope_Doneness Matrix v2_FP_EnterprisePortal_ProgramWorkbook 2" xfId="17141" xr:uid="{00000000-0005-0000-0000-00009B420000}"/>
    <cellStyle name="_20061117Holux_WorldBankCMSScope_Doneness Matrix v2_FP_EnterprisePortal_ProgramWorkbook 2_Steps of Doneness" xfId="17142" xr:uid="{00000000-0005-0000-0000-00009C420000}"/>
    <cellStyle name="_20061117Holux_WorldBankCMSScope_Doneness Matrix v2_FP_EnterprisePortal_ProgramWorkbook 3" xfId="17143" xr:uid="{00000000-0005-0000-0000-00009D420000}"/>
    <cellStyle name="_20061117Holux_WorldBankCMSScope_Doneness Matrix v2_FP_EnterprisePortal_ProgramWorkbook_Steps of Doneness" xfId="17144" xr:uid="{00000000-0005-0000-0000-00009E420000}"/>
    <cellStyle name="_20061117Holux_WorldBankCMSScope_Doneness Matrix v2_FP_SAP_MLP v2" xfId="17145" xr:uid="{00000000-0005-0000-0000-00009F420000}"/>
    <cellStyle name="_20061117Holux_WorldBankCMSScope_Doneness Matrix v2_FP_SAP_MLP v2 2" xfId="17146" xr:uid="{00000000-0005-0000-0000-0000A0420000}"/>
    <cellStyle name="_20061117Holux_WorldBankCMSScope_Doneness Matrix v2_FP_SAP_MLP v2 2_Steps of Doneness" xfId="17147" xr:uid="{00000000-0005-0000-0000-0000A1420000}"/>
    <cellStyle name="_20061117Holux_WorldBankCMSScope_Doneness Matrix v2_FP_SAP_MLP v2 3" xfId="17148" xr:uid="{00000000-0005-0000-0000-0000A2420000}"/>
    <cellStyle name="_20061117Holux_WorldBankCMSScope_Doneness Matrix v2_FP_SAP_MLP v2_Steps of Doneness" xfId="17149" xr:uid="{00000000-0005-0000-0000-0000A3420000}"/>
    <cellStyle name="_20061117Holux_WorldBankCMSScope_Doneness Matrix v2_KeyDecisions" xfId="17150" xr:uid="{00000000-0005-0000-0000-0000A4420000}"/>
    <cellStyle name="_20061117Holux_WorldBankCMSScope_Doneness Matrix v2_KeyDecisions 2" xfId="17151" xr:uid="{00000000-0005-0000-0000-0000A5420000}"/>
    <cellStyle name="_20061117Holux_WorldBankCMSScope_Doneness Matrix v2_KeyDecisions 2_Steps of Doneness" xfId="17152" xr:uid="{00000000-0005-0000-0000-0000A6420000}"/>
    <cellStyle name="_20061117Holux_WorldBankCMSScope_Doneness Matrix v2_KeyDecisions 3" xfId="17153" xr:uid="{00000000-0005-0000-0000-0000A7420000}"/>
    <cellStyle name="_20061117Holux_WorldBankCMSScope_Doneness Matrix v2_KeyDecisions_Steps of Doneness" xfId="17154" xr:uid="{00000000-0005-0000-0000-0000A8420000}"/>
    <cellStyle name="_20061117Holux_WorldBankCMSScope_Doneness Matrix v2_Sophia_Imp_ProjectWorkBook_02_18_2011" xfId="17155" xr:uid="{00000000-0005-0000-0000-0000A9420000}"/>
    <cellStyle name="_20061117Holux_WorldBankCMSScope_Doneness Matrix v2_Sophia_Imp_ProjectWorkBook_02_18_2011 2" xfId="17156" xr:uid="{00000000-0005-0000-0000-0000AA420000}"/>
    <cellStyle name="_20061117Holux_WorldBankCMSScope_Doneness Matrix v2_Sophia_Imp_ProjectWorkBook_02_18_2011 2_Steps of Doneness" xfId="17157" xr:uid="{00000000-0005-0000-0000-0000AB420000}"/>
    <cellStyle name="_20061117Holux_WorldBankCMSScope_Doneness Matrix v2_Sophia_Imp_ProjectWorkBook_02_18_2011 3" xfId="17158" xr:uid="{00000000-0005-0000-0000-0000AC420000}"/>
    <cellStyle name="_20061117Holux_WorldBankCMSScope_Doneness Matrix v2_Sophia_Imp_ProjectWorkBook_02_18_2011_Steps of Doneness" xfId="17159" xr:uid="{00000000-0005-0000-0000-0000AD420000}"/>
    <cellStyle name="_20061117Holux_WorldBankCMSScope_Doneness Matrix v2_Steps of Doneness" xfId="17160" xr:uid="{00000000-0005-0000-0000-0000AE420000}"/>
    <cellStyle name="_20061117Holux_WorldBankCMSScope_Doneness Matrix v2_t" xfId="17161" xr:uid="{00000000-0005-0000-0000-0000AF420000}"/>
    <cellStyle name="_20061117Holux_WorldBankCMSScope_Doneness Matrix v2_t 2" xfId="17162" xr:uid="{00000000-0005-0000-0000-0000B0420000}"/>
    <cellStyle name="_20061117Holux_WorldBankCMSScope_Doneness Matrix v2_t 2_Steps of Doneness" xfId="17163" xr:uid="{00000000-0005-0000-0000-0000B1420000}"/>
    <cellStyle name="_20061117Holux_WorldBankCMSScope_Doneness Matrix v2_t 3" xfId="17164" xr:uid="{00000000-0005-0000-0000-0000B2420000}"/>
    <cellStyle name="_20061117Holux_WorldBankCMSScope_Doneness Matrix v2_t_Steps of Doneness" xfId="17165" xr:uid="{00000000-0005-0000-0000-0000B3420000}"/>
    <cellStyle name="_20061117Holux_WorldBankCMSScope_EnterprisePortalRequirements_PMWorkbook" xfId="17166" xr:uid="{00000000-0005-0000-0000-0000B4420000}"/>
    <cellStyle name="_20061117Holux_WorldBankCMSScope_EnterprisePortalRequirements_PMWorkbook (2)" xfId="17167" xr:uid="{00000000-0005-0000-0000-0000B5420000}"/>
    <cellStyle name="_20061117Holux_WorldBankCMSScope_EnterprisePortalRequirements_PMWorkbook (2) 2" xfId="17168" xr:uid="{00000000-0005-0000-0000-0000B6420000}"/>
    <cellStyle name="_20061117Holux_WorldBankCMSScope_EnterprisePortalRequirements_PMWorkbook (2) 2_Steps of Doneness" xfId="17169" xr:uid="{00000000-0005-0000-0000-0000B7420000}"/>
    <cellStyle name="_20061117Holux_WorldBankCMSScope_EnterprisePortalRequirements_PMWorkbook (2) 3" xfId="17170" xr:uid="{00000000-0005-0000-0000-0000B8420000}"/>
    <cellStyle name="_20061117Holux_WorldBankCMSScope_EnterprisePortalRequirements_PMWorkbook (2)_Steps of Doneness" xfId="17171" xr:uid="{00000000-0005-0000-0000-0000B9420000}"/>
    <cellStyle name="_20061117Holux_WorldBankCMSScope_EnterprisePortalRequirements_PMWorkbook 10" xfId="17172" xr:uid="{00000000-0005-0000-0000-0000BA420000}"/>
    <cellStyle name="_20061117Holux_WorldBankCMSScope_EnterprisePortalRequirements_PMWorkbook 2" xfId="17173" xr:uid="{00000000-0005-0000-0000-0000BB420000}"/>
    <cellStyle name="_20061117Holux_WorldBankCMSScope_EnterprisePortalRequirements_PMWorkbook 2_Steps of Doneness" xfId="17174" xr:uid="{00000000-0005-0000-0000-0000BC420000}"/>
    <cellStyle name="_20061117Holux_WorldBankCMSScope_EnterprisePortalRequirements_PMWorkbook 3" xfId="17175" xr:uid="{00000000-0005-0000-0000-0000BD420000}"/>
    <cellStyle name="_20061117Holux_WorldBankCMSScope_EnterprisePortalRequirements_PMWorkbook 3_Steps of Doneness" xfId="17176" xr:uid="{00000000-0005-0000-0000-0000BE420000}"/>
    <cellStyle name="_20061117Holux_WorldBankCMSScope_EnterprisePortalRequirements_PMWorkbook 4" xfId="17177" xr:uid="{00000000-0005-0000-0000-0000BF420000}"/>
    <cellStyle name="_20061117Holux_WorldBankCMSScope_EnterprisePortalRequirements_PMWorkbook 4_Steps of Doneness" xfId="17178" xr:uid="{00000000-0005-0000-0000-0000C0420000}"/>
    <cellStyle name="_20061117Holux_WorldBankCMSScope_EnterprisePortalRequirements_PMWorkbook 5" xfId="17179" xr:uid="{00000000-0005-0000-0000-0000C1420000}"/>
    <cellStyle name="_20061117Holux_WorldBankCMSScope_EnterprisePortalRequirements_PMWorkbook 6" xfId="17180" xr:uid="{00000000-0005-0000-0000-0000C2420000}"/>
    <cellStyle name="_20061117Holux_WorldBankCMSScope_EnterprisePortalRequirements_PMWorkbook 7" xfId="17181" xr:uid="{00000000-0005-0000-0000-0000C3420000}"/>
    <cellStyle name="_20061117Holux_WorldBankCMSScope_EnterprisePortalRequirements_PMWorkbook 8" xfId="17182" xr:uid="{00000000-0005-0000-0000-0000C4420000}"/>
    <cellStyle name="_20061117Holux_WorldBankCMSScope_EnterprisePortalRequirements_PMWorkbook 9" xfId="17183" xr:uid="{00000000-0005-0000-0000-0000C5420000}"/>
    <cellStyle name="_20061117Holux_WorldBankCMSScope_EnterprisePortalRequirements_PMWorkbook_Steps of Doneness" xfId="17184" xr:uid="{00000000-0005-0000-0000-0000C6420000}"/>
    <cellStyle name="_20061117Holux_WorldBankCMSScope_FairPoint_CampReport" xfId="17185" xr:uid="{00000000-0005-0000-0000-0000C7420000}"/>
    <cellStyle name="_20061117Holux_WorldBankCMSScope_FairPoint_CampReport 2" xfId="17186" xr:uid="{00000000-0005-0000-0000-0000C8420000}"/>
    <cellStyle name="_20061117Holux_WorldBankCMSScope_FairPoint_CampReport 2_Steps of Doneness" xfId="17187" xr:uid="{00000000-0005-0000-0000-0000C9420000}"/>
    <cellStyle name="_20061117Holux_WorldBankCMSScope_FairPoint_CampReport 3" xfId="17188" xr:uid="{00000000-0005-0000-0000-0000CA420000}"/>
    <cellStyle name="_20061117Holux_WorldBankCMSScope_FairPoint_CampReport_Steps of Doneness" xfId="17189" xr:uid="{00000000-0005-0000-0000-0000CB420000}"/>
    <cellStyle name="_20061117Holux_WorldBankCMSScope_FairPoint_FP comTechOps_ProgramWorkbook" xfId="17190" xr:uid="{00000000-0005-0000-0000-0000CC420000}"/>
    <cellStyle name="_20061117Holux_WorldBankCMSScope_FairPoint_FP comTechOps_ProgramWorkbook 2" xfId="17191" xr:uid="{00000000-0005-0000-0000-0000CD420000}"/>
    <cellStyle name="_20061117Holux_WorldBankCMSScope_FairPoint_FP comTechOps_ProgramWorkbook 2_Steps of Doneness" xfId="17192" xr:uid="{00000000-0005-0000-0000-0000CE420000}"/>
    <cellStyle name="_20061117Holux_WorldBankCMSScope_FairPoint_FP comTechOps_ProgramWorkbook 3" xfId="17193" xr:uid="{00000000-0005-0000-0000-0000CF420000}"/>
    <cellStyle name="_20061117Holux_WorldBankCMSScope_FairPoint_FP comTechOps_ProgramWorkbook_sachin" xfId="17194" xr:uid="{00000000-0005-0000-0000-0000D0420000}"/>
    <cellStyle name="_20061117Holux_WorldBankCMSScope_FairPoint_FP comTechOps_ProgramWorkbook_sachin 2" xfId="17195" xr:uid="{00000000-0005-0000-0000-0000D1420000}"/>
    <cellStyle name="_20061117Holux_WorldBankCMSScope_FairPoint_FP comTechOps_ProgramWorkbook_sachin 2_Steps of Doneness" xfId="17196" xr:uid="{00000000-0005-0000-0000-0000D2420000}"/>
    <cellStyle name="_20061117Holux_WorldBankCMSScope_FairPoint_FP comTechOps_ProgramWorkbook_sachin 3" xfId="17197" xr:uid="{00000000-0005-0000-0000-0000D3420000}"/>
    <cellStyle name="_20061117Holux_WorldBankCMSScope_FairPoint_FP comTechOps_ProgramWorkbook_sachin_Steps of Doneness" xfId="17198" xr:uid="{00000000-0005-0000-0000-0000D4420000}"/>
    <cellStyle name="_20061117Holux_WorldBankCMSScope_FairPoint_FP comTechOps_ProgramWorkbook_sachin_v1" xfId="17199" xr:uid="{00000000-0005-0000-0000-0000D5420000}"/>
    <cellStyle name="_20061117Holux_WorldBankCMSScope_FairPoint_FP comTechOps_ProgramWorkbook_sachin_v1 2" xfId="17200" xr:uid="{00000000-0005-0000-0000-0000D6420000}"/>
    <cellStyle name="_20061117Holux_WorldBankCMSScope_FairPoint_FP comTechOps_ProgramWorkbook_sachin_v1 2_Steps of Doneness" xfId="17201" xr:uid="{00000000-0005-0000-0000-0000D7420000}"/>
    <cellStyle name="_20061117Holux_WorldBankCMSScope_FairPoint_FP comTechOps_ProgramWorkbook_sachin_v1 3" xfId="17202" xr:uid="{00000000-0005-0000-0000-0000D8420000}"/>
    <cellStyle name="_20061117Holux_WorldBankCMSScope_FairPoint_FP comTechOps_ProgramWorkbook_sachin_v1_Steps of Doneness" xfId="17203" xr:uid="{00000000-0005-0000-0000-0000D9420000}"/>
    <cellStyle name="_20061117Holux_WorldBankCMSScope_FairPoint_FP comTechOps_ProgramWorkbook_Steps of Doneness" xfId="17204" xr:uid="{00000000-0005-0000-0000-0000DA420000}"/>
    <cellStyle name="_20061117Holux_WorldBankCMSScope_FairPoint_IntialSetup_Focus" xfId="17205" xr:uid="{00000000-0005-0000-0000-0000DB420000}"/>
    <cellStyle name="_20061117Holux_WorldBankCMSScope_FairPoint_IntialSetup_Focus 2" xfId="17206" xr:uid="{00000000-0005-0000-0000-0000DC420000}"/>
    <cellStyle name="_20061117Holux_WorldBankCMSScope_FairPoint_IntialSetup_Focus 2 2" xfId="17207" xr:uid="{00000000-0005-0000-0000-0000DD420000}"/>
    <cellStyle name="_20061117Holux_WorldBankCMSScope_FairPoint_IntialSetup_Focus 2 2_Steps of Doneness" xfId="17208" xr:uid="{00000000-0005-0000-0000-0000DE420000}"/>
    <cellStyle name="_20061117Holux_WorldBankCMSScope_FairPoint_IntialSetup_Focus 2 3" xfId="17209" xr:uid="{00000000-0005-0000-0000-0000DF420000}"/>
    <cellStyle name="_20061117Holux_WorldBankCMSScope_FairPoint_IntialSetup_Focus 2_Steps of Doneness" xfId="17210" xr:uid="{00000000-0005-0000-0000-0000E0420000}"/>
    <cellStyle name="_20061117Holux_WorldBankCMSScope_FairPoint_IntialSetup_Focus 3" xfId="17211" xr:uid="{00000000-0005-0000-0000-0000E1420000}"/>
    <cellStyle name="_20061117Holux_WorldBankCMSScope_FairPoint_IntialSetup_Focus 3_Steps of Doneness" xfId="17212" xr:uid="{00000000-0005-0000-0000-0000E2420000}"/>
    <cellStyle name="_20061117Holux_WorldBankCMSScope_FairPoint_IntialSetup_Focus 4" xfId="17213" xr:uid="{00000000-0005-0000-0000-0000E3420000}"/>
    <cellStyle name="_20061117Holux_WorldBankCMSScope_FairPoint_IntialSetup_Focus_Commissioning System Implementation_Project Workbook_06_10_2011" xfId="17214" xr:uid="{00000000-0005-0000-0000-0000E4420000}"/>
    <cellStyle name="_20061117Holux_WorldBankCMSScope_FairPoint_IntialSetup_Focus_Commissioning System Implementation_Project Workbook_06_10_2011 2" xfId="17215" xr:uid="{00000000-0005-0000-0000-0000E5420000}"/>
    <cellStyle name="_20061117Holux_WorldBankCMSScope_FairPoint_IntialSetup_Focus_Commissioning System Implementation_Project Workbook_06_10_2011 2_Steps of Doneness" xfId="17216" xr:uid="{00000000-0005-0000-0000-0000E6420000}"/>
    <cellStyle name="_20061117Holux_WorldBankCMSScope_FairPoint_IntialSetup_Focus_Commissioning System Implementation_Project Workbook_06_10_2011 3" xfId="17217" xr:uid="{00000000-0005-0000-0000-0000E7420000}"/>
    <cellStyle name="_20061117Holux_WorldBankCMSScope_FairPoint_IntialSetup_Focus_Commissioning System Implementation_Project Workbook_06_10_2011_Steps of Doneness" xfId="17218" xr:uid="{00000000-0005-0000-0000-0000E8420000}"/>
    <cellStyle name="_20061117Holux_WorldBankCMSScope_FairPoint_IntialSetup_Focus_FairPoint_CampReport" xfId="17219" xr:uid="{00000000-0005-0000-0000-0000E9420000}"/>
    <cellStyle name="_20061117Holux_WorldBankCMSScope_FairPoint_IntialSetup_Focus_FairPoint_CampReport 2" xfId="17220" xr:uid="{00000000-0005-0000-0000-0000EA420000}"/>
    <cellStyle name="_20061117Holux_WorldBankCMSScope_FairPoint_IntialSetup_Focus_FairPoint_CampReport 2_Steps of Doneness" xfId="17221" xr:uid="{00000000-0005-0000-0000-0000EB420000}"/>
    <cellStyle name="_20061117Holux_WorldBankCMSScope_FairPoint_IntialSetup_Focus_FairPoint_CampReport 3" xfId="17222" xr:uid="{00000000-0005-0000-0000-0000EC420000}"/>
    <cellStyle name="_20061117Holux_WorldBankCMSScope_FairPoint_IntialSetup_Focus_FairPoint_CampReport_Steps of Doneness" xfId="17223" xr:uid="{00000000-0005-0000-0000-0000ED420000}"/>
    <cellStyle name="_20061117Holux_WorldBankCMSScope_FairPoint_IntialSetup_Focus_FairPoint_FP comTechOps_ProgramWorkbook" xfId="17224" xr:uid="{00000000-0005-0000-0000-0000EE420000}"/>
    <cellStyle name="_20061117Holux_WorldBankCMSScope_FairPoint_IntialSetup_Focus_FairPoint_FP comTechOps_ProgramWorkbook 2" xfId="17225" xr:uid="{00000000-0005-0000-0000-0000EF420000}"/>
    <cellStyle name="_20061117Holux_WorldBankCMSScope_FairPoint_IntialSetup_Focus_FairPoint_FP comTechOps_ProgramWorkbook 2_Steps of Doneness" xfId="17226" xr:uid="{00000000-0005-0000-0000-0000F0420000}"/>
    <cellStyle name="_20061117Holux_WorldBankCMSScope_FairPoint_IntialSetup_Focus_FairPoint_FP comTechOps_ProgramWorkbook 3" xfId="17227" xr:uid="{00000000-0005-0000-0000-0000F1420000}"/>
    <cellStyle name="_20061117Holux_WorldBankCMSScope_FairPoint_IntialSetup_Focus_FairPoint_FP comTechOps_ProgramWorkbook_sachin" xfId="17228" xr:uid="{00000000-0005-0000-0000-0000F2420000}"/>
    <cellStyle name="_20061117Holux_WorldBankCMSScope_FairPoint_IntialSetup_Focus_FairPoint_FP comTechOps_ProgramWorkbook_sachin 2" xfId="17229" xr:uid="{00000000-0005-0000-0000-0000F3420000}"/>
    <cellStyle name="_20061117Holux_WorldBankCMSScope_FairPoint_IntialSetup_Focus_FairPoint_FP comTechOps_ProgramWorkbook_sachin 2_Steps of Doneness" xfId="17230" xr:uid="{00000000-0005-0000-0000-0000F4420000}"/>
    <cellStyle name="_20061117Holux_WorldBankCMSScope_FairPoint_IntialSetup_Focus_FairPoint_FP comTechOps_ProgramWorkbook_sachin 3" xfId="17231" xr:uid="{00000000-0005-0000-0000-0000F5420000}"/>
    <cellStyle name="_20061117Holux_WorldBankCMSScope_FairPoint_IntialSetup_Focus_FairPoint_FP comTechOps_ProgramWorkbook_sachin_Steps of Doneness" xfId="17232" xr:uid="{00000000-0005-0000-0000-0000F6420000}"/>
    <cellStyle name="_20061117Holux_WorldBankCMSScope_FairPoint_IntialSetup_Focus_FairPoint_FP comTechOps_ProgramWorkbook_sachin_v1" xfId="17233" xr:uid="{00000000-0005-0000-0000-0000F7420000}"/>
    <cellStyle name="_20061117Holux_WorldBankCMSScope_FairPoint_IntialSetup_Focus_FairPoint_FP comTechOps_ProgramWorkbook_sachin_v1 2" xfId="17234" xr:uid="{00000000-0005-0000-0000-0000F8420000}"/>
    <cellStyle name="_20061117Holux_WorldBankCMSScope_FairPoint_IntialSetup_Focus_FairPoint_FP comTechOps_ProgramWorkbook_sachin_v1 2_Steps of Doneness" xfId="17235" xr:uid="{00000000-0005-0000-0000-0000F9420000}"/>
    <cellStyle name="_20061117Holux_WorldBankCMSScope_FairPoint_IntialSetup_Focus_FairPoint_FP comTechOps_ProgramWorkbook_sachin_v1 3" xfId="17236" xr:uid="{00000000-0005-0000-0000-0000FA420000}"/>
    <cellStyle name="_20061117Holux_WorldBankCMSScope_FairPoint_IntialSetup_Focus_FairPoint_FP comTechOps_ProgramWorkbook_sachin_v1_Steps of Doneness" xfId="17237" xr:uid="{00000000-0005-0000-0000-0000FB420000}"/>
    <cellStyle name="_20061117Holux_WorldBankCMSScope_FairPoint_IntialSetup_Focus_FairPoint_FP comTechOps_ProgramWorkbook_Steps of Doneness" xfId="17238" xr:uid="{00000000-0005-0000-0000-0000FC420000}"/>
    <cellStyle name="_20061117Holux_WorldBankCMSScope_FairPoint_IntialSetup_Focus_FP_CAMP&amp;ITReporting_Maintenance_Dashboard" xfId="17239" xr:uid="{00000000-0005-0000-0000-0000FD420000}"/>
    <cellStyle name="_20061117Holux_WorldBankCMSScope_FairPoint_IntialSetup_Focus_FP_CAMP&amp;ITReporting_Maintenance_Dashboard 2" xfId="17240" xr:uid="{00000000-0005-0000-0000-0000FE420000}"/>
    <cellStyle name="_20061117Holux_WorldBankCMSScope_FairPoint_IntialSetup_Focus_FP_CAMP&amp;ITReporting_Maintenance_Dashboard 2_Steps of Doneness" xfId="17241" xr:uid="{00000000-0005-0000-0000-0000FF420000}"/>
    <cellStyle name="_20061117Holux_WorldBankCMSScope_FairPoint_IntialSetup_Focus_FP_CAMP&amp;ITReporting_Maintenance_Dashboard 3" xfId="17242" xr:uid="{00000000-0005-0000-0000-000000430000}"/>
    <cellStyle name="_20061117Holux_WorldBankCMSScope_FairPoint_IntialSetup_Focus_FP_CAMP&amp;ITReporting_Maintenance_Dashboard_Steps of Doneness" xfId="17243" xr:uid="{00000000-0005-0000-0000-000001430000}"/>
    <cellStyle name="_20061117Holux_WorldBankCMSScope_FairPoint_IntialSetup_Focus_FP_CAMPITReporting_Maintenance_Dashboard" xfId="17244" xr:uid="{00000000-0005-0000-0000-000002430000}"/>
    <cellStyle name="_20061117Holux_WorldBankCMSScope_FairPoint_IntialSetup_Focus_FP_CAMPITReporting_Maintenance_Dashboard 2" xfId="17245" xr:uid="{00000000-0005-0000-0000-000003430000}"/>
    <cellStyle name="_20061117Holux_WorldBankCMSScope_FairPoint_IntialSetup_Focus_FP_CAMPITReporting_Maintenance_Dashboard 2_Steps of Doneness" xfId="17246" xr:uid="{00000000-0005-0000-0000-000004430000}"/>
    <cellStyle name="_20061117Holux_WorldBankCMSScope_FairPoint_IntialSetup_Focus_FP_CAMPITReporting_Maintenance_Dashboard 3" xfId="17247" xr:uid="{00000000-0005-0000-0000-000005430000}"/>
    <cellStyle name="_20061117Holux_WorldBankCMSScope_FairPoint_IntialSetup_Focus_FP_CAMPITReporting_Maintenance_Dashboard_Steps of Doneness" xfId="17248" xr:uid="{00000000-0005-0000-0000-000006430000}"/>
    <cellStyle name="_20061117Holux_WorldBankCMSScope_FairPoint_IntialSetup_Focus_FP_Commissions_Req_Dn_ProgramWorkBook_10-Dec-2010" xfId="17249" xr:uid="{00000000-0005-0000-0000-000007430000}"/>
    <cellStyle name="_20061117Holux_WorldBankCMSScope_FairPoint_IntialSetup_Focus_FP_Commissions_Req_Dn_ProgramWorkBook_10-Dec-2010 2" xfId="17250" xr:uid="{00000000-0005-0000-0000-000008430000}"/>
    <cellStyle name="_20061117Holux_WorldBankCMSScope_FairPoint_IntialSetup_Focus_FP_Commissions_Req_Dn_ProgramWorkBook_10-Dec-2010 2_Steps of Doneness" xfId="17251" xr:uid="{00000000-0005-0000-0000-000009430000}"/>
    <cellStyle name="_20061117Holux_WorldBankCMSScope_FairPoint_IntialSetup_Focus_FP_Commissions_Req_Dn_ProgramWorkBook_10-Dec-2010 3" xfId="17252" xr:uid="{00000000-0005-0000-0000-00000A430000}"/>
    <cellStyle name="_20061117Holux_WorldBankCMSScope_FairPoint_IntialSetup_Focus_FP_Commissions_Req_Dn_ProgramWorkBook_10-Dec-2010_Steps of Doneness" xfId="17253" xr:uid="{00000000-0005-0000-0000-00000B430000}"/>
    <cellStyle name="_20061117Holux_WorldBankCMSScope_FairPoint_IntialSetup_Focus_FP_DW_Impl_ProgramWorkBook_07-Jan-2011" xfId="17254" xr:uid="{00000000-0005-0000-0000-00000C430000}"/>
    <cellStyle name="_20061117Holux_WorldBankCMSScope_FairPoint_IntialSetup_Focus_FP_DW_Impl_ProgramWorkBook_07-Jan-2011 2" xfId="17255" xr:uid="{00000000-0005-0000-0000-00000D430000}"/>
    <cellStyle name="_20061117Holux_WorldBankCMSScope_FairPoint_IntialSetup_Focus_FP_DW_Impl_ProgramWorkBook_07-Jan-2011 2 2" xfId="17256" xr:uid="{00000000-0005-0000-0000-00000E430000}"/>
    <cellStyle name="_20061117Holux_WorldBankCMSScope_FairPoint_IntialSetup_Focus_FP_DW_Impl_ProgramWorkBook_07-Jan-2011 2 2_Steps of Doneness" xfId="17257" xr:uid="{00000000-0005-0000-0000-00000F430000}"/>
    <cellStyle name="_20061117Holux_WorldBankCMSScope_FairPoint_IntialSetup_Focus_FP_DW_Impl_ProgramWorkBook_07-Jan-2011 2 3" xfId="17258" xr:uid="{00000000-0005-0000-0000-000010430000}"/>
    <cellStyle name="_20061117Holux_WorldBankCMSScope_FairPoint_IntialSetup_Focus_FP_DW_Impl_ProgramWorkBook_07-Jan-2011 2_Steps of Doneness" xfId="17259" xr:uid="{00000000-0005-0000-0000-000011430000}"/>
    <cellStyle name="_20061117Holux_WorldBankCMSScope_FairPoint_IntialSetup_Focus_FP_DW_Impl_ProgramWorkBook_07-Jan-2011 3" xfId="17260" xr:uid="{00000000-0005-0000-0000-000012430000}"/>
    <cellStyle name="_20061117Holux_WorldBankCMSScope_FairPoint_IntialSetup_Focus_FP_DW_Impl_ProgramWorkBook_07-Jan-2011 3_Steps of Doneness" xfId="17261" xr:uid="{00000000-0005-0000-0000-000013430000}"/>
    <cellStyle name="_20061117Holux_WorldBankCMSScope_FairPoint_IntialSetup_Focus_FP_DW_Impl_ProgramWorkBook_07-Jan-2011 4" xfId="17262" xr:uid="{00000000-0005-0000-0000-000014430000}"/>
    <cellStyle name="_20061117Holux_WorldBankCMSScope_FairPoint_IntialSetup_Focus_FP_DW_Impl_ProgramWorkBook_07-Jan-2011_Steps of Doneness" xfId="17263" xr:uid="{00000000-0005-0000-0000-000015430000}"/>
    <cellStyle name="_20061117Holux_WorldBankCMSScope_FairPoint_IntialSetup_Focus_FP_DW_Impl_ProgramWorkBook_11-Feb-2011" xfId="17264" xr:uid="{00000000-0005-0000-0000-000016430000}"/>
    <cellStyle name="_20061117Holux_WorldBankCMSScope_FairPoint_IntialSetup_Focus_FP_DW_Impl_ProgramWorkBook_11-Feb-2011 2" xfId="17265" xr:uid="{00000000-0005-0000-0000-000017430000}"/>
    <cellStyle name="_20061117Holux_WorldBankCMSScope_FairPoint_IntialSetup_Focus_FP_DW_Impl_ProgramWorkBook_11-Feb-2011 2_Steps of Doneness" xfId="17266" xr:uid="{00000000-0005-0000-0000-000018430000}"/>
    <cellStyle name="_20061117Holux_WorldBankCMSScope_FairPoint_IntialSetup_Focus_FP_DW_Impl_ProgramWorkBook_11-Feb-2011 3" xfId="17267" xr:uid="{00000000-0005-0000-0000-000019430000}"/>
    <cellStyle name="_20061117Holux_WorldBankCMSScope_FairPoint_IntialSetup_Focus_FP_DW_Impl_ProgramWorkBook_11-Feb-2011_Steps of Doneness" xfId="17268" xr:uid="{00000000-0005-0000-0000-00001A430000}"/>
    <cellStyle name="_20061117Holux_WorldBankCMSScope_FairPoint_IntialSetup_Focus_FP_DW_Impl_ProgramWorkBook_18-Feb-2011 - Working" xfId="17269" xr:uid="{00000000-0005-0000-0000-00001B430000}"/>
    <cellStyle name="_20061117Holux_WorldBankCMSScope_FairPoint_IntialSetup_Focus_FP_DW_Impl_ProgramWorkBook_18-Feb-2011 - Working 2" xfId="17270" xr:uid="{00000000-0005-0000-0000-00001C430000}"/>
    <cellStyle name="_20061117Holux_WorldBankCMSScope_FairPoint_IntialSetup_Focus_FP_DW_Impl_ProgramWorkBook_18-Feb-2011 - Working 2_Steps of Doneness" xfId="17271" xr:uid="{00000000-0005-0000-0000-00001D430000}"/>
    <cellStyle name="_20061117Holux_WorldBankCMSScope_FairPoint_IntialSetup_Focus_FP_DW_Impl_ProgramWorkBook_18-Feb-2011 - Working 3" xfId="17272" xr:uid="{00000000-0005-0000-0000-00001E430000}"/>
    <cellStyle name="_20061117Holux_WorldBankCMSScope_FairPoint_IntialSetup_Focus_FP_DW_Impl_ProgramWorkBook_18-Feb-2011 - Working_Steps of Doneness" xfId="17273" xr:uid="{00000000-0005-0000-0000-00001F430000}"/>
    <cellStyle name="_20061117Holux_WorldBankCMSScope_FairPoint_IntialSetup_Focus_FP_EnterprisePortal_ProgramWorkbook" xfId="17274" xr:uid="{00000000-0005-0000-0000-000020430000}"/>
    <cellStyle name="_20061117Holux_WorldBankCMSScope_FairPoint_IntialSetup_Focus_FP_EnterprisePortal_ProgramWorkbook 2" xfId="17275" xr:uid="{00000000-0005-0000-0000-000021430000}"/>
    <cellStyle name="_20061117Holux_WorldBankCMSScope_FairPoint_IntialSetup_Focus_FP_EnterprisePortal_ProgramWorkbook 2_Steps of Doneness" xfId="17276" xr:uid="{00000000-0005-0000-0000-000022430000}"/>
    <cellStyle name="_20061117Holux_WorldBankCMSScope_FairPoint_IntialSetup_Focus_FP_EnterprisePortal_ProgramWorkbook 3" xfId="17277" xr:uid="{00000000-0005-0000-0000-000023430000}"/>
    <cellStyle name="_20061117Holux_WorldBankCMSScope_FairPoint_IntialSetup_Focus_FP_EnterprisePortal_ProgramWorkbook_Steps of Doneness" xfId="17278" xr:uid="{00000000-0005-0000-0000-000024430000}"/>
    <cellStyle name="_20061117Holux_WorldBankCMSScope_FairPoint_IntialSetup_Focus_FP_SAP_MLP v2" xfId="17279" xr:uid="{00000000-0005-0000-0000-000025430000}"/>
    <cellStyle name="_20061117Holux_WorldBankCMSScope_FairPoint_IntialSetup_Focus_FP_SAP_MLP v2 2" xfId="17280" xr:uid="{00000000-0005-0000-0000-000026430000}"/>
    <cellStyle name="_20061117Holux_WorldBankCMSScope_FairPoint_IntialSetup_Focus_FP_SAP_MLP v2 2_Steps of Doneness" xfId="17281" xr:uid="{00000000-0005-0000-0000-000027430000}"/>
    <cellStyle name="_20061117Holux_WorldBankCMSScope_FairPoint_IntialSetup_Focus_FP_SAP_MLP v2 3" xfId="17282" xr:uid="{00000000-0005-0000-0000-000028430000}"/>
    <cellStyle name="_20061117Holux_WorldBankCMSScope_FairPoint_IntialSetup_Focus_FP_SAP_MLP v2_Steps of Doneness" xfId="17283" xr:uid="{00000000-0005-0000-0000-000029430000}"/>
    <cellStyle name="_20061117Holux_WorldBankCMSScope_FairPoint_IntialSetup_Focus_KeyDecisions" xfId="17284" xr:uid="{00000000-0005-0000-0000-00002A430000}"/>
    <cellStyle name="_20061117Holux_WorldBankCMSScope_FairPoint_IntialSetup_Focus_KeyDecisions 2" xfId="17285" xr:uid="{00000000-0005-0000-0000-00002B430000}"/>
    <cellStyle name="_20061117Holux_WorldBankCMSScope_FairPoint_IntialSetup_Focus_KeyDecisions 2_Steps of Doneness" xfId="17286" xr:uid="{00000000-0005-0000-0000-00002C430000}"/>
    <cellStyle name="_20061117Holux_WorldBankCMSScope_FairPoint_IntialSetup_Focus_KeyDecisions 3" xfId="17287" xr:uid="{00000000-0005-0000-0000-00002D430000}"/>
    <cellStyle name="_20061117Holux_WorldBankCMSScope_FairPoint_IntialSetup_Focus_KeyDecisions_Steps of Doneness" xfId="17288" xr:uid="{00000000-0005-0000-0000-00002E430000}"/>
    <cellStyle name="_20061117Holux_WorldBankCMSScope_FairPoint_IntialSetup_Focus_Sophia_Imp_ProjectWorkBook_02_18_2011" xfId="17289" xr:uid="{00000000-0005-0000-0000-00002F430000}"/>
    <cellStyle name="_20061117Holux_WorldBankCMSScope_FairPoint_IntialSetup_Focus_Sophia_Imp_ProjectWorkBook_02_18_2011 2" xfId="17290" xr:uid="{00000000-0005-0000-0000-000030430000}"/>
    <cellStyle name="_20061117Holux_WorldBankCMSScope_FairPoint_IntialSetup_Focus_Sophia_Imp_ProjectWorkBook_02_18_2011 2_Steps of Doneness" xfId="17291" xr:uid="{00000000-0005-0000-0000-000031430000}"/>
    <cellStyle name="_20061117Holux_WorldBankCMSScope_FairPoint_IntialSetup_Focus_Sophia_Imp_ProjectWorkBook_02_18_2011 3" xfId="17292" xr:uid="{00000000-0005-0000-0000-000032430000}"/>
    <cellStyle name="_20061117Holux_WorldBankCMSScope_FairPoint_IntialSetup_Focus_Sophia_Imp_ProjectWorkBook_02_18_2011_Steps of Doneness" xfId="17293" xr:uid="{00000000-0005-0000-0000-000033430000}"/>
    <cellStyle name="_20061117Holux_WorldBankCMSScope_FairPoint_IntialSetup_Focus_Steps of Doneness" xfId="17294" xr:uid="{00000000-0005-0000-0000-000034430000}"/>
    <cellStyle name="_20061117Holux_WorldBankCMSScope_FairPoint_IntialSetup_Focus_t" xfId="17295" xr:uid="{00000000-0005-0000-0000-000035430000}"/>
    <cellStyle name="_20061117Holux_WorldBankCMSScope_FairPoint_IntialSetup_Focus_t 2" xfId="17296" xr:uid="{00000000-0005-0000-0000-000036430000}"/>
    <cellStyle name="_20061117Holux_WorldBankCMSScope_FairPoint_IntialSetup_Focus_t 2_Steps of Doneness" xfId="17297" xr:uid="{00000000-0005-0000-0000-000037430000}"/>
    <cellStyle name="_20061117Holux_WorldBankCMSScope_FairPoint_IntialSetup_Focus_t 3" xfId="17298" xr:uid="{00000000-0005-0000-0000-000038430000}"/>
    <cellStyle name="_20061117Holux_WorldBankCMSScope_FairPoint_IntialSetup_Focus_t_Steps of Doneness" xfId="17299" xr:uid="{00000000-0005-0000-0000-000039430000}"/>
    <cellStyle name="_20061117Holux_WorldBankCMSScope_FairPoint_TechnicalImplementation_Plan" xfId="17300" xr:uid="{00000000-0005-0000-0000-00003A430000}"/>
    <cellStyle name="_20061117Holux_WorldBankCMSScope_FairPoint_TechnicalImplementation_Plan 2" xfId="17301" xr:uid="{00000000-0005-0000-0000-00003B430000}"/>
    <cellStyle name="_20061117Holux_WorldBankCMSScope_FairPoint_TechnicalImplementation_Plan 2 2" xfId="17302" xr:uid="{00000000-0005-0000-0000-00003C430000}"/>
    <cellStyle name="_20061117Holux_WorldBankCMSScope_FairPoint_TechnicalImplementation_Plan 2 2_Steps of Doneness" xfId="17303" xr:uid="{00000000-0005-0000-0000-00003D430000}"/>
    <cellStyle name="_20061117Holux_WorldBankCMSScope_FairPoint_TechnicalImplementation_Plan 2 3" xfId="17304" xr:uid="{00000000-0005-0000-0000-00003E430000}"/>
    <cellStyle name="_20061117Holux_WorldBankCMSScope_FairPoint_TechnicalImplementation_Plan 2_Steps of Doneness" xfId="17305" xr:uid="{00000000-0005-0000-0000-00003F430000}"/>
    <cellStyle name="_20061117Holux_WorldBankCMSScope_FairPoint_TechnicalImplementation_Plan 3" xfId="17306" xr:uid="{00000000-0005-0000-0000-000040430000}"/>
    <cellStyle name="_20061117Holux_WorldBankCMSScope_FairPoint_TechnicalImplementation_Plan 3_Steps of Doneness" xfId="17307" xr:uid="{00000000-0005-0000-0000-000041430000}"/>
    <cellStyle name="_20061117Holux_WorldBankCMSScope_FairPoint_TechnicalImplementation_Plan 4" xfId="17308" xr:uid="{00000000-0005-0000-0000-000042430000}"/>
    <cellStyle name="_20061117Holux_WorldBankCMSScope_FairPoint_TechnicalImplementation_Plan_Commissioning System Implementation_Project Workbook_06_10_2011" xfId="17309" xr:uid="{00000000-0005-0000-0000-000043430000}"/>
    <cellStyle name="_20061117Holux_WorldBankCMSScope_FairPoint_TechnicalImplementation_Plan_Commissioning System Implementation_Project Workbook_06_10_2011 2" xfId="17310" xr:uid="{00000000-0005-0000-0000-000044430000}"/>
    <cellStyle name="_20061117Holux_WorldBankCMSScope_FairPoint_TechnicalImplementation_Plan_Commissioning System Implementation_Project Workbook_06_10_2011 2_Steps of Doneness" xfId="17311" xr:uid="{00000000-0005-0000-0000-000045430000}"/>
    <cellStyle name="_20061117Holux_WorldBankCMSScope_FairPoint_TechnicalImplementation_Plan_Commissioning System Implementation_Project Workbook_06_10_2011 3" xfId="17312" xr:uid="{00000000-0005-0000-0000-000046430000}"/>
    <cellStyle name="_20061117Holux_WorldBankCMSScope_FairPoint_TechnicalImplementation_Plan_Commissioning System Implementation_Project Workbook_06_10_2011_Steps of Doneness" xfId="17313" xr:uid="{00000000-0005-0000-0000-000047430000}"/>
    <cellStyle name="_20061117Holux_WorldBankCMSScope_FairPoint_TechnicalImplementation_Plan_FairPoint_CampReport" xfId="17314" xr:uid="{00000000-0005-0000-0000-000048430000}"/>
    <cellStyle name="_20061117Holux_WorldBankCMSScope_FairPoint_TechnicalImplementation_Plan_FairPoint_CampReport 2" xfId="17315" xr:uid="{00000000-0005-0000-0000-000049430000}"/>
    <cellStyle name="_20061117Holux_WorldBankCMSScope_FairPoint_TechnicalImplementation_Plan_FairPoint_CampReport 2_Steps of Doneness" xfId="17316" xr:uid="{00000000-0005-0000-0000-00004A430000}"/>
    <cellStyle name="_20061117Holux_WorldBankCMSScope_FairPoint_TechnicalImplementation_Plan_FairPoint_CampReport 3" xfId="17317" xr:uid="{00000000-0005-0000-0000-00004B430000}"/>
    <cellStyle name="_20061117Holux_WorldBankCMSScope_FairPoint_TechnicalImplementation_Plan_FairPoint_CampReport_Steps of Doneness" xfId="17318" xr:uid="{00000000-0005-0000-0000-00004C430000}"/>
    <cellStyle name="_20061117Holux_WorldBankCMSScope_FairPoint_TechnicalImplementation_Plan_FairPoint_FP comTechOps_ProgramWorkbook" xfId="17319" xr:uid="{00000000-0005-0000-0000-00004D430000}"/>
    <cellStyle name="_20061117Holux_WorldBankCMSScope_FairPoint_TechnicalImplementation_Plan_FairPoint_FP comTechOps_ProgramWorkbook 2" xfId="17320" xr:uid="{00000000-0005-0000-0000-00004E430000}"/>
    <cellStyle name="_20061117Holux_WorldBankCMSScope_FairPoint_TechnicalImplementation_Plan_FairPoint_FP comTechOps_ProgramWorkbook 2_Steps of Doneness" xfId="17321" xr:uid="{00000000-0005-0000-0000-00004F430000}"/>
    <cellStyle name="_20061117Holux_WorldBankCMSScope_FairPoint_TechnicalImplementation_Plan_FairPoint_FP comTechOps_ProgramWorkbook 3" xfId="17322" xr:uid="{00000000-0005-0000-0000-000050430000}"/>
    <cellStyle name="_20061117Holux_WorldBankCMSScope_FairPoint_TechnicalImplementation_Plan_FairPoint_FP comTechOps_ProgramWorkbook_sachin" xfId="17323" xr:uid="{00000000-0005-0000-0000-000051430000}"/>
    <cellStyle name="_20061117Holux_WorldBankCMSScope_FairPoint_TechnicalImplementation_Plan_FairPoint_FP comTechOps_ProgramWorkbook_sachin 2" xfId="17324" xr:uid="{00000000-0005-0000-0000-000052430000}"/>
    <cellStyle name="_20061117Holux_WorldBankCMSScope_FairPoint_TechnicalImplementation_Plan_FairPoint_FP comTechOps_ProgramWorkbook_sachin 2_Steps of Doneness" xfId="17325" xr:uid="{00000000-0005-0000-0000-000053430000}"/>
    <cellStyle name="_20061117Holux_WorldBankCMSScope_FairPoint_TechnicalImplementation_Plan_FairPoint_FP comTechOps_ProgramWorkbook_sachin 3" xfId="17326" xr:uid="{00000000-0005-0000-0000-000054430000}"/>
    <cellStyle name="_20061117Holux_WorldBankCMSScope_FairPoint_TechnicalImplementation_Plan_FairPoint_FP comTechOps_ProgramWorkbook_sachin_Steps of Doneness" xfId="17327" xr:uid="{00000000-0005-0000-0000-000055430000}"/>
    <cellStyle name="_20061117Holux_WorldBankCMSScope_FairPoint_TechnicalImplementation_Plan_FairPoint_FP comTechOps_ProgramWorkbook_sachin_v1" xfId="17328" xr:uid="{00000000-0005-0000-0000-000056430000}"/>
    <cellStyle name="_20061117Holux_WorldBankCMSScope_FairPoint_TechnicalImplementation_Plan_FairPoint_FP comTechOps_ProgramWorkbook_sachin_v1 2" xfId="17329" xr:uid="{00000000-0005-0000-0000-000057430000}"/>
    <cellStyle name="_20061117Holux_WorldBankCMSScope_FairPoint_TechnicalImplementation_Plan_FairPoint_FP comTechOps_ProgramWorkbook_sachin_v1 2_Steps of Doneness" xfId="17330" xr:uid="{00000000-0005-0000-0000-000058430000}"/>
    <cellStyle name="_20061117Holux_WorldBankCMSScope_FairPoint_TechnicalImplementation_Plan_FairPoint_FP comTechOps_ProgramWorkbook_sachin_v1 3" xfId="17331" xr:uid="{00000000-0005-0000-0000-000059430000}"/>
    <cellStyle name="_20061117Holux_WorldBankCMSScope_FairPoint_TechnicalImplementation_Plan_FairPoint_FP comTechOps_ProgramWorkbook_sachin_v1_Steps of Doneness" xfId="17332" xr:uid="{00000000-0005-0000-0000-00005A430000}"/>
    <cellStyle name="_20061117Holux_WorldBankCMSScope_FairPoint_TechnicalImplementation_Plan_FairPoint_FP comTechOps_ProgramWorkbook_Steps of Doneness" xfId="17333" xr:uid="{00000000-0005-0000-0000-00005B430000}"/>
    <cellStyle name="_20061117Holux_WorldBankCMSScope_FairPoint_TechnicalImplementation_Plan_FP_CAMP&amp;ITReporting_Maintenance_Dashboard" xfId="17334" xr:uid="{00000000-0005-0000-0000-00005C430000}"/>
    <cellStyle name="_20061117Holux_WorldBankCMSScope_FairPoint_TechnicalImplementation_Plan_FP_CAMP&amp;ITReporting_Maintenance_Dashboard 2" xfId="17335" xr:uid="{00000000-0005-0000-0000-00005D430000}"/>
    <cellStyle name="_20061117Holux_WorldBankCMSScope_FairPoint_TechnicalImplementation_Plan_FP_CAMP&amp;ITReporting_Maintenance_Dashboard 2_Steps of Doneness" xfId="17336" xr:uid="{00000000-0005-0000-0000-00005E430000}"/>
    <cellStyle name="_20061117Holux_WorldBankCMSScope_FairPoint_TechnicalImplementation_Plan_FP_CAMP&amp;ITReporting_Maintenance_Dashboard 3" xfId="17337" xr:uid="{00000000-0005-0000-0000-00005F430000}"/>
    <cellStyle name="_20061117Holux_WorldBankCMSScope_FairPoint_TechnicalImplementation_Plan_FP_CAMP&amp;ITReporting_Maintenance_Dashboard_Steps of Doneness" xfId="17338" xr:uid="{00000000-0005-0000-0000-000060430000}"/>
    <cellStyle name="_20061117Holux_WorldBankCMSScope_FairPoint_TechnicalImplementation_Plan_FP_CAMPITReporting_Maintenance_Dashboard" xfId="17339" xr:uid="{00000000-0005-0000-0000-000061430000}"/>
    <cellStyle name="_20061117Holux_WorldBankCMSScope_FairPoint_TechnicalImplementation_Plan_FP_CAMPITReporting_Maintenance_Dashboard 2" xfId="17340" xr:uid="{00000000-0005-0000-0000-000062430000}"/>
    <cellStyle name="_20061117Holux_WorldBankCMSScope_FairPoint_TechnicalImplementation_Plan_FP_CAMPITReporting_Maintenance_Dashboard 2_Steps of Doneness" xfId="17341" xr:uid="{00000000-0005-0000-0000-000063430000}"/>
    <cellStyle name="_20061117Holux_WorldBankCMSScope_FairPoint_TechnicalImplementation_Plan_FP_CAMPITReporting_Maintenance_Dashboard 3" xfId="17342" xr:uid="{00000000-0005-0000-0000-000064430000}"/>
    <cellStyle name="_20061117Holux_WorldBankCMSScope_FairPoint_TechnicalImplementation_Plan_FP_CAMPITReporting_Maintenance_Dashboard_Steps of Doneness" xfId="17343" xr:uid="{00000000-0005-0000-0000-000065430000}"/>
    <cellStyle name="_20061117Holux_WorldBankCMSScope_FairPoint_TechnicalImplementation_Plan_FP_Commissions_Req_Dn_ProgramWorkBook_10-Dec-2010" xfId="17344" xr:uid="{00000000-0005-0000-0000-000066430000}"/>
    <cellStyle name="_20061117Holux_WorldBankCMSScope_FairPoint_TechnicalImplementation_Plan_FP_Commissions_Req_Dn_ProgramWorkBook_10-Dec-2010 2" xfId="17345" xr:uid="{00000000-0005-0000-0000-000067430000}"/>
    <cellStyle name="_20061117Holux_WorldBankCMSScope_FairPoint_TechnicalImplementation_Plan_FP_Commissions_Req_Dn_ProgramWorkBook_10-Dec-2010 2_Steps of Doneness" xfId="17346" xr:uid="{00000000-0005-0000-0000-000068430000}"/>
    <cellStyle name="_20061117Holux_WorldBankCMSScope_FairPoint_TechnicalImplementation_Plan_FP_Commissions_Req_Dn_ProgramWorkBook_10-Dec-2010 3" xfId="17347" xr:uid="{00000000-0005-0000-0000-000069430000}"/>
    <cellStyle name="_20061117Holux_WorldBankCMSScope_FairPoint_TechnicalImplementation_Plan_FP_Commissions_Req_Dn_ProgramWorkBook_10-Dec-2010_Steps of Doneness" xfId="17348" xr:uid="{00000000-0005-0000-0000-00006A430000}"/>
    <cellStyle name="_20061117Holux_WorldBankCMSScope_FairPoint_TechnicalImplementation_Plan_FP_DW_Impl_ProgramWorkBook_07-Jan-2011" xfId="17349" xr:uid="{00000000-0005-0000-0000-00006B430000}"/>
    <cellStyle name="_20061117Holux_WorldBankCMSScope_FairPoint_TechnicalImplementation_Plan_FP_DW_Impl_ProgramWorkBook_07-Jan-2011 2" xfId="17350" xr:uid="{00000000-0005-0000-0000-00006C430000}"/>
    <cellStyle name="_20061117Holux_WorldBankCMSScope_FairPoint_TechnicalImplementation_Plan_FP_DW_Impl_ProgramWorkBook_07-Jan-2011 2 2" xfId="17351" xr:uid="{00000000-0005-0000-0000-00006D430000}"/>
    <cellStyle name="_20061117Holux_WorldBankCMSScope_FairPoint_TechnicalImplementation_Plan_FP_DW_Impl_ProgramWorkBook_07-Jan-2011 2 2_Steps of Doneness" xfId="17352" xr:uid="{00000000-0005-0000-0000-00006E430000}"/>
    <cellStyle name="_20061117Holux_WorldBankCMSScope_FairPoint_TechnicalImplementation_Plan_FP_DW_Impl_ProgramWorkBook_07-Jan-2011 2 3" xfId="17353" xr:uid="{00000000-0005-0000-0000-00006F430000}"/>
    <cellStyle name="_20061117Holux_WorldBankCMSScope_FairPoint_TechnicalImplementation_Plan_FP_DW_Impl_ProgramWorkBook_07-Jan-2011 2_Steps of Doneness" xfId="17354" xr:uid="{00000000-0005-0000-0000-000070430000}"/>
    <cellStyle name="_20061117Holux_WorldBankCMSScope_FairPoint_TechnicalImplementation_Plan_FP_DW_Impl_ProgramWorkBook_07-Jan-2011 3" xfId="17355" xr:uid="{00000000-0005-0000-0000-000071430000}"/>
    <cellStyle name="_20061117Holux_WorldBankCMSScope_FairPoint_TechnicalImplementation_Plan_FP_DW_Impl_ProgramWorkBook_07-Jan-2011 3_Steps of Doneness" xfId="17356" xr:uid="{00000000-0005-0000-0000-000072430000}"/>
    <cellStyle name="_20061117Holux_WorldBankCMSScope_FairPoint_TechnicalImplementation_Plan_FP_DW_Impl_ProgramWorkBook_07-Jan-2011 4" xfId="17357" xr:uid="{00000000-0005-0000-0000-000073430000}"/>
    <cellStyle name="_20061117Holux_WorldBankCMSScope_FairPoint_TechnicalImplementation_Plan_FP_DW_Impl_ProgramWorkBook_07-Jan-2011_Steps of Doneness" xfId="17358" xr:uid="{00000000-0005-0000-0000-000074430000}"/>
    <cellStyle name="_20061117Holux_WorldBankCMSScope_FairPoint_TechnicalImplementation_Plan_FP_DW_Impl_ProgramWorkBook_11-Feb-2011" xfId="17359" xr:uid="{00000000-0005-0000-0000-000075430000}"/>
    <cellStyle name="_20061117Holux_WorldBankCMSScope_FairPoint_TechnicalImplementation_Plan_FP_DW_Impl_ProgramWorkBook_11-Feb-2011 2" xfId="17360" xr:uid="{00000000-0005-0000-0000-000076430000}"/>
    <cellStyle name="_20061117Holux_WorldBankCMSScope_FairPoint_TechnicalImplementation_Plan_FP_DW_Impl_ProgramWorkBook_11-Feb-2011 2_Steps of Doneness" xfId="17361" xr:uid="{00000000-0005-0000-0000-000077430000}"/>
    <cellStyle name="_20061117Holux_WorldBankCMSScope_FairPoint_TechnicalImplementation_Plan_FP_DW_Impl_ProgramWorkBook_11-Feb-2011 3" xfId="17362" xr:uid="{00000000-0005-0000-0000-000078430000}"/>
    <cellStyle name="_20061117Holux_WorldBankCMSScope_FairPoint_TechnicalImplementation_Plan_FP_DW_Impl_ProgramWorkBook_11-Feb-2011_Steps of Doneness" xfId="17363" xr:uid="{00000000-0005-0000-0000-000079430000}"/>
    <cellStyle name="_20061117Holux_WorldBankCMSScope_FairPoint_TechnicalImplementation_Plan_FP_DW_Impl_ProgramWorkBook_18-Feb-2011 - Working" xfId="17364" xr:uid="{00000000-0005-0000-0000-00007A430000}"/>
    <cellStyle name="_20061117Holux_WorldBankCMSScope_FairPoint_TechnicalImplementation_Plan_FP_DW_Impl_ProgramWorkBook_18-Feb-2011 - Working 2" xfId="17365" xr:uid="{00000000-0005-0000-0000-00007B430000}"/>
    <cellStyle name="_20061117Holux_WorldBankCMSScope_FairPoint_TechnicalImplementation_Plan_FP_DW_Impl_ProgramWorkBook_18-Feb-2011 - Working 2_Steps of Doneness" xfId="17366" xr:uid="{00000000-0005-0000-0000-00007C430000}"/>
    <cellStyle name="_20061117Holux_WorldBankCMSScope_FairPoint_TechnicalImplementation_Plan_FP_DW_Impl_ProgramWorkBook_18-Feb-2011 - Working 3" xfId="17367" xr:uid="{00000000-0005-0000-0000-00007D430000}"/>
    <cellStyle name="_20061117Holux_WorldBankCMSScope_FairPoint_TechnicalImplementation_Plan_FP_DW_Impl_ProgramWorkBook_18-Feb-2011 - Working_Steps of Doneness" xfId="17368" xr:uid="{00000000-0005-0000-0000-00007E430000}"/>
    <cellStyle name="_20061117Holux_WorldBankCMSScope_FairPoint_TechnicalImplementation_Plan_FP_EnterprisePortal_ProgramWorkbook" xfId="17369" xr:uid="{00000000-0005-0000-0000-00007F430000}"/>
    <cellStyle name="_20061117Holux_WorldBankCMSScope_FairPoint_TechnicalImplementation_Plan_FP_EnterprisePortal_ProgramWorkbook 2" xfId="17370" xr:uid="{00000000-0005-0000-0000-000080430000}"/>
    <cellStyle name="_20061117Holux_WorldBankCMSScope_FairPoint_TechnicalImplementation_Plan_FP_EnterprisePortal_ProgramWorkbook 2_Steps of Doneness" xfId="17371" xr:uid="{00000000-0005-0000-0000-000081430000}"/>
    <cellStyle name="_20061117Holux_WorldBankCMSScope_FairPoint_TechnicalImplementation_Plan_FP_EnterprisePortal_ProgramWorkbook 3" xfId="17372" xr:uid="{00000000-0005-0000-0000-000082430000}"/>
    <cellStyle name="_20061117Holux_WorldBankCMSScope_FairPoint_TechnicalImplementation_Plan_FP_EnterprisePortal_ProgramWorkbook_Steps of Doneness" xfId="17373" xr:uid="{00000000-0005-0000-0000-000083430000}"/>
    <cellStyle name="_20061117Holux_WorldBankCMSScope_FairPoint_TechnicalImplementation_Plan_FP_SAP_MLP v2" xfId="17374" xr:uid="{00000000-0005-0000-0000-000084430000}"/>
    <cellStyle name="_20061117Holux_WorldBankCMSScope_FairPoint_TechnicalImplementation_Plan_FP_SAP_MLP v2 2" xfId="17375" xr:uid="{00000000-0005-0000-0000-000085430000}"/>
    <cellStyle name="_20061117Holux_WorldBankCMSScope_FairPoint_TechnicalImplementation_Plan_FP_SAP_MLP v2 2_Steps of Doneness" xfId="17376" xr:uid="{00000000-0005-0000-0000-000086430000}"/>
    <cellStyle name="_20061117Holux_WorldBankCMSScope_FairPoint_TechnicalImplementation_Plan_FP_SAP_MLP v2 3" xfId="17377" xr:uid="{00000000-0005-0000-0000-000087430000}"/>
    <cellStyle name="_20061117Holux_WorldBankCMSScope_FairPoint_TechnicalImplementation_Plan_FP_SAP_MLP v2_Steps of Doneness" xfId="17378" xr:uid="{00000000-0005-0000-0000-000088430000}"/>
    <cellStyle name="_20061117Holux_WorldBankCMSScope_FairPoint_TechnicalImplementation_Plan_KeyDecisions" xfId="17379" xr:uid="{00000000-0005-0000-0000-000089430000}"/>
    <cellStyle name="_20061117Holux_WorldBankCMSScope_FairPoint_TechnicalImplementation_Plan_KeyDecisions 2" xfId="17380" xr:uid="{00000000-0005-0000-0000-00008A430000}"/>
    <cellStyle name="_20061117Holux_WorldBankCMSScope_FairPoint_TechnicalImplementation_Plan_KeyDecisions 2_Steps of Doneness" xfId="17381" xr:uid="{00000000-0005-0000-0000-00008B430000}"/>
    <cellStyle name="_20061117Holux_WorldBankCMSScope_FairPoint_TechnicalImplementation_Plan_KeyDecisions 3" xfId="17382" xr:uid="{00000000-0005-0000-0000-00008C430000}"/>
    <cellStyle name="_20061117Holux_WorldBankCMSScope_FairPoint_TechnicalImplementation_Plan_KeyDecisions_Steps of Doneness" xfId="17383" xr:uid="{00000000-0005-0000-0000-00008D430000}"/>
    <cellStyle name="_20061117Holux_WorldBankCMSScope_FairPoint_TechnicalImplementation_Plan_Sophia_Imp_ProjectWorkBook_02_18_2011" xfId="17384" xr:uid="{00000000-0005-0000-0000-00008E430000}"/>
    <cellStyle name="_20061117Holux_WorldBankCMSScope_FairPoint_TechnicalImplementation_Plan_Sophia_Imp_ProjectWorkBook_02_18_2011 2" xfId="17385" xr:uid="{00000000-0005-0000-0000-00008F430000}"/>
    <cellStyle name="_20061117Holux_WorldBankCMSScope_FairPoint_TechnicalImplementation_Plan_Sophia_Imp_ProjectWorkBook_02_18_2011 2_Steps of Doneness" xfId="17386" xr:uid="{00000000-0005-0000-0000-000090430000}"/>
    <cellStyle name="_20061117Holux_WorldBankCMSScope_FairPoint_TechnicalImplementation_Plan_Sophia_Imp_ProjectWorkBook_02_18_2011 3" xfId="17387" xr:uid="{00000000-0005-0000-0000-000091430000}"/>
    <cellStyle name="_20061117Holux_WorldBankCMSScope_FairPoint_TechnicalImplementation_Plan_Sophia_Imp_ProjectWorkBook_02_18_2011_Steps of Doneness" xfId="17388" xr:uid="{00000000-0005-0000-0000-000092430000}"/>
    <cellStyle name="_20061117Holux_WorldBankCMSScope_FairPoint_TechnicalImplementation_Plan_Steps of Doneness" xfId="17389" xr:uid="{00000000-0005-0000-0000-000093430000}"/>
    <cellStyle name="_20061117Holux_WorldBankCMSScope_FairPoint_TechnicalImplementation_Plan_t" xfId="17390" xr:uid="{00000000-0005-0000-0000-000094430000}"/>
    <cellStyle name="_20061117Holux_WorldBankCMSScope_FairPoint_TechnicalImplementation_Plan_t 2" xfId="17391" xr:uid="{00000000-0005-0000-0000-000095430000}"/>
    <cellStyle name="_20061117Holux_WorldBankCMSScope_FairPoint_TechnicalImplementation_Plan_t 2_Steps of Doneness" xfId="17392" xr:uid="{00000000-0005-0000-0000-000096430000}"/>
    <cellStyle name="_20061117Holux_WorldBankCMSScope_FairPoint_TechnicalImplementation_Plan_t 3" xfId="17393" xr:uid="{00000000-0005-0000-0000-000097430000}"/>
    <cellStyle name="_20061117Holux_WorldBankCMSScope_FairPoint_TechnicalImplementation_Plan_t_Steps of Doneness" xfId="17394" xr:uid="{00000000-0005-0000-0000-000098430000}"/>
    <cellStyle name="_20061117Holux_WorldBankCMSScope_FP_CAMP&amp;ITReporting_Maintenance_Dashboard" xfId="17395" xr:uid="{00000000-0005-0000-0000-000099430000}"/>
    <cellStyle name="_20061117Holux_WorldBankCMSScope_FP_CAMP&amp;ITReporting_Maintenance_Dashboard 2" xfId="17396" xr:uid="{00000000-0005-0000-0000-00009A430000}"/>
    <cellStyle name="_20061117Holux_WorldBankCMSScope_FP_CAMP&amp;ITReporting_Maintenance_Dashboard 2_Steps of Doneness" xfId="17397" xr:uid="{00000000-0005-0000-0000-00009B430000}"/>
    <cellStyle name="_20061117Holux_WorldBankCMSScope_FP_CAMP&amp;ITReporting_Maintenance_Dashboard 3" xfId="17398" xr:uid="{00000000-0005-0000-0000-00009C430000}"/>
    <cellStyle name="_20061117Holux_WorldBankCMSScope_FP_CAMP&amp;ITReporting_Maintenance_Dashboard_Steps of Doneness" xfId="17399" xr:uid="{00000000-0005-0000-0000-00009D430000}"/>
    <cellStyle name="_20061117Holux_WorldBankCMSScope_FP_CAMPITReporting_Maintenance_Dashboard" xfId="17400" xr:uid="{00000000-0005-0000-0000-00009E430000}"/>
    <cellStyle name="_20061117Holux_WorldBankCMSScope_FP_CAMPITReporting_Maintenance_Dashboard 2" xfId="17401" xr:uid="{00000000-0005-0000-0000-00009F430000}"/>
    <cellStyle name="_20061117Holux_WorldBankCMSScope_FP_CAMPITReporting_Maintenance_Dashboard 2_Steps of Doneness" xfId="17402" xr:uid="{00000000-0005-0000-0000-0000A0430000}"/>
    <cellStyle name="_20061117Holux_WorldBankCMSScope_FP_CAMPITReporting_Maintenance_Dashboard 3" xfId="17403" xr:uid="{00000000-0005-0000-0000-0000A1430000}"/>
    <cellStyle name="_20061117Holux_WorldBankCMSScope_FP_CAMPITReporting_Maintenance_Dashboard_Steps of Doneness" xfId="17404" xr:uid="{00000000-0005-0000-0000-0000A2430000}"/>
    <cellStyle name="_20061117Holux_WorldBankCMSScope_FP_Commissions_Req_Dn_ProgramWorkBook_10-Dec-2010" xfId="17405" xr:uid="{00000000-0005-0000-0000-0000A3430000}"/>
    <cellStyle name="_20061117Holux_WorldBankCMSScope_FP_Commissions_Req_Dn_ProgramWorkBook_10-Dec-2010 2" xfId="17406" xr:uid="{00000000-0005-0000-0000-0000A4430000}"/>
    <cellStyle name="_20061117Holux_WorldBankCMSScope_FP_Commissions_Req_Dn_ProgramWorkBook_10-Dec-2010 2_Steps of Doneness" xfId="17407" xr:uid="{00000000-0005-0000-0000-0000A5430000}"/>
    <cellStyle name="_20061117Holux_WorldBankCMSScope_FP_Commissions_Req_Dn_ProgramWorkBook_10-Dec-2010 3" xfId="17408" xr:uid="{00000000-0005-0000-0000-0000A6430000}"/>
    <cellStyle name="_20061117Holux_WorldBankCMSScope_FP_Commissions_Req_Dn_ProgramWorkBook_10-Dec-2010_Steps of Doneness" xfId="17409" xr:uid="{00000000-0005-0000-0000-0000A7430000}"/>
    <cellStyle name="_20061117Holux_WorldBankCMSScope_FP_DW_Impl_ProgramWorkBook_03-Dec-2010111" xfId="17410" xr:uid="{00000000-0005-0000-0000-0000A8430000}"/>
    <cellStyle name="_20061117Holux_WorldBankCMSScope_FP_DW_Impl_ProgramWorkBook_03-Dec-2010111 2" xfId="17411" xr:uid="{00000000-0005-0000-0000-0000A9430000}"/>
    <cellStyle name="_20061117Holux_WorldBankCMSScope_FP_DW_Impl_ProgramWorkBook_03-Dec-2010111 2_Steps of Doneness" xfId="17412" xr:uid="{00000000-0005-0000-0000-0000AA430000}"/>
    <cellStyle name="_20061117Holux_WorldBankCMSScope_FP_DW_Impl_ProgramWorkBook_03-Dec-2010111 3" xfId="17413" xr:uid="{00000000-0005-0000-0000-0000AB430000}"/>
    <cellStyle name="_20061117Holux_WorldBankCMSScope_FP_DW_Impl_ProgramWorkBook_03-Dec-2010111_Steps of Doneness" xfId="17414" xr:uid="{00000000-0005-0000-0000-0000AC430000}"/>
    <cellStyle name="_20061117Holux_WorldBankCMSScope_FP_DW_Impl_ProgramWorkBook_07-Jan-2011" xfId="17415" xr:uid="{00000000-0005-0000-0000-0000AD430000}"/>
    <cellStyle name="_20061117Holux_WorldBankCMSScope_FP_DW_Impl_ProgramWorkBook_07-Jan-2011 2" xfId="17416" xr:uid="{00000000-0005-0000-0000-0000AE430000}"/>
    <cellStyle name="_20061117Holux_WorldBankCMSScope_FP_DW_Impl_ProgramWorkBook_07-Jan-2011 2_Steps of Doneness" xfId="17417" xr:uid="{00000000-0005-0000-0000-0000AF430000}"/>
    <cellStyle name="_20061117Holux_WorldBankCMSScope_FP_DW_Impl_ProgramWorkBook_07-Jan-2011 3" xfId="17418" xr:uid="{00000000-0005-0000-0000-0000B0430000}"/>
    <cellStyle name="_20061117Holux_WorldBankCMSScope_FP_DW_Impl_ProgramWorkBook_07-Jan-2011_Steps of Doneness" xfId="17419" xr:uid="{00000000-0005-0000-0000-0000B1430000}"/>
    <cellStyle name="_20061117Holux_WorldBankCMSScope_FP_DW_Impl_ProgramWorkBook_11-Feb-2011" xfId="17420" xr:uid="{00000000-0005-0000-0000-0000B2430000}"/>
    <cellStyle name="_20061117Holux_WorldBankCMSScope_FP_DW_Impl_ProgramWorkBook_11-Feb-2011 2" xfId="17421" xr:uid="{00000000-0005-0000-0000-0000B3430000}"/>
    <cellStyle name="_20061117Holux_WorldBankCMSScope_FP_DW_Impl_ProgramWorkBook_11-Feb-2011 2_Steps of Doneness" xfId="17422" xr:uid="{00000000-0005-0000-0000-0000B4430000}"/>
    <cellStyle name="_20061117Holux_WorldBankCMSScope_FP_DW_Impl_ProgramWorkBook_11-Feb-2011 3" xfId="17423" xr:uid="{00000000-0005-0000-0000-0000B5430000}"/>
    <cellStyle name="_20061117Holux_WorldBankCMSScope_FP_DW_Impl_ProgramWorkBook_11-Feb-2011_Steps of Doneness" xfId="17424" xr:uid="{00000000-0005-0000-0000-0000B6430000}"/>
    <cellStyle name="_20061117Holux_WorldBankCMSScope_FP_DW_Impl_ProgramWorkBook_18-Feb-2011 - Working" xfId="17425" xr:uid="{00000000-0005-0000-0000-0000B7430000}"/>
    <cellStyle name="_20061117Holux_WorldBankCMSScope_FP_DW_Impl_ProgramWorkBook_18-Feb-2011 - Working 2" xfId="17426" xr:uid="{00000000-0005-0000-0000-0000B8430000}"/>
    <cellStyle name="_20061117Holux_WorldBankCMSScope_FP_DW_Impl_ProgramWorkBook_18-Feb-2011 - Working 2_Steps of Doneness" xfId="17427" xr:uid="{00000000-0005-0000-0000-0000B9430000}"/>
    <cellStyle name="_20061117Holux_WorldBankCMSScope_FP_DW_Impl_ProgramWorkBook_18-Feb-2011 - Working 3" xfId="17428" xr:uid="{00000000-0005-0000-0000-0000BA430000}"/>
    <cellStyle name="_20061117Holux_WorldBankCMSScope_FP_DW_Impl_ProgramWorkBook_18-Feb-2011 - Working_Steps of Doneness" xfId="17429" xr:uid="{00000000-0005-0000-0000-0000BB430000}"/>
    <cellStyle name="_20061117Holux_WorldBankCMSScope_FP_EnterprisePortal_ProgramWorkbook" xfId="17430" xr:uid="{00000000-0005-0000-0000-0000BC430000}"/>
    <cellStyle name="_20061117Holux_WorldBankCMSScope_FP_EnterprisePortal_ProgramWorkbook 2" xfId="17431" xr:uid="{00000000-0005-0000-0000-0000BD430000}"/>
    <cellStyle name="_20061117Holux_WorldBankCMSScope_FP_EnterprisePortal_ProgramWorkbook 2_Steps of Doneness" xfId="17432" xr:uid="{00000000-0005-0000-0000-0000BE430000}"/>
    <cellStyle name="_20061117Holux_WorldBankCMSScope_FP_EnterprisePortal_ProgramWorkbook 3" xfId="17433" xr:uid="{00000000-0005-0000-0000-0000BF430000}"/>
    <cellStyle name="_20061117Holux_WorldBankCMSScope_FP_EnterprisePortal_ProgramWorkbook_Steps of Doneness" xfId="17434" xr:uid="{00000000-0005-0000-0000-0000C0430000}"/>
    <cellStyle name="_20061117Holux_WorldBankCMSScope_FP_SAP_MLP v2" xfId="17435" xr:uid="{00000000-0005-0000-0000-0000C1430000}"/>
    <cellStyle name="_20061117Holux_WorldBankCMSScope_FP_SAP_MLP v2 2" xfId="17436" xr:uid="{00000000-0005-0000-0000-0000C2430000}"/>
    <cellStyle name="_20061117Holux_WorldBankCMSScope_FP_SAP_MLP v2 2_Steps of Doneness" xfId="17437" xr:uid="{00000000-0005-0000-0000-0000C3430000}"/>
    <cellStyle name="_20061117Holux_WorldBankCMSScope_FP_SAP_MLP v2 3" xfId="17438" xr:uid="{00000000-0005-0000-0000-0000C4430000}"/>
    <cellStyle name="_20061117Holux_WorldBankCMSScope_FP_SAP_MLP v2_Steps of Doneness" xfId="17439" xr:uid="{00000000-0005-0000-0000-0000C5430000}"/>
    <cellStyle name="_20061117Holux_WorldBankCMSScope_KeyDecisions" xfId="17440" xr:uid="{00000000-0005-0000-0000-0000C6430000}"/>
    <cellStyle name="_20061117Holux_WorldBankCMSScope_KeyDecisions 2" xfId="17441" xr:uid="{00000000-0005-0000-0000-0000C7430000}"/>
    <cellStyle name="_20061117Holux_WorldBankCMSScope_KeyDecisions 2_Steps of Doneness" xfId="17442" xr:uid="{00000000-0005-0000-0000-0000C8430000}"/>
    <cellStyle name="_20061117Holux_WorldBankCMSScope_KeyDecisions 3" xfId="17443" xr:uid="{00000000-0005-0000-0000-0000C9430000}"/>
    <cellStyle name="_20061117Holux_WorldBankCMSScope_KeyDecisions_Steps of Doneness" xfId="17444" xr:uid="{00000000-0005-0000-0000-0000CA430000}"/>
    <cellStyle name="_20061117Holux_WorldBankCMSScope_LoanOriginationPMWorkbook 23Feb2010" xfId="17445" xr:uid="{00000000-0005-0000-0000-0000CB430000}"/>
    <cellStyle name="_20061117Holux_WorldBankCMSScope_LoanOriginationPMWorkbook 23Feb2010 2" xfId="17446" xr:uid="{00000000-0005-0000-0000-0000CC430000}"/>
    <cellStyle name="_20061117Holux_WorldBankCMSScope_LoanOriginationPMWorkbook 23Feb2010 2_Steps of Doneness" xfId="17447" xr:uid="{00000000-0005-0000-0000-0000CD430000}"/>
    <cellStyle name="_20061117Holux_WorldBankCMSScope_LoanOriginationPMWorkbook 23Feb2010 3" xfId="17448" xr:uid="{00000000-0005-0000-0000-0000CE430000}"/>
    <cellStyle name="_20061117Holux_WorldBankCMSScope_LoanOriginationPMWorkbook 23Feb2010_slm_llp_0520" xfId="17449" xr:uid="{00000000-0005-0000-0000-0000CF430000}"/>
    <cellStyle name="_20061117Holux_WorldBankCMSScope_LoanOriginationPMWorkbook 23Feb2010_slm_llp_0520 2" xfId="17450" xr:uid="{00000000-0005-0000-0000-0000D0430000}"/>
    <cellStyle name="_20061117Holux_WorldBankCMSScope_LoanOriginationPMWorkbook 23Feb2010_slm_llp_0520 2 2" xfId="17451" xr:uid="{00000000-0005-0000-0000-0000D1430000}"/>
    <cellStyle name="_20061117Holux_WorldBankCMSScope_LoanOriginationPMWorkbook 23Feb2010_slm_llp_0520 2 2_Steps of Doneness" xfId="17452" xr:uid="{00000000-0005-0000-0000-0000D2430000}"/>
    <cellStyle name="_20061117Holux_WorldBankCMSScope_LoanOriginationPMWorkbook 23Feb2010_slm_llp_0520 2 3" xfId="17453" xr:uid="{00000000-0005-0000-0000-0000D3430000}"/>
    <cellStyle name="_20061117Holux_WorldBankCMSScope_LoanOriginationPMWorkbook 23Feb2010_slm_llp_0520 2_Steps of Doneness" xfId="17454" xr:uid="{00000000-0005-0000-0000-0000D4430000}"/>
    <cellStyle name="_20061117Holux_WorldBankCMSScope_LoanOriginationPMWorkbook 23Feb2010_slm_llp_0520 3" xfId="17455" xr:uid="{00000000-0005-0000-0000-0000D5430000}"/>
    <cellStyle name="_20061117Holux_WorldBankCMSScope_LoanOriginationPMWorkbook 23Feb2010_slm_llp_0520 3_Steps of Doneness" xfId="17456" xr:uid="{00000000-0005-0000-0000-0000D6430000}"/>
    <cellStyle name="_20061117Holux_WorldBankCMSScope_LoanOriginationPMWorkbook 23Feb2010_slm_llp_0520 4" xfId="17457" xr:uid="{00000000-0005-0000-0000-0000D7430000}"/>
    <cellStyle name="_20061117Holux_WorldBankCMSScope_LoanOriginationPMWorkbook 23Feb2010_slm_llp_0520_Commissioning System Implementation_Project Workbook_06_10_2011" xfId="17458" xr:uid="{00000000-0005-0000-0000-0000D8430000}"/>
    <cellStyle name="_20061117Holux_WorldBankCMSScope_LoanOriginationPMWorkbook 23Feb2010_slm_llp_0520_Commissioning System Implementation_Project Workbook_06_10_2011 2" xfId="17459" xr:uid="{00000000-0005-0000-0000-0000D9430000}"/>
    <cellStyle name="_20061117Holux_WorldBankCMSScope_LoanOriginationPMWorkbook 23Feb2010_slm_llp_0520_Commissioning System Implementation_Project Workbook_06_10_2011 2_Steps of Doneness" xfId="17460" xr:uid="{00000000-0005-0000-0000-0000DA430000}"/>
    <cellStyle name="_20061117Holux_WorldBankCMSScope_LoanOriginationPMWorkbook 23Feb2010_slm_llp_0520_Commissioning System Implementation_Project Workbook_06_10_2011 3" xfId="17461" xr:uid="{00000000-0005-0000-0000-0000DB430000}"/>
    <cellStyle name="_20061117Holux_WorldBankCMSScope_LoanOriginationPMWorkbook 23Feb2010_slm_llp_0520_Commissioning System Implementation_Project Workbook_06_10_2011_Steps of Doneness" xfId="17462" xr:uid="{00000000-0005-0000-0000-0000DC430000}"/>
    <cellStyle name="_20061117Holux_WorldBankCMSScope_LoanOriginationPMWorkbook 23Feb2010_slm_llp_0520_FairPoint_CampReport" xfId="17463" xr:uid="{00000000-0005-0000-0000-0000DD430000}"/>
    <cellStyle name="_20061117Holux_WorldBankCMSScope_LoanOriginationPMWorkbook 23Feb2010_slm_llp_0520_FairPoint_CampReport 2" xfId="17464" xr:uid="{00000000-0005-0000-0000-0000DE430000}"/>
    <cellStyle name="_20061117Holux_WorldBankCMSScope_LoanOriginationPMWorkbook 23Feb2010_slm_llp_0520_FairPoint_CampReport 2_Steps of Doneness" xfId="17465" xr:uid="{00000000-0005-0000-0000-0000DF430000}"/>
    <cellStyle name="_20061117Holux_WorldBankCMSScope_LoanOriginationPMWorkbook 23Feb2010_slm_llp_0520_FairPoint_CampReport 3" xfId="17466" xr:uid="{00000000-0005-0000-0000-0000E0430000}"/>
    <cellStyle name="_20061117Holux_WorldBankCMSScope_LoanOriginationPMWorkbook 23Feb2010_slm_llp_0520_FairPoint_CampReport_Steps of Doneness" xfId="17467" xr:uid="{00000000-0005-0000-0000-0000E1430000}"/>
    <cellStyle name="_20061117Holux_WorldBankCMSScope_LoanOriginationPMWorkbook 23Feb2010_slm_llp_0520_FairPoint_FP comTechOps_ProgramWorkbook" xfId="17468" xr:uid="{00000000-0005-0000-0000-0000E2430000}"/>
    <cellStyle name="_20061117Holux_WorldBankCMSScope_LoanOriginationPMWorkbook 23Feb2010_slm_llp_0520_FairPoint_FP comTechOps_ProgramWorkbook 2" xfId="17469" xr:uid="{00000000-0005-0000-0000-0000E3430000}"/>
    <cellStyle name="_20061117Holux_WorldBankCMSScope_LoanOriginationPMWorkbook 23Feb2010_slm_llp_0520_FairPoint_FP comTechOps_ProgramWorkbook 2_Steps of Doneness" xfId="17470" xr:uid="{00000000-0005-0000-0000-0000E4430000}"/>
    <cellStyle name="_20061117Holux_WorldBankCMSScope_LoanOriginationPMWorkbook 23Feb2010_slm_llp_0520_FairPoint_FP comTechOps_ProgramWorkbook 3" xfId="17471" xr:uid="{00000000-0005-0000-0000-0000E5430000}"/>
    <cellStyle name="_20061117Holux_WorldBankCMSScope_LoanOriginationPMWorkbook 23Feb2010_slm_llp_0520_FairPoint_FP comTechOps_ProgramWorkbook_sachin" xfId="17472" xr:uid="{00000000-0005-0000-0000-0000E6430000}"/>
    <cellStyle name="_20061117Holux_WorldBankCMSScope_LoanOriginationPMWorkbook 23Feb2010_slm_llp_0520_FairPoint_FP comTechOps_ProgramWorkbook_sachin 2" xfId="17473" xr:uid="{00000000-0005-0000-0000-0000E7430000}"/>
    <cellStyle name="_20061117Holux_WorldBankCMSScope_LoanOriginationPMWorkbook 23Feb2010_slm_llp_0520_FairPoint_FP comTechOps_ProgramWorkbook_sachin 2_Steps of Doneness" xfId="17474" xr:uid="{00000000-0005-0000-0000-0000E8430000}"/>
    <cellStyle name="_20061117Holux_WorldBankCMSScope_LoanOriginationPMWorkbook 23Feb2010_slm_llp_0520_FairPoint_FP comTechOps_ProgramWorkbook_sachin 3" xfId="17475" xr:uid="{00000000-0005-0000-0000-0000E9430000}"/>
    <cellStyle name="_20061117Holux_WorldBankCMSScope_LoanOriginationPMWorkbook 23Feb2010_slm_llp_0520_FairPoint_FP comTechOps_ProgramWorkbook_sachin_Steps of Doneness" xfId="17476" xr:uid="{00000000-0005-0000-0000-0000EA430000}"/>
    <cellStyle name="_20061117Holux_WorldBankCMSScope_LoanOriginationPMWorkbook 23Feb2010_slm_llp_0520_FairPoint_FP comTechOps_ProgramWorkbook_sachin_v1" xfId="17477" xr:uid="{00000000-0005-0000-0000-0000EB430000}"/>
    <cellStyle name="_20061117Holux_WorldBankCMSScope_LoanOriginationPMWorkbook 23Feb2010_slm_llp_0520_FairPoint_FP comTechOps_ProgramWorkbook_sachin_v1 2" xfId="17478" xr:uid="{00000000-0005-0000-0000-0000EC430000}"/>
    <cellStyle name="_20061117Holux_WorldBankCMSScope_LoanOriginationPMWorkbook 23Feb2010_slm_llp_0520_FairPoint_FP comTechOps_ProgramWorkbook_sachin_v1 2_Steps of Doneness" xfId="17479" xr:uid="{00000000-0005-0000-0000-0000ED430000}"/>
    <cellStyle name="_20061117Holux_WorldBankCMSScope_LoanOriginationPMWorkbook 23Feb2010_slm_llp_0520_FairPoint_FP comTechOps_ProgramWorkbook_sachin_v1 3" xfId="17480" xr:uid="{00000000-0005-0000-0000-0000EE430000}"/>
    <cellStyle name="_20061117Holux_WorldBankCMSScope_LoanOriginationPMWorkbook 23Feb2010_slm_llp_0520_FairPoint_FP comTechOps_ProgramWorkbook_sachin_v1_Steps of Doneness" xfId="17481" xr:uid="{00000000-0005-0000-0000-0000EF430000}"/>
    <cellStyle name="_20061117Holux_WorldBankCMSScope_LoanOriginationPMWorkbook 23Feb2010_slm_llp_0520_FairPoint_FP comTechOps_ProgramWorkbook_Steps of Doneness" xfId="17482" xr:uid="{00000000-0005-0000-0000-0000F0430000}"/>
    <cellStyle name="_20061117Holux_WorldBankCMSScope_LoanOriginationPMWorkbook 23Feb2010_slm_llp_0520_FP_CAMP&amp;ITReporting_Maintenance_Dashboard" xfId="17483" xr:uid="{00000000-0005-0000-0000-0000F1430000}"/>
    <cellStyle name="_20061117Holux_WorldBankCMSScope_LoanOriginationPMWorkbook 23Feb2010_slm_llp_0520_FP_CAMP&amp;ITReporting_Maintenance_Dashboard 2" xfId="17484" xr:uid="{00000000-0005-0000-0000-0000F2430000}"/>
    <cellStyle name="_20061117Holux_WorldBankCMSScope_LoanOriginationPMWorkbook 23Feb2010_slm_llp_0520_FP_CAMP&amp;ITReporting_Maintenance_Dashboard 2_Steps of Doneness" xfId="17485" xr:uid="{00000000-0005-0000-0000-0000F3430000}"/>
    <cellStyle name="_20061117Holux_WorldBankCMSScope_LoanOriginationPMWorkbook 23Feb2010_slm_llp_0520_FP_CAMP&amp;ITReporting_Maintenance_Dashboard 3" xfId="17486" xr:uid="{00000000-0005-0000-0000-0000F4430000}"/>
    <cellStyle name="_20061117Holux_WorldBankCMSScope_LoanOriginationPMWorkbook 23Feb2010_slm_llp_0520_FP_CAMP&amp;ITReporting_Maintenance_Dashboard_Steps of Doneness" xfId="17487" xr:uid="{00000000-0005-0000-0000-0000F5430000}"/>
    <cellStyle name="_20061117Holux_WorldBankCMSScope_LoanOriginationPMWorkbook 23Feb2010_slm_llp_0520_FP_CAMPITReporting_Maintenance_Dashboard" xfId="17488" xr:uid="{00000000-0005-0000-0000-0000F6430000}"/>
    <cellStyle name="_20061117Holux_WorldBankCMSScope_LoanOriginationPMWorkbook 23Feb2010_slm_llp_0520_FP_CAMPITReporting_Maintenance_Dashboard 2" xfId="17489" xr:uid="{00000000-0005-0000-0000-0000F7430000}"/>
    <cellStyle name="_20061117Holux_WorldBankCMSScope_LoanOriginationPMWorkbook 23Feb2010_slm_llp_0520_FP_CAMPITReporting_Maintenance_Dashboard 2_Steps of Doneness" xfId="17490" xr:uid="{00000000-0005-0000-0000-0000F8430000}"/>
    <cellStyle name="_20061117Holux_WorldBankCMSScope_LoanOriginationPMWorkbook 23Feb2010_slm_llp_0520_FP_CAMPITReporting_Maintenance_Dashboard 3" xfId="17491" xr:uid="{00000000-0005-0000-0000-0000F9430000}"/>
    <cellStyle name="_20061117Holux_WorldBankCMSScope_LoanOriginationPMWorkbook 23Feb2010_slm_llp_0520_FP_CAMPITReporting_Maintenance_Dashboard_Steps of Doneness" xfId="17492" xr:uid="{00000000-0005-0000-0000-0000FA430000}"/>
    <cellStyle name="_20061117Holux_WorldBankCMSScope_LoanOriginationPMWorkbook 23Feb2010_slm_llp_0520_FP_Commissions_Req_Dn_ProgramWorkBook_10-Dec-2010" xfId="17493" xr:uid="{00000000-0005-0000-0000-0000FB430000}"/>
    <cellStyle name="_20061117Holux_WorldBankCMSScope_LoanOriginationPMWorkbook 23Feb2010_slm_llp_0520_FP_Commissions_Req_Dn_ProgramWorkBook_10-Dec-2010 2" xfId="17494" xr:uid="{00000000-0005-0000-0000-0000FC430000}"/>
    <cellStyle name="_20061117Holux_WorldBankCMSScope_LoanOriginationPMWorkbook 23Feb2010_slm_llp_0520_FP_Commissions_Req_Dn_ProgramWorkBook_10-Dec-2010 2_Steps of Doneness" xfId="17495" xr:uid="{00000000-0005-0000-0000-0000FD430000}"/>
    <cellStyle name="_20061117Holux_WorldBankCMSScope_LoanOriginationPMWorkbook 23Feb2010_slm_llp_0520_FP_Commissions_Req_Dn_ProgramWorkBook_10-Dec-2010 3" xfId="17496" xr:uid="{00000000-0005-0000-0000-0000FE430000}"/>
    <cellStyle name="_20061117Holux_WorldBankCMSScope_LoanOriginationPMWorkbook 23Feb2010_slm_llp_0520_FP_Commissions_Req_Dn_ProgramWorkBook_10-Dec-2010_Steps of Doneness" xfId="17497" xr:uid="{00000000-0005-0000-0000-0000FF430000}"/>
    <cellStyle name="_20061117Holux_WorldBankCMSScope_LoanOriginationPMWorkbook 23Feb2010_slm_llp_0520_FP_DW_Impl_ProgramWorkBook_07-Jan-2011" xfId="17498" xr:uid="{00000000-0005-0000-0000-000000440000}"/>
    <cellStyle name="_20061117Holux_WorldBankCMSScope_LoanOriginationPMWorkbook 23Feb2010_slm_llp_0520_FP_DW_Impl_ProgramWorkBook_07-Jan-2011 2" xfId="17499" xr:uid="{00000000-0005-0000-0000-000001440000}"/>
    <cellStyle name="_20061117Holux_WorldBankCMSScope_LoanOriginationPMWorkbook 23Feb2010_slm_llp_0520_FP_DW_Impl_ProgramWorkBook_07-Jan-2011 2 2" xfId="17500" xr:uid="{00000000-0005-0000-0000-000002440000}"/>
    <cellStyle name="_20061117Holux_WorldBankCMSScope_LoanOriginationPMWorkbook 23Feb2010_slm_llp_0520_FP_DW_Impl_ProgramWorkBook_07-Jan-2011 2 2_Steps of Doneness" xfId="17501" xr:uid="{00000000-0005-0000-0000-000003440000}"/>
    <cellStyle name="_20061117Holux_WorldBankCMSScope_LoanOriginationPMWorkbook 23Feb2010_slm_llp_0520_FP_DW_Impl_ProgramWorkBook_07-Jan-2011 2 3" xfId="17502" xr:uid="{00000000-0005-0000-0000-000004440000}"/>
    <cellStyle name="_20061117Holux_WorldBankCMSScope_LoanOriginationPMWorkbook 23Feb2010_slm_llp_0520_FP_DW_Impl_ProgramWorkBook_07-Jan-2011 2_Steps of Doneness" xfId="17503" xr:uid="{00000000-0005-0000-0000-000005440000}"/>
    <cellStyle name="_20061117Holux_WorldBankCMSScope_LoanOriginationPMWorkbook 23Feb2010_slm_llp_0520_FP_DW_Impl_ProgramWorkBook_07-Jan-2011 3" xfId="17504" xr:uid="{00000000-0005-0000-0000-000006440000}"/>
    <cellStyle name="_20061117Holux_WorldBankCMSScope_LoanOriginationPMWorkbook 23Feb2010_slm_llp_0520_FP_DW_Impl_ProgramWorkBook_07-Jan-2011 3_Steps of Doneness" xfId="17505" xr:uid="{00000000-0005-0000-0000-000007440000}"/>
    <cellStyle name="_20061117Holux_WorldBankCMSScope_LoanOriginationPMWorkbook 23Feb2010_slm_llp_0520_FP_DW_Impl_ProgramWorkBook_07-Jan-2011 4" xfId="17506" xr:uid="{00000000-0005-0000-0000-000008440000}"/>
    <cellStyle name="_20061117Holux_WorldBankCMSScope_LoanOriginationPMWorkbook 23Feb2010_slm_llp_0520_FP_DW_Impl_ProgramWorkBook_07-Jan-2011_Steps of Doneness" xfId="17507" xr:uid="{00000000-0005-0000-0000-000009440000}"/>
    <cellStyle name="_20061117Holux_WorldBankCMSScope_LoanOriginationPMWorkbook 23Feb2010_slm_llp_0520_FP_DW_Impl_ProgramWorkBook_11-Feb-2011" xfId="17508" xr:uid="{00000000-0005-0000-0000-00000A440000}"/>
    <cellStyle name="_20061117Holux_WorldBankCMSScope_LoanOriginationPMWorkbook 23Feb2010_slm_llp_0520_FP_DW_Impl_ProgramWorkBook_11-Feb-2011 2" xfId="17509" xr:uid="{00000000-0005-0000-0000-00000B440000}"/>
    <cellStyle name="_20061117Holux_WorldBankCMSScope_LoanOriginationPMWorkbook 23Feb2010_slm_llp_0520_FP_DW_Impl_ProgramWorkBook_11-Feb-2011 2_Steps of Doneness" xfId="17510" xr:uid="{00000000-0005-0000-0000-00000C440000}"/>
    <cellStyle name="_20061117Holux_WorldBankCMSScope_LoanOriginationPMWorkbook 23Feb2010_slm_llp_0520_FP_DW_Impl_ProgramWorkBook_11-Feb-2011 3" xfId="17511" xr:uid="{00000000-0005-0000-0000-00000D440000}"/>
    <cellStyle name="_20061117Holux_WorldBankCMSScope_LoanOriginationPMWorkbook 23Feb2010_slm_llp_0520_FP_DW_Impl_ProgramWorkBook_11-Feb-2011_Steps of Doneness" xfId="17512" xr:uid="{00000000-0005-0000-0000-00000E440000}"/>
    <cellStyle name="_20061117Holux_WorldBankCMSScope_LoanOriginationPMWorkbook 23Feb2010_slm_llp_0520_FP_DW_Impl_ProgramWorkBook_18-Feb-2011 - Working" xfId="17513" xr:uid="{00000000-0005-0000-0000-00000F440000}"/>
    <cellStyle name="_20061117Holux_WorldBankCMSScope_LoanOriginationPMWorkbook 23Feb2010_slm_llp_0520_FP_DW_Impl_ProgramWorkBook_18-Feb-2011 - Working 2" xfId="17514" xr:uid="{00000000-0005-0000-0000-000010440000}"/>
    <cellStyle name="_20061117Holux_WorldBankCMSScope_LoanOriginationPMWorkbook 23Feb2010_slm_llp_0520_FP_DW_Impl_ProgramWorkBook_18-Feb-2011 - Working 2_Steps of Doneness" xfId="17515" xr:uid="{00000000-0005-0000-0000-000011440000}"/>
    <cellStyle name="_20061117Holux_WorldBankCMSScope_LoanOriginationPMWorkbook 23Feb2010_slm_llp_0520_FP_DW_Impl_ProgramWorkBook_18-Feb-2011 - Working 3" xfId="17516" xr:uid="{00000000-0005-0000-0000-000012440000}"/>
    <cellStyle name="_20061117Holux_WorldBankCMSScope_LoanOriginationPMWorkbook 23Feb2010_slm_llp_0520_FP_DW_Impl_ProgramWorkBook_18-Feb-2011 - Working_Steps of Doneness" xfId="17517" xr:uid="{00000000-0005-0000-0000-000013440000}"/>
    <cellStyle name="_20061117Holux_WorldBankCMSScope_LoanOriginationPMWorkbook 23Feb2010_slm_llp_0520_FP_EnterprisePortal_ProgramWorkbook" xfId="17518" xr:uid="{00000000-0005-0000-0000-000014440000}"/>
    <cellStyle name="_20061117Holux_WorldBankCMSScope_LoanOriginationPMWorkbook 23Feb2010_slm_llp_0520_FP_EnterprisePortal_ProgramWorkbook 2" xfId="17519" xr:uid="{00000000-0005-0000-0000-000015440000}"/>
    <cellStyle name="_20061117Holux_WorldBankCMSScope_LoanOriginationPMWorkbook 23Feb2010_slm_llp_0520_FP_EnterprisePortal_ProgramWorkbook 2_Steps of Doneness" xfId="17520" xr:uid="{00000000-0005-0000-0000-000016440000}"/>
    <cellStyle name="_20061117Holux_WorldBankCMSScope_LoanOriginationPMWorkbook 23Feb2010_slm_llp_0520_FP_EnterprisePortal_ProgramWorkbook 3" xfId="17521" xr:uid="{00000000-0005-0000-0000-000017440000}"/>
    <cellStyle name="_20061117Holux_WorldBankCMSScope_LoanOriginationPMWorkbook 23Feb2010_slm_llp_0520_FP_EnterprisePortal_ProgramWorkbook_Steps of Doneness" xfId="17522" xr:uid="{00000000-0005-0000-0000-000018440000}"/>
    <cellStyle name="_20061117Holux_WorldBankCMSScope_LoanOriginationPMWorkbook 23Feb2010_slm_llp_0520_FP_SAP_MLP v2" xfId="17523" xr:uid="{00000000-0005-0000-0000-000019440000}"/>
    <cellStyle name="_20061117Holux_WorldBankCMSScope_LoanOriginationPMWorkbook 23Feb2010_slm_llp_0520_FP_SAP_MLP v2 2" xfId="17524" xr:uid="{00000000-0005-0000-0000-00001A440000}"/>
    <cellStyle name="_20061117Holux_WorldBankCMSScope_LoanOriginationPMWorkbook 23Feb2010_slm_llp_0520_FP_SAP_MLP v2 2_Steps of Doneness" xfId="17525" xr:uid="{00000000-0005-0000-0000-00001B440000}"/>
    <cellStyle name="_20061117Holux_WorldBankCMSScope_LoanOriginationPMWorkbook 23Feb2010_slm_llp_0520_FP_SAP_MLP v2 3" xfId="17526" xr:uid="{00000000-0005-0000-0000-00001C440000}"/>
    <cellStyle name="_20061117Holux_WorldBankCMSScope_LoanOriginationPMWorkbook 23Feb2010_slm_llp_0520_FP_SAP_MLP v2_Steps of Doneness" xfId="17527" xr:uid="{00000000-0005-0000-0000-00001D440000}"/>
    <cellStyle name="_20061117Holux_WorldBankCMSScope_LoanOriginationPMWorkbook 23Feb2010_slm_llp_0520_KeyDecisions" xfId="17528" xr:uid="{00000000-0005-0000-0000-00001E440000}"/>
    <cellStyle name="_20061117Holux_WorldBankCMSScope_LoanOriginationPMWorkbook 23Feb2010_slm_llp_0520_KeyDecisions 2" xfId="17529" xr:uid="{00000000-0005-0000-0000-00001F440000}"/>
    <cellStyle name="_20061117Holux_WorldBankCMSScope_LoanOriginationPMWorkbook 23Feb2010_slm_llp_0520_KeyDecisions 2_Steps of Doneness" xfId="17530" xr:uid="{00000000-0005-0000-0000-000020440000}"/>
    <cellStyle name="_20061117Holux_WorldBankCMSScope_LoanOriginationPMWorkbook 23Feb2010_slm_llp_0520_KeyDecisions 3" xfId="17531" xr:uid="{00000000-0005-0000-0000-000021440000}"/>
    <cellStyle name="_20061117Holux_WorldBankCMSScope_LoanOriginationPMWorkbook 23Feb2010_slm_llp_0520_KeyDecisions_Steps of Doneness" xfId="17532" xr:uid="{00000000-0005-0000-0000-000022440000}"/>
    <cellStyle name="_20061117Holux_WorldBankCMSScope_LoanOriginationPMWorkbook 23Feb2010_slm_llp_0520_Sophia_Imp_ProjectWorkBook_02_18_2011" xfId="17533" xr:uid="{00000000-0005-0000-0000-000023440000}"/>
    <cellStyle name="_20061117Holux_WorldBankCMSScope_LoanOriginationPMWorkbook 23Feb2010_slm_llp_0520_Sophia_Imp_ProjectWorkBook_02_18_2011 2" xfId="17534" xr:uid="{00000000-0005-0000-0000-000024440000}"/>
    <cellStyle name="_20061117Holux_WorldBankCMSScope_LoanOriginationPMWorkbook 23Feb2010_slm_llp_0520_Sophia_Imp_ProjectWorkBook_02_18_2011 2_Steps of Doneness" xfId="17535" xr:uid="{00000000-0005-0000-0000-000025440000}"/>
    <cellStyle name="_20061117Holux_WorldBankCMSScope_LoanOriginationPMWorkbook 23Feb2010_slm_llp_0520_Sophia_Imp_ProjectWorkBook_02_18_2011 3" xfId="17536" xr:uid="{00000000-0005-0000-0000-000026440000}"/>
    <cellStyle name="_20061117Holux_WorldBankCMSScope_LoanOriginationPMWorkbook 23Feb2010_slm_llp_0520_Sophia_Imp_ProjectWorkBook_02_18_2011_Steps of Doneness" xfId="17537" xr:uid="{00000000-0005-0000-0000-000027440000}"/>
    <cellStyle name="_20061117Holux_WorldBankCMSScope_LoanOriginationPMWorkbook 23Feb2010_slm_llp_0520_Steps of Doneness" xfId="17538" xr:uid="{00000000-0005-0000-0000-000028440000}"/>
    <cellStyle name="_20061117Holux_WorldBankCMSScope_LoanOriginationPMWorkbook 23Feb2010_slm_llp_0520_t" xfId="17539" xr:uid="{00000000-0005-0000-0000-000029440000}"/>
    <cellStyle name="_20061117Holux_WorldBankCMSScope_LoanOriginationPMWorkbook 23Feb2010_slm_llp_0520_t 2" xfId="17540" xr:uid="{00000000-0005-0000-0000-00002A440000}"/>
    <cellStyle name="_20061117Holux_WorldBankCMSScope_LoanOriginationPMWorkbook 23Feb2010_slm_llp_0520_t 2_Steps of Doneness" xfId="17541" xr:uid="{00000000-0005-0000-0000-00002B440000}"/>
    <cellStyle name="_20061117Holux_WorldBankCMSScope_LoanOriginationPMWorkbook 23Feb2010_slm_llp_0520_t 3" xfId="17542" xr:uid="{00000000-0005-0000-0000-00002C440000}"/>
    <cellStyle name="_20061117Holux_WorldBankCMSScope_LoanOriginationPMWorkbook 23Feb2010_slm_llp_0520_t_Steps of Doneness" xfId="17543" xr:uid="{00000000-0005-0000-0000-00002D440000}"/>
    <cellStyle name="_20061117Holux_WorldBankCMSScope_LoanOriginationPMWorkbook 23Feb2010_Steps of Doneness" xfId="17544" xr:uid="{00000000-0005-0000-0000-00002E440000}"/>
    <cellStyle name="_20061117Holux_WorldBankCMSScope_Re-engineering SLM_PM_Workbook_01252010" xfId="17545" xr:uid="{00000000-0005-0000-0000-00002F440000}"/>
    <cellStyle name="_20061117Holux_WorldBankCMSScope_Re-engineering SLM_PM_Workbook_01252010 2" xfId="17546" xr:uid="{00000000-0005-0000-0000-000030440000}"/>
    <cellStyle name="_20061117Holux_WorldBankCMSScope_Re-engineering SLM_PM_Workbook_01252010 2 2" xfId="17547" xr:uid="{00000000-0005-0000-0000-000031440000}"/>
    <cellStyle name="_20061117Holux_WorldBankCMSScope_Re-engineering SLM_PM_Workbook_01252010 2 2_Steps of Doneness" xfId="17548" xr:uid="{00000000-0005-0000-0000-000032440000}"/>
    <cellStyle name="_20061117Holux_WorldBankCMSScope_Re-engineering SLM_PM_Workbook_01252010 2 3" xfId="17549" xr:uid="{00000000-0005-0000-0000-000033440000}"/>
    <cellStyle name="_20061117Holux_WorldBankCMSScope_Re-engineering SLM_PM_Workbook_01252010 2_Steps of Doneness" xfId="17550" xr:uid="{00000000-0005-0000-0000-000034440000}"/>
    <cellStyle name="_20061117Holux_WorldBankCMSScope_Re-engineering SLM_PM_Workbook_01252010 3" xfId="17551" xr:uid="{00000000-0005-0000-0000-000035440000}"/>
    <cellStyle name="_20061117Holux_WorldBankCMSScope_Re-engineering SLM_PM_Workbook_01252010 3_Steps of Doneness" xfId="17552" xr:uid="{00000000-0005-0000-0000-000036440000}"/>
    <cellStyle name="_20061117Holux_WorldBankCMSScope_Re-engineering SLM_PM_Workbook_01252010 4" xfId="17553" xr:uid="{00000000-0005-0000-0000-000037440000}"/>
    <cellStyle name="_20061117Holux_WorldBankCMSScope_Re-engineering SLM_PM_Workbook_01252010_Commissioning System Implementation_Project Workbook_06_10_2011" xfId="17554" xr:uid="{00000000-0005-0000-0000-000038440000}"/>
    <cellStyle name="_20061117Holux_WorldBankCMSScope_Re-engineering SLM_PM_Workbook_01252010_Commissioning System Implementation_Project Workbook_06_10_2011 2" xfId="17555" xr:uid="{00000000-0005-0000-0000-000039440000}"/>
    <cellStyle name="_20061117Holux_WorldBankCMSScope_Re-engineering SLM_PM_Workbook_01252010_Commissioning System Implementation_Project Workbook_06_10_2011 2_Steps of Doneness" xfId="17556" xr:uid="{00000000-0005-0000-0000-00003A440000}"/>
    <cellStyle name="_20061117Holux_WorldBankCMSScope_Re-engineering SLM_PM_Workbook_01252010_Commissioning System Implementation_Project Workbook_06_10_2011 3" xfId="17557" xr:uid="{00000000-0005-0000-0000-00003B440000}"/>
    <cellStyle name="_20061117Holux_WorldBankCMSScope_Re-engineering SLM_PM_Workbook_01252010_Commissioning System Implementation_Project Workbook_06_10_2011_Steps of Doneness" xfId="17558" xr:uid="{00000000-0005-0000-0000-00003C440000}"/>
    <cellStyle name="_20061117Holux_WorldBankCMSScope_Re-engineering SLM_PM_Workbook_01252010_FairPoint_CampReport" xfId="17559" xr:uid="{00000000-0005-0000-0000-00003D440000}"/>
    <cellStyle name="_20061117Holux_WorldBankCMSScope_Re-engineering SLM_PM_Workbook_01252010_FairPoint_CampReport 2" xfId="17560" xr:uid="{00000000-0005-0000-0000-00003E440000}"/>
    <cellStyle name="_20061117Holux_WorldBankCMSScope_Re-engineering SLM_PM_Workbook_01252010_FairPoint_CampReport 2_Steps of Doneness" xfId="17561" xr:uid="{00000000-0005-0000-0000-00003F440000}"/>
    <cellStyle name="_20061117Holux_WorldBankCMSScope_Re-engineering SLM_PM_Workbook_01252010_FairPoint_CampReport 3" xfId="17562" xr:uid="{00000000-0005-0000-0000-000040440000}"/>
    <cellStyle name="_20061117Holux_WorldBankCMSScope_Re-engineering SLM_PM_Workbook_01252010_FairPoint_CampReport_Steps of Doneness" xfId="17563" xr:uid="{00000000-0005-0000-0000-000041440000}"/>
    <cellStyle name="_20061117Holux_WorldBankCMSScope_Re-engineering SLM_PM_Workbook_01252010_FairPoint_FP comTechOps_ProgramWorkbook" xfId="17564" xr:uid="{00000000-0005-0000-0000-000042440000}"/>
    <cellStyle name="_20061117Holux_WorldBankCMSScope_Re-engineering SLM_PM_Workbook_01252010_FairPoint_FP comTechOps_ProgramWorkbook 2" xfId="17565" xr:uid="{00000000-0005-0000-0000-000043440000}"/>
    <cellStyle name="_20061117Holux_WorldBankCMSScope_Re-engineering SLM_PM_Workbook_01252010_FairPoint_FP comTechOps_ProgramWorkbook 2_Steps of Doneness" xfId="17566" xr:uid="{00000000-0005-0000-0000-000044440000}"/>
    <cellStyle name="_20061117Holux_WorldBankCMSScope_Re-engineering SLM_PM_Workbook_01252010_FairPoint_FP comTechOps_ProgramWorkbook 3" xfId="17567" xr:uid="{00000000-0005-0000-0000-000045440000}"/>
    <cellStyle name="_20061117Holux_WorldBankCMSScope_Re-engineering SLM_PM_Workbook_01252010_FairPoint_FP comTechOps_ProgramWorkbook_sachin" xfId="17568" xr:uid="{00000000-0005-0000-0000-000046440000}"/>
    <cellStyle name="_20061117Holux_WorldBankCMSScope_Re-engineering SLM_PM_Workbook_01252010_FairPoint_FP comTechOps_ProgramWorkbook_sachin 2" xfId="17569" xr:uid="{00000000-0005-0000-0000-000047440000}"/>
    <cellStyle name="_20061117Holux_WorldBankCMSScope_Re-engineering SLM_PM_Workbook_01252010_FairPoint_FP comTechOps_ProgramWorkbook_sachin 2_Steps of Doneness" xfId="17570" xr:uid="{00000000-0005-0000-0000-000048440000}"/>
    <cellStyle name="_20061117Holux_WorldBankCMSScope_Re-engineering SLM_PM_Workbook_01252010_FairPoint_FP comTechOps_ProgramWorkbook_sachin 3" xfId="17571" xr:uid="{00000000-0005-0000-0000-000049440000}"/>
    <cellStyle name="_20061117Holux_WorldBankCMSScope_Re-engineering SLM_PM_Workbook_01252010_FairPoint_FP comTechOps_ProgramWorkbook_sachin_Steps of Doneness" xfId="17572" xr:uid="{00000000-0005-0000-0000-00004A440000}"/>
    <cellStyle name="_20061117Holux_WorldBankCMSScope_Re-engineering SLM_PM_Workbook_01252010_FairPoint_FP comTechOps_ProgramWorkbook_sachin_v1" xfId="17573" xr:uid="{00000000-0005-0000-0000-00004B440000}"/>
    <cellStyle name="_20061117Holux_WorldBankCMSScope_Re-engineering SLM_PM_Workbook_01252010_FairPoint_FP comTechOps_ProgramWorkbook_sachin_v1 2" xfId="17574" xr:uid="{00000000-0005-0000-0000-00004C440000}"/>
    <cellStyle name="_20061117Holux_WorldBankCMSScope_Re-engineering SLM_PM_Workbook_01252010_FairPoint_FP comTechOps_ProgramWorkbook_sachin_v1 2_Steps of Doneness" xfId="17575" xr:uid="{00000000-0005-0000-0000-00004D440000}"/>
    <cellStyle name="_20061117Holux_WorldBankCMSScope_Re-engineering SLM_PM_Workbook_01252010_FairPoint_FP comTechOps_ProgramWorkbook_sachin_v1 3" xfId="17576" xr:uid="{00000000-0005-0000-0000-00004E440000}"/>
    <cellStyle name="_20061117Holux_WorldBankCMSScope_Re-engineering SLM_PM_Workbook_01252010_FairPoint_FP comTechOps_ProgramWorkbook_sachin_v1_Steps of Doneness" xfId="17577" xr:uid="{00000000-0005-0000-0000-00004F440000}"/>
    <cellStyle name="_20061117Holux_WorldBankCMSScope_Re-engineering SLM_PM_Workbook_01252010_FairPoint_FP comTechOps_ProgramWorkbook_Steps of Doneness" xfId="17578" xr:uid="{00000000-0005-0000-0000-000050440000}"/>
    <cellStyle name="_20061117Holux_WorldBankCMSScope_Re-engineering SLM_PM_Workbook_01252010_FP_CAMP&amp;ITReporting_Maintenance_Dashboard" xfId="17579" xr:uid="{00000000-0005-0000-0000-000051440000}"/>
    <cellStyle name="_20061117Holux_WorldBankCMSScope_Re-engineering SLM_PM_Workbook_01252010_FP_CAMP&amp;ITReporting_Maintenance_Dashboard 2" xfId="17580" xr:uid="{00000000-0005-0000-0000-000052440000}"/>
    <cellStyle name="_20061117Holux_WorldBankCMSScope_Re-engineering SLM_PM_Workbook_01252010_FP_CAMP&amp;ITReporting_Maintenance_Dashboard 2_Steps of Doneness" xfId="17581" xr:uid="{00000000-0005-0000-0000-000053440000}"/>
    <cellStyle name="_20061117Holux_WorldBankCMSScope_Re-engineering SLM_PM_Workbook_01252010_FP_CAMP&amp;ITReporting_Maintenance_Dashboard 3" xfId="17582" xr:uid="{00000000-0005-0000-0000-000054440000}"/>
    <cellStyle name="_20061117Holux_WorldBankCMSScope_Re-engineering SLM_PM_Workbook_01252010_FP_CAMP&amp;ITReporting_Maintenance_Dashboard_Steps of Doneness" xfId="17583" xr:uid="{00000000-0005-0000-0000-000055440000}"/>
    <cellStyle name="_20061117Holux_WorldBankCMSScope_Re-engineering SLM_PM_Workbook_01252010_FP_CAMPITReporting_Maintenance_Dashboard" xfId="17584" xr:uid="{00000000-0005-0000-0000-000056440000}"/>
    <cellStyle name="_20061117Holux_WorldBankCMSScope_Re-engineering SLM_PM_Workbook_01252010_FP_CAMPITReporting_Maintenance_Dashboard 2" xfId="17585" xr:uid="{00000000-0005-0000-0000-000057440000}"/>
    <cellStyle name="_20061117Holux_WorldBankCMSScope_Re-engineering SLM_PM_Workbook_01252010_FP_CAMPITReporting_Maintenance_Dashboard 2_Steps of Doneness" xfId="17586" xr:uid="{00000000-0005-0000-0000-000058440000}"/>
    <cellStyle name="_20061117Holux_WorldBankCMSScope_Re-engineering SLM_PM_Workbook_01252010_FP_CAMPITReporting_Maintenance_Dashboard 3" xfId="17587" xr:uid="{00000000-0005-0000-0000-000059440000}"/>
    <cellStyle name="_20061117Holux_WorldBankCMSScope_Re-engineering SLM_PM_Workbook_01252010_FP_CAMPITReporting_Maintenance_Dashboard_Steps of Doneness" xfId="17588" xr:uid="{00000000-0005-0000-0000-00005A440000}"/>
    <cellStyle name="_20061117Holux_WorldBankCMSScope_Re-engineering SLM_PM_Workbook_01252010_FP_Commissions_Req_Dn_ProgramWorkBook_10-Dec-2010" xfId="17589" xr:uid="{00000000-0005-0000-0000-00005B440000}"/>
    <cellStyle name="_20061117Holux_WorldBankCMSScope_Re-engineering SLM_PM_Workbook_01252010_FP_Commissions_Req_Dn_ProgramWorkBook_10-Dec-2010 2" xfId="17590" xr:uid="{00000000-0005-0000-0000-00005C440000}"/>
    <cellStyle name="_20061117Holux_WorldBankCMSScope_Re-engineering SLM_PM_Workbook_01252010_FP_Commissions_Req_Dn_ProgramWorkBook_10-Dec-2010 2_Steps of Doneness" xfId="17591" xr:uid="{00000000-0005-0000-0000-00005D440000}"/>
    <cellStyle name="_20061117Holux_WorldBankCMSScope_Re-engineering SLM_PM_Workbook_01252010_FP_Commissions_Req_Dn_ProgramWorkBook_10-Dec-2010 3" xfId="17592" xr:uid="{00000000-0005-0000-0000-00005E440000}"/>
    <cellStyle name="_20061117Holux_WorldBankCMSScope_Re-engineering SLM_PM_Workbook_01252010_FP_Commissions_Req_Dn_ProgramWorkBook_10-Dec-2010_Steps of Doneness" xfId="17593" xr:uid="{00000000-0005-0000-0000-00005F440000}"/>
    <cellStyle name="_20061117Holux_WorldBankCMSScope_Re-engineering SLM_PM_Workbook_01252010_FP_DW_Impl_ProgramWorkBook_07-Jan-2011" xfId="17594" xr:uid="{00000000-0005-0000-0000-000060440000}"/>
    <cellStyle name="_20061117Holux_WorldBankCMSScope_Re-engineering SLM_PM_Workbook_01252010_FP_DW_Impl_ProgramWorkBook_07-Jan-2011 2" xfId="17595" xr:uid="{00000000-0005-0000-0000-000061440000}"/>
    <cellStyle name="_20061117Holux_WorldBankCMSScope_Re-engineering SLM_PM_Workbook_01252010_FP_DW_Impl_ProgramWorkBook_07-Jan-2011 2 2" xfId="17596" xr:uid="{00000000-0005-0000-0000-000062440000}"/>
    <cellStyle name="_20061117Holux_WorldBankCMSScope_Re-engineering SLM_PM_Workbook_01252010_FP_DW_Impl_ProgramWorkBook_07-Jan-2011 2 2_Steps of Doneness" xfId="17597" xr:uid="{00000000-0005-0000-0000-000063440000}"/>
    <cellStyle name="_20061117Holux_WorldBankCMSScope_Re-engineering SLM_PM_Workbook_01252010_FP_DW_Impl_ProgramWorkBook_07-Jan-2011 2 3" xfId="17598" xr:uid="{00000000-0005-0000-0000-000064440000}"/>
    <cellStyle name="_20061117Holux_WorldBankCMSScope_Re-engineering SLM_PM_Workbook_01252010_FP_DW_Impl_ProgramWorkBook_07-Jan-2011 2_Steps of Doneness" xfId="17599" xr:uid="{00000000-0005-0000-0000-000065440000}"/>
    <cellStyle name="_20061117Holux_WorldBankCMSScope_Re-engineering SLM_PM_Workbook_01252010_FP_DW_Impl_ProgramWorkBook_07-Jan-2011 3" xfId="17600" xr:uid="{00000000-0005-0000-0000-000066440000}"/>
    <cellStyle name="_20061117Holux_WorldBankCMSScope_Re-engineering SLM_PM_Workbook_01252010_FP_DW_Impl_ProgramWorkBook_07-Jan-2011 3_Steps of Doneness" xfId="17601" xr:uid="{00000000-0005-0000-0000-000067440000}"/>
    <cellStyle name="_20061117Holux_WorldBankCMSScope_Re-engineering SLM_PM_Workbook_01252010_FP_DW_Impl_ProgramWorkBook_07-Jan-2011 4" xfId="17602" xr:uid="{00000000-0005-0000-0000-000068440000}"/>
    <cellStyle name="_20061117Holux_WorldBankCMSScope_Re-engineering SLM_PM_Workbook_01252010_FP_DW_Impl_ProgramWorkBook_07-Jan-2011_Steps of Doneness" xfId="17603" xr:uid="{00000000-0005-0000-0000-000069440000}"/>
    <cellStyle name="_20061117Holux_WorldBankCMSScope_Re-engineering SLM_PM_Workbook_01252010_FP_DW_Impl_ProgramWorkBook_11-Feb-2011" xfId="17604" xr:uid="{00000000-0005-0000-0000-00006A440000}"/>
    <cellStyle name="_20061117Holux_WorldBankCMSScope_Re-engineering SLM_PM_Workbook_01252010_FP_DW_Impl_ProgramWorkBook_11-Feb-2011 2" xfId="17605" xr:uid="{00000000-0005-0000-0000-00006B440000}"/>
    <cellStyle name="_20061117Holux_WorldBankCMSScope_Re-engineering SLM_PM_Workbook_01252010_FP_DW_Impl_ProgramWorkBook_11-Feb-2011 2_Steps of Doneness" xfId="17606" xr:uid="{00000000-0005-0000-0000-00006C440000}"/>
    <cellStyle name="_20061117Holux_WorldBankCMSScope_Re-engineering SLM_PM_Workbook_01252010_FP_DW_Impl_ProgramWorkBook_11-Feb-2011 3" xfId="17607" xr:uid="{00000000-0005-0000-0000-00006D440000}"/>
    <cellStyle name="_20061117Holux_WorldBankCMSScope_Re-engineering SLM_PM_Workbook_01252010_FP_DW_Impl_ProgramWorkBook_11-Feb-2011_Steps of Doneness" xfId="17608" xr:uid="{00000000-0005-0000-0000-00006E440000}"/>
    <cellStyle name="_20061117Holux_WorldBankCMSScope_Re-engineering SLM_PM_Workbook_01252010_FP_DW_Impl_ProgramWorkBook_18-Feb-2011 - Working" xfId="17609" xr:uid="{00000000-0005-0000-0000-00006F440000}"/>
    <cellStyle name="_20061117Holux_WorldBankCMSScope_Re-engineering SLM_PM_Workbook_01252010_FP_DW_Impl_ProgramWorkBook_18-Feb-2011 - Working 2" xfId="17610" xr:uid="{00000000-0005-0000-0000-000070440000}"/>
    <cellStyle name="_20061117Holux_WorldBankCMSScope_Re-engineering SLM_PM_Workbook_01252010_FP_DW_Impl_ProgramWorkBook_18-Feb-2011 - Working 2_Steps of Doneness" xfId="17611" xr:uid="{00000000-0005-0000-0000-000071440000}"/>
    <cellStyle name="_20061117Holux_WorldBankCMSScope_Re-engineering SLM_PM_Workbook_01252010_FP_DW_Impl_ProgramWorkBook_18-Feb-2011 - Working 3" xfId="17612" xr:uid="{00000000-0005-0000-0000-000072440000}"/>
    <cellStyle name="_20061117Holux_WorldBankCMSScope_Re-engineering SLM_PM_Workbook_01252010_FP_DW_Impl_ProgramWorkBook_18-Feb-2011 - Working_Steps of Doneness" xfId="17613" xr:uid="{00000000-0005-0000-0000-000073440000}"/>
    <cellStyle name="_20061117Holux_WorldBankCMSScope_Re-engineering SLM_PM_Workbook_01252010_FP_EnterprisePortal_ProgramWorkbook" xfId="17614" xr:uid="{00000000-0005-0000-0000-000074440000}"/>
    <cellStyle name="_20061117Holux_WorldBankCMSScope_Re-engineering SLM_PM_Workbook_01252010_FP_EnterprisePortal_ProgramWorkbook 2" xfId="17615" xr:uid="{00000000-0005-0000-0000-000075440000}"/>
    <cellStyle name="_20061117Holux_WorldBankCMSScope_Re-engineering SLM_PM_Workbook_01252010_FP_EnterprisePortal_ProgramWorkbook 2_Steps of Doneness" xfId="17616" xr:uid="{00000000-0005-0000-0000-000076440000}"/>
    <cellStyle name="_20061117Holux_WorldBankCMSScope_Re-engineering SLM_PM_Workbook_01252010_FP_EnterprisePortal_ProgramWorkbook 3" xfId="17617" xr:uid="{00000000-0005-0000-0000-000077440000}"/>
    <cellStyle name="_20061117Holux_WorldBankCMSScope_Re-engineering SLM_PM_Workbook_01252010_FP_EnterprisePortal_ProgramWorkbook_Steps of Doneness" xfId="17618" xr:uid="{00000000-0005-0000-0000-000078440000}"/>
    <cellStyle name="_20061117Holux_WorldBankCMSScope_Re-engineering SLM_PM_Workbook_01252010_FP_SAP_MLP v2" xfId="17619" xr:uid="{00000000-0005-0000-0000-000079440000}"/>
    <cellStyle name="_20061117Holux_WorldBankCMSScope_Re-engineering SLM_PM_Workbook_01252010_FP_SAP_MLP v2 2" xfId="17620" xr:uid="{00000000-0005-0000-0000-00007A440000}"/>
    <cellStyle name="_20061117Holux_WorldBankCMSScope_Re-engineering SLM_PM_Workbook_01252010_FP_SAP_MLP v2 2_Steps of Doneness" xfId="17621" xr:uid="{00000000-0005-0000-0000-00007B440000}"/>
    <cellStyle name="_20061117Holux_WorldBankCMSScope_Re-engineering SLM_PM_Workbook_01252010_FP_SAP_MLP v2 3" xfId="17622" xr:uid="{00000000-0005-0000-0000-00007C440000}"/>
    <cellStyle name="_20061117Holux_WorldBankCMSScope_Re-engineering SLM_PM_Workbook_01252010_FP_SAP_MLP v2_Steps of Doneness" xfId="17623" xr:uid="{00000000-0005-0000-0000-00007D440000}"/>
    <cellStyle name="_20061117Holux_WorldBankCMSScope_Re-engineering SLM_PM_Workbook_01252010_KeyDecisions" xfId="17624" xr:uid="{00000000-0005-0000-0000-00007E440000}"/>
    <cellStyle name="_20061117Holux_WorldBankCMSScope_Re-engineering SLM_PM_Workbook_01252010_KeyDecisions 2" xfId="17625" xr:uid="{00000000-0005-0000-0000-00007F440000}"/>
    <cellStyle name="_20061117Holux_WorldBankCMSScope_Re-engineering SLM_PM_Workbook_01252010_KeyDecisions 2_Steps of Doneness" xfId="17626" xr:uid="{00000000-0005-0000-0000-000080440000}"/>
    <cellStyle name="_20061117Holux_WorldBankCMSScope_Re-engineering SLM_PM_Workbook_01252010_KeyDecisions 3" xfId="17627" xr:uid="{00000000-0005-0000-0000-000081440000}"/>
    <cellStyle name="_20061117Holux_WorldBankCMSScope_Re-engineering SLM_PM_Workbook_01252010_KeyDecisions_Steps of Doneness" xfId="17628" xr:uid="{00000000-0005-0000-0000-000082440000}"/>
    <cellStyle name="_20061117Holux_WorldBankCMSScope_Re-engineering SLM_PM_Workbook_01252010_Sophia_Imp_ProjectWorkBook_02_18_2011" xfId="17629" xr:uid="{00000000-0005-0000-0000-000083440000}"/>
    <cellStyle name="_20061117Holux_WorldBankCMSScope_Re-engineering SLM_PM_Workbook_01252010_Sophia_Imp_ProjectWorkBook_02_18_2011 2" xfId="17630" xr:uid="{00000000-0005-0000-0000-000084440000}"/>
    <cellStyle name="_20061117Holux_WorldBankCMSScope_Re-engineering SLM_PM_Workbook_01252010_Sophia_Imp_ProjectWorkBook_02_18_2011 2_Steps of Doneness" xfId="17631" xr:uid="{00000000-0005-0000-0000-000085440000}"/>
    <cellStyle name="_20061117Holux_WorldBankCMSScope_Re-engineering SLM_PM_Workbook_01252010_Sophia_Imp_ProjectWorkBook_02_18_2011 3" xfId="17632" xr:uid="{00000000-0005-0000-0000-000086440000}"/>
    <cellStyle name="_20061117Holux_WorldBankCMSScope_Re-engineering SLM_PM_Workbook_01252010_Sophia_Imp_ProjectWorkBook_02_18_2011_Steps of Doneness" xfId="17633" xr:uid="{00000000-0005-0000-0000-000087440000}"/>
    <cellStyle name="_20061117Holux_WorldBankCMSScope_Re-engineering SLM_PM_Workbook_01252010_Steps of Doneness" xfId="17634" xr:uid="{00000000-0005-0000-0000-000088440000}"/>
    <cellStyle name="_20061117Holux_WorldBankCMSScope_Re-engineering SLM_PM_Workbook_01252010_t" xfId="17635" xr:uid="{00000000-0005-0000-0000-000089440000}"/>
    <cellStyle name="_20061117Holux_WorldBankCMSScope_Re-engineering SLM_PM_Workbook_01252010_t 2" xfId="17636" xr:uid="{00000000-0005-0000-0000-00008A440000}"/>
    <cellStyle name="_20061117Holux_WorldBankCMSScope_Re-engineering SLM_PM_Workbook_01252010_t 2_Steps of Doneness" xfId="17637" xr:uid="{00000000-0005-0000-0000-00008B440000}"/>
    <cellStyle name="_20061117Holux_WorldBankCMSScope_Re-engineering SLM_PM_Workbook_01252010_t 3" xfId="17638" xr:uid="{00000000-0005-0000-0000-00008C440000}"/>
    <cellStyle name="_20061117Holux_WorldBankCMSScope_Re-engineering SLM_PM_Workbook_01252010_t_Steps of Doneness" xfId="17639" xr:uid="{00000000-0005-0000-0000-00008D440000}"/>
    <cellStyle name="_20061117Holux_WorldBankCMSScope_Re-engineering SLM_PM_Workbook_021510" xfId="17640" xr:uid="{00000000-0005-0000-0000-00008E440000}"/>
    <cellStyle name="_20061117Holux_WorldBankCMSScope_Re-engineering SLM_PM_Workbook_021510 2" xfId="17641" xr:uid="{00000000-0005-0000-0000-00008F440000}"/>
    <cellStyle name="_20061117Holux_WorldBankCMSScope_Re-engineering SLM_PM_Workbook_021510 2 2" xfId="17642" xr:uid="{00000000-0005-0000-0000-000090440000}"/>
    <cellStyle name="_20061117Holux_WorldBankCMSScope_Re-engineering SLM_PM_Workbook_021510 2 2_Steps of Doneness" xfId="17643" xr:uid="{00000000-0005-0000-0000-000091440000}"/>
    <cellStyle name="_20061117Holux_WorldBankCMSScope_Re-engineering SLM_PM_Workbook_021510 2 3" xfId="17644" xr:uid="{00000000-0005-0000-0000-000092440000}"/>
    <cellStyle name="_20061117Holux_WorldBankCMSScope_Re-engineering SLM_PM_Workbook_021510 2_Steps of Doneness" xfId="17645" xr:uid="{00000000-0005-0000-0000-000093440000}"/>
    <cellStyle name="_20061117Holux_WorldBankCMSScope_Re-engineering SLM_PM_Workbook_021510 3" xfId="17646" xr:uid="{00000000-0005-0000-0000-000094440000}"/>
    <cellStyle name="_20061117Holux_WorldBankCMSScope_Re-engineering SLM_PM_Workbook_021510 3_Steps of Doneness" xfId="17647" xr:uid="{00000000-0005-0000-0000-000095440000}"/>
    <cellStyle name="_20061117Holux_WorldBankCMSScope_Re-engineering SLM_PM_Workbook_021510 4" xfId="17648" xr:uid="{00000000-0005-0000-0000-000096440000}"/>
    <cellStyle name="_20061117Holux_WorldBankCMSScope_Re-engineering SLM_PM_Workbook_021510_Commissioning System Implementation_Project Workbook_06_10_2011" xfId="17649" xr:uid="{00000000-0005-0000-0000-000097440000}"/>
    <cellStyle name="_20061117Holux_WorldBankCMSScope_Re-engineering SLM_PM_Workbook_021510_Commissioning System Implementation_Project Workbook_06_10_2011 2" xfId="17650" xr:uid="{00000000-0005-0000-0000-000098440000}"/>
    <cellStyle name="_20061117Holux_WorldBankCMSScope_Re-engineering SLM_PM_Workbook_021510_Commissioning System Implementation_Project Workbook_06_10_2011 2_Steps of Doneness" xfId="17651" xr:uid="{00000000-0005-0000-0000-000099440000}"/>
    <cellStyle name="_20061117Holux_WorldBankCMSScope_Re-engineering SLM_PM_Workbook_021510_Commissioning System Implementation_Project Workbook_06_10_2011 3" xfId="17652" xr:uid="{00000000-0005-0000-0000-00009A440000}"/>
    <cellStyle name="_20061117Holux_WorldBankCMSScope_Re-engineering SLM_PM_Workbook_021510_Commissioning System Implementation_Project Workbook_06_10_2011_Steps of Doneness" xfId="17653" xr:uid="{00000000-0005-0000-0000-00009B440000}"/>
    <cellStyle name="_20061117Holux_WorldBankCMSScope_Re-engineering SLM_PM_Workbook_021510_FairPoint_CampReport" xfId="17654" xr:uid="{00000000-0005-0000-0000-00009C440000}"/>
    <cellStyle name="_20061117Holux_WorldBankCMSScope_Re-engineering SLM_PM_Workbook_021510_FairPoint_CampReport 2" xfId="17655" xr:uid="{00000000-0005-0000-0000-00009D440000}"/>
    <cellStyle name="_20061117Holux_WorldBankCMSScope_Re-engineering SLM_PM_Workbook_021510_FairPoint_CampReport 2_Steps of Doneness" xfId="17656" xr:uid="{00000000-0005-0000-0000-00009E440000}"/>
    <cellStyle name="_20061117Holux_WorldBankCMSScope_Re-engineering SLM_PM_Workbook_021510_FairPoint_CampReport 3" xfId="17657" xr:uid="{00000000-0005-0000-0000-00009F440000}"/>
    <cellStyle name="_20061117Holux_WorldBankCMSScope_Re-engineering SLM_PM_Workbook_021510_FairPoint_CampReport_Steps of Doneness" xfId="17658" xr:uid="{00000000-0005-0000-0000-0000A0440000}"/>
    <cellStyle name="_20061117Holux_WorldBankCMSScope_Re-engineering SLM_PM_Workbook_021510_FairPoint_FP comTechOps_ProgramWorkbook" xfId="17659" xr:uid="{00000000-0005-0000-0000-0000A1440000}"/>
    <cellStyle name="_20061117Holux_WorldBankCMSScope_Re-engineering SLM_PM_Workbook_021510_FairPoint_FP comTechOps_ProgramWorkbook 2" xfId="17660" xr:uid="{00000000-0005-0000-0000-0000A2440000}"/>
    <cellStyle name="_20061117Holux_WorldBankCMSScope_Re-engineering SLM_PM_Workbook_021510_FairPoint_FP comTechOps_ProgramWorkbook 2_Steps of Doneness" xfId="17661" xr:uid="{00000000-0005-0000-0000-0000A3440000}"/>
    <cellStyle name="_20061117Holux_WorldBankCMSScope_Re-engineering SLM_PM_Workbook_021510_FairPoint_FP comTechOps_ProgramWorkbook 3" xfId="17662" xr:uid="{00000000-0005-0000-0000-0000A4440000}"/>
    <cellStyle name="_20061117Holux_WorldBankCMSScope_Re-engineering SLM_PM_Workbook_021510_FairPoint_FP comTechOps_ProgramWorkbook_sachin" xfId="17663" xr:uid="{00000000-0005-0000-0000-0000A5440000}"/>
    <cellStyle name="_20061117Holux_WorldBankCMSScope_Re-engineering SLM_PM_Workbook_021510_FairPoint_FP comTechOps_ProgramWorkbook_sachin 2" xfId="17664" xr:uid="{00000000-0005-0000-0000-0000A6440000}"/>
    <cellStyle name="_20061117Holux_WorldBankCMSScope_Re-engineering SLM_PM_Workbook_021510_FairPoint_FP comTechOps_ProgramWorkbook_sachin 2_Steps of Doneness" xfId="17665" xr:uid="{00000000-0005-0000-0000-0000A7440000}"/>
    <cellStyle name="_20061117Holux_WorldBankCMSScope_Re-engineering SLM_PM_Workbook_021510_FairPoint_FP comTechOps_ProgramWorkbook_sachin 3" xfId="17666" xr:uid="{00000000-0005-0000-0000-0000A8440000}"/>
    <cellStyle name="_20061117Holux_WorldBankCMSScope_Re-engineering SLM_PM_Workbook_021510_FairPoint_FP comTechOps_ProgramWorkbook_sachin_Steps of Doneness" xfId="17667" xr:uid="{00000000-0005-0000-0000-0000A9440000}"/>
    <cellStyle name="_20061117Holux_WorldBankCMSScope_Re-engineering SLM_PM_Workbook_021510_FairPoint_FP comTechOps_ProgramWorkbook_sachin_v1" xfId="17668" xr:uid="{00000000-0005-0000-0000-0000AA440000}"/>
    <cellStyle name="_20061117Holux_WorldBankCMSScope_Re-engineering SLM_PM_Workbook_021510_FairPoint_FP comTechOps_ProgramWorkbook_sachin_v1 2" xfId="17669" xr:uid="{00000000-0005-0000-0000-0000AB440000}"/>
    <cellStyle name="_20061117Holux_WorldBankCMSScope_Re-engineering SLM_PM_Workbook_021510_FairPoint_FP comTechOps_ProgramWorkbook_sachin_v1 2_Steps of Doneness" xfId="17670" xr:uid="{00000000-0005-0000-0000-0000AC440000}"/>
    <cellStyle name="_20061117Holux_WorldBankCMSScope_Re-engineering SLM_PM_Workbook_021510_FairPoint_FP comTechOps_ProgramWorkbook_sachin_v1 3" xfId="17671" xr:uid="{00000000-0005-0000-0000-0000AD440000}"/>
    <cellStyle name="_20061117Holux_WorldBankCMSScope_Re-engineering SLM_PM_Workbook_021510_FairPoint_FP comTechOps_ProgramWorkbook_sachin_v1_Steps of Doneness" xfId="17672" xr:uid="{00000000-0005-0000-0000-0000AE440000}"/>
    <cellStyle name="_20061117Holux_WorldBankCMSScope_Re-engineering SLM_PM_Workbook_021510_FairPoint_FP comTechOps_ProgramWorkbook_Steps of Doneness" xfId="17673" xr:uid="{00000000-0005-0000-0000-0000AF440000}"/>
    <cellStyle name="_20061117Holux_WorldBankCMSScope_Re-engineering SLM_PM_Workbook_021510_FP_CAMP&amp;ITReporting_Maintenance_Dashboard" xfId="17674" xr:uid="{00000000-0005-0000-0000-0000B0440000}"/>
    <cellStyle name="_20061117Holux_WorldBankCMSScope_Re-engineering SLM_PM_Workbook_021510_FP_CAMP&amp;ITReporting_Maintenance_Dashboard 2" xfId="17675" xr:uid="{00000000-0005-0000-0000-0000B1440000}"/>
    <cellStyle name="_20061117Holux_WorldBankCMSScope_Re-engineering SLM_PM_Workbook_021510_FP_CAMP&amp;ITReporting_Maintenance_Dashboard 2_Steps of Doneness" xfId="17676" xr:uid="{00000000-0005-0000-0000-0000B2440000}"/>
    <cellStyle name="_20061117Holux_WorldBankCMSScope_Re-engineering SLM_PM_Workbook_021510_FP_CAMP&amp;ITReporting_Maintenance_Dashboard 3" xfId="17677" xr:uid="{00000000-0005-0000-0000-0000B3440000}"/>
    <cellStyle name="_20061117Holux_WorldBankCMSScope_Re-engineering SLM_PM_Workbook_021510_FP_CAMP&amp;ITReporting_Maintenance_Dashboard_Steps of Doneness" xfId="17678" xr:uid="{00000000-0005-0000-0000-0000B4440000}"/>
    <cellStyle name="_20061117Holux_WorldBankCMSScope_Re-engineering SLM_PM_Workbook_021510_FP_CAMPITReporting_Maintenance_Dashboard" xfId="17679" xr:uid="{00000000-0005-0000-0000-0000B5440000}"/>
    <cellStyle name="_20061117Holux_WorldBankCMSScope_Re-engineering SLM_PM_Workbook_021510_FP_CAMPITReporting_Maintenance_Dashboard 2" xfId="17680" xr:uid="{00000000-0005-0000-0000-0000B6440000}"/>
    <cellStyle name="_20061117Holux_WorldBankCMSScope_Re-engineering SLM_PM_Workbook_021510_FP_CAMPITReporting_Maintenance_Dashboard 2_Steps of Doneness" xfId="17681" xr:uid="{00000000-0005-0000-0000-0000B7440000}"/>
    <cellStyle name="_20061117Holux_WorldBankCMSScope_Re-engineering SLM_PM_Workbook_021510_FP_CAMPITReporting_Maintenance_Dashboard 3" xfId="17682" xr:uid="{00000000-0005-0000-0000-0000B8440000}"/>
    <cellStyle name="_20061117Holux_WorldBankCMSScope_Re-engineering SLM_PM_Workbook_021510_FP_CAMPITReporting_Maintenance_Dashboard_Steps of Doneness" xfId="17683" xr:uid="{00000000-0005-0000-0000-0000B9440000}"/>
    <cellStyle name="_20061117Holux_WorldBankCMSScope_Re-engineering SLM_PM_Workbook_021510_FP_Commissions_Req_Dn_ProgramWorkBook_10-Dec-2010" xfId="17684" xr:uid="{00000000-0005-0000-0000-0000BA440000}"/>
    <cellStyle name="_20061117Holux_WorldBankCMSScope_Re-engineering SLM_PM_Workbook_021510_FP_Commissions_Req_Dn_ProgramWorkBook_10-Dec-2010 2" xfId="17685" xr:uid="{00000000-0005-0000-0000-0000BB440000}"/>
    <cellStyle name="_20061117Holux_WorldBankCMSScope_Re-engineering SLM_PM_Workbook_021510_FP_Commissions_Req_Dn_ProgramWorkBook_10-Dec-2010 2_Steps of Doneness" xfId="17686" xr:uid="{00000000-0005-0000-0000-0000BC440000}"/>
    <cellStyle name="_20061117Holux_WorldBankCMSScope_Re-engineering SLM_PM_Workbook_021510_FP_Commissions_Req_Dn_ProgramWorkBook_10-Dec-2010 3" xfId="17687" xr:uid="{00000000-0005-0000-0000-0000BD440000}"/>
    <cellStyle name="_20061117Holux_WorldBankCMSScope_Re-engineering SLM_PM_Workbook_021510_FP_Commissions_Req_Dn_ProgramWorkBook_10-Dec-2010_Steps of Doneness" xfId="17688" xr:uid="{00000000-0005-0000-0000-0000BE440000}"/>
    <cellStyle name="_20061117Holux_WorldBankCMSScope_Re-engineering SLM_PM_Workbook_021510_FP_DW_Impl_ProgramWorkBook_07-Jan-2011" xfId="17689" xr:uid="{00000000-0005-0000-0000-0000BF440000}"/>
    <cellStyle name="_20061117Holux_WorldBankCMSScope_Re-engineering SLM_PM_Workbook_021510_FP_DW_Impl_ProgramWorkBook_07-Jan-2011 2" xfId="17690" xr:uid="{00000000-0005-0000-0000-0000C0440000}"/>
    <cellStyle name="_20061117Holux_WorldBankCMSScope_Re-engineering SLM_PM_Workbook_021510_FP_DW_Impl_ProgramWorkBook_07-Jan-2011 2 2" xfId="17691" xr:uid="{00000000-0005-0000-0000-0000C1440000}"/>
    <cellStyle name="_20061117Holux_WorldBankCMSScope_Re-engineering SLM_PM_Workbook_021510_FP_DW_Impl_ProgramWorkBook_07-Jan-2011 2 2_Steps of Doneness" xfId="17692" xr:uid="{00000000-0005-0000-0000-0000C2440000}"/>
    <cellStyle name="_20061117Holux_WorldBankCMSScope_Re-engineering SLM_PM_Workbook_021510_FP_DW_Impl_ProgramWorkBook_07-Jan-2011 2 3" xfId="17693" xr:uid="{00000000-0005-0000-0000-0000C3440000}"/>
    <cellStyle name="_20061117Holux_WorldBankCMSScope_Re-engineering SLM_PM_Workbook_021510_FP_DW_Impl_ProgramWorkBook_07-Jan-2011 2_Steps of Doneness" xfId="17694" xr:uid="{00000000-0005-0000-0000-0000C4440000}"/>
    <cellStyle name="_20061117Holux_WorldBankCMSScope_Re-engineering SLM_PM_Workbook_021510_FP_DW_Impl_ProgramWorkBook_07-Jan-2011 3" xfId="17695" xr:uid="{00000000-0005-0000-0000-0000C5440000}"/>
    <cellStyle name="_20061117Holux_WorldBankCMSScope_Re-engineering SLM_PM_Workbook_021510_FP_DW_Impl_ProgramWorkBook_07-Jan-2011 3_Steps of Doneness" xfId="17696" xr:uid="{00000000-0005-0000-0000-0000C6440000}"/>
    <cellStyle name="_20061117Holux_WorldBankCMSScope_Re-engineering SLM_PM_Workbook_021510_FP_DW_Impl_ProgramWorkBook_07-Jan-2011 4" xfId="17697" xr:uid="{00000000-0005-0000-0000-0000C7440000}"/>
    <cellStyle name="_20061117Holux_WorldBankCMSScope_Re-engineering SLM_PM_Workbook_021510_FP_DW_Impl_ProgramWorkBook_07-Jan-2011_Steps of Doneness" xfId="17698" xr:uid="{00000000-0005-0000-0000-0000C8440000}"/>
    <cellStyle name="_20061117Holux_WorldBankCMSScope_Re-engineering SLM_PM_Workbook_021510_FP_DW_Impl_ProgramWorkBook_11-Feb-2011" xfId="17699" xr:uid="{00000000-0005-0000-0000-0000C9440000}"/>
    <cellStyle name="_20061117Holux_WorldBankCMSScope_Re-engineering SLM_PM_Workbook_021510_FP_DW_Impl_ProgramWorkBook_11-Feb-2011 2" xfId="17700" xr:uid="{00000000-0005-0000-0000-0000CA440000}"/>
    <cellStyle name="_20061117Holux_WorldBankCMSScope_Re-engineering SLM_PM_Workbook_021510_FP_DW_Impl_ProgramWorkBook_11-Feb-2011 2_Steps of Doneness" xfId="17701" xr:uid="{00000000-0005-0000-0000-0000CB440000}"/>
    <cellStyle name="_20061117Holux_WorldBankCMSScope_Re-engineering SLM_PM_Workbook_021510_FP_DW_Impl_ProgramWorkBook_11-Feb-2011 3" xfId="17702" xr:uid="{00000000-0005-0000-0000-0000CC440000}"/>
    <cellStyle name="_20061117Holux_WorldBankCMSScope_Re-engineering SLM_PM_Workbook_021510_FP_DW_Impl_ProgramWorkBook_11-Feb-2011_Steps of Doneness" xfId="17703" xr:uid="{00000000-0005-0000-0000-0000CD440000}"/>
    <cellStyle name="_20061117Holux_WorldBankCMSScope_Re-engineering SLM_PM_Workbook_021510_FP_DW_Impl_ProgramWorkBook_18-Feb-2011 - Working" xfId="17704" xr:uid="{00000000-0005-0000-0000-0000CE440000}"/>
    <cellStyle name="_20061117Holux_WorldBankCMSScope_Re-engineering SLM_PM_Workbook_021510_FP_DW_Impl_ProgramWorkBook_18-Feb-2011 - Working 2" xfId="17705" xr:uid="{00000000-0005-0000-0000-0000CF440000}"/>
    <cellStyle name="_20061117Holux_WorldBankCMSScope_Re-engineering SLM_PM_Workbook_021510_FP_DW_Impl_ProgramWorkBook_18-Feb-2011 - Working 2_Steps of Doneness" xfId="17706" xr:uid="{00000000-0005-0000-0000-0000D0440000}"/>
    <cellStyle name="_20061117Holux_WorldBankCMSScope_Re-engineering SLM_PM_Workbook_021510_FP_DW_Impl_ProgramWorkBook_18-Feb-2011 - Working 3" xfId="17707" xr:uid="{00000000-0005-0000-0000-0000D1440000}"/>
    <cellStyle name="_20061117Holux_WorldBankCMSScope_Re-engineering SLM_PM_Workbook_021510_FP_DW_Impl_ProgramWorkBook_18-Feb-2011 - Working_Steps of Doneness" xfId="17708" xr:uid="{00000000-0005-0000-0000-0000D2440000}"/>
    <cellStyle name="_20061117Holux_WorldBankCMSScope_Re-engineering SLM_PM_Workbook_021510_FP_EnterprisePortal_ProgramWorkbook" xfId="17709" xr:uid="{00000000-0005-0000-0000-0000D3440000}"/>
    <cellStyle name="_20061117Holux_WorldBankCMSScope_Re-engineering SLM_PM_Workbook_021510_FP_EnterprisePortal_ProgramWorkbook 2" xfId="17710" xr:uid="{00000000-0005-0000-0000-0000D4440000}"/>
    <cellStyle name="_20061117Holux_WorldBankCMSScope_Re-engineering SLM_PM_Workbook_021510_FP_EnterprisePortal_ProgramWorkbook 2_Steps of Doneness" xfId="17711" xr:uid="{00000000-0005-0000-0000-0000D5440000}"/>
    <cellStyle name="_20061117Holux_WorldBankCMSScope_Re-engineering SLM_PM_Workbook_021510_FP_EnterprisePortal_ProgramWorkbook 3" xfId="17712" xr:uid="{00000000-0005-0000-0000-0000D6440000}"/>
    <cellStyle name="_20061117Holux_WorldBankCMSScope_Re-engineering SLM_PM_Workbook_021510_FP_EnterprisePortal_ProgramWorkbook_Steps of Doneness" xfId="17713" xr:uid="{00000000-0005-0000-0000-0000D7440000}"/>
    <cellStyle name="_20061117Holux_WorldBankCMSScope_Re-engineering SLM_PM_Workbook_021510_FP_SAP_MLP v2" xfId="17714" xr:uid="{00000000-0005-0000-0000-0000D8440000}"/>
    <cellStyle name="_20061117Holux_WorldBankCMSScope_Re-engineering SLM_PM_Workbook_021510_FP_SAP_MLP v2 2" xfId="17715" xr:uid="{00000000-0005-0000-0000-0000D9440000}"/>
    <cellStyle name="_20061117Holux_WorldBankCMSScope_Re-engineering SLM_PM_Workbook_021510_FP_SAP_MLP v2 2_Steps of Doneness" xfId="17716" xr:uid="{00000000-0005-0000-0000-0000DA440000}"/>
    <cellStyle name="_20061117Holux_WorldBankCMSScope_Re-engineering SLM_PM_Workbook_021510_FP_SAP_MLP v2 3" xfId="17717" xr:uid="{00000000-0005-0000-0000-0000DB440000}"/>
    <cellStyle name="_20061117Holux_WorldBankCMSScope_Re-engineering SLM_PM_Workbook_021510_FP_SAP_MLP v2_Steps of Doneness" xfId="17718" xr:uid="{00000000-0005-0000-0000-0000DC440000}"/>
    <cellStyle name="_20061117Holux_WorldBankCMSScope_Re-engineering SLM_PM_Workbook_021510_KeyDecisions" xfId="17719" xr:uid="{00000000-0005-0000-0000-0000DD440000}"/>
    <cellStyle name="_20061117Holux_WorldBankCMSScope_Re-engineering SLM_PM_Workbook_021510_KeyDecisions 2" xfId="17720" xr:uid="{00000000-0005-0000-0000-0000DE440000}"/>
    <cellStyle name="_20061117Holux_WorldBankCMSScope_Re-engineering SLM_PM_Workbook_021510_KeyDecisions 2_Steps of Doneness" xfId="17721" xr:uid="{00000000-0005-0000-0000-0000DF440000}"/>
    <cellStyle name="_20061117Holux_WorldBankCMSScope_Re-engineering SLM_PM_Workbook_021510_KeyDecisions 3" xfId="17722" xr:uid="{00000000-0005-0000-0000-0000E0440000}"/>
    <cellStyle name="_20061117Holux_WorldBankCMSScope_Re-engineering SLM_PM_Workbook_021510_KeyDecisions_Steps of Doneness" xfId="17723" xr:uid="{00000000-0005-0000-0000-0000E1440000}"/>
    <cellStyle name="_20061117Holux_WorldBankCMSScope_Re-engineering SLM_PM_Workbook_021510_Sophia_Imp_ProjectWorkBook_02_18_2011" xfId="17724" xr:uid="{00000000-0005-0000-0000-0000E2440000}"/>
    <cellStyle name="_20061117Holux_WorldBankCMSScope_Re-engineering SLM_PM_Workbook_021510_Sophia_Imp_ProjectWorkBook_02_18_2011 2" xfId="17725" xr:uid="{00000000-0005-0000-0000-0000E3440000}"/>
    <cellStyle name="_20061117Holux_WorldBankCMSScope_Re-engineering SLM_PM_Workbook_021510_Sophia_Imp_ProjectWorkBook_02_18_2011 2_Steps of Doneness" xfId="17726" xr:uid="{00000000-0005-0000-0000-0000E4440000}"/>
    <cellStyle name="_20061117Holux_WorldBankCMSScope_Re-engineering SLM_PM_Workbook_021510_Sophia_Imp_ProjectWorkBook_02_18_2011 3" xfId="17727" xr:uid="{00000000-0005-0000-0000-0000E5440000}"/>
    <cellStyle name="_20061117Holux_WorldBankCMSScope_Re-engineering SLM_PM_Workbook_021510_Sophia_Imp_ProjectWorkBook_02_18_2011_Steps of Doneness" xfId="17728" xr:uid="{00000000-0005-0000-0000-0000E6440000}"/>
    <cellStyle name="_20061117Holux_WorldBankCMSScope_Re-engineering SLM_PM_Workbook_021510_Steps of Doneness" xfId="17729" xr:uid="{00000000-0005-0000-0000-0000E7440000}"/>
    <cellStyle name="_20061117Holux_WorldBankCMSScope_Re-engineering SLM_PM_Workbook_021510_t" xfId="17730" xr:uid="{00000000-0005-0000-0000-0000E8440000}"/>
    <cellStyle name="_20061117Holux_WorldBankCMSScope_Re-engineering SLM_PM_Workbook_021510_t 2" xfId="17731" xr:uid="{00000000-0005-0000-0000-0000E9440000}"/>
    <cellStyle name="_20061117Holux_WorldBankCMSScope_Re-engineering SLM_PM_Workbook_021510_t 2_Steps of Doneness" xfId="17732" xr:uid="{00000000-0005-0000-0000-0000EA440000}"/>
    <cellStyle name="_20061117Holux_WorldBankCMSScope_Re-engineering SLM_PM_Workbook_021510_t 3" xfId="17733" xr:uid="{00000000-0005-0000-0000-0000EB440000}"/>
    <cellStyle name="_20061117Holux_WorldBankCMSScope_Re-engineering SLM_PM_Workbook_021510_t_Steps of Doneness" xfId="17734" xr:uid="{00000000-0005-0000-0000-0000EC440000}"/>
    <cellStyle name="_20061117Holux_WorldBankCMSScope_Re-engineering SLM_PM_Workbook_030810" xfId="17735" xr:uid="{00000000-0005-0000-0000-0000ED440000}"/>
    <cellStyle name="_20061117Holux_WorldBankCMSScope_Re-engineering SLM_PM_Workbook_030810 2" xfId="17736" xr:uid="{00000000-0005-0000-0000-0000EE440000}"/>
    <cellStyle name="_20061117Holux_WorldBankCMSScope_Re-engineering SLM_PM_Workbook_030810 2 2" xfId="17737" xr:uid="{00000000-0005-0000-0000-0000EF440000}"/>
    <cellStyle name="_20061117Holux_WorldBankCMSScope_Re-engineering SLM_PM_Workbook_030810 2 2_Steps of Doneness" xfId="17738" xr:uid="{00000000-0005-0000-0000-0000F0440000}"/>
    <cellStyle name="_20061117Holux_WorldBankCMSScope_Re-engineering SLM_PM_Workbook_030810 2 3" xfId="17739" xr:uid="{00000000-0005-0000-0000-0000F1440000}"/>
    <cellStyle name="_20061117Holux_WorldBankCMSScope_Re-engineering SLM_PM_Workbook_030810 2_Steps of Doneness" xfId="17740" xr:uid="{00000000-0005-0000-0000-0000F2440000}"/>
    <cellStyle name="_20061117Holux_WorldBankCMSScope_Re-engineering SLM_PM_Workbook_030810 3" xfId="17741" xr:uid="{00000000-0005-0000-0000-0000F3440000}"/>
    <cellStyle name="_20061117Holux_WorldBankCMSScope_Re-engineering SLM_PM_Workbook_030810 3_Steps of Doneness" xfId="17742" xr:uid="{00000000-0005-0000-0000-0000F4440000}"/>
    <cellStyle name="_20061117Holux_WorldBankCMSScope_Re-engineering SLM_PM_Workbook_030810 4" xfId="17743" xr:uid="{00000000-0005-0000-0000-0000F5440000}"/>
    <cellStyle name="_20061117Holux_WorldBankCMSScope_Re-engineering SLM_PM_Workbook_030810_Commissioning System Implementation_Project Workbook_06_10_2011" xfId="17744" xr:uid="{00000000-0005-0000-0000-0000F6440000}"/>
    <cellStyle name="_20061117Holux_WorldBankCMSScope_Re-engineering SLM_PM_Workbook_030810_Commissioning System Implementation_Project Workbook_06_10_2011 2" xfId="17745" xr:uid="{00000000-0005-0000-0000-0000F7440000}"/>
    <cellStyle name="_20061117Holux_WorldBankCMSScope_Re-engineering SLM_PM_Workbook_030810_Commissioning System Implementation_Project Workbook_06_10_2011 2_Steps of Doneness" xfId="17746" xr:uid="{00000000-0005-0000-0000-0000F8440000}"/>
    <cellStyle name="_20061117Holux_WorldBankCMSScope_Re-engineering SLM_PM_Workbook_030810_Commissioning System Implementation_Project Workbook_06_10_2011 3" xfId="17747" xr:uid="{00000000-0005-0000-0000-0000F9440000}"/>
    <cellStyle name="_20061117Holux_WorldBankCMSScope_Re-engineering SLM_PM_Workbook_030810_Commissioning System Implementation_Project Workbook_06_10_2011_Steps of Doneness" xfId="17748" xr:uid="{00000000-0005-0000-0000-0000FA440000}"/>
    <cellStyle name="_20061117Holux_WorldBankCMSScope_Re-engineering SLM_PM_Workbook_030810_FairPoint_CampReport" xfId="17749" xr:uid="{00000000-0005-0000-0000-0000FB440000}"/>
    <cellStyle name="_20061117Holux_WorldBankCMSScope_Re-engineering SLM_PM_Workbook_030810_FairPoint_CampReport 2" xfId="17750" xr:uid="{00000000-0005-0000-0000-0000FC440000}"/>
    <cellStyle name="_20061117Holux_WorldBankCMSScope_Re-engineering SLM_PM_Workbook_030810_FairPoint_CampReport 2_Steps of Doneness" xfId="17751" xr:uid="{00000000-0005-0000-0000-0000FD440000}"/>
    <cellStyle name="_20061117Holux_WorldBankCMSScope_Re-engineering SLM_PM_Workbook_030810_FairPoint_CampReport 3" xfId="17752" xr:uid="{00000000-0005-0000-0000-0000FE440000}"/>
    <cellStyle name="_20061117Holux_WorldBankCMSScope_Re-engineering SLM_PM_Workbook_030810_FairPoint_CampReport_Steps of Doneness" xfId="17753" xr:uid="{00000000-0005-0000-0000-0000FF440000}"/>
    <cellStyle name="_20061117Holux_WorldBankCMSScope_Re-engineering SLM_PM_Workbook_030810_FairPoint_FP comTechOps_ProgramWorkbook" xfId="17754" xr:uid="{00000000-0005-0000-0000-000000450000}"/>
    <cellStyle name="_20061117Holux_WorldBankCMSScope_Re-engineering SLM_PM_Workbook_030810_FairPoint_FP comTechOps_ProgramWorkbook 2" xfId="17755" xr:uid="{00000000-0005-0000-0000-000001450000}"/>
    <cellStyle name="_20061117Holux_WorldBankCMSScope_Re-engineering SLM_PM_Workbook_030810_FairPoint_FP comTechOps_ProgramWorkbook 2_Steps of Doneness" xfId="17756" xr:uid="{00000000-0005-0000-0000-000002450000}"/>
    <cellStyle name="_20061117Holux_WorldBankCMSScope_Re-engineering SLM_PM_Workbook_030810_FairPoint_FP comTechOps_ProgramWorkbook 3" xfId="17757" xr:uid="{00000000-0005-0000-0000-000003450000}"/>
    <cellStyle name="_20061117Holux_WorldBankCMSScope_Re-engineering SLM_PM_Workbook_030810_FairPoint_FP comTechOps_ProgramWorkbook_sachin" xfId="17758" xr:uid="{00000000-0005-0000-0000-000004450000}"/>
    <cellStyle name="_20061117Holux_WorldBankCMSScope_Re-engineering SLM_PM_Workbook_030810_FairPoint_FP comTechOps_ProgramWorkbook_sachin 2" xfId="17759" xr:uid="{00000000-0005-0000-0000-000005450000}"/>
    <cellStyle name="_20061117Holux_WorldBankCMSScope_Re-engineering SLM_PM_Workbook_030810_FairPoint_FP comTechOps_ProgramWorkbook_sachin 2_Steps of Doneness" xfId="17760" xr:uid="{00000000-0005-0000-0000-000006450000}"/>
    <cellStyle name="_20061117Holux_WorldBankCMSScope_Re-engineering SLM_PM_Workbook_030810_FairPoint_FP comTechOps_ProgramWorkbook_sachin 3" xfId="17761" xr:uid="{00000000-0005-0000-0000-000007450000}"/>
    <cellStyle name="_20061117Holux_WorldBankCMSScope_Re-engineering SLM_PM_Workbook_030810_FairPoint_FP comTechOps_ProgramWorkbook_sachin_Steps of Doneness" xfId="17762" xr:uid="{00000000-0005-0000-0000-000008450000}"/>
    <cellStyle name="_20061117Holux_WorldBankCMSScope_Re-engineering SLM_PM_Workbook_030810_FairPoint_FP comTechOps_ProgramWorkbook_sachin_v1" xfId="17763" xr:uid="{00000000-0005-0000-0000-000009450000}"/>
    <cellStyle name="_20061117Holux_WorldBankCMSScope_Re-engineering SLM_PM_Workbook_030810_FairPoint_FP comTechOps_ProgramWorkbook_sachin_v1 2" xfId="17764" xr:uid="{00000000-0005-0000-0000-00000A450000}"/>
    <cellStyle name="_20061117Holux_WorldBankCMSScope_Re-engineering SLM_PM_Workbook_030810_FairPoint_FP comTechOps_ProgramWorkbook_sachin_v1 2_Steps of Doneness" xfId="17765" xr:uid="{00000000-0005-0000-0000-00000B450000}"/>
    <cellStyle name="_20061117Holux_WorldBankCMSScope_Re-engineering SLM_PM_Workbook_030810_FairPoint_FP comTechOps_ProgramWorkbook_sachin_v1 3" xfId="17766" xr:uid="{00000000-0005-0000-0000-00000C450000}"/>
    <cellStyle name="_20061117Holux_WorldBankCMSScope_Re-engineering SLM_PM_Workbook_030810_FairPoint_FP comTechOps_ProgramWorkbook_sachin_v1_Steps of Doneness" xfId="17767" xr:uid="{00000000-0005-0000-0000-00000D450000}"/>
    <cellStyle name="_20061117Holux_WorldBankCMSScope_Re-engineering SLM_PM_Workbook_030810_FairPoint_FP comTechOps_ProgramWorkbook_Steps of Doneness" xfId="17768" xr:uid="{00000000-0005-0000-0000-00000E450000}"/>
    <cellStyle name="_20061117Holux_WorldBankCMSScope_Re-engineering SLM_PM_Workbook_030810_FP_CAMP&amp;ITReporting_Maintenance_Dashboard" xfId="17769" xr:uid="{00000000-0005-0000-0000-00000F450000}"/>
    <cellStyle name="_20061117Holux_WorldBankCMSScope_Re-engineering SLM_PM_Workbook_030810_FP_CAMP&amp;ITReporting_Maintenance_Dashboard 2" xfId="17770" xr:uid="{00000000-0005-0000-0000-000010450000}"/>
    <cellStyle name="_20061117Holux_WorldBankCMSScope_Re-engineering SLM_PM_Workbook_030810_FP_CAMP&amp;ITReporting_Maintenance_Dashboard 2_Steps of Doneness" xfId="17771" xr:uid="{00000000-0005-0000-0000-000011450000}"/>
    <cellStyle name="_20061117Holux_WorldBankCMSScope_Re-engineering SLM_PM_Workbook_030810_FP_CAMP&amp;ITReporting_Maintenance_Dashboard 3" xfId="17772" xr:uid="{00000000-0005-0000-0000-000012450000}"/>
    <cellStyle name="_20061117Holux_WorldBankCMSScope_Re-engineering SLM_PM_Workbook_030810_FP_CAMP&amp;ITReporting_Maintenance_Dashboard_Steps of Doneness" xfId="17773" xr:uid="{00000000-0005-0000-0000-000013450000}"/>
    <cellStyle name="_20061117Holux_WorldBankCMSScope_Re-engineering SLM_PM_Workbook_030810_FP_CAMPITReporting_Maintenance_Dashboard" xfId="17774" xr:uid="{00000000-0005-0000-0000-000014450000}"/>
    <cellStyle name="_20061117Holux_WorldBankCMSScope_Re-engineering SLM_PM_Workbook_030810_FP_CAMPITReporting_Maintenance_Dashboard 2" xfId="17775" xr:uid="{00000000-0005-0000-0000-000015450000}"/>
    <cellStyle name="_20061117Holux_WorldBankCMSScope_Re-engineering SLM_PM_Workbook_030810_FP_CAMPITReporting_Maintenance_Dashboard 2_Steps of Doneness" xfId="17776" xr:uid="{00000000-0005-0000-0000-000016450000}"/>
    <cellStyle name="_20061117Holux_WorldBankCMSScope_Re-engineering SLM_PM_Workbook_030810_FP_CAMPITReporting_Maintenance_Dashboard 3" xfId="17777" xr:uid="{00000000-0005-0000-0000-000017450000}"/>
    <cellStyle name="_20061117Holux_WorldBankCMSScope_Re-engineering SLM_PM_Workbook_030810_FP_CAMPITReporting_Maintenance_Dashboard_Steps of Doneness" xfId="17778" xr:uid="{00000000-0005-0000-0000-000018450000}"/>
    <cellStyle name="_20061117Holux_WorldBankCMSScope_Re-engineering SLM_PM_Workbook_030810_FP_Commissions_Req_Dn_ProgramWorkBook_10-Dec-2010" xfId="17779" xr:uid="{00000000-0005-0000-0000-000019450000}"/>
    <cellStyle name="_20061117Holux_WorldBankCMSScope_Re-engineering SLM_PM_Workbook_030810_FP_Commissions_Req_Dn_ProgramWorkBook_10-Dec-2010 2" xfId="17780" xr:uid="{00000000-0005-0000-0000-00001A450000}"/>
    <cellStyle name="_20061117Holux_WorldBankCMSScope_Re-engineering SLM_PM_Workbook_030810_FP_Commissions_Req_Dn_ProgramWorkBook_10-Dec-2010 2_Steps of Doneness" xfId="17781" xr:uid="{00000000-0005-0000-0000-00001B450000}"/>
    <cellStyle name="_20061117Holux_WorldBankCMSScope_Re-engineering SLM_PM_Workbook_030810_FP_Commissions_Req_Dn_ProgramWorkBook_10-Dec-2010 3" xfId="17782" xr:uid="{00000000-0005-0000-0000-00001C450000}"/>
    <cellStyle name="_20061117Holux_WorldBankCMSScope_Re-engineering SLM_PM_Workbook_030810_FP_Commissions_Req_Dn_ProgramWorkBook_10-Dec-2010_Steps of Doneness" xfId="17783" xr:uid="{00000000-0005-0000-0000-00001D450000}"/>
    <cellStyle name="_20061117Holux_WorldBankCMSScope_Re-engineering SLM_PM_Workbook_030810_FP_DW_Impl_ProgramWorkBook_07-Jan-2011" xfId="17784" xr:uid="{00000000-0005-0000-0000-00001E450000}"/>
    <cellStyle name="_20061117Holux_WorldBankCMSScope_Re-engineering SLM_PM_Workbook_030810_FP_DW_Impl_ProgramWorkBook_07-Jan-2011 2" xfId="17785" xr:uid="{00000000-0005-0000-0000-00001F450000}"/>
    <cellStyle name="_20061117Holux_WorldBankCMSScope_Re-engineering SLM_PM_Workbook_030810_FP_DW_Impl_ProgramWorkBook_07-Jan-2011 2 2" xfId="17786" xr:uid="{00000000-0005-0000-0000-000020450000}"/>
    <cellStyle name="_20061117Holux_WorldBankCMSScope_Re-engineering SLM_PM_Workbook_030810_FP_DW_Impl_ProgramWorkBook_07-Jan-2011 2 2_Steps of Doneness" xfId="17787" xr:uid="{00000000-0005-0000-0000-000021450000}"/>
    <cellStyle name="_20061117Holux_WorldBankCMSScope_Re-engineering SLM_PM_Workbook_030810_FP_DW_Impl_ProgramWorkBook_07-Jan-2011 2 3" xfId="17788" xr:uid="{00000000-0005-0000-0000-000022450000}"/>
    <cellStyle name="_20061117Holux_WorldBankCMSScope_Re-engineering SLM_PM_Workbook_030810_FP_DW_Impl_ProgramWorkBook_07-Jan-2011 2_Steps of Doneness" xfId="17789" xr:uid="{00000000-0005-0000-0000-000023450000}"/>
    <cellStyle name="_20061117Holux_WorldBankCMSScope_Re-engineering SLM_PM_Workbook_030810_FP_DW_Impl_ProgramWorkBook_07-Jan-2011 3" xfId="17790" xr:uid="{00000000-0005-0000-0000-000024450000}"/>
    <cellStyle name="_20061117Holux_WorldBankCMSScope_Re-engineering SLM_PM_Workbook_030810_FP_DW_Impl_ProgramWorkBook_07-Jan-2011 3_Steps of Doneness" xfId="17791" xr:uid="{00000000-0005-0000-0000-000025450000}"/>
    <cellStyle name="_20061117Holux_WorldBankCMSScope_Re-engineering SLM_PM_Workbook_030810_FP_DW_Impl_ProgramWorkBook_07-Jan-2011 4" xfId="17792" xr:uid="{00000000-0005-0000-0000-000026450000}"/>
    <cellStyle name="_20061117Holux_WorldBankCMSScope_Re-engineering SLM_PM_Workbook_030810_FP_DW_Impl_ProgramWorkBook_07-Jan-2011_Steps of Doneness" xfId="17793" xr:uid="{00000000-0005-0000-0000-000027450000}"/>
    <cellStyle name="_20061117Holux_WorldBankCMSScope_Re-engineering SLM_PM_Workbook_030810_FP_DW_Impl_ProgramWorkBook_11-Feb-2011" xfId="17794" xr:uid="{00000000-0005-0000-0000-000028450000}"/>
    <cellStyle name="_20061117Holux_WorldBankCMSScope_Re-engineering SLM_PM_Workbook_030810_FP_DW_Impl_ProgramWorkBook_11-Feb-2011 2" xfId="17795" xr:uid="{00000000-0005-0000-0000-000029450000}"/>
    <cellStyle name="_20061117Holux_WorldBankCMSScope_Re-engineering SLM_PM_Workbook_030810_FP_DW_Impl_ProgramWorkBook_11-Feb-2011 2_Steps of Doneness" xfId="17796" xr:uid="{00000000-0005-0000-0000-00002A450000}"/>
    <cellStyle name="_20061117Holux_WorldBankCMSScope_Re-engineering SLM_PM_Workbook_030810_FP_DW_Impl_ProgramWorkBook_11-Feb-2011 3" xfId="17797" xr:uid="{00000000-0005-0000-0000-00002B450000}"/>
    <cellStyle name="_20061117Holux_WorldBankCMSScope_Re-engineering SLM_PM_Workbook_030810_FP_DW_Impl_ProgramWorkBook_11-Feb-2011_Steps of Doneness" xfId="17798" xr:uid="{00000000-0005-0000-0000-00002C450000}"/>
    <cellStyle name="_20061117Holux_WorldBankCMSScope_Re-engineering SLM_PM_Workbook_030810_FP_DW_Impl_ProgramWorkBook_18-Feb-2011 - Working" xfId="17799" xr:uid="{00000000-0005-0000-0000-00002D450000}"/>
    <cellStyle name="_20061117Holux_WorldBankCMSScope_Re-engineering SLM_PM_Workbook_030810_FP_DW_Impl_ProgramWorkBook_18-Feb-2011 - Working 2" xfId="17800" xr:uid="{00000000-0005-0000-0000-00002E450000}"/>
    <cellStyle name="_20061117Holux_WorldBankCMSScope_Re-engineering SLM_PM_Workbook_030810_FP_DW_Impl_ProgramWorkBook_18-Feb-2011 - Working 2_Steps of Doneness" xfId="17801" xr:uid="{00000000-0005-0000-0000-00002F450000}"/>
    <cellStyle name="_20061117Holux_WorldBankCMSScope_Re-engineering SLM_PM_Workbook_030810_FP_DW_Impl_ProgramWorkBook_18-Feb-2011 - Working 3" xfId="17802" xr:uid="{00000000-0005-0000-0000-000030450000}"/>
    <cellStyle name="_20061117Holux_WorldBankCMSScope_Re-engineering SLM_PM_Workbook_030810_FP_DW_Impl_ProgramWorkBook_18-Feb-2011 - Working_Steps of Doneness" xfId="17803" xr:uid="{00000000-0005-0000-0000-000031450000}"/>
    <cellStyle name="_20061117Holux_WorldBankCMSScope_Re-engineering SLM_PM_Workbook_030810_FP_EnterprisePortal_ProgramWorkbook" xfId="17804" xr:uid="{00000000-0005-0000-0000-000032450000}"/>
    <cellStyle name="_20061117Holux_WorldBankCMSScope_Re-engineering SLM_PM_Workbook_030810_FP_EnterprisePortal_ProgramWorkbook 2" xfId="17805" xr:uid="{00000000-0005-0000-0000-000033450000}"/>
    <cellStyle name="_20061117Holux_WorldBankCMSScope_Re-engineering SLM_PM_Workbook_030810_FP_EnterprisePortal_ProgramWorkbook 2_Steps of Doneness" xfId="17806" xr:uid="{00000000-0005-0000-0000-000034450000}"/>
    <cellStyle name="_20061117Holux_WorldBankCMSScope_Re-engineering SLM_PM_Workbook_030810_FP_EnterprisePortal_ProgramWorkbook 3" xfId="17807" xr:uid="{00000000-0005-0000-0000-000035450000}"/>
    <cellStyle name="_20061117Holux_WorldBankCMSScope_Re-engineering SLM_PM_Workbook_030810_FP_EnterprisePortal_ProgramWorkbook_Steps of Doneness" xfId="17808" xr:uid="{00000000-0005-0000-0000-000036450000}"/>
    <cellStyle name="_20061117Holux_WorldBankCMSScope_Re-engineering SLM_PM_Workbook_030810_FP_SAP_MLP v2" xfId="17809" xr:uid="{00000000-0005-0000-0000-000037450000}"/>
    <cellStyle name="_20061117Holux_WorldBankCMSScope_Re-engineering SLM_PM_Workbook_030810_FP_SAP_MLP v2 2" xfId="17810" xr:uid="{00000000-0005-0000-0000-000038450000}"/>
    <cellStyle name="_20061117Holux_WorldBankCMSScope_Re-engineering SLM_PM_Workbook_030810_FP_SAP_MLP v2 2_Steps of Doneness" xfId="17811" xr:uid="{00000000-0005-0000-0000-000039450000}"/>
    <cellStyle name="_20061117Holux_WorldBankCMSScope_Re-engineering SLM_PM_Workbook_030810_FP_SAP_MLP v2 3" xfId="17812" xr:uid="{00000000-0005-0000-0000-00003A450000}"/>
    <cellStyle name="_20061117Holux_WorldBankCMSScope_Re-engineering SLM_PM_Workbook_030810_FP_SAP_MLP v2_Steps of Doneness" xfId="17813" xr:uid="{00000000-0005-0000-0000-00003B450000}"/>
    <cellStyle name="_20061117Holux_WorldBankCMSScope_Re-engineering SLM_PM_Workbook_030810_KeyDecisions" xfId="17814" xr:uid="{00000000-0005-0000-0000-00003C450000}"/>
    <cellStyle name="_20061117Holux_WorldBankCMSScope_Re-engineering SLM_PM_Workbook_030810_KeyDecisions 2" xfId="17815" xr:uid="{00000000-0005-0000-0000-00003D450000}"/>
    <cellStyle name="_20061117Holux_WorldBankCMSScope_Re-engineering SLM_PM_Workbook_030810_KeyDecisions 2_Steps of Doneness" xfId="17816" xr:uid="{00000000-0005-0000-0000-00003E450000}"/>
    <cellStyle name="_20061117Holux_WorldBankCMSScope_Re-engineering SLM_PM_Workbook_030810_KeyDecisions 3" xfId="17817" xr:uid="{00000000-0005-0000-0000-00003F450000}"/>
    <cellStyle name="_20061117Holux_WorldBankCMSScope_Re-engineering SLM_PM_Workbook_030810_KeyDecisions_Steps of Doneness" xfId="17818" xr:uid="{00000000-0005-0000-0000-000040450000}"/>
    <cellStyle name="_20061117Holux_WorldBankCMSScope_Re-engineering SLM_PM_Workbook_030810_Sophia_Imp_ProjectWorkBook_02_18_2011" xfId="17819" xr:uid="{00000000-0005-0000-0000-000041450000}"/>
    <cellStyle name="_20061117Holux_WorldBankCMSScope_Re-engineering SLM_PM_Workbook_030810_Sophia_Imp_ProjectWorkBook_02_18_2011 2" xfId="17820" xr:uid="{00000000-0005-0000-0000-000042450000}"/>
    <cellStyle name="_20061117Holux_WorldBankCMSScope_Re-engineering SLM_PM_Workbook_030810_Sophia_Imp_ProjectWorkBook_02_18_2011 2_Steps of Doneness" xfId="17821" xr:uid="{00000000-0005-0000-0000-000043450000}"/>
    <cellStyle name="_20061117Holux_WorldBankCMSScope_Re-engineering SLM_PM_Workbook_030810_Sophia_Imp_ProjectWorkBook_02_18_2011 3" xfId="17822" xr:uid="{00000000-0005-0000-0000-000044450000}"/>
    <cellStyle name="_20061117Holux_WorldBankCMSScope_Re-engineering SLM_PM_Workbook_030810_Sophia_Imp_ProjectWorkBook_02_18_2011_Steps of Doneness" xfId="17823" xr:uid="{00000000-0005-0000-0000-000045450000}"/>
    <cellStyle name="_20061117Holux_WorldBankCMSScope_Re-engineering SLM_PM_Workbook_030810_Steps of Doneness" xfId="17824" xr:uid="{00000000-0005-0000-0000-000046450000}"/>
    <cellStyle name="_20061117Holux_WorldBankCMSScope_Re-engineering SLM_PM_Workbook_030810_t" xfId="17825" xr:uid="{00000000-0005-0000-0000-000047450000}"/>
    <cellStyle name="_20061117Holux_WorldBankCMSScope_Re-engineering SLM_PM_Workbook_030810_t 2" xfId="17826" xr:uid="{00000000-0005-0000-0000-000048450000}"/>
    <cellStyle name="_20061117Holux_WorldBankCMSScope_Re-engineering SLM_PM_Workbook_030810_t 2_Steps of Doneness" xfId="17827" xr:uid="{00000000-0005-0000-0000-000049450000}"/>
    <cellStyle name="_20061117Holux_WorldBankCMSScope_Re-engineering SLM_PM_Workbook_030810_t 3" xfId="17828" xr:uid="{00000000-0005-0000-0000-00004A450000}"/>
    <cellStyle name="_20061117Holux_WorldBankCMSScope_Re-engineering SLM_PM_Workbook_030810_t_Steps of Doneness" xfId="17829" xr:uid="{00000000-0005-0000-0000-00004B450000}"/>
    <cellStyle name="_20061117Holux_WorldBankCMSScope_Scope and Deliverable Summary" xfId="17830" xr:uid="{00000000-0005-0000-0000-00004C450000}"/>
    <cellStyle name="_20061117Holux_WorldBankCMSScope_Scope and Deliverable Summary 2" xfId="17831" xr:uid="{00000000-0005-0000-0000-00004D450000}"/>
    <cellStyle name="_20061117Holux_WorldBankCMSScope_Scope and Deliverable Summary 2 2" xfId="17832" xr:uid="{00000000-0005-0000-0000-00004E450000}"/>
    <cellStyle name="_20061117Holux_WorldBankCMSScope_Scope and Deliverable Summary 2 2_Steps of Doneness" xfId="17833" xr:uid="{00000000-0005-0000-0000-00004F450000}"/>
    <cellStyle name="_20061117Holux_WorldBankCMSScope_Scope and Deliverable Summary 2 3" xfId="17834" xr:uid="{00000000-0005-0000-0000-000050450000}"/>
    <cellStyle name="_20061117Holux_WorldBankCMSScope_Scope and Deliverable Summary 2_Steps of Doneness" xfId="17835" xr:uid="{00000000-0005-0000-0000-000051450000}"/>
    <cellStyle name="_20061117Holux_WorldBankCMSScope_Scope and Deliverable Summary 3" xfId="17836" xr:uid="{00000000-0005-0000-0000-000052450000}"/>
    <cellStyle name="_20061117Holux_WorldBankCMSScope_Scope and Deliverable Summary 3_Steps of Doneness" xfId="17837" xr:uid="{00000000-0005-0000-0000-000053450000}"/>
    <cellStyle name="_20061117Holux_WorldBankCMSScope_Scope and Deliverable Summary 4" xfId="17838" xr:uid="{00000000-0005-0000-0000-000054450000}"/>
    <cellStyle name="_20061117Holux_WorldBankCMSScope_Scope and Deliverable Summary_Commissioning System Implementation_Project Workbook_06_10_2011" xfId="17839" xr:uid="{00000000-0005-0000-0000-000055450000}"/>
    <cellStyle name="_20061117Holux_WorldBankCMSScope_Scope and Deliverable Summary_Commissioning System Implementation_Project Workbook_06_10_2011 2" xfId="17840" xr:uid="{00000000-0005-0000-0000-000056450000}"/>
    <cellStyle name="_20061117Holux_WorldBankCMSScope_Scope and Deliverable Summary_Commissioning System Implementation_Project Workbook_06_10_2011 2_Steps of Doneness" xfId="17841" xr:uid="{00000000-0005-0000-0000-000057450000}"/>
    <cellStyle name="_20061117Holux_WorldBankCMSScope_Scope and Deliverable Summary_Commissioning System Implementation_Project Workbook_06_10_2011 3" xfId="17842" xr:uid="{00000000-0005-0000-0000-000058450000}"/>
    <cellStyle name="_20061117Holux_WorldBankCMSScope_Scope and Deliverable Summary_Commissioning System Implementation_Project Workbook_06_10_2011_Steps of Doneness" xfId="17843" xr:uid="{00000000-0005-0000-0000-000059450000}"/>
    <cellStyle name="_20061117Holux_WorldBankCMSScope_Scope and Deliverable Summary_FairPoint_CampReport" xfId="17844" xr:uid="{00000000-0005-0000-0000-00005A450000}"/>
    <cellStyle name="_20061117Holux_WorldBankCMSScope_Scope and Deliverable Summary_FairPoint_CampReport 2" xfId="17845" xr:uid="{00000000-0005-0000-0000-00005B450000}"/>
    <cellStyle name="_20061117Holux_WorldBankCMSScope_Scope and Deliverable Summary_FairPoint_CampReport 2_Steps of Doneness" xfId="17846" xr:uid="{00000000-0005-0000-0000-00005C450000}"/>
    <cellStyle name="_20061117Holux_WorldBankCMSScope_Scope and Deliverable Summary_FairPoint_CampReport 3" xfId="17847" xr:uid="{00000000-0005-0000-0000-00005D450000}"/>
    <cellStyle name="_20061117Holux_WorldBankCMSScope_Scope and Deliverable Summary_FairPoint_CampReport_Steps of Doneness" xfId="17848" xr:uid="{00000000-0005-0000-0000-00005E450000}"/>
    <cellStyle name="_20061117Holux_WorldBankCMSScope_Scope and Deliverable Summary_FairPoint_FP comTechOps_ProgramWorkbook" xfId="17849" xr:uid="{00000000-0005-0000-0000-00005F450000}"/>
    <cellStyle name="_20061117Holux_WorldBankCMSScope_Scope and Deliverable Summary_FairPoint_FP comTechOps_ProgramWorkbook 2" xfId="17850" xr:uid="{00000000-0005-0000-0000-000060450000}"/>
    <cellStyle name="_20061117Holux_WorldBankCMSScope_Scope and Deliverable Summary_FairPoint_FP comTechOps_ProgramWorkbook 2_Steps of Doneness" xfId="17851" xr:uid="{00000000-0005-0000-0000-000061450000}"/>
    <cellStyle name="_20061117Holux_WorldBankCMSScope_Scope and Deliverable Summary_FairPoint_FP comTechOps_ProgramWorkbook 3" xfId="17852" xr:uid="{00000000-0005-0000-0000-000062450000}"/>
    <cellStyle name="_20061117Holux_WorldBankCMSScope_Scope and Deliverable Summary_FairPoint_FP comTechOps_ProgramWorkbook_sachin" xfId="17853" xr:uid="{00000000-0005-0000-0000-000063450000}"/>
    <cellStyle name="_20061117Holux_WorldBankCMSScope_Scope and Deliverable Summary_FairPoint_FP comTechOps_ProgramWorkbook_sachin 2" xfId="17854" xr:uid="{00000000-0005-0000-0000-000064450000}"/>
    <cellStyle name="_20061117Holux_WorldBankCMSScope_Scope and Deliverable Summary_FairPoint_FP comTechOps_ProgramWorkbook_sachin 2_Steps of Doneness" xfId="17855" xr:uid="{00000000-0005-0000-0000-000065450000}"/>
    <cellStyle name="_20061117Holux_WorldBankCMSScope_Scope and Deliverable Summary_FairPoint_FP comTechOps_ProgramWorkbook_sachin 3" xfId="17856" xr:uid="{00000000-0005-0000-0000-000066450000}"/>
    <cellStyle name="_20061117Holux_WorldBankCMSScope_Scope and Deliverable Summary_FairPoint_FP comTechOps_ProgramWorkbook_sachin_Steps of Doneness" xfId="17857" xr:uid="{00000000-0005-0000-0000-000067450000}"/>
    <cellStyle name="_20061117Holux_WorldBankCMSScope_Scope and Deliverable Summary_FairPoint_FP comTechOps_ProgramWorkbook_sachin_v1" xfId="17858" xr:uid="{00000000-0005-0000-0000-000068450000}"/>
    <cellStyle name="_20061117Holux_WorldBankCMSScope_Scope and Deliverable Summary_FairPoint_FP comTechOps_ProgramWorkbook_sachin_v1 2" xfId="17859" xr:uid="{00000000-0005-0000-0000-000069450000}"/>
    <cellStyle name="_20061117Holux_WorldBankCMSScope_Scope and Deliverable Summary_FairPoint_FP comTechOps_ProgramWorkbook_sachin_v1 2_Steps of Doneness" xfId="17860" xr:uid="{00000000-0005-0000-0000-00006A450000}"/>
    <cellStyle name="_20061117Holux_WorldBankCMSScope_Scope and Deliverable Summary_FairPoint_FP comTechOps_ProgramWorkbook_sachin_v1 3" xfId="17861" xr:uid="{00000000-0005-0000-0000-00006B450000}"/>
    <cellStyle name="_20061117Holux_WorldBankCMSScope_Scope and Deliverable Summary_FairPoint_FP comTechOps_ProgramWorkbook_sachin_v1_Steps of Doneness" xfId="17862" xr:uid="{00000000-0005-0000-0000-00006C450000}"/>
    <cellStyle name="_20061117Holux_WorldBankCMSScope_Scope and Deliverable Summary_FairPoint_FP comTechOps_ProgramWorkbook_Steps of Doneness" xfId="17863" xr:uid="{00000000-0005-0000-0000-00006D450000}"/>
    <cellStyle name="_20061117Holux_WorldBankCMSScope_Scope and Deliverable Summary_FP_CAMP&amp;ITReporting_Maintenance_Dashboard" xfId="17864" xr:uid="{00000000-0005-0000-0000-00006E450000}"/>
    <cellStyle name="_20061117Holux_WorldBankCMSScope_Scope and Deliverable Summary_FP_CAMP&amp;ITReporting_Maintenance_Dashboard 2" xfId="17865" xr:uid="{00000000-0005-0000-0000-00006F450000}"/>
    <cellStyle name="_20061117Holux_WorldBankCMSScope_Scope and Deliverable Summary_FP_CAMP&amp;ITReporting_Maintenance_Dashboard 2_Steps of Doneness" xfId="17866" xr:uid="{00000000-0005-0000-0000-000070450000}"/>
    <cellStyle name="_20061117Holux_WorldBankCMSScope_Scope and Deliverable Summary_FP_CAMP&amp;ITReporting_Maintenance_Dashboard 3" xfId="17867" xr:uid="{00000000-0005-0000-0000-000071450000}"/>
    <cellStyle name="_20061117Holux_WorldBankCMSScope_Scope and Deliverable Summary_FP_CAMP&amp;ITReporting_Maintenance_Dashboard_Steps of Doneness" xfId="17868" xr:uid="{00000000-0005-0000-0000-000072450000}"/>
    <cellStyle name="_20061117Holux_WorldBankCMSScope_Scope and Deliverable Summary_FP_CAMPITReporting_Maintenance_Dashboard" xfId="17869" xr:uid="{00000000-0005-0000-0000-000073450000}"/>
    <cellStyle name="_20061117Holux_WorldBankCMSScope_Scope and Deliverable Summary_FP_CAMPITReporting_Maintenance_Dashboard 2" xfId="17870" xr:uid="{00000000-0005-0000-0000-000074450000}"/>
    <cellStyle name="_20061117Holux_WorldBankCMSScope_Scope and Deliverable Summary_FP_CAMPITReporting_Maintenance_Dashboard 2_Steps of Doneness" xfId="17871" xr:uid="{00000000-0005-0000-0000-000075450000}"/>
    <cellStyle name="_20061117Holux_WorldBankCMSScope_Scope and Deliverable Summary_FP_CAMPITReporting_Maintenance_Dashboard 3" xfId="17872" xr:uid="{00000000-0005-0000-0000-000076450000}"/>
    <cellStyle name="_20061117Holux_WorldBankCMSScope_Scope and Deliverable Summary_FP_CAMPITReporting_Maintenance_Dashboard_Steps of Doneness" xfId="17873" xr:uid="{00000000-0005-0000-0000-000077450000}"/>
    <cellStyle name="_20061117Holux_WorldBankCMSScope_Scope and Deliverable Summary_FP_Commissions_Req_Dn_ProgramWorkBook_10-Dec-2010" xfId="17874" xr:uid="{00000000-0005-0000-0000-000078450000}"/>
    <cellStyle name="_20061117Holux_WorldBankCMSScope_Scope and Deliverable Summary_FP_Commissions_Req_Dn_ProgramWorkBook_10-Dec-2010 2" xfId="17875" xr:uid="{00000000-0005-0000-0000-000079450000}"/>
    <cellStyle name="_20061117Holux_WorldBankCMSScope_Scope and Deliverable Summary_FP_Commissions_Req_Dn_ProgramWorkBook_10-Dec-2010 2_Steps of Doneness" xfId="17876" xr:uid="{00000000-0005-0000-0000-00007A450000}"/>
    <cellStyle name="_20061117Holux_WorldBankCMSScope_Scope and Deliverable Summary_FP_Commissions_Req_Dn_ProgramWorkBook_10-Dec-2010 3" xfId="17877" xr:uid="{00000000-0005-0000-0000-00007B450000}"/>
    <cellStyle name="_20061117Holux_WorldBankCMSScope_Scope and Deliverable Summary_FP_Commissions_Req_Dn_ProgramWorkBook_10-Dec-2010_Steps of Doneness" xfId="17878" xr:uid="{00000000-0005-0000-0000-00007C450000}"/>
    <cellStyle name="_20061117Holux_WorldBankCMSScope_Scope and Deliverable Summary_FP_DW_Impl_ProgramWorkBook_07-Jan-2011" xfId="17879" xr:uid="{00000000-0005-0000-0000-00007D450000}"/>
    <cellStyle name="_20061117Holux_WorldBankCMSScope_Scope and Deliverable Summary_FP_DW_Impl_ProgramWorkBook_07-Jan-2011 2" xfId="17880" xr:uid="{00000000-0005-0000-0000-00007E450000}"/>
    <cellStyle name="_20061117Holux_WorldBankCMSScope_Scope and Deliverable Summary_FP_DW_Impl_ProgramWorkBook_07-Jan-2011 2 2" xfId="17881" xr:uid="{00000000-0005-0000-0000-00007F450000}"/>
    <cellStyle name="_20061117Holux_WorldBankCMSScope_Scope and Deliverable Summary_FP_DW_Impl_ProgramWorkBook_07-Jan-2011 2 2_Steps of Doneness" xfId="17882" xr:uid="{00000000-0005-0000-0000-000080450000}"/>
    <cellStyle name="_20061117Holux_WorldBankCMSScope_Scope and Deliverable Summary_FP_DW_Impl_ProgramWorkBook_07-Jan-2011 2 3" xfId="17883" xr:uid="{00000000-0005-0000-0000-000081450000}"/>
    <cellStyle name="_20061117Holux_WorldBankCMSScope_Scope and Deliverable Summary_FP_DW_Impl_ProgramWorkBook_07-Jan-2011 2_Steps of Doneness" xfId="17884" xr:uid="{00000000-0005-0000-0000-000082450000}"/>
    <cellStyle name="_20061117Holux_WorldBankCMSScope_Scope and Deliverable Summary_FP_DW_Impl_ProgramWorkBook_07-Jan-2011 3" xfId="17885" xr:uid="{00000000-0005-0000-0000-000083450000}"/>
    <cellStyle name="_20061117Holux_WorldBankCMSScope_Scope and Deliverable Summary_FP_DW_Impl_ProgramWorkBook_07-Jan-2011 3_Steps of Doneness" xfId="17886" xr:uid="{00000000-0005-0000-0000-000084450000}"/>
    <cellStyle name="_20061117Holux_WorldBankCMSScope_Scope and Deliverable Summary_FP_DW_Impl_ProgramWorkBook_07-Jan-2011 4" xfId="17887" xr:uid="{00000000-0005-0000-0000-000085450000}"/>
    <cellStyle name="_20061117Holux_WorldBankCMSScope_Scope and Deliverable Summary_FP_DW_Impl_ProgramWorkBook_07-Jan-2011_Steps of Doneness" xfId="17888" xr:uid="{00000000-0005-0000-0000-000086450000}"/>
    <cellStyle name="_20061117Holux_WorldBankCMSScope_Scope and Deliverable Summary_FP_DW_Impl_ProgramWorkBook_11-Feb-2011" xfId="17889" xr:uid="{00000000-0005-0000-0000-000087450000}"/>
    <cellStyle name="_20061117Holux_WorldBankCMSScope_Scope and Deliverable Summary_FP_DW_Impl_ProgramWorkBook_11-Feb-2011 2" xfId="17890" xr:uid="{00000000-0005-0000-0000-000088450000}"/>
    <cellStyle name="_20061117Holux_WorldBankCMSScope_Scope and Deliverable Summary_FP_DW_Impl_ProgramWorkBook_11-Feb-2011 2_Steps of Doneness" xfId="17891" xr:uid="{00000000-0005-0000-0000-000089450000}"/>
    <cellStyle name="_20061117Holux_WorldBankCMSScope_Scope and Deliverable Summary_FP_DW_Impl_ProgramWorkBook_11-Feb-2011 3" xfId="17892" xr:uid="{00000000-0005-0000-0000-00008A450000}"/>
    <cellStyle name="_20061117Holux_WorldBankCMSScope_Scope and Deliverable Summary_FP_DW_Impl_ProgramWorkBook_11-Feb-2011_Steps of Doneness" xfId="17893" xr:uid="{00000000-0005-0000-0000-00008B450000}"/>
    <cellStyle name="_20061117Holux_WorldBankCMSScope_Scope and Deliverable Summary_FP_DW_Impl_ProgramWorkBook_18-Feb-2011 - Working" xfId="17894" xr:uid="{00000000-0005-0000-0000-00008C450000}"/>
    <cellStyle name="_20061117Holux_WorldBankCMSScope_Scope and Deliverable Summary_FP_DW_Impl_ProgramWorkBook_18-Feb-2011 - Working 2" xfId="17895" xr:uid="{00000000-0005-0000-0000-00008D450000}"/>
    <cellStyle name="_20061117Holux_WorldBankCMSScope_Scope and Deliverable Summary_FP_DW_Impl_ProgramWorkBook_18-Feb-2011 - Working 2_Steps of Doneness" xfId="17896" xr:uid="{00000000-0005-0000-0000-00008E450000}"/>
    <cellStyle name="_20061117Holux_WorldBankCMSScope_Scope and Deliverable Summary_FP_DW_Impl_ProgramWorkBook_18-Feb-2011 - Working 3" xfId="17897" xr:uid="{00000000-0005-0000-0000-00008F450000}"/>
    <cellStyle name="_20061117Holux_WorldBankCMSScope_Scope and Deliverable Summary_FP_DW_Impl_ProgramWorkBook_18-Feb-2011 - Working_Steps of Doneness" xfId="17898" xr:uid="{00000000-0005-0000-0000-000090450000}"/>
    <cellStyle name="_20061117Holux_WorldBankCMSScope_Scope and Deliverable Summary_FP_EnterprisePortal_ProgramWorkbook" xfId="17899" xr:uid="{00000000-0005-0000-0000-000091450000}"/>
    <cellStyle name="_20061117Holux_WorldBankCMSScope_Scope and Deliverable Summary_FP_EnterprisePortal_ProgramWorkbook 2" xfId="17900" xr:uid="{00000000-0005-0000-0000-000092450000}"/>
    <cellStyle name="_20061117Holux_WorldBankCMSScope_Scope and Deliverable Summary_FP_EnterprisePortal_ProgramWorkbook 2_Steps of Doneness" xfId="17901" xr:uid="{00000000-0005-0000-0000-000093450000}"/>
    <cellStyle name="_20061117Holux_WorldBankCMSScope_Scope and Deliverable Summary_FP_EnterprisePortal_ProgramWorkbook 3" xfId="17902" xr:uid="{00000000-0005-0000-0000-000094450000}"/>
    <cellStyle name="_20061117Holux_WorldBankCMSScope_Scope and Deliverable Summary_FP_EnterprisePortal_ProgramWorkbook_Steps of Doneness" xfId="17903" xr:uid="{00000000-0005-0000-0000-000095450000}"/>
    <cellStyle name="_20061117Holux_WorldBankCMSScope_Scope and Deliverable Summary_FP_SAP_MLP v2" xfId="17904" xr:uid="{00000000-0005-0000-0000-000096450000}"/>
    <cellStyle name="_20061117Holux_WorldBankCMSScope_Scope and Deliverable Summary_FP_SAP_MLP v2 2" xfId="17905" xr:uid="{00000000-0005-0000-0000-000097450000}"/>
    <cellStyle name="_20061117Holux_WorldBankCMSScope_Scope and Deliverable Summary_FP_SAP_MLP v2 2_Steps of Doneness" xfId="17906" xr:uid="{00000000-0005-0000-0000-000098450000}"/>
    <cellStyle name="_20061117Holux_WorldBankCMSScope_Scope and Deliverable Summary_FP_SAP_MLP v2 3" xfId="17907" xr:uid="{00000000-0005-0000-0000-000099450000}"/>
    <cellStyle name="_20061117Holux_WorldBankCMSScope_Scope and Deliverable Summary_FP_SAP_MLP v2_Steps of Doneness" xfId="17908" xr:uid="{00000000-0005-0000-0000-00009A450000}"/>
    <cellStyle name="_20061117Holux_WorldBankCMSScope_Scope and Deliverable Summary_KeyDecisions" xfId="17909" xr:uid="{00000000-0005-0000-0000-00009B450000}"/>
    <cellStyle name="_20061117Holux_WorldBankCMSScope_Scope and Deliverable Summary_KeyDecisions 2" xfId="17910" xr:uid="{00000000-0005-0000-0000-00009C450000}"/>
    <cellStyle name="_20061117Holux_WorldBankCMSScope_Scope and Deliverable Summary_KeyDecisions 2_Steps of Doneness" xfId="17911" xr:uid="{00000000-0005-0000-0000-00009D450000}"/>
    <cellStyle name="_20061117Holux_WorldBankCMSScope_Scope and Deliverable Summary_KeyDecisions 3" xfId="17912" xr:uid="{00000000-0005-0000-0000-00009E450000}"/>
    <cellStyle name="_20061117Holux_WorldBankCMSScope_Scope and Deliverable Summary_KeyDecisions_Steps of Doneness" xfId="17913" xr:uid="{00000000-0005-0000-0000-00009F450000}"/>
    <cellStyle name="_20061117Holux_WorldBankCMSScope_Scope and Deliverable Summary_Sophia_Imp_ProjectWorkBook_02_18_2011" xfId="17914" xr:uid="{00000000-0005-0000-0000-0000A0450000}"/>
    <cellStyle name="_20061117Holux_WorldBankCMSScope_Scope and Deliverable Summary_Sophia_Imp_ProjectWorkBook_02_18_2011 2" xfId="17915" xr:uid="{00000000-0005-0000-0000-0000A1450000}"/>
    <cellStyle name="_20061117Holux_WorldBankCMSScope_Scope and Deliverable Summary_Sophia_Imp_ProjectWorkBook_02_18_2011 2_Steps of Doneness" xfId="17916" xr:uid="{00000000-0005-0000-0000-0000A2450000}"/>
    <cellStyle name="_20061117Holux_WorldBankCMSScope_Scope and Deliverable Summary_Sophia_Imp_ProjectWorkBook_02_18_2011 3" xfId="17917" xr:uid="{00000000-0005-0000-0000-0000A3450000}"/>
    <cellStyle name="_20061117Holux_WorldBankCMSScope_Scope and Deliverable Summary_Sophia_Imp_ProjectWorkBook_02_18_2011_Steps of Doneness" xfId="17918" xr:uid="{00000000-0005-0000-0000-0000A4450000}"/>
    <cellStyle name="_20061117Holux_WorldBankCMSScope_Scope and Deliverable Summary_Steps of Doneness" xfId="17919" xr:uid="{00000000-0005-0000-0000-0000A5450000}"/>
    <cellStyle name="_20061117Holux_WorldBankCMSScope_Scope and Deliverable Summary_t" xfId="17920" xr:uid="{00000000-0005-0000-0000-0000A6450000}"/>
    <cellStyle name="_20061117Holux_WorldBankCMSScope_Scope and Deliverable Summary_t 2" xfId="17921" xr:uid="{00000000-0005-0000-0000-0000A7450000}"/>
    <cellStyle name="_20061117Holux_WorldBankCMSScope_Scope and Deliverable Summary_t 2_Steps of Doneness" xfId="17922" xr:uid="{00000000-0005-0000-0000-0000A8450000}"/>
    <cellStyle name="_20061117Holux_WorldBankCMSScope_Scope and Deliverable Summary_t 3" xfId="17923" xr:uid="{00000000-0005-0000-0000-0000A9450000}"/>
    <cellStyle name="_20061117Holux_WorldBankCMSScope_Scope and Deliverable Summary_t_Steps of Doneness" xfId="17924" xr:uid="{00000000-0005-0000-0000-0000AA450000}"/>
    <cellStyle name="_20061117Holux_WorldBankCMSScope_Scope and Deliverables Summary_0320" xfId="17925" xr:uid="{00000000-0005-0000-0000-0000AB450000}"/>
    <cellStyle name="_20061117Holux_WorldBankCMSScope_Scope and Deliverables Summary_0320 2" xfId="17926" xr:uid="{00000000-0005-0000-0000-0000AC450000}"/>
    <cellStyle name="_20061117Holux_WorldBankCMSScope_Scope and Deliverables Summary_0320 2 2" xfId="17927" xr:uid="{00000000-0005-0000-0000-0000AD450000}"/>
    <cellStyle name="_20061117Holux_WorldBankCMSScope_Scope and Deliverables Summary_0320 2 2_Steps of Doneness" xfId="17928" xr:uid="{00000000-0005-0000-0000-0000AE450000}"/>
    <cellStyle name="_20061117Holux_WorldBankCMSScope_Scope and Deliverables Summary_0320 2 3" xfId="17929" xr:uid="{00000000-0005-0000-0000-0000AF450000}"/>
    <cellStyle name="_20061117Holux_WorldBankCMSScope_Scope and Deliverables Summary_0320 2_Steps of Doneness" xfId="17930" xr:uid="{00000000-0005-0000-0000-0000B0450000}"/>
    <cellStyle name="_20061117Holux_WorldBankCMSScope_Scope and Deliverables Summary_0320 3" xfId="17931" xr:uid="{00000000-0005-0000-0000-0000B1450000}"/>
    <cellStyle name="_20061117Holux_WorldBankCMSScope_Scope and Deliverables Summary_0320 3_Steps of Doneness" xfId="17932" xr:uid="{00000000-0005-0000-0000-0000B2450000}"/>
    <cellStyle name="_20061117Holux_WorldBankCMSScope_Scope and Deliverables Summary_0320 4" xfId="17933" xr:uid="{00000000-0005-0000-0000-0000B3450000}"/>
    <cellStyle name="_20061117Holux_WorldBankCMSScope_Scope and Deliverables Summary_0320_Commissioning System Implementation_Project Workbook_06_10_2011" xfId="17934" xr:uid="{00000000-0005-0000-0000-0000B4450000}"/>
    <cellStyle name="_20061117Holux_WorldBankCMSScope_Scope and Deliverables Summary_0320_Commissioning System Implementation_Project Workbook_06_10_2011 2" xfId="17935" xr:uid="{00000000-0005-0000-0000-0000B5450000}"/>
    <cellStyle name="_20061117Holux_WorldBankCMSScope_Scope and Deliverables Summary_0320_Commissioning System Implementation_Project Workbook_06_10_2011 2_Steps of Doneness" xfId="17936" xr:uid="{00000000-0005-0000-0000-0000B6450000}"/>
    <cellStyle name="_20061117Holux_WorldBankCMSScope_Scope and Deliverables Summary_0320_Commissioning System Implementation_Project Workbook_06_10_2011 3" xfId="17937" xr:uid="{00000000-0005-0000-0000-0000B7450000}"/>
    <cellStyle name="_20061117Holux_WorldBankCMSScope_Scope and Deliverables Summary_0320_Commissioning System Implementation_Project Workbook_06_10_2011_Steps of Doneness" xfId="17938" xr:uid="{00000000-0005-0000-0000-0000B8450000}"/>
    <cellStyle name="_20061117Holux_WorldBankCMSScope_Scope and Deliverables Summary_0320_FairPoint_CampReport" xfId="17939" xr:uid="{00000000-0005-0000-0000-0000B9450000}"/>
    <cellStyle name="_20061117Holux_WorldBankCMSScope_Scope and Deliverables Summary_0320_FairPoint_CampReport 2" xfId="17940" xr:uid="{00000000-0005-0000-0000-0000BA450000}"/>
    <cellStyle name="_20061117Holux_WorldBankCMSScope_Scope and Deliverables Summary_0320_FairPoint_CampReport 2_Steps of Doneness" xfId="17941" xr:uid="{00000000-0005-0000-0000-0000BB450000}"/>
    <cellStyle name="_20061117Holux_WorldBankCMSScope_Scope and Deliverables Summary_0320_FairPoint_CampReport 3" xfId="17942" xr:uid="{00000000-0005-0000-0000-0000BC450000}"/>
    <cellStyle name="_20061117Holux_WorldBankCMSScope_Scope and Deliverables Summary_0320_FairPoint_CampReport_Steps of Doneness" xfId="17943" xr:uid="{00000000-0005-0000-0000-0000BD450000}"/>
    <cellStyle name="_20061117Holux_WorldBankCMSScope_Scope and Deliverables Summary_0320_FairPoint_FP comTechOps_ProgramWorkbook" xfId="17944" xr:uid="{00000000-0005-0000-0000-0000BE450000}"/>
    <cellStyle name="_20061117Holux_WorldBankCMSScope_Scope and Deliverables Summary_0320_FairPoint_FP comTechOps_ProgramWorkbook 2" xfId="17945" xr:uid="{00000000-0005-0000-0000-0000BF450000}"/>
    <cellStyle name="_20061117Holux_WorldBankCMSScope_Scope and Deliverables Summary_0320_FairPoint_FP comTechOps_ProgramWorkbook 2_Steps of Doneness" xfId="17946" xr:uid="{00000000-0005-0000-0000-0000C0450000}"/>
    <cellStyle name="_20061117Holux_WorldBankCMSScope_Scope and Deliverables Summary_0320_FairPoint_FP comTechOps_ProgramWorkbook 3" xfId="17947" xr:uid="{00000000-0005-0000-0000-0000C1450000}"/>
    <cellStyle name="_20061117Holux_WorldBankCMSScope_Scope and Deliverables Summary_0320_FairPoint_FP comTechOps_ProgramWorkbook_sachin" xfId="17948" xr:uid="{00000000-0005-0000-0000-0000C2450000}"/>
    <cellStyle name="_20061117Holux_WorldBankCMSScope_Scope and Deliverables Summary_0320_FairPoint_FP comTechOps_ProgramWorkbook_sachin 2" xfId="17949" xr:uid="{00000000-0005-0000-0000-0000C3450000}"/>
    <cellStyle name="_20061117Holux_WorldBankCMSScope_Scope and Deliverables Summary_0320_FairPoint_FP comTechOps_ProgramWorkbook_sachin 2_Steps of Doneness" xfId="17950" xr:uid="{00000000-0005-0000-0000-0000C4450000}"/>
    <cellStyle name="_20061117Holux_WorldBankCMSScope_Scope and Deliverables Summary_0320_FairPoint_FP comTechOps_ProgramWorkbook_sachin 3" xfId="17951" xr:uid="{00000000-0005-0000-0000-0000C5450000}"/>
    <cellStyle name="_20061117Holux_WorldBankCMSScope_Scope and Deliverables Summary_0320_FairPoint_FP comTechOps_ProgramWorkbook_sachin_Steps of Doneness" xfId="17952" xr:uid="{00000000-0005-0000-0000-0000C6450000}"/>
    <cellStyle name="_20061117Holux_WorldBankCMSScope_Scope and Deliverables Summary_0320_FairPoint_FP comTechOps_ProgramWorkbook_sachin_v1" xfId="17953" xr:uid="{00000000-0005-0000-0000-0000C7450000}"/>
    <cellStyle name="_20061117Holux_WorldBankCMSScope_Scope and Deliverables Summary_0320_FairPoint_FP comTechOps_ProgramWorkbook_sachin_v1 2" xfId="17954" xr:uid="{00000000-0005-0000-0000-0000C8450000}"/>
    <cellStyle name="_20061117Holux_WorldBankCMSScope_Scope and Deliverables Summary_0320_FairPoint_FP comTechOps_ProgramWorkbook_sachin_v1 2_Steps of Doneness" xfId="17955" xr:uid="{00000000-0005-0000-0000-0000C9450000}"/>
    <cellStyle name="_20061117Holux_WorldBankCMSScope_Scope and Deliverables Summary_0320_FairPoint_FP comTechOps_ProgramWorkbook_sachin_v1 3" xfId="17956" xr:uid="{00000000-0005-0000-0000-0000CA450000}"/>
    <cellStyle name="_20061117Holux_WorldBankCMSScope_Scope and Deliverables Summary_0320_FairPoint_FP comTechOps_ProgramWorkbook_sachin_v1_Steps of Doneness" xfId="17957" xr:uid="{00000000-0005-0000-0000-0000CB450000}"/>
    <cellStyle name="_20061117Holux_WorldBankCMSScope_Scope and Deliverables Summary_0320_FairPoint_FP comTechOps_ProgramWorkbook_Steps of Doneness" xfId="17958" xr:uid="{00000000-0005-0000-0000-0000CC450000}"/>
    <cellStyle name="_20061117Holux_WorldBankCMSScope_Scope and Deliverables Summary_0320_FP_CAMP&amp;ITReporting_Maintenance_Dashboard" xfId="17959" xr:uid="{00000000-0005-0000-0000-0000CD450000}"/>
    <cellStyle name="_20061117Holux_WorldBankCMSScope_Scope and Deliverables Summary_0320_FP_CAMP&amp;ITReporting_Maintenance_Dashboard 2" xfId="17960" xr:uid="{00000000-0005-0000-0000-0000CE450000}"/>
    <cellStyle name="_20061117Holux_WorldBankCMSScope_Scope and Deliverables Summary_0320_FP_CAMP&amp;ITReporting_Maintenance_Dashboard 2_Steps of Doneness" xfId="17961" xr:uid="{00000000-0005-0000-0000-0000CF450000}"/>
    <cellStyle name="_20061117Holux_WorldBankCMSScope_Scope and Deliverables Summary_0320_FP_CAMP&amp;ITReporting_Maintenance_Dashboard 3" xfId="17962" xr:uid="{00000000-0005-0000-0000-0000D0450000}"/>
    <cellStyle name="_20061117Holux_WorldBankCMSScope_Scope and Deliverables Summary_0320_FP_CAMP&amp;ITReporting_Maintenance_Dashboard_Steps of Doneness" xfId="17963" xr:uid="{00000000-0005-0000-0000-0000D1450000}"/>
    <cellStyle name="_20061117Holux_WorldBankCMSScope_Scope and Deliverables Summary_0320_FP_CAMPITReporting_Maintenance_Dashboard" xfId="17964" xr:uid="{00000000-0005-0000-0000-0000D2450000}"/>
    <cellStyle name="_20061117Holux_WorldBankCMSScope_Scope and Deliverables Summary_0320_FP_CAMPITReporting_Maintenance_Dashboard 2" xfId="17965" xr:uid="{00000000-0005-0000-0000-0000D3450000}"/>
    <cellStyle name="_20061117Holux_WorldBankCMSScope_Scope and Deliverables Summary_0320_FP_CAMPITReporting_Maintenance_Dashboard 2_Steps of Doneness" xfId="17966" xr:uid="{00000000-0005-0000-0000-0000D4450000}"/>
    <cellStyle name="_20061117Holux_WorldBankCMSScope_Scope and Deliverables Summary_0320_FP_CAMPITReporting_Maintenance_Dashboard 3" xfId="17967" xr:uid="{00000000-0005-0000-0000-0000D5450000}"/>
    <cellStyle name="_20061117Holux_WorldBankCMSScope_Scope and Deliverables Summary_0320_FP_CAMPITReporting_Maintenance_Dashboard_Steps of Doneness" xfId="17968" xr:uid="{00000000-0005-0000-0000-0000D6450000}"/>
    <cellStyle name="_20061117Holux_WorldBankCMSScope_Scope and Deliverables Summary_0320_FP_Commissions_Req_Dn_ProgramWorkBook_10-Dec-2010" xfId="17969" xr:uid="{00000000-0005-0000-0000-0000D7450000}"/>
    <cellStyle name="_20061117Holux_WorldBankCMSScope_Scope and Deliverables Summary_0320_FP_Commissions_Req_Dn_ProgramWorkBook_10-Dec-2010 2" xfId="17970" xr:uid="{00000000-0005-0000-0000-0000D8450000}"/>
    <cellStyle name="_20061117Holux_WorldBankCMSScope_Scope and Deliverables Summary_0320_FP_Commissions_Req_Dn_ProgramWorkBook_10-Dec-2010 2_Steps of Doneness" xfId="17971" xr:uid="{00000000-0005-0000-0000-0000D9450000}"/>
    <cellStyle name="_20061117Holux_WorldBankCMSScope_Scope and Deliverables Summary_0320_FP_Commissions_Req_Dn_ProgramWorkBook_10-Dec-2010 3" xfId="17972" xr:uid="{00000000-0005-0000-0000-0000DA450000}"/>
    <cellStyle name="_20061117Holux_WorldBankCMSScope_Scope and Deliverables Summary_0320_FP_Commissions_Req_Dn_ProgramWorkBook_10-Dec-2010_Steps of Doneness" xfId="17973" xr:uid="{00000000-0005-0000-0000-0000DB450000}"/>
    <cellStyle name="_20061117Holux_WorldBankCMSScope_Scope and Deliverables Summary_0320_FP_DW_Impl_ProgramWorkBook_07-Jan-2011" xfId="17974" xr:uid="{00000000-0005-0000-0000-0000DC450000}"/>
    <cellStyle name="_20061117Holux_WorldBankCMSScope_Scope and Deliverables Summary_0320_FP_DW_Impl_ProgramWorkBook_07-Jan-2011 2" xfId="17975" xr:uid="{00000000-0005-0000-0000-0000DD450000}"/>
    <cellStyle name="_20061117Holux_WorldBankCMSScope_Scope and Deliverables Summary_0320_FP_DW_Impl_ProgramWorkBook_07-Jan-2011 2 2" xfId="17976" xr:uid="{00000000-0005-0000-0000-0000DE450000}"/>
    <cellStyle name="_20061117Holux_WorldBankCMSScope_Scope and Deliverables Summary_0320_FP_DW_Impl_ProgramWorkBook_07-Jan-2011 2 2_Steps of Doneness" xfId="17977" xr:uid="{00000000-0005-0000-0000-0000DF450000}"/>
    <cellStyle name="_20061117Holux_WorldBankCMSScope_Scope and Deliverables Summary_0320_FP_DW_Impl_ProgramWorkBook_07-Jan-2011 2 3" xfId="17978" xr:uid="{00000000-0005-0000-0000-0000E0450000}"/>
    <cellStyle name="_20061117Holux_WorldBankCMSScope_Scope and Deliverables Summary_0320_FP_DW_Impl_ProgramWorkBook_07-Jan-2011 2_Steps of Doneness" xfId="17979" xr:uid="{00000000-0005-0000-0000-0000E1450000}"/>
    <cellStyle name="_20061117Holux_WorldBankCMSScope_Scope and Deliverables Summary_0320_FP_DW_Impl_ProgramWorkBook_07-Jan-2011 3" xfId="17980" xr:uid="{00000000-0005-0000-0000-0000E2450000}"/>
    <cellStyle name="_20061117Holux_WorldBankCMSScope_Scope and Deliverables Summary_0320_FP_DW_Impl_ProgramWorkBook_07-Jan-2011 3_Steps of Doneness" xfId="17981" xr:uid="{00000000-0005-0000-0000-0000E3450000}"/>
    <cellStyle name="_20061117Holux_WorldBankCMSScope_Scope and Deliverables Summary_0320_FP_DW_Impl_ProgramWorkBook_07-Jan-2011 4" xfId="17982" xr:uid="{00000000-0005-0000-0000-0000E4450000}"/>
    <cellStyle name="_20061117Holux_WorldBankCMSScope_Scope and Deliverables Summary_0320_FP_DW_Impl_ProgramWorkBook_07-Jan-2011_Steps of Doneness" xfId="17983" xr:uid="{00000000-0005-0000-0000-0000E5450000}"/>
    <cellStyle name="_20061117Holux_WorldBankCMSScope_Scope and Deliverables Summary_0320_FP_DW_Impl_ProgramWorkBook_11-Feb-2011" xfId="17984" xr:uid="{00000000-0005-0000-0000-0000E6450000}"/>
    <cellStyle name="_20061117Holux_WorldBankCMSScope_Scope and Deliverables Summary_0320_FP_DW_Impl_ProgramWorkBook_11-Feb-2011 2" xfId="17985" xr:uid="{00000000-0005-0000-0000-0000E7450000}"/>
    <cellStyle name="_20061117Holux_WorldBankCMSScope_Scope and Deliverables Summary_0320_FP_DW_Impl_ProgramWorkBook_11-Feb-2011 2_Steps of Doneness" xfId="17986" xr:uid="{00000000-0005-0000-0000-0000E8450000}"/>
    <cellStyle name="_20061117Holux_WorldBankCMSScope_Scope and Deliverables Summary_0320_FP_DW_Impl_ProgramWorkBook_11-Feb-2011 3" xfId="17987" xr:uid="{00000000-0005-0000-0000-0000E9450000}"/>
    <cellStyle name="_20061117Holux_WorldBankCMSScope_Scope and Deliverables Summary_0320_FP_DW_Impl_ProgramWorkBook_11-Feb-2011_Steps of Doneness" xfId="17988" xr:uid="{00000000-0005-0000-0000-0000EA450000}"/>
    <cellStyle name="_20061117Holux_WorldBankCMSScope_Scope and Deliverables Summary_0320_FP_DW_Impl_ProgramWorkBook_18-Feb-2011 - Working" xfId="17989" xr:uid="{00000000-0005-0000-0000-0000EB450000}"/>
    <cellStyle name="_20061117Holux_WorldBankCMSScope_Scope and Deliverables Summary_0320_FP_DW_Impl_ProgramWorkBook_18-Feb-2011 - Working 2" xfId="17990" xr:uid="{00000000-0005-0000-0000-0000EC450000}"/>
    <cellStyle name="_20061117Holux_WorldBankCMSScope_Scope and Deliverables Summary_0320_FP_DW_Impl_ProgramWorkBook_18-Feb-2011 - Working 2_Steps of Doneness" xfId="17991" xr:uid="{00000000-0005-0000-0000-0000ED450000}"/>
    <cellStyle name="_20061117Holux_WorldBankCMSScope_Scope and Deliverables Summary_0320_FP_DW_Impl_ProgramWorkBook_18-Feb-2011 - Working 3" xfId="17992" xr:uid="{00000000-0005-0000-0000-0000EE450000}"/>
    <cellStyle name="_20061117Holux_WorldBankCMSScope_Scope and Deliverables Summary_0320_FP_DW_Impl_ProgramWorkBook_18-Feb-2011 - Working_Steps of Doneness" xfId="17993" xr:uid="{00000000-0005-0000-0000-0000EF450000}"/>
    <cellStyle name="_20061117Holux_WorldBankCMSScope_Scope and Deliverables Summary_0320_FP_EnterprisePortal_ProgramWorkbook" xfId="17994" xr:uid="{00000000-0005-0000-0000-0000F0450000}"/>
    <cellStyle name="_20061117Holux_WorldBankCMSScope_Scope and Deliverables Summary_0320_FP_EnterprisePortal_ProgramWorkbook 2" xfId="17995" xr:uid="{00000000-0005-0000-0000-0000F1450000}"/>
    <cellStyle name="_20061117Holux_WorldBankCMSScope_Scope and Deliverables Summary_0320_FP_EnterprisePortal_ProgramWorkbook 2_Steps of Doneness" xfId="17996" xr:uid="{00000000-0005-0000-0000-0000F2450000}"/>
    <cellStyle name="_20061117Holux_WorldBankCMSScope_Scope and Deliverables Summary_0320_FP_EnterprisePortal_ProgramWorkbook 3" xfId="17997" xr:uid="{00000000-0005-0000-0000-0000F3450000}"/>
    <cellStyle name="_20061117Holux_WorldBankCMSScope_Scope and Deliverables Summary_0320_FP_EnterprisePortal_ProgramWorkbook_Steps of Doneness" xfId="17998" xr:uid="{00000000-0005-0000-0000-0000F4450000}"/>
    <cellStyle name="_20061117Holux_WorldBankCMSScope_Scope and Deliverables Summary_0320_FP_SAP_MLP v2" xfId="17999" xr:uid="{00000000-0005-0000-0000-0000F5450000}"/>
    <cellStyle name="_20061117Holux_WorldBankCMSScope_Scope and Deliverables Summary_0320_FP_SAP_MLP v2 2" xfId="18000" xr:uid="{00000000-0005-0000-0000-0000F6450000}"/>
    <cellStyle name="_20061117Holux_WorldBankCMSScope_Scope and Deliverables Summary_0320_FP_SAP_MLP v2 2_Steps of Doneness" xfId="18001" xr:uid="{00000000-0005-0000-0000-0000F7450000}"/>
    <cellStyle name="_20061117Holux_WorldBankCMSScope_Scope and Deliverables Summary_0320_FP_SAP_MLP v2 3" xfId="18002" xr:uid="{00000000-0005-0000-0000-0000F8450000}"/>
    <cellStyle name="_20061117Holux_WorldBankCMSScope_Scope and Deliverables Summary_0320_FP_SAP_MLP v2_Steps of Doneness" xfId="18003" xr:uid="{00000000-0005-0000-0000-0000F9450000}"/>
    <cellStyle name="_20061117Holux_WorldBankCMSScope_Scope and Deliverables Summary_0320_KeyDecisions" xfId="18004" xr:uid="{00000000-0005-0000-0000-0000FA450000}"/>
    <cellStyle name="_20061117Holux_WorldBankCMSScope_Scope and Deliverables Summary_0320_KeyDecisions 2" xfId="18005" xr:uid="{00000000-0005-0000-0000-0000FB450000}"/>
    <cellStyle name="_20061117Holux_WorldBankCMSScope_Scope and Deliverables Summary_0320_KeyDecisions 2_Steps of Doneness" xfId="18006" xr:uid="{00000000-0005-0000-0000-0000FC450000}"/>
    <cellStyle name="_20061117Holux_WorldBankCMSScope_Scope and Deliverables Summary_0320_KeyDecisions 3" xfId="18007" xr:uid="{00000000-0005-0000-0000-0000FD450000}"/>
    <cellStyle name="_20061117Holux_WorldBankCMSScope_Scope and Deliverables Summary_0320_KeyDecisions_Steps of Doneness" xfId="18008" xr:uid="{00000000-0005-0000-0000-0000FE450000}"/>
    <cellStyle name="_20061117Holux_WorldBankCMSScope_Scope and Deliverables Summary_0320_Sophia_Imp_ProjectWorkBook_02_18_2011" xfId="18009" xr:uid="{00000000-0005-0000-0000-0000FF450000}"/>
    <cellStyle name="_20061117Holux_WorldBankCMSScope_Scope and Deliverables Summary_0320_Sophia_Imp_ProjectWorkBook_02_18_2011 2" xfId="18010" xr:uid="{00000000-0005-0000-0000-000000460000}"/>
    <cellStyle name="_20061117Holux_WorldBankCMSScope_Scope and Deliverables Summary_0320_Sophia_Imp_ProjectWorkBook_02_18_2011 2_Steps of Doneness" xfId="18011" xr:uid="{00000000-0005-0000-0000-000001460000}"/>
    <cellStyle name="_20061117Holux_WorldBankCMSScope_Scope and Deliverables Summary_0320_Sophia_Imp_ProjectWorkBook_02_18_2011 3" xfId="18012" xr:uid="{00000000-0005-0000-0000-000002460000}"/>
    <cellStyle name="_20061117Holux_WorldBankCMSScope_Scope and Deliverables Summary_0320_Sophia_Imp_ProjectWorkBook_02_18_2011_Steps of Doneness" xfId="18013" xr:uid="{00000000-0005-0000-0000-000003460000}"/>
    <cellStyle name="_20061117Holux_WorldBankCMSScope_Scope and Deliverables Summary_0320_Steps of Doneness" xfId="18014" xr:uid="{00000000-0005-0000-0000-000004460000}"/>
    <cellStyle name="_20061117Holux_WorldBankCMSScope_Scope and Deliverables Summary_0320_t" xfId="18015" xr:uid="{00000000-0005-0000-0000-000005460000}"/>
    <cellStyle name="_20061117Holux_WorldBankCMSScope_Scope and Deliverables Summary_0320_t 2" xfId="18016" xr:uid="{00000000-0005-0000-0000-000006460000}"/>
    <cellStyle name="_20061117Holux_WorldBankCMSScope_Scope and Deliverables Summary_0320_t 2_Steps of Doneness" xfId="18017" xr:uid="{00000000-0005-0000-0000-000007460000}"/>
    <cellStyle name="_20061117Holux_WorldBankCMSScope_Scope and Deliverables Summary_0320_t 3" xfId="18018" xr:uid="{00000000-0005-0000-0000-000008460000}"/>
    <cellStyle name="_20061117Holux_WorldBankCMSScope_Scope and Deliverables Summary_0320_t_Steps of Doneness" xfId="18019" xr:uid="{00000000-0005-0000-0000-000009460000}"/>
    <cellStyle name="_20061117Holux_WorldBankCMSScope_Scope and Deliverables Summary_0323" xfId="18020" xr:uid="{00000000-0005-0000-0000-00000A460000}"/>
    <cellStyle name="_20061117Holux_WorldBankCMSScope_Scope and Deliverables Summary_0323 2" xfId="18021" xr:uid="{00000000-0005-0000-0000-00000B460000}"/>
    <cellStyle name="_20061117Holux_WorldBankCMSScope_Scope and Deliverables Summary_0323 2 2" xfId="18022" xr:uid="{00000000-0005-0000-0000-00000C460000}"/>
    <cellStyle name="_20061117Holux_WorldBankCMSScope_Scope and Deliverables Summary_0323 2 2_Steps of Doneness" xfId="18023" xr:uid="{00000000-0005-0000-0000-00000D460000}"/>
    <cellStyle name="_20061117Holux_WorldBankCMSScope_Scope and Deliverables Summary_0323 2 3" xfId="18024" xr:uid="{00000000-0005-0000-0000-00000E460000}"/>
    <cellStyle name="_20061117Holux_WorldBankCMSScope_Scope and Deliverables Summary_0323 2_Steps of Doneness" xfId="18025" xr:uid="{00000000-0005-0000-0000-00000F460000}"/>
    <cellStyle name="_20061117Holux_WorldBankCMSScope_Scope and Deliverables Summary_0323 3" xfId="18026" xr:uid="{00000000-0005-0000-0000-000010460000}"/>
    <cellStyle name="_20061117Holux_WorldBankCMSScope_Scope and Deliverables Summary_0323 3_Steps of Doneness" xfId="18027" xr:uid="{00000000-0005-0000-0000-000011460000}"/>
    <cellStyle name="_20061117Holux_WorldBankCMSScope_Scope and Deliverables Summary_0323 4" xfId="18028" xr:uid="{00000000-0005-0000-0000-000012460000}"/>
    <cellStyle name="_20061117Holux_WorldBankCMSScope_Scope and Deliverables Summary_0323_Commissioning System Implementation_Project Workbook_06_10_2011" xfId="18029" xr:uid="{00000000-0005-0000-0000-000013460000}"/>
    <cellStyle name="_20061117Holux_WorldBankCMSScope_Scope and Deliverables Summary_0323_Commissioning System Implementation_Project Workbook_06_10_2011 2" xfId="18030" xr:uid="{00000000-0005-0000-0000-000014460000}"/>
    <cellStyle name="_20061117Holux_WorldBankCMSScope_Scope and Deliverables Summary_0323_Commissioning System Implementation_Project Workbook_06_10_2011 2_Steps of Doneness" xfId="18031" xr:uid="{00000000-0005-0000-0000-000015460000}"/>
    <cellStyle name="_20061117Holux_WorldBankCMSScope_Scope and Deliverables Summary_0323_Commissioning System Implementation_Project Workbook_06_10_2011 3" xfId="18032" xr:uid="{00000000-0005-0000-0000-000016460000}"/>
    <cellStyle name="_20061117Holux_WorldBankCMSScope_Scope and Deliverables Summary_0323_Commissioning System Implementation_Project Workbook_06_10_2011_Steps of Doneness" xfId="18033" xr:uid="{00000000-0005-0000-0000-000017460000}"/>
    <cellStyle name="_20061117Holux_WorldBankCMSScope_Scope and Deliverables Summary_0323_FairPoint_CampReport" xfId="18034" xr:uid="{00000000-0005-0000-0000-000018460000}"/>
    <cellStyle name="_20061117Holux_WorldBankCMSScope_Scope and Deliverables Summary_0323_FairPoint_CampReport 2" xfId="18035" xr:uid="{00000000-0005-0000-0000-000019460000}"/>
    <cellStyle name="_20061117Holux_WorldBankCMSScope_Scope and Deliverables Summary_0323_FairPoint_CampReport 2_Steps of Doneness" xfId="18036" xr:uid="{00000000-0005-0000-0000-00001A460000}"/>
    <cellStyle name="_20061117Holux_WorldBankCMSScope_Scope and Deliverables Summary_0323_FairPoint_CampReport 3" xfId="18037" xr:uid="{00000000-0005-0000-0000-00001B460000}"/>
    <cellStyle name="_20061117Holux_WorldBankCMSScope_Scope and Deliverables Summary_0323_FairPoint_CampReport_Steps of Doneness" xfId="18038" xr:uid="{00000000-0005-0000-0000-00001C460000}"/>
    <cellStyle name="_20061117Holux_WorldBankCMSScope_Scope and Deliverables Summary_0323_FairPoint_FP comTechOps_ProgramWorkbook" xfId="18039" xr:uid="{00000000-0005-0000-0000-00001D460000}"/>
    <cellStyle name="_20061117Holux_WorldBankCMSScope_Scope and Deliverables Summary_0323_FairPoint_FP comTechOps_ProgramWorkbook 2" xfId="18040" xr:uid="{00000000-0005-0000-0000-00001E460000}"/>
    <cellStyle name="_20061117Holux_WorldBankCMSScope_Scope and Deliverables Summary_0323_FairPoint_FP comTechOps_ProgramWorkbook 2_Steps of Doneness" xfId="18041" xr:uid="{00000000-0005-0000-0000-00001F460000}"/>
    <cellStyle name="_20061117Holux_WorldBankCMSScope_Scope and Deliverables Summary_0323_FairPoint_FP comTechOps_ProgramWorkbook 3" xfId="18042" xr:uid="{00000000-0005-0000-0000-000020460000}"/>
    <cellStyle name="_20061117Holux_WorldBankCMSScope_Scope and Deliverables Summary_0323_FairPoint_FP comTechOps_ProgramWorkbook_sachin" xfId="18043" xr:uid="{00000000-0005-0000-0000-000021460000}"/>
    <cellStyle name="_20061117Holux_WorldBankCMSScope_Scope and Deliverables Summary_0323_FairPoint_FP comTechOps_ProgramWorkbook_sachin 2" xfId="18044" xr:uid="{00000000-0005-0000-0000-000022460000}"/>
    <cellStyle name="_20061117Holux_WorldBankCMSScope_Scope and Deliverables Summary_0323_FairPoint_FP comTechOps_ProgramWorkbook_sachin 2_Steps of Doneness" xfId="18045" xr:uid="{00000000-0005-0000-0000-000023460000}"/>
    <cellStyle name="_20061117Holux_WorldBankCMSScope_Scope and Deliverables Summary_0323_FairPoint_FP comTechOps_ProgramWorkbook_sachin 3" xfId="18046" xr:uid="{00000000-0005-0000-0000-000024460000}"/>
    <cellStyle name="_20061117Holux_WorldBankCMSScope_Scope and Deliverables Summary_0323_FairPoint_FP comTechOps_ProgramWorkbook_sachin_Steps of Doneness" xfId="18047" xr:uid="{00000000-0005-0000-0000-000025460000}"/>
    <cellStyle name="_20061117Holux_WorldBankCMSScope_Scope and Deliverables Summary_0323_FairPoint_FP comTechOps_ProgramWorkbook_sachin_v1" xfId="18048" xr:uid="{00000000-0005-0000-0000-000026460000}"/>
    <cellStyle name="_20061117Holux_WorldBankCMSScope_Scope and Deliverables Summary_0323_FairPoint_FP comTechOps_ProgramWorkbook_sachin_v1 2" xfId="18049" xr:uid="{00000000-0005-0000-0000-000027460000}"/>
    <cellStyle name="_20061117Holux_WorldBankCMSScope_Scope and Deliverables Summary_0323_FairPoint_FP comTechOps_ProgramWorkbook_sachin_v1 2_Steps of Doneness" xfId="18050" xr:uid="{00000000-0005-0000-0000-000028460000}"/>
    <cellStyle name="_20061117Holux_WorldBankCMSScope_Scope and Deliverables Summary_0323_FairPoint_FP comTechOps_ProgramWorkbook_sachin_v1 3" xfId="18051" xr:uid="{00000000-0005-0000-0000-000029460000}"/>
    <cellStyle name="_20061117Holux_WorldBankCMSScope_Scope and Deliverables Summary_0323_FairPoint_FP comTechOps_ProgramWorkbook_sachin_v1_Steps of Doneness" xfId="18052" xr:uid="{00000000-0005-0000-0000-00002A460000}"/>
    <cellStyle name="_20061117Holux_WorldBankCMSScope_Scope and Deliverables Summary_0323_FairPoint_FP comTechOps_ProgramWorkbook_Steps of Doneness" xfId="18053" xr:uid="{00000000-0005-0000-0000-00002B460000}"/>
    <cellStyle name="_20061117Holux_WorldBankCMSScope_Scope and Deliverables Summary_0323_FP_CAMP&amp;ITReporting_Maintenance_Dashboard" xfId="18054" xr:uid="{00000000-0005-0000-0000-00002C460000}"/>
    <cellStyle name="_20061117Holux_WorldBankCMSScope_Scope and Deliverables Summary_0323_FP_CAMP&amp;ITReporting_Maintenance_Dashboard 2" xfId="18055" xr:uid="{00000000-0005-0000-0000-00002D460000}"/>
    <cellStyle name="_20061117Holux_WorldBankCMSScope_Scope and Deliverables Summary_0323_FP_CAMP&amp;ITReporting_Maintenance_Dashboard 2_Steps of Doneness" xfId="18056" xr:uid="{00000000-0005-0000-0000-00002E460000}"/>
    <cellStyle name="_20061117Holux_WorldBankCMSScope_Scope and Deliverables Summary_0323_FP_CAMP&amp;ITReporting_Maintenance_Dashboard 3" xfId="18057" xr:uid="{00000000-0005-0000-0000-00002F460000}"/>
    <cellStyle name="_20061117Holux_WorldBankCMSScope_Scope and Deliverables Summary_0323_FP_CAMP&amp;ITReporting_Maintenance_Dashboard_Steps of Doneness" xfId="18058" xr:uid="{00000000-0005-0000-0000-000030460000}"/>
    <cellStyle name="_20061117Holux_WorldBankCMSScope_Scope and Deliverables Summary_0323_FP_CAMPITReporting_Maintenance_Dashboard" xfId="18059" xr:uid="{00000000-0005-0000-0000-000031460000}"/>
    <cellStyle name="_20061117Holux_WorldBankCMSScope_Scope and Deliverables Summary_0323_FP_CAMPITReporting_Maintenance_Dashboard 2" xfId="18060" xr:uid="{00000000-0005-0000-0000-000032460000}"/>
    <cellStyle name="_20061117Holux_WorldBankCMSScope_Scope and Deliverables Summary_0323_FP_CAMPITReporting_Maintenance_Dashboard 2_Steps of Doneness" xfId="18061" xr:uid="{00000000-0005-0000-0000-000033460000}"/>
    <cellStyle name="_20061117Holux_WorldBankCMSScope_Scope and Deliverables Summary_0323_FP_CAMPITReporting_Maintenance_Dashboard 3" xfId="18062" xr:uid="{00000000-0005-0000-0000-000034460000}"/>
    <cellStyle name="_20061117Holux_WorldBankCMSScope_Scope and Deliverables Summary_0323_FP_CAMPITReporting_Maintenance_Dashboard_Steps of Doneness" xfId="18063" xr:uid="{00000000-0005-0000-0000-000035460000}"/>
    <cellStyle name="_20061117Holux_WorldBankCMSScope_Scope and Deliverables Summary_0323_FP_Commissions_Req_Dn_ProgramWorkBook_10-Dec-2010" xfId="18064" xr:uid="{00000000-0005-0000-0000-000036460000}"/>
    <cellStyle name="_20061117Holux_WorldBankCMSScope_Scope and Deliverables Summary_0323_FP_Commissions_Req_Dn_ProgramWorkBook_10-Dec-2010 2" xfId="18065" xr:uid="{00000000-0005-0000-0000-000037460000}"/>
    <cellStyle name="_20061117Holux_WorldBankCMSScope_Scope and Deliverables Summary_0323_FP_Commissions_Req_Dn_ProgramWorkBook_10-Dec-2010 2_Steps of Doneness" xfId="18066" xr:uid="{00000000-0005-0000-0000-000038460000}"/>
    <cellStyle name="_20061117Holux_WorldBankCMSScope_Scope and Deliverables Summary_0323_FP_Commissions_Req_Dn_ProgramWorkBook_10-Dec-2010 3" xfId="18067" xr:uid="{00000000-0005-0000-0000-000039460000}"/>
    <cellStyle name="_20061117Holux_WorldBankCMSScope_Scope and Deliverables Summary_0323_FP_Commissions_Req_Dn_ProgramWorkBook_10-Dec-2010_Steps of Doneness" xfId="18068" xr:uid="{00000000-0005-0000-0000-00003A460000}"/>
    <cellStyle name="_20061117Holux_WorldBankCMSScope_Scope and Deliverables Summary_0323_FP_DW_Impl_ProgramWorkBook_07-Jan-2011" xfId="18069" xr:uid="{00000000-0005-0000-0000-00003B460000}"/>
    <cellStyle name="_20061117Holux_WorldBankCMSScope_Scope and Deliverables Summary_0323_FP_DW_Impl_ProgramWorkBook_07-Jan-2011 2" xfId="18070" xr:uid="{00000000-0005-0000-0000-00003C460000}"/>
    <cellStyle name="_20061117Holux_WorldBankCMSScope_Scope and Deliverables Summary_0323_FP_DW_Impl_ProgramWorkBook_07-Jan-2011 2 2" xfId="18071" xr:uid="{00000000-0005-0000-0000-00003D460000}"/>
    <cellStyle name="_20061117Holux_WorldBankCMSScope_Scope and Deliverables Summary_0323_FP_DW_Impl_ProgramWorkBook_07-Jan-2011 2 2_Steps of Doneness" xfId="18072" xr:uid="{00000000-0005-0000-0000-00003E460000}"/>
    <cellStyle name="_20061117Holux_WorldBankCMSScope_Scope and Deliverables Summary_0323_FP_DW_Impl_ProgramWorkBook_07-Jan-2011 2 3" xfId="18073" xr:uid="{00000000-0005-0000-0000-00003F460000}"/>
    <cellStyle name="_20061117Holux_WorldBankCMSScope_Scope and Deliverables Summary_0323_FP_DW_Impl_ProgramWorkBook_07-Jan-2011 2_Steps of Doneness" xfId="18074" xr:uid="{00000000-0005-0000-0000-000040460000}"/>
    <cellStyle name="_20061117Holux_WorldBankCMSScope_Scope and Deliverables Summary_0323_FP_DW_Impl_ProgramWorkBook_07-Jan-2011 3" xfId="18075" xr:uid="{00000000-0005-0000-0000-000041460000}"/>
    <cellStyle name="_20061117Holux_WorldBankCMSScope_Scope and Deliverables Summary_0323_FP_DW_Impl_ProgramWorkBook_07-Jan-2011 3_Steps of Doneness" xfId="18076" xr:uid="{00000000-0005-0000-0000-000042460000}"/>
    <cellStyle name="_20061117Holux_WorldBankCMSScope_Scope and Deliverables Summary_0323_FP_DW_Impl_ProgramWorkBook_07-Jan-2011 4" xfId="18077" xr:uid="{00000000-0005-0000-0000-000043460000}"/>
    <cellStyle name="_20061117Holux_WorldBankCMSScope_Scope and Deliverables Summary_0323_FP_DW_Impl_ProgramWorkBook_07-Jan-2011_Steps of Doneness" xfId="18078" xr:uid="{00000000-0005-0000-0000-000044460000}"/>
    <cellStyle name="_20061117Holux_WorldBankCMSScope_Scope and Deliverables Summary_0323_FP_DW_Impl_ProgramWorkBook_11-Feb-2011" xfId="18079" xr:uid="{00000000-0005-0000-0000-000045460000}"/>
    <cellStyle name="_20061117Holux_WorldBankCMSScope_Scope and Deliverables Summary_0323_FP_DW_Impl_ProgramWorkBook_11-Feb-2011 2" xfId="18080" xr:uid="{00000000-0005-0000-0000-000046460000}"/>
    <cellStyle name="_20061117Holux_WorldBankCMSScope_Scope and Deliverables Summary_0323_FP_DW_Impl_ProgramWorkBook_11-Feb-2011 2_Steps of Doneness" xfId="18081" xr:uid="{00000000-0005-0000-0000-000047460000}"/>
    <cellStyle name="_20061117Holux_WorldBankCMSScope_Scope and Deliverables Summary_0323_FP_DW_Impl_ProgramWorkBook_11-Feb-2011 3" xfId="18082" xr:uid="{00000000-0005-0000-0000-000048460000}"/>
    <cellStyle name="_20061117Holux_WorldBankCMSScope_Scope and Deliverables Summary_0323_FP_DW_Impl_ProgramWorkBook_11-Feb-2011_Steps of Doneness" xfId="18083" xr:uid="{00000000-0005-0000-0000-000049460000}"/>
    <cellStyle name="_20061117Holux_WorldBankCMSScope_Scope and Deliverables Summary_0323_FP_DW_Impl_ProgramWorkBook_18-Feb-2011 - Working" xfId="18084" xr:uid="{00000000-0005-0000-0000-00004A460000}"/>
    <cellStyle name="_20061117Holux_WorldBankCMSScope_Scope and Deliverables Summary_0323_FP_DW_Impl_ProgramWorkBook_18-Feb-2011 - Working 2" xfId="18085" xr:uid="{00000000-0005-0000-0000-00004B460000}"/>
    <cellStyle name="_20061117Holux_WorldBankCMSScope_Scope and Deliverables Summary_0323_FP_DW_Impl_ProgramWorkBook_18-Feb-2011 - Working 2_Steps of Doneness" xfId="18086" xr:uid="{00000000-0005-0000-0000-00004C460000}"/>
    <cellStyle name="_20061117Holux_WorldBankCMSScope_Scope and Deliverables Summary_0323_FP_DW_Impl_ProgramWorkBook_18-Feb-2011 - Working 3" xfId="18087" xr:uid="{00000000-0005-0000-0000-00004D460000}"/>
    <cellStyle name="_20061117Holux_WorldBankCMSScope_Scope and Deliverables Summary_0323_FP_DW_Impl_ProgramWorkBook_18-Feb-2011 - Working_Steps of Doneness" xfId="18088" xr:uid="{00000000-0005-0000-0000-00004E460000}"/>
    <cellStyle name="_20061117Holux_WorldBankCMSScope_Scope and Deliverables Summary_0323_FP_EnterprisePortal_ProgramWorkbook" xfId="18089" xr:uid="{00000000-0005-0000-0000-00004F460000}"/>
    <cellStyle name="_20061117Holux_WorldBankCMSScope_Scope and Deliverables Summary_0323_FP_EnterprisePortal_ProgramWorkbook 2" xfId="18090" xr:uid="{00000000-0005-0000-0000-000050460000}"/>
    <cellStyle name="_20061117Holux_WorldBankCMSScope_Scope and Deliverables Summary_0323_FP_EnterprisePortal_ProgramWorkbook 2_Steps of Doneness" xfId="18091" xr:uid="{00000000-0005-0000-0000-000051460000}"/>
    <cellStyle name="_20061117Holux_WorldBankCMSScope_Scope and Deliverables Summary_0323_FP_EnterprisePortal_ProgramWorkbook 3" xfId="18092" xr:uid="{00000000-0005-0000-0000-000052460000}"/>
    <cellStyle name="_20061117Holux_WorldBankCMSScope_Scope and Deliverables Summary_0323_FP_EnterprisePortal_ProgramWorkbook_Steps of Doneness" xfId="18093" xr:uid="{00000000-0005-0000-0000-000053460000}"/>
    <cellStyle name="_20061117Holux_WorldBankCMSScope_Scope and Deliverables Summary_0323_FP_SAP_MLP v2" xfId="18094" xr:uid="{00000000-0005-0000-0000-000054460000}"/>
    <cellStyle name="_20061117Holux_WorldBankCMSScope_Scope and Deliverables Summary_0323_FP_SAP_MLP v2 2" xfId="18095" xr:uid="{00000000-0005-0000-0000-000055460000}"/>
    <cellStyle name="_20061117Holux_WorldBankCMSScope_Scope and Deliverables Summary_0323_FP_SAP_MLP v2 2_Steps of Doneness" xfId="18096" xr:uid="{00000000-0005-0000-0000-000056460000}"/>
    <cellStyle name="_20061117Holux_WorldBankCMSScope_Scope and Deliverables Summary_0323_FP_SAP_MLP v2 3" xfId="18097" xr:uid="{00000000-0005-0000-0000-000057460000}"/>
    <cellStyle name="_20061117Holux_WorldBankCMSScope_Scope and Deliverables Summary_0323_FP_SAP_MLP v2_Steps of Doneness" xfId="18098" xr:uid="{00000000-0005-0000-0000-000058460000}"/>
    <cellStyle name="_20061117Holux_WorldBankCMSScope_Scope and Deliverables Summary_0323_KeyDecisions" xfId="18099" xr:uid="{00000000-0005-0000-0000-000059460000}"/>
    <cellStyle name="_20061117Holux_WorldBankCMSScope_Scope and Deliverables Summary_0323_KeyDecisions 2" xfId="18100" xr:uid="{00000000-0005-0000-0000-00005A460000}"/>
    <cellStyle name="_20061117Holux_WorldBankCMSScope_Scope and Deliverables Summary_0323_KeyDecisions 2_Steps of Doneness" xfId="18101" xr:uid="{00000000-0005-0000-0000-00005B460000}"/>
    <cellStyle name="_20061117Holux_WorldBankCMSScope_Scope and Deliverables Summary_0323_KeyDecisions 3" xfId="18102" xr:uid="{00000000-0005-0000-0000-00005C460000}"/>
    <cellStyle name="_20061117Holux_WorldBankCMSScope_Scope and Deliverables Summary_0323_KeyDecisions_Steps of Doneness" xfId="18103" xr:uid="{00000000-0005-0000-0000-00005D460000}"/>
    <cellStyle name="_20061117Holux_WorldBankCMSScope_Scope and Deliverables Summary_0323_Sophia_Imp_ProjectWorkBook_02_18_2011" xfId="18104" xr:uid="{00000000-0005-0000-0000-00005E460000}"/>
    <cellStyle name="_20061117Holux_WorldBankCMSScope_Scope and Deliverables Summary_0323_Sophia_Imp_ProjectWorkBook_02_18_2011 2" xfId="18105" xr:uid="{00000000-0005-0000-0000-00005F460000}"/>
    <cellStyle name="_20061117Holux_WorldBankCMSScope_Scope and Deliverables Summary_0323_Sophia_Imp_ProjectWorkBook_02_18_2011 2_Steps of Doneness" xfId="18106" xr:uid="{00000000-0005-0000-0000-000060460000}"/>
    <cellStyle name="_20061117Holux_WorldBankCMSScope_Scope and Deliverables Summary_0323_Sophia_Imp_ProjectWorkBook_02_18_2011 3" xfId="18107" xr:uid="{00000000-0005-0000-0000-000061460000}"/>
    <cellStyle name="_20061117Holux_WorldBankCMSScope_Scope and Deliverables Summary_0323_Sophia_Imp_ProjectWorkBook_02_18_2011_Steps of Doneness" xfId="18108" xr:uid="{00000000-0005-0000-0000-000062460000}"/>
    <cellStyle name="_20061117Holux_WorldBankCMSScope_Scope and Deliverables Summary_0323_Steps of Doneness" xfId="18109" xr:uid="{00000000-0005-0000-0000-000063460000}"/>
    <cellStyle name="_20061117Holux_WorldBankCMSScope_Scope and Deliverables Summary_0323_t" xfId="18110" xr:uid="{00000000-0005-0000-0000-000064460000}"/>
    <cellStyle name="_20061117Holux_WorldBankCMSScope_Scope and Deliverables Summary_0323_t 2" xfId="18111" xr:uid="{00000000-0005-0000-0000-000065460000}"/>
    <cellStyle name="_20061117Holux_WorldBankCMSScope_Scope and Deliverables Summary_0323_t 2_Steps of Doneness" xfId="18112" xr:uid="{00000000-0005-0000-0000-000066460000}"/>
    <cellStyle name="_20061117Holux_WorldBankCMSScope_Scope and Deliverables Summary_0323_t 3" xfId="18113" xr:uid="{00000000-0005-0000-0000-000067460000}"/>
    <cellStyle name="_20061117Holux_WorldBankCMSScope_Scope and Deliverables Summary_0323_t_Steps of Doneness" xfId="18114" xr:uid="{00000000-0005-0000-0000-000068460000}"/>
    <cellStyle name="_20061117Holux_WorldBankCMSScope_Scope and Deliverables Summary_CMS_0609" xfId="18115" xr:uid="{00000000-0005-0000-0000-000069460000}"/>
    <cellStyle name="_20061117Holux_WorldBankCMSScope_Scope and Deliverables Summary_CMS_0609 2" xfId="18116" xr:uid="{00000000-0005-0000-0000-00006A460000}"/>
    <cellStyle name="_20061117Holux_WorldBankCMSScope_Scope and Deliverables Summary_CMS_0609 2 2" xfId="18117" xr:uid="{00000000-0005-0000-0000-00006B460000}"/>
    <cellStyle name="_20061117Holux_WorldBankCMSScope_Scope and Deliverables Summary_CMS_0609 2 2_Steps of Doneness" xfId="18118" xr:uid="{00000000-0005-0000-0000-00006C460000}"/>
    <cellStyle name="_20061117Holux_WorldBankCMSScope_Scope and Deliverables Summary_CMS_0609 2 3" xfId="18119" xr:uid="{00000000-0005-0000-0000-00006D460000}"/>
    <cellStyle name="_20061117Holux_WorldBankCMSScope_Scope and Deliverables Summary_CMS_0609 2_Steps of Doneness" xfId="18120" xr:uid="{00000000-0005-0000-0000-00006E460000}"/>
    <cellStyle name="_20061117Holux_WorldBankCMSScope_Scope and Deliverables Summary_CMS_0609 3" xfId="18121" xr:uid="{00000000-0005-0000-0000-00006F460000}"/>
    <cellStyle name="_20061117Holux_WorldBankCMSScope_Scope and Deliverables Summary_CMS_0609 3_Steps of Doneness" xfId="18122" xr:uid="{00000000-0005-0000-0000-000070460000}"/>
    <cellStyle name="_20061117Holux_WorldBankCMSScope_Scope and Deliverables Summary_CMS_0609 4" xfId="18123" xr:uid="{00000000-0005-0000-0000-000071460000}"/>
    <cellStyle name="_20061117Holux_WorldBankCMSScope_Scope and Deliverables Summary_CMS_0609_Commissioning System Implementation_Project Workbook_06_10_2011" xfId="18124" xr:uid="{00000000-0005-0000-0000-000072460000}"/>
    <cellStyle name="_20061117Holux_WorldBankCMSScope_Scope and Deliverables Summary_CMS_0609_Commissioning System Implementation_Project Workbook_06_10_2011 2" xfId="18125" xr:uid="{00000000-0005-0000-0000-000073460000}"/>
    <cellStyle name="_20061117Holux_WorldBankCMSScope_Scope and Deliverables Summary_CMS_0609_Commissioning System Implementation_Project Workbook_06_10_2011 2_Steps of Doneness" xfId="18126" xr:uid="{00000000-0005-0000-0000-000074460000}"/>
    <cellStyle name="_20061117Holux_WorldBankCMSScope_Scope and Deliverables Summary_CMS_0609_Commissioning System Implementation_Project Workbook_06_10_2011 3" xfId="18127" xr:uid="{00000000-0005-0000-0000-000075460000}"/>
    <cellStyle name="_20061117Holux_WorldBankCMSScope_Scope and Deliverables Summary_CMS_0609_Commissioning System Implementation_Project Workbook_06_10_2011_Steps of Doneness" xfId="18128" xr:uid="{00000000-0005-0000-0000-000076460000}"/>
    <cellStyle name="_20061117Holux_WorldBankCMSScope_Scope and Deliverables Summary_CMS_0609_FairPoint_CampReport" xfId="18129" xr:uid="{00000000-0005-0000-0000-000077460000}"/>
    <cellStyle name="_20061117Holux_WorldBankCMSScope_Scope and Deliverables Summary_CMS_0609_FairPoint_CampReport 2" xfId="18130" xr:uid="{00000000-0005-0000-0000-000078460000}"/>
    <cellStyle name="_20061117Holux_WorldBankCMSScope_Scope and Deliverables Summary_CMS_0609_FairPoint_CampReport 2_Steps of Doneness" xfId="18131" xr:uid="{00000000-0005-0000-0000-000079460000}"/>
    <cellStyle name="_20061117Holux_WorldBankCMSScope_Scope and Deliverables Summary_CMS_0609_FairPoint_CampReport 3" xfId="18132" xr:uid="{00000000-0005-0000-0000-00007A460000}"/>
    <cellStyle name="_20061117Holux_WorldBankCMSScope_Scope and Deliverables Summary_CMS_0609_FairPoint_CampReport_Steps of Doneness" xfId="18133" xr:uid="{00000000-0005-0000-0000-00007B460000}"/>
    <cellStyle name="_20061117Holux_WorldBankCMSScope_Scope and Deliverables Summary_CMS_0609_FairPoint_FP comTechOps_ProgramWorkbook" xfId="18134" xr:uid="{00000000-0005-0000-0000-00007C460000}"/>
    <cellStyle name="_20061117Holux_WorldBankCMSScope_Scope and Deliverables Summary_CMS_0609_FairPoint_FP comTechOps_ProgramWorkbook 2" xfId="18135" xr:uid="{00000000-0005-0000-0000-00007D460000}"/>
    <cellStyle name="_20061117Holux_WorldBankCMSScope_Scope and Deliverables Summary_CMS_0609_FairPoint_FP comTechOps_ProgramWorkbook 2_Steps of Doneness" xfId="18136" xr:uid="{00000000-0005-0000-0000-00007E460000}"/>
    <cellStyle name="_20061117Holux_WorldBankCMSScope_Scope and Deliverables Summary_CMS_0609_FairPoint_FP comTechOps_ProgramWorkbook 3" xfId="18137" xr:uid="{00000000-0005-0000-0000-00007F460000}"/>
    <cellStyle name="_20061117Holux_WorldBankCMSScope_Scope and Deliverables Summary_CMS_0609_FairPoint_FP comTechOps_ProgramWorkbook_sachin" xfId="18138" xr:uid="{00000000-0005-0000-0000-000080460000}"/>
    <cellStyle name="_20061117Holux_WorldBankCMSScope_Scope and Deliverables Summary_CMS_0609_FairPoint_FP comTechOps_ProgramWorkbook_sachin 2" xfId="18139" xr:uid="{00000000-0005-0000-0000-000081460000}"/>
    <cellStyle name="_20061117Holux_WorldBankCMSScope_Scope and Deliverables Summary_CMS_0609_FairPoint_FP comTechOps_ProgramWorkbook_sachin 2_Steps of Doneness" xfId="18140" xr:uid="{00000000-0005-0000-0000-000082460000}"/>
    <cellStyle name="_20061117Holux_WorldBankCMSScope_Scope and Deliverables Summary_CMS_0609_FairPoint_FP comTechOps_ProgramWorkbook_sachin 3" xfId="18141" xr:uid="{00000000-0005-0000-0000-000083460000}"/>
    <cellStyle name="_20061117Holux_WorldBankCMSScope_Scope and Deliverables Summary_CMS_0609_FairPoint_FP comTechOps_ProgramWorkbook_sachin_Steps of Doneness" xfId="18142" xr:uid="{00000000-0005-0000-0000-000084460000}"/>
    <cellStyle name="_20061117Holux_WorldBankCMSScope_Scope and Deliverables Summary_CMS_0609_FairPoint_FP comTechOps_ProgramWorkbook_sachin_v1" xfId="18143" xr:uid="{00000000-0005-0000-0000-000085460000}"/>
    <cellStyle name="_20061117Holux_WorldBankCMSScope_Scope and Deliverables Summary_CMS_0609_FairPoint_FP comTechOps_ProgramWorkbook_sachin_v1 2" xfId="18144" xr:uid="{00000000-0005-0000-0000-000086460000}"/>
    <cellStyle name="_20061117Holux_WorldBankCMSScope_Scope and Deliverables Summary_CMS_0609_FairPoint_FP comTechOps_ProgramWorkbook_sachin_v1 2_Steps of Doneness" xfId="18145" xr:uid="{00000000-0005-0000-0000-000087460000}"/>
    <cellStyle name="_20061117Holux_WorldBankCMSScope_Scope and Deliverables Summary_CMS_0609_FairPoint_FP comTechOps_ProgramWorkbook_sachin_v1 3" xfId="18146" xr:uid="{00000000-0005-0000-0000-000088460000}"/>
    <cellStyle name="_20061117Holux_WorldBankCMSScope_Scope and Deliverables Summary_CMS_0609_FairPoint_FP comTechOps_ProgramWorkbook_sachin_v1_Steps of Doneness" xfId="18147" xr:uid="{00000000-0005-0000-0000-000089460000}"/>
    <cellStyle name="_20061117Holux_WorldBankCMSScope_Scope and Deliverables Summary_CMS_0609_FairPoint_FP comTechOps_ProgramWorkbook_Steps of Doneness" xfId="18148" xr:uid="{00000000-0005-0000-0000-00008A460000}"/>
    <cellStyle name="_20061117Holux_WorldBankCMSScope_Scope and Deliverables Summary_CMS_0609_FP_CAMP&amp;ITReporting_Maintenance_Dashboard" xfId="18149" xr:uid="{00000000-0005-0000-0000-00008B460000}"/>
    <cellStyle name="_20061117Holux_WorldBankCMSScope_Scope and Deliverables Summary_CMS_0609_FP_CAMP&amp;ITReporting_Maintenance_Dashboard 2" xfId="18150" xr:uid="{00000000-0005-0000-0000-00008C460000}"/>
    <cellStyle name="_20061117Holux_WorldBankCMSScope_Scope and Deliverables Summary_CMS_0609_FP_CAMP&amp;ITReporting_Maintenance_Dashboard 2_Steps of Doneness" xfId="18151" xr:uid="{00000000-0005-0000-0000-00008D460000}"/>
    <cellStyle name="_20061117Holux_WorldBankCMSScope_Scope and Deliverables Summary_CMS_0609_FP_CAMP&amp;ITReporting_Maintenance_Dashboard 3" xfId="18152" xr:uid="{00000000-0005-0000-0000-00008E460000}"/>
    <cellStyle name="_20061117Holux_WorldBankCMSScope_Scope and Deliverables Summary_CMS_0609_FP_CAMP&amp;ITReporting_Maintenance_Dashboard_Steps of Doneness" xfId="18153" xr:uid="{00000000-0005-0000-0000-00008F460000}"/>
    <cellStyle name="_20061117Holux_WorldBankCMSScope_Scope and Deliverables Summary_CMS_0609_FP_CAMPITReporting_Maintenance_Dashboard" xfId="18154" xr:uid="{00000000-0005-0000-0000-000090460000}"/>
    <cellStyle name="_20061117Holux_WorldBankCMSScope_Scope and Deliverables Summary_CMS_0609_FP_CAMPITReporting_Maintenance_Dashboard 2" xfId="18155" xr:uid="{00000000-0005-0000-0000-000091460000}"/>
    <cellStyle name="_20061117Holux_WorldBankCMSScope_Scope and Deliverables Summary_CMS_0609_FP_CAMPITReporting_Maintenance_Dashboard 2_Steps of Doneness" xfId="18156" xr:uid="{00000000-0005-0000-0000-000092460000}"/>
    <cellStyle name="_20061117Holux_WorldBankCMSScope_Scope and Deliverables Summary_CMS_0609_FP_CAMPITReporting_Maintenance_Dashboard 3" xfId="18157" xr:uid="{00000000-0005-0000-0000-000093460000}"/>
    <cellStyle name="_20061117Holux_WorldBankCMSScope_Scope and Deliverables Summary_CMS_0609_FP_CAMPITReporting_Maintenance_Dashboard_Steps of Doneness" xfId="18158" xr:uid="{00000000-0005-0000-0000-000094460000}"/>
    <cellStyle name="_20061117Holux_WorldBankCMSScope_Scope and Deliverables Summary_CMS_0609_FP_Commissions_Req_Dn_ProgramWorkBook_10-Dec-2010" xfId="18159" xr:uid="{00000000-0005-0000-0000-000095460000}"/>
    <cellStyle name="_20061117Holux_WorldBankCMSScope_Scope and Deliverables Summary_CMS_0609_FP_Commissions_Req_Dn_ProgramWorkBook_10-Dec-2010 2" xfId="18160" xr:uid="{00000000-0005-0000-0000-000096460000}"/>
    <cellStyle name="_20061117Holux_WorldBankCMSScope_Scope and Deliverables Summary_CMS_0609_FP_Commissions_Req_Dn_ProgramWorkBook_10-Dec-2010 2_Steps of Doneness" xfId="18161" xr:uid="{00000000-0005-0000-0000-000097460000}"/>
    <cellStyle name="_20061117Holux_WorldBankCMSScope_Scope and Deliverables Summary_CMS_0609_FP_Commissions_Req_Dn_ProgramWorkBook_10-Dec-2010 3" xfId="18162" xr:uid="{00000000-0005-0000-0000-000098460000}"/>
    <cellStyle name="_20061117Holux_WorldBankCMSScope_Scope and Deliverables Summary_CMS_0609_FP_Commissions_Req_Dn_ProgramWorkBook_10-Dec-2010_Steps of Doneness" xfId="18163" xr:uid="{00000000-0005-0000-0000-000099460000}"/>
    <cellStyle name="_20061117Holux_WorldBankCMSScope_Scope and Deliverables Summary_CMS_0609_FP_DW_Impl_ProgramWorkBook_07-Jan-2011" xfId="18164" xr:uid="{00000000-0005-0000-0000-00009A460000}"/>
    <cellStyle name="_20061117Holux_WorldBankCMSScope_Scope and Deliverables Summary_CMS_0609_FP_DW_Impl_ProgramWorkBook_07-Jan-2011 2" xfId="18165" xr:uid="{00000000-0005-0000-0000-00009B460000}"/>
    <cellStyle name="_20061117Holux_WorldBankCMSScope_Scope and Deliverables Summary_CMS_0609_FP_DW_Impl_ProgramWorkBook_07-Jan-2011 2 2" xfId="18166" xr:uid="{00000000-0005-0000-0000-00009C460000}"/>
    <cellStyle name="_20061117Holux_WorldBankCMSScope_Scope and Deliverables Summary_CMS_0609_FP_DW_Impl_ProgramWorkBook_07-Jan-2011 2 2_Steps of Doneness" xfId="18167" xr:uid="{00000000-0005-0000-0000-00009D460000}"/>
    <cellStyle name="_20061117Holux_WorldBankCMSScope_Scope and Deliverables Summary_CMS_0609_FP_DW_Impl_ProgramWorkBook_07-Jan-2011 2 3" xfId="18168" xr:uid="{00000000-0005-0000-0000-00009E460000}"/>
    <cellStyle name="_20061117Holux_WorldBankCMSScope_Scope and Deliverables Summary_CMS_0609_FP_DW_Impl_ProgramWorkBook_07-Jan-2011 2_Steps of Doneness" xfId="18169" xr:uid="{00000000-0005-0000-0000-00009F460000}"/>
    <cellStyle name="_20061117Holux_WorldBankCMSScope_Scope and Deliverables Summary_CMS_0609_FP_DW_Impl_ProgramWorkBook_07-Jan-2011 3" xfId="18170" xr:uid="{00000000-0005-0000-0000-0000A0460000}"/>
    <cellStyle name="_20061117Holux_WorldBankCMSScope_Scope and Deliverables Summary_CMS_0609_FP_DW_Impl_ProgramWorkBook_07-Jan-2011 3_Steps of Doneness" xfId="18171" xr:uid="{00000000-0005-0000-0000-0000A1460000}"/>
    <cellStyle name="_20061117Holux_WorldBankCMSScope_Scope and Deliverables Summary_CMS_0609_FP_DW_Impl_ProgramWorkBook_07-Jan-2011 4" xfId="18172" xr:uid="{00000000-0005-0000-0000-0000A2460000}"/>
    <cellStyle name="_20061117Holux_WorldBankCMSScope_Scope and Deliverables Summary_CMS_0609_FP_DW_Impl_ProgramWorkBook_07-Jan-2011_Steps of Doneness" xfId="18173" xr:uid="{00000000-0005-0000-0000-0000A3460000}"/>
    <cellStyle name="_20061117Holux_WorldBankCMSScope_Scope and Deliverables Summary_CMS_0609_FP_DW_Impl_ProgramWorkBook_11-Feb-2011" xfId="18174" xr:uid="{00000000-0005-0000-0000-0000A4460000}"/>
    <cellStyle name="_20061117Holux_WorldBankCMSScope_Scope and Deliverables Summary_CMS_0609_FP_DW_Impl_ProgramWorkBook_11-Feb-2011 2" xfId="18175" xr:uid="{00000000-0005-0000-0000-0000A5460000}"/>
    <cellStyle name="_20061117Holux_WorldBankCMSScope_Scope and Deliverables Summary_CMS_0609_FP_DW_Impl_ProgramWorkBook_11-Feb-2011 2_Steps of Doneness" xfId="18176" xr:uid="{00000000-0005-0000-0000-0000A6460000}"/>
    <cellStyle name="_20061117Holux_WorldBankCMSScope_Scope and Deliverables Summary_CMS_0609_FP_DW_Impl_ProgramWorkBook_11-Feb-2011 3" xfId="18177" xr:uid="{00000000-0005-0000-0000-0000A7460000}"/>
    <cellStyle name="_20061117Holux_WorldBankCMSScope_Scope and Deliverables Summary_CMS_0609_FP_DW_Impl_ProgramWorkBook_11-Feb-2011_Steps of Doneness" xfId="18178" xr:uid="{00000000-0005-0000-0000-0000A8460000}"/>
    <cellStyle name="_20061117Holux_WorldBankCMSScope_Scope and Deliverables Summary_CMS_0609_FP_DW_Impl_ProgramWorkBook_18-Feb-2011 - Working" xfId="18179" xr:uid="{00000000-0005-0000-0000-0000A9460000}"/>
    <cellStyle name="_20061117Holux_WorldBankCMSScope_Scope and Deliverables Summary_CMS_0609_FP_DW_Impl_ProgramWorkBook_18-Feb-2011 - Working 2" xfId="18180" xr:uid="{00000000-0005-0000-0000-0000AA460000}"/>
    <cellStyle name="_20061117Holux_WorldBankCMSScope_Scope and Deliverables Summary_CMS_0609_FP_DW_Impl_ProgramWorkBook_18-Feb-2011 - Working 2_Steps of Doneness" xfId="18181" xr:uid="{00000000-0005-0000-0000-0000AB460000}"/>
    <cellStyle name="_20061117Holux_WorldBankCMSScope_Scope and Deliverables Summary_CMS_0609_FP_DW_Impl_ProgramWorkBook_18-Feb-2011 - Working 3" xfId="18182" xr:uid="{00000000-0005-0000-0000-0000AC460000}"/>
    <cellStyle name="_20061117Holux_WorldBankCMSScope_Scope and Deliverables Summary_CMS_0609_FP_DW_Impl_ProgramWorkBook_18-Feb-2011 - Working_Steps of Doneness" xfId="18183" xr:uid="{00000000-0005-0000-0000-0000AD460000}"/>
    <cellStyle name="_20061117Holux_WorldBankCMSScope_Scope and Deliverables Summary_CMS_0609_FP_EnterprisePortal_ProgramWorkbook" xfId="18184" xr:uid="{00000000-0005-0000-0000-0000AE460000}"/>
    <cellStyle name="_20061117Holux_WorldBankCMSScope_Scope and Deliverables Summary_CMS_0609_FP_EnterprisePortal_ProgramWorkbook 2" xfId="18185" xr:uid="{00000000-0005-0000-0000-0000AF460000}"/>
    <cellStyle name="_20061117Holux_WorldBankCMSScope_Scope and Deliverables Summary_CMS_0609_FP_EnterprisePortal_ProgramWorkbook 2_Steps of Doneness" xfId="18186" xr:uid="{00000000-0005-0000-0000-0000B0460000}"/>
    <cellStyle name="_20061117Holux_WorldBankCMSScope_Scope and Deliverables Summary_CMS_0609_FP_EnterprisePortal_ProgramWorkbook 3" xfId="18187" xr:uid="{00000000-0005-0000-0000-0000B1460000}"/>
    <cellStyle name="_20061117Holux_WorldBankCMSScope_Scope and Deliverables Summary_CMS_0609_FP_EnterprisePortal_ProgramWorkbook_Steps of Doneness" xfId="18188" xr:uid="{00000000-0005-0000-0000-0000B2460000}"/>
    <cellStyle name="_20061117Holux_WorldBankCMSScope_Scope and Deliverables Summary_CMS_0609_FP_SAP_MLP v2" xfId="18189" xr:uid="{00000000-0005-0000-0000-0000B3460000}"/>
    <cellStyle name="_20061117Holux_WorldBankCMSScope_Scope and Deliverables Summary_CMS_0609_FP_SAP_MLP v2 2" xfId="18190" xr:uid="{00000000-0005-0000-0000-0000B4460000}"/>
    <cellStyle name="_20061117Holux_WorldBankCMSScope_Scope and Deliverables Summary_CMS_0609_FP_SAP_MLP v2 2_Steps of Doneness" xfId="18191" xr:uid="{00000000-0005-0000-0000-0000B5460000}"/>
    <cellStyle name="_20061117Holux_WorldBankCMSScope_Scope and Deliverables Summary_CMS_0609_FP_SAP_MLP v2 3" xfId="18192" xr:uid="{00000000-0005-0000-0000-0000B6460000}"/>
    <cellStyle name="_20061117Holux_WorldBankCMSScope_Scope and Deliverables Summary_CMS_0609_FP_SAP_MLP v2_Steps of Doneness" xfId="18193" xr:uid="{00000000-0005-0000-0000-0000B7460000}"/>
    <cellStyle name="_20061117Holux_WorldBankCMSScope_Scope and Deliverables Summary_CMS_0609_KeyDecisions" xfId="18194" xr:uid="{00000000-0005-0000-0000-0000B8460000}"/>
    <cellStyle name="_20061117Holux_WorldBankCMSScope_Scope and Deliverables Summary_CMS_0609_KeyDecisions 2" xfId="18195" xr:uid="{00000000-0005-0000-0000-0000B9460000}"/>
    <cellStyle name="_20061117Holux_WorldBankCMSScope_Scope and Deliverables Summary_CMS_0609_KeyDecisions 2_Steps of Doneness" xfId="18196" xr:uid="{00000000-0005-0000-0000-0000BA460000}"/>
    <cellStyle name="_20061117Holux_WorldBankCMSScope_Scope and Deliverables Summary_CMS_0609_KeyDecisions 3" xfId="18197" xr:uid="{00000000-0005-0000-0000-0000BB460000}"/>
    <cellStyle name="_20061117Holux_WorldBankCMSScope_Scope and Deliverables Summary_CMS_0609_KeyDecisions_Steps of Doneness" xfId="18198" xr:uid="{00000000-0005-0000-0000-0000BC460000}"/>
    <cellStyle name="_20061117Holux_WorldBankCMSScope_Scope and Deliverables Summary_CMS_0609_Sophia_Imp_ProjectWorkBook_02_18_2011" xfId="18199" xr:uid="{00000000-0005-0000-0000-0000BD460000}"/>
    <cellStyle name="_20061117Holux_WorldBankCMSScope_Scope and Deliverables Summary_CMS_0609_Sophia_Imp_ProjectWorkBook_02_18_2011 2" xfId="18200" xr:uid="{00000000-0005-0000-0000-0000BE460000}"/>
    <cellStyle name="_20061117Holux_WorldBankCMSScope_Scope and Deliverables Summary_CMS_0609_Sophia_Imp_ProjectWorkBook_02_18_2011 2_Steps of Doneness" xfId="18201" xr:uid="{00000000-0005-0000-0000-0000BF460000}"/>
    <cellStyle name="_20061117Holux_WorldBankCMSScope_Scope and Deliverables Summary_CMS_0609_Sophia_Imp_ProjectWorkBook_02_18_2011 3" xfId="18202" xr:uid="{00000000-0005-0000-0000-0000C0460000}"/>
    <cellStyle name="_20061117Holux_WorldBankCMSScope_Scope and Deliverables Summary_CMS_0609_Sophia_Imp_ProjectWorkBook_02_18_2011_Steps of Doneness" xfId="18203" xr:uid="{00000000-0005-0000-0000-0000C1460000}"/>
    <cellStyle name="_20061117Holux_WorldBankCMSScope_Scope and Deliverables Summary_CMS_0609_Steps of Doneness" xfId="18204" xr:uid="{00000000-0005-0000-0000-0000C2460000}"/>
    <cellStyle name="_20061117Holux_WorldBankCMSScope_Scope and Deliverables Summary_CMS_0609_t" xfId="18205" xr:uid="{00000000-0005-0000-0000-0000C3460000}"/>
    <cellStyle name="_20061117Holux_WorldBankCMSScope_Scope and Deliverables Summary_CMS_0609_t 2" xfId="18206" xr:uid="{00000000-0005-0000-0000-0000C4460000}"/>
    <cellStyle name="_20061117Holux_WorldBankCMSScope_Scope and Deliverables Summary_CMS_0609_t 2_Steps of Doneness" xfId="18207" xr:uid="{00000000-0005-0000-0000-0000C5460000}"/>
    <cellStyle name="_20061117Holux_WorldBankCMSScope_Scope and Deliverables Summary_CMS_0609_t 3" xfId="18208" xr:uid="{00000000-0005-0000-0000-0000C6460000}"/>
    <cellStyle name="_20061117Holux_WorldBankCMSScope_Scope and Deliverables Summary_CMS_0609_t_Steps of Doneness" xfId="18209" xr:uid="{00000000-0005-0000-0000-0000C7460000}"/>
    <cellStyle name="_20061117Holux_WorldBankCMSScope_SLM -CMS &amp; Storefront PM Workbook" xfId="18210" xr:uid="{00000000-0005-0000-0000-0000C8460000}"/>
    <cellStyle name="_20061117Holux_WorldBankCMSScope_SLM -CMS &amp; Storefront PM Workbook 2" xfId="18211" xr:uid="{00000000-0005-0000-0000-0000C9460000}"/>
    <cellStyle name="_20061117Holux_WorldBankCMSScope_SLM -CMS &amp; Storefront PM Workbook 2 2" xfId="18212" xr:uid="{00000000-0005-0000-0000-0000CA460000}"/>
    <cellStyle name="_20061117Holux_WorldBankCMSScope_SLM -CMS &amp; Storefront PM Workbook 2 2_Steps of Doneness" xfId="18213" xr:uid="{00000000-0005-0000-0000-0000CB460000}"/>
    <cellStyle name="_20061117Holux_WorldBankCMSScope_SLM -CMS &amp; Storefront PM Workbook 2 3" xfId="18214" xr:uid="{00000000-0005-0000-0000-0000CC460000}"/>
    <cellStyle name="_20061117Holux_WorldBankCMSScope_SLM -CMS &amp; Storefront PM Workbook 2_Steps of Doneness" xfId="18215" xr:uid="{00000000-0005-0000-0000-0000CD460000}"/>
    <cellStyle name="_20061117Holux_WorldBankCMSScope_SLM -CMS &amp; Storefront PM Workbook 3" xfId="18216" xr:uid="{00000000-0005-0000-0000-0000CE460000}"/>
    <cellStyle name="_20061117Holux_WorldBankCMSScope_SLM -CMS &amp; Storefront PM Workbook 3_Steps of Doneness" xfId="18217" xr:uid="{00000000-0005-0000-0000-0000CF460000}"/>
    <cellStyle name="_20061117Holux_WorldBankCMSScope_SLM -CMS &amp; Storefront PM Workbook 4" xfId="18218" xr:uid="{00000000-0005-0000-0000-0000D0460000}"/>
    <cellStyle name="_20061117Holux_WorldBankCMSScope_SLM -CMS &amp; Storefront PM Workbook_Commissioning System Implementation_Project Workbook_06_10_2011" xfId="18219" xr:uid="{00000000-0005-0000-0000-0000D1460000}"/>
    <cellStyle name="_20061117Holux_WorldBankCMSScope_SLM -CMS &amp; Storefront PM Workbook_Commissioning System Implementation_Project Workbook_06_10_2011 2" xfId="18220" xr:uid="{00000000-0005-0000-0000-0000D2460000}"/>
    <cellStyle name="_20061117Holux_WorldBankCMSScope_SLM -CMS &amp; Storefront PM Workbook_Commissioning System Implementation_Project Workbook_06_10_2011 2_Steps of Doneness" xfId="18221" xr:uid="{00000000-0005-0000-0000-0000D3460000}"/>
    <cellStyle name="_20061117Holux_WorldBankCMSScope_SLM -CMS &amp; Storefront PM Workbook_Commissioning System Implementation_Project Workbook_06_10_2011 3" xfId="18222" xr:uid="{00000000-0005-0000-0000-0000D4460000}"/>
    <cellStyle name="_20061117Holux_WorldBankCMSScope_SLM -CMS &amp; Storefront PM Workbook_Commissioning System Implementation_Project Workbook_06_10_2011_Steps of Doneness" xfId="18223" xr:uid="{00000000-0005-0000-0000-0000D5460000}"/>
    <cellStyle name="_20061117Holux_WorldBankCMSScope_SLM -CMS &amp; Storefront PM Workbook_FairPoint_CampReport" xfId="18224" xr:uid="{00000000-0005-0000-0000-0000D6460000}"/>
    <cellStyle name="_20061117Holux_WorldBankCMSScope_SLM -CMS &amp; Storefront PM Workbook_FairPoint_CampReport 2" xfId="18225" xr:uid="{00000000-0005-0000-0000-0000D7460000}"/>
    <cellStyle name="_20061117Holux_WorldBankCMSScope_SLM -CMS &amp; Storefront PM Workbook_FairPoint_CampReport 2_Steps of Doneness" xfId="18226" xr:uid="{00000000-0005-0000-0000-0000D8460000}"/>
    <cellStyle name="_20061117Holux_WorldBankCMSScope_SLM -CMS &amp; Storefront PM Workbook_FairPoint_CampReport 3" xfId="18227" xr:uid="{00000000-0005-0000-0000-0000D9460000}"/>
    <cellStyle name="_20061117Holux_WorldBankCMSScope_SLM -CMS &amp; Storefront PM Workbook_FairPoint_CampReport_Steps of Doneness" xfId="18228" xr:uid="{00000000-0005-0000-0000-0000DA460000}"/>
    <cellStyle name="_20061117Holux_WorldBankCMSScope_SLM -CMS &amp; Storefront PM Workbook_FairPoint_FP comTechOps_ProgramWorkbook" xfId="18229" xr:uid="{00000000-0005-0000-0000-0000DB460000}"/>
    <cellStyle name="_20061117Holux_WorldBankCMSScope_SLM -CMS &amp; Storefront PM Workbook_FairPoint_FP comTechOps_ProgramWorkbook 2" xfId="18230" xr:uid="{00000000-0005-0000-0000-0000DC460000}"/>
    <cellStyle name="_20061117Holux_WorldBankCMSScope_SLM -CMS &amp; Storefront PM Workbook_FairPoint_FP comTechOps_ProgramWorkbook 2_Steps of Doneness" xfId="18231" xr:uid="{00000000-0005-0000-0000-0000DD460000}"/>
    <cellStyle name="_20061117Holux_WorldBankCMSScope_SLM -CMS &amp; Storefront PM Workbook_FairPoint_FP comTechOps_ProgramWorkbook 3" xfId="18232" xr:uid="{00000000-0005-0000-0000-0000DE460000}"/>
    <cellStyle name="_20061117Holux_WorldBankCMSScope_SLM -CMS &amp; Storefront PM Workbook_FairPoint_FP comTechOps_ProgramWorkbook_sachin" xfId="18233" xr:uid="{00000000-0005-0000-0000-0000DF460000}"/>
    <cellStyle name="_20061117Holux_WorldBankCMSScope_SLM -CMS &amp; Storefront PM Workbook_FairPoint_FP comTechOps_ProgramWorkbook_sachin 2" xfId="18234" xr:uid="{00000000-0005-0000-0000-0000E0460000}"/>
    <cellStyle name="_20061117Holux_WorldBankCMSScope_SLM -CMS &amp; Storefront PM Workbook_FairPoint_FP comTechOps_ProgramWorkbook_sachin 2_Steps of Doneness" xfId="18235" xr:uid="{00000000-0005-0000-0000-0000E1460000}"/>
    <cellStyle name="_20061117Holux_WorldBankCMSScope_SLM -CMS &amp; Storefront PM Workbook_FairPoint_FP comTechOps_ProgramWorkbook_sachin 3" xfId="18236" xr:uid="{00000000-0005-0000-0000-0000E2460000}"/>
    <cellStyle name="_20061117Holux_WorldBankCMSScope_SLM -CMS &amp; Storefront PM Workbook_FairPoint_FP comTechOps_ProgramWorkbook_sachin_Steps of Doneness" xfId="18237" xr:uid="{00000000-0005-0000-0000-0000E3460000}"/>
    <cellStyle name="_20061117Holux_WorldBankCMSScope_SLM -CMS &amp; Storefront PM Workbook_FairPoint_FP comTechOps_ProgramWorkbook_sachin_v1" xfId="18238" xr:uid="{00000000-0005-0000-0000-0000E4460000}"/>
    <cellStyle name="_20061117Holux_WorldBankCMSScope_SLM -CMS &amp; Storefront PM Workbook_FairPoint_FP comTechOps_ProgramWorkbook_sachin_v1 2" xfId="18239" xr:uid="{00000000-0005-0000-0000-0000E5460000}"/>
    <cellStyle name="_20061117Holux_WorldBankCMSScope_SLM -CMS &amp; Storefront PM Workbook_FairPoint_FP comTechOps_ProgramWorkbook_sachin_v1 2_Steps of Doneness" xfId="18240" xr:uid="{00000000-0005-0000-0000-0000E6460000}"/>
    <cellStyle name="_20061117Holux_WorldBankCMSScope_SLM -CMS &amp; Storefront PM Workbook_FairPoint_FP comTechOps_ProgramWorkbook_sachin_v1 3" xfId="18241" xr:uid="{00000000-0005-0000-0000-0000E7460000}"/>
    <cellStyle name="_20061117Holux_WorldBankCMSScope_SLM -CMS &amp; Storefront PM Workbook_FairPoint_FP comTechOps_ProgramWorkbook_sachin_v1_Steps of Doneness" xfId="18242" xr:uid="{00000000-0005-0000-0000-0000E8460000}"/>
    <cellStyle name="_20061117Holux_WorldBankCMSScope_SLM -CMS &amp; Storefront PM Workbook_FairPoint_FP comTechOps_ProgramWorkbook_Steps of Doneness" xfId="18243" xr:uid="{00000000-0005-0000-0000-0000E9460000}"/>
    <cellStyle name="_20061117Holux_WorldBankCMSScope_SLM -CMS &amp; Storefront PM Workbook_FP_CAMP&amp;ITReporting_Maintenance_Dashboard" xfId="18244" xr:uid="{00000000-0005-0000-0000-0000EA460000}"/>
    <cellStyle name="_20061117Holux_WorldBankCMSScope_SLM -CMS &amp; Storefront PM Workbook_FP_CAMP&amp;ITReporting_Maintenance_Dashboard 2" xfId="18245" xr:uid="{00000000-0005-0000-0000-0000EB460000}"/>
    <cellStyle name="_20061117Holux_WorldBankCMSScope_SLM -CMS &amp; Storefront PM Workbook_FP_CAMP&amp;ITReporting_Maintenance_Dashboard 2_Steps of Doneness" xfId="18246" xr:uid="{00000000-0005-0000-0000-0000EC460000}"/>
    <cellStyle name="_20061117Holux_WorldBankCMSScope_SLM -CMS &amp; Storefront PM Workbook_FP_CAMP&amp;ITReporting_Maintenance_Dashboard 3" xfId="18247" xr:uid="{00000000-0005-0000-0000-0000ED460000}"/>
    <cellStyle name="_20061117Holux_WorldBankCMSScope_SLM -CMS &amp; Storefront PM Workbook_FP_CAMP&amp;ITReporting_Maintenance_Dashboard_Steps of Doneness" xfId="18248" xr:uid="{00000000-0005-0000-0000-0000EE460000}"/>
    <cellStyle name="_20061117Holux_WorldBankCMSScope_SLM -CMS &amp; Storefront PM Workbook_FP_CAMPITReporting_Maintenance_Dashboard" xfId="18249" xr:uid="{00000000-0005-0000-0000-0000EF460000}"/>
    <cellStyle name="_20061117Holux_WorldBankCMSScope_SLM -CMS &amp; Storefront PM Workbook_FP_CAMPITReporting_Maintenance_Dashboard 2" xfId="18250" xr:uid="{00000000-0005-0000-0000-0000F0460000}"/>
    <cellStyle name="_20061117Holux_WorldBankCMSScope_SLM -CMS &amp; Storefront PM Workbook_FP_CAMPITReporting_Maintenance_Dashboard 2_Steps of Doneness" xfId="18251" xr:uid="{00000000-0005-0000-0000-0000F1460000}"/>
    <cellStyle name="_20061117Holux_WorldBankCMSScope_SLM -CMS &amp; Storefront PM Workbook_FP_CAMPITReporting_Maintenance_Dashboard 3" xfId="18252" xr:uid="{00000000-0005-0000-0000-0000F2460000}"/>
    <cellStyle name="_20061117Holux_WorldBankCMSScope_SLM -CMS &amp; Storefront PM Workbook_FP_CAMPITReporting_Maintenance_Dashboard_Steps of Doneness" xfId="18253" xr:uid="{00000000-0005-0000-0000-0000F3460000}"/>
    <cellStyle name="_20061117Holux_WorldBankCMSScope_SLM -CMS &amp; Storefront PM Workbook_FP_Commissions_Req_Dn_ProgramWorkBook_10-Dec-2010" xfId="18254" xr:uid="{00000000-0005-0000-0000-0000F4460000}"/>
    <cellStyle name="_20061117Holux_WorldBankCMSScope_SLM -CMS &amp; Storefront PM Workbook_FP_Commissions_Req_Dn_ProgramWorkBook_10-Dec-2010 2" xfId="18255" xr:uid="{00000000-0005-0000-0000-0000F5460000}"/>
    <cellStyle name="_20061117Holux_WorldBankCMSScope_SLM -CMS &amp; Storefront PM Workbook_FP_Commissions_Req_Dn_ProgramWorkBook_10-Dec-2010 2_Steps of Doneness" xfId="18256" xr:uid="{00000000-0005-0000-0000-0000F6460000}"/>
    <cellStyle name="_20061117Holux_WorldBankCMSScope_SLM -CMS &amp; Storefront PM Workbook_FP_Commissions_Req_Dn_ProgramWorkBook_10-Dec-2010 3" xfId="18257" xr:uid="{00000000-0005-0000-0000-0000F7460000}"/>
    <cellStyle name="_20061117Holux_WorldBankCMSScope_SLM -CMS &amp; Storefront PM Workbook_FP_Commissions_Req_Dn_ProgramWorkBook_10-Dec-2010_Steps of Doneness" xfId="18258" xr:uid="{00000000-0005-0000-0000-0000F8460000}"/>
    <cellStyle name="_20061117Holux_WorldBankCMSScope_SLM -CMS &amp; Storefront PM Workbook_FP_DW_Impl_ProgramWorkBook_07-Jan-2011" xfId="18259" xr:uid="{00000000-0005-0000-0000-0000F9460000}"/>
    <cellStyle name="_20061117Holux_WorldBankCMSScope_SLM -CMS &amp; Storefront PM Workbook_FP_DW_Impl_ProgramWorkBook_07-Jan-2011 2" xfId="18260" xr:uid="{00000000-0005-0000-0000-0000FA460000}"/>
    <cellStyle name="_20061117Holux_WorldBankCMSScope_SLM -CMS &amp; Storefront PM Workbook_FP_DW_Impl_ProgramWorkBook_07-Jan-2011 2 2" xfId="18261" xr:uid="{00000000-0005-0000-0000-0000FB460000}"/>
    <cellStyle name="_20061117Holux_WorldBankCMSScope_SLM -CMS &amp; Storefront PM Workbook_FP_DW_Impl_ProgramWorkBook_07-Jan-2011 2 2_Steps of Doneness" xfId="18262" xr:uid="{00000000-0005-0000-0000-0000FC460000}"/>
    <cellStyle name="_20061117Holux_WorldBankCMSScope_SLM -CMS &amp; Storefront PM Workbook_FP_DW_Impl_ProgramWorkBook_07-Jan-2011 2 3" xfId="18263" xr:uid="{00000000-0005-0000-0000-0000FD460000}"/>
    <cellStyle name="_20061117Holux_WorldBankCMSScope_SLM -CMS &amp; Storefront PM Workbook_FP_DW_Impl_ProgramWorkBook_07-Jan-2011 2_Steps of Doneness" xfId="18264" xr:uid="{00000000-0005-0000-0000-0000FE460000}"/>
    <cellStyle name="_20061117Holux_WorldBankCMSScope_SLM -CMS &amp; Storefront PM Workbook_FP_DW_Impl_ProgramWorkBook_07-Jan-2011 3" xfId="18265" xr:uid="{00000000-0005-0000-0000-0000FF460000}"/>
    <cellStyle name="_20061117Holux_WorldBankCMSScope_SLM -CMS &amp; Storefront PM Workbook_FP_DW_Impl_ProgramWorkBook_07-Jan-2011 3_Steps of Doneness" xfId="18266" xr:uid="{00000000-0005-0000-0000-000000470000}"/>
    <cellStyle name="_20061117Holux_WorldBankCMSScope_SLM -CMS &amp; Storefront PM Workbook_FP_DW_Impl_ProgramWorkBook_07-Jan-2011 4" xfId="18267" xr:uid="{00000000-0005-0000-0000-000001470000}"/>
    <cellStyle name="_20061117Holux_WorldBankCMSScope_SLM -CMS &amp; Storefront PM Workbook_FP_DW_Impl_ProgramWorkBook_07-Jan-2011_Steps of Doneness" xfId="18268" xr:uid="{00000000-0005-0000-0000-000002470000}"/>
    <cellStyle name="_20061117Holux_WorldBankCMSScope_SLM -CMS &amp; Storefront PM Workbook_FP_DW_Impl_ProgramWorkBook_11-Feb-2011" xfId="18269" xr:uid="{00000000-0005-0000-0000-000003470000}"/>
    <cellStyle name="_20061117Holux_WorldBankCMSScope_SLM -CMS &amp; Storefront PM Workbook_FP_DW_Impl_ProgramWorkBook_11-Feb-2011 2" xfId="18270" xr:uid="{00000000-0005-0000-0000-000004470000}"/>
    <cellStyle name="_20061117Holux_WorldBankCMSScope_SLM -CMS &amp; Storefront PM Workbook_FP_DW_Impl_ProgramWorkBook_11-Feb-2011 2_Steps of Doneness" xfId="18271" xr:uid="{00000000-0005-0000-0000-000005470000}"/>
    <cellStyle name="_20061117Holux_WorldBankCMSScope_SLM -CMS &amp; Storefront PM Workbook_FP_DW_Impl_ProgramWorkBook_11-Feb-2011 3" xfId="18272" xr:uid="{00000000-0005-0000-0000-000006470000}"/>
    <cellStyle name="_20061117Holux_WorldBankCMSScope_SLM -CMS &amp; Storefront PM Workbook_FP_DW_Impl_ProgramWorkBook_11-Feb-2011_Steps of Doneness" xfId="18273" xr:uid="{00000000-0005-0000-0000-000007470000}"/>
    <cellStyle name="_20061117Holux_WorldBankCMSScope_SLM -CMS &amp; Storefront PM Workbook_FP_DW_Impl_ProgramWorkBook_18-Feb-2011 - Working" xfId="18274" xr:uid="{00000000-0005-0000-0000-000008470000}"/>
    <cellStyle name="_20061117Holux_WorldBankCMSScope_SLM -CMS &amp; Storefront PM Workbook_FP_DW_Impl_ProgramWorkBook_18-Feb-2011 - Working 2" xfId="18275" xr:uid="{00000000-0005-0000-0000-000009470000}"/>
    <cellStyle name="_20061117Holux_WorldBankCMSScope_SLM -CMS &amp; Storefront PM Workbook_FP_DW_Impl_ProgramWorkBook_18-Feb-2011 - Working 2_Steps of Doneness" xfId="18276" xr:uid="{00000000-0005-0000-0000-00000A470000}"/>
    <cellStyle name="_20061117Holux_WorldBankCMSScope_SLM -CMS &amp; Storefront PM Workbook_FP_DW_Impl_ProgramWorkBook_18-Feb-2011 - Working 3" xfId="18277" xr:uid="{00000000-0005-0000-0000-00000B470000}"/>
    <cellStyle name="_20061117Holux_WorldBankCMSScope_SLM -CMS &amp; Storefront PM Workbook_FP_DW_Impl_ProgramWorkBook_18-Feb-2011 - Working_Steps of Doneness" xfId="18278" xr:uid="{00000000-0005-0000-0000-00000C470000}"/>
    <cellStyle name="_20061117Holux_WorldBankCMSScope_SLM -CMS &amp; Storefront PM Workbook_FP_EnterprisePortal_ProgramWorkbook" xfId="18279" xr:uid="{00000000-0005-0000-0000-00000D470000}"/>
    <cellStyle name="_20061117Holux_WorldBankCMSScope_SLM -CMS &amp; Storefront PM Workbook_FP_EnterprisePortal_ProgramWorkbook 2" xfId="18280" xr:uid="{00000000-0005-0000-0000-00000E470000}"/>
    <cellStyle name="_20061117Holux_WorldBankCMSScope_SLM -CMS &amp; Storefront PM Workbook_FP_EnterprisePortal_ProgramWorkbook 2_Steps of Doneness" xfId="18281" xr:uid="{00000000-0005-0000-0000-00000F470000}"/>
    <cellStyle name="_20061117Holux_WorldBankCMSScope_SLM -CMS &amp; Storefront PM Workbook_FP_EnterprisePortal_ProgramWorkbook 3" xfId="18282" xr:uid="{00000000-0005-0000-0000-000010470000}"/>
    <cellStyle name="_20061117Holux_WorldBankCMSScope_SLM -CMS &amp; Storefront PM Workbook_FP_EnterprisePortal_ProgramWorkbook_Steps of Doneness" xfId="18283" xr:uid="{00000000-0005-0000-0000-000011470000}"/>
    <cellStyle name="_20061117Holux_WorldBankCMSScope_SLM -CMS &amp; Storefront PM Workbook_FP_SAP_MLP v2" xfId="18284" xr:uid="{00000000-0005-0000-0000-000012470000}"/>
    <cellStyle name="_20061117Holux_WorldBankCMSScope_SLM -CMS &amp; Storefront PM Workbook_FP_SAP_MLP v2 2" xfId="18285" xr:uid="{00000000-0005-0000-0000-000013470000}"/>
    <cellStyle name="_20061117Holux_WorldBankCMSScope_SLM -CMS &amp; Storefront PM Workbook_FP_SAP_MLP v2 2_Steps of Doneness" xfId="18286" xr:uid="{00000000-0005-0000-0000-000014470000}"/>
    <cellStyle name="_20061117Holux_WorldBankCMSScope_SLM -CMS &amp; Storefront PM Workbook_FP_SAP_MLP v2 3" xfId="18287" xr:uid="{00000000-0005-0000-0000-000015470000}"/>
    <cellStyle name="_20061117Holux_WorldBankCMSScope_SLM -CMS &amp; Storefront PM Workbook_FP_SAP_MLP v2_Steps of Doneness" xfId="18288" xr:uid="{00000000-0005-0000-0000-000016470000}"/>
    <cellStyle name="_20061117Holux_WorldBankCMSScope_SLM -CMS &amp; Storefront PM Workbook_KeyDecisions" xfId="18289" xr:uid="{00000000-0005-0000-0000-000017470000}"/>
    <cellStyle name="_20061117Holux_WorldBankCMSScope_SLM -CMS &amp; Storefront PM Workbook_KeyDecisions 2" xfId="18290" xr:uid="{00000000-0005-0000-0000-000018470000}"/>
    <cellStyle name="_20061117Holux_WorldBankCMSScope_SLM -CMS &amp; Storefront PM Workbook_KeyDecisions 2_Steps of Doneness" xfId="18291" xr:uid="{00000000-0005-0000-0000-000019470000}"/>
    <cellStyle name="_20061117Holux_WorldBankCMSScope_SLM -CMS &amp; Storefront PM Workbook_KeyDecisions 3" xfId="18292" xr:uid="{00000000-0005-0000-0000-00001A470000}"/>
    <cellStyle name="_20061117Holux_WorldBankCMSScope_SLM -CMS &amp; Storefront PM Workbook_KeyDecisions_Steps of Doneness" xfId="18293" xr:uid="{00000000-0005-0000-0000-00001B470000}"/>
    <cellStyle name="_20061117Holux_WorldBankCMSScope_SLM -CMS &amp; Storefront PM Workbook_Sophia_Imp_ProjectWorkBook_02_18_2011" xfId="18294" xr:uid="{00000000-0005-0000-0000-00001C470000}"/>
    <cellStyle name="_20061117Holux_WorldBankCMSScope_SLM -CMS &amp; Storefront PM Workbook_Sophia_Imp_ProjectWorkBook_02_18_2011 2" xfId="18295" xr:uid="{00000000-0005-0000-0000-00001D470000}"/>
    <cellStyle name="_20061117Holux_WorldBankCMSScope_SLM -CMS &amp; Storefront PM Workbook_Sophia_Imp_ProjectWorkBook_02_18_2011 2_Steps of Doneness" xfId="18296" xr:uid="{00000000-0005-0000-0000-00001E470000}"/>
    <cellStyle name="_20061117Holux_WorldBankCMSScope_SLM -CMS &amp; Storefront PM Workbook_Sophia_Imp_ProjectWorkBook_02_18_2011 3" xfId="18297" xr:uid="{00000000-0005-0000-0000-00001F470000}"/>
    <cellStyle name="_20061117Holux_WorldBankCMSScope_SLM -CMS &amp; Storefront PM Workbook_Sophia_Imp_ProjectWorkBook_02_18_2011_Steps of Doneness" xfId="18298" xr:uid="{00000000-0005-0000-0000-000020470000}"/>
    <cellStyle name="_20061117Holux_WorldBankCMSScope_SLM -CMS &amp; Storefront PM Workbook_Steps of Doneness" xfId="18299" xr:uid="{00000000-0005-0000-0000-000021470000}"/>
    <cellStyle name="_20061117Holux_WorldBankCMSScope_SLM -CMS &amp; Storefront PM Workbook_t" xfId="18300" xr:uid="{00000000-0005-0000-0000-000022470000}"/>
    <cellStyle name="_20061117Holux_WorldBankCMSScope_SLM -CMS &amp; Storefront PM Workbook_t 2" xfId="18301" xr:uid="{00000000-0005-0000-0000-000023470000}"/>
    <cellStyle name="_20061117Holux_WorldBankCMSScope_SLM -CMS &amp; Storefront PM Workbook_t 2_Steps of Doneness" xfId="18302" xr:uid="{00000000-0005-0000-0000-000024470000}"/>
    <cellStyle name="_20061117Holux_WorldBankCMSScope_SLM -CMS &amp; Storefront PM Workbook_t 3" xfId="18303" xr:uid="{00000000-0005-0000-0000-000025470000}"/>
    <cellStyle name="_20061117Holux_WorldBankCMSScope_SLM -CMS &amp; Storefront PM Workbook_t_Steps of Doneness" xfId="18304" xr:uid="{00000000-0005-0000-0000-000026470000}"/>
    <cellStyle name="_20061117Holux_WorldBankCMSScope_slm_llp_0520" xfId="18305" xr:uid="{00000000-0005-0000-0000-000027470000}"/>
    <cellStyle name="_20061117Holux_WorldBankCMSScope_slm_llp_0520 2" xfId="18306" xr:uid="{00000000-0005-0000-0000-000028470000}"/>
    <cellStyle name="_20061117Holux_WorldBankCMSScope_slm_llp_0520 2 2" xfId="18307" xr:uid="{00000000-0005-0000-0000-000029470000}"/>
    <cellStyle name="_20061117Holux_WorldBankCMSScope_slm_llp_0520 2 2_Steps of Doneness" xfId="18308" xr:uid="{00000000-0005-0000-0000-00002A470000}"/>
    <cellStyle name="_20061117Holux_WorldBankCMSScope_slm_llp_0520 2 3" xfId="18309" xr:uid="{00000000-0005-0000-0000-00002B470000}"/>
    <cellStyle name="_20061117Holux_WorldBankCMSScope_slm_llp_0520 2_Steps of Doneness" xfId="18310" xr:uid="{00000000-0005-0000-0000-00002C470000}"/>
    <cellStyle name="_20061117Holux_WorldBankCMSScope_slm_llp_0520 3" xfId="18311" xr:uid="{00000000-0005-0000-0000-00002D470000}"/>
    <cellStyle name="_20061117Holux_WorldBankCMSScope_slm_llp_0520 3_Steps of Doneness" xfId="18312" xr:uid="{00000000-0005-0000-0000-00002E470000}"/>
    <cellStyle name="_20061117Holux_WorldBankCMSScope_slm_llp_0520 4" xfId="18313" xr:uid="{00000000-0005-0000-0000-00002F470000}"/>
    <cellStyle name="_20061117Holux_WorldBankCMSScope_slm_llp_0520_Commissioning System Implementation_Project Workbook_06_10_2011" xfId="18314" xr:uid="{00000000-0005-0000-0000-000030470000}"/>
    <cellStyle name="_20061117Holux_WorldBankCMSScope_slm_llp_0520_Commissioning System Implementation_Project Workbook_06_10_2011 2" xfId="18315" xr:uid="{00000000-0005-0000-0000-000031470000}"/>
    <cellStyle name="_20061117Holux_WorldBankCMSScope_slm_llp_0520_Commissioning System Implementation_Project Workbook_06_10_2011 2_Steps of Doneness" xfId="18316" xr:uid="{00000000-0005-0000-0000-000032470000}"/>
    <cellStyle name="_20061117Holux_WorldBankCMSScope_slm_llp_0520_Commissioning System Implementation_Project Workbook_06_10_2011 3" xfId="18317" xr:uid="{00000000-0005-0000-0000-000033470000}"/>
    <cellStyle name="_20061117Holux_WorldBankCMSScope_slm_llp_0520_Commissioning System Implementation_Project Workbook_06_10_2011_Steps of Doneness" xfId="18318" xr:uid="{00000000-0005-0000-0000-000034470000}"/>
    <cellStyle name="_20061117Holux_WorldBankCMSScope_slm_llp_0520_FairPoint_CampReport" xfId="18319" xr:uid="{00000000-0005-0000-0000-000035470000}"/>
    <cellStyle name="_20061117Holux_WorldBankCMSScope_slm_llp_0520_FairPoint_CampReport 2" xfId="18320" xr:uid="{00000000-0005-0000-0000-000036470000}"/>
    <cellStyle name="_20061117Holux_WorldBankCMSScope_slm_llp_0520_FairPoint_CampReport 2_Steps of Doneness" xfId="18321" xr:uid="{00000000-0005-0000-0000-000037470000}"/>
    <cellStyle name="_20061117Holux_WorldBankCMSScope_slm_llp_0520_FairPoint_CampReport 3" xfId="18322" xr:uid="{00000000-0005-0000-0000-000038470000}"/>
    <cellStyle name="_20061117Holux_WorldBankCMSScope_slm_llp_0520_FairPoint_CampReport_Steps of Doneness" xfId="18323" xr:uid="{00000000-0005-0000-0000-000039470000}"/>
    <cellStyle name="_20061117Holux_WorldBankCMSScope_slm_llp_0520_FairPoint_FP comTechOps_ProgramWorkbook" xfId="18324" xr:uid="{00000000-0005-0000-0000-00003A470000}"/>
    <cellStyle name="_20061117Holux_WorldBankCMSScope_slm_llp_0520_FairPoint_FP comTechOps_ProgramWorkbook 2" xfId="18325" xr:uid="{00000000-0005-0000-0000-00003B470000}"/>
    <cellStyle name="_20061117Holux_WorldBankCMSScope_slm_llp_0520_FairPoint_FP comTechOps_ProgramWorkbook 2_Steps of Doneness" xfId="18326" xr:uid="{00000000-0005-0000-0000-00003C470000}"/>
    <cellStyle name="_20061117Holux_WorldBankCMSScope_slm_llp_0520_FairPoint_FP comTechOps_ProgramWorkbook 3" xfId="18327" xr:uid="{00000000-0005-0000-0000-00003D470000}"/>
    <cellStyle name="_20061117Holux_WorldBankCMSScope_slm_llp_0520_FairPoint_FP comTechOps_ProgramWorkbook_sachin" xfId="18328" xr:uid="{00000000-0005-0000-0000-00003E470000}"/>
    <cellStyle name="_20061117Holux_WorldBankCMSScope_slm_llp_0520_FairPoint_FP comTechOps_ProgramWorkbook_sachin 2" xfId="18329" xr:uid="{00000000-0005-0000-0000-00003F470000}"/>
    <cellStyle name="_20061117Holux_WorldBankCMSScope_slm_llp_0520_FairPoint_FP comTechOps_ProgramWorkbook_sachin 2_Steps of Doneness" xfId="18330" xr:uid="{00000000-0005-0000-0000-000040470000}"/>
    <cellStyle name="_20061117Holux_WorldBankCMSScope_slm_llp_0520_FairPoint_FP comTechOps_ProgramWorkbook_sachin 3" xfId="18331" xr:uid="{00000000-0005-0000-0000-000041470000}"/>
    <cellStyle name="_20061117Holux_WorldBankCMSScope_slm_llp_0520_FairPoint_FP comTechOps_ProgramWorkbook_sachin_Steps of Doneness" xfId="18332" xr:uid="{00000000-0005-0000-0000-000042470000}"/>
    <cellStyle name="_20061117Holux_WorldBankCMSScope_slm_llp_0520_FairPoint_FP comTechOps_ProgramWorkbook_sachin_v1" xfId="18333" xr:uid="{00000000-0005-0000-0000-000043470000}"/>
    <cellStyle name="_20061117Holux_WorldBankCMSScope_slm_llp_0520_FairPoint_FP comTechOps_ProgramWorkbook_sachin_v1 2" xfId="18334" xr:uid="{00000000-0005-0000-0000-000044470000}"/>
    <cellStyle name="_20061117Holux_WorldBankCMSScope_slm_llp_0520_FairPoint_FP comTechOps_ProgramWorkbook_sachin_v1 2_Steps of Doneness" xfId="18335" xr:uid="{00000000-0005-0000-0000-000045470000}"/>
    <cellStyle name="_20061117Holux_WorldBankCMSScope_slm_llp_0520_FairPoint_FP comTechOps_ProgramWorkbook_sachin_v1 3" xfId="18336" xr:uid="{00000000-0005-0000-0000-000046470000}"/>
    <cellStyle name="_20061117Holux_WorldBankCMSScope_slm_llp_0520_FairPoint_FP comTechOps_ProgramWorkbook_sachin_v1_Steps of Doneness" xfId="18337" xr:uid="{00000000-0005-0000-0000-000047470000}"/>
    <cellStyle name="_20061117Holux_WorldBankCMSScope_slm_llp_0520_FairPoint_FP comTechOps_ProgramWorkbook_Steps of Doneness" xfId="18338" xr:uid="{00000000-0005-0000-0000-000048470000}"/>
    <cellStyle name="_20061117Holux_WorldBankCMSScope_slm_llp_0520_FP_CAMP&amp;ITReporting_Maintenance_Dashboard" xfId="18339" xr:uid="{00000000-0005-0000-0000-000049470000}"/>
    <cellStyle name="_20061117Holux_WorldBankCMSScope_slm_llp_0520_FP_CAMP&amp;ITReporting_Maintenance_Dashboard 2" xfId="18340" xr:uid="{00000000-0005-0000-0000-00004A470000}"/>
    <cellStyle name="_20061117Holux_WorldBankCMSScope_slm_llp_0520_FP_CAMP&amp;ITReporting_Maintenance_Dashboard 2_Steps of Doneness" xfId="18341" xr:uid="{00000000-0005-0000-0000-00004B470000}"/>
    <cellStyle name="_20061117Holux_WorldBankCMSScope_slm_llp_0520_FP_CAMP&amp;ITReporting_Maintenance_Dashboard 3" xfId="18342" xr:uid="{00000000-0005-0000-0000-00004C470000}"/>
    <cellStyle name="_20061117Holux_WorldBankCMSScope_slm_llp_0520_FP_CAMP&amp;ITReporting_Maintenance_Dashboard_Steps of Doneness" xfId="18343" xr:uid="{00000000-0005-0000-0000-00004D470000}"/>
    <cellStyle name="_20061117Holux_WorldBankCMSScope_slm_llp_0520_FP_CAMPITReporting_Maintenance_Dashboard" xfId="18344" xr:uid="{00000000-0005-0000-0000-00004E470000}"/>
    <cellStyle name="_20061117Holux_WorldBankCMSScope_slm_llp_0520_FP_CAMPITReporting_Maintenance_Dashboard 2" xfId="18345" xr:uid="{00000000-0005-0000-0000-00004F470000}"/>
    <cellStyle name="_20061117Holux_WorldBankCMSScope_slm_llp_0520_FP_CAMPITReporting_Maintenance_Dashboard 2_Steps of Doneness" xfId="18346" xr:uid="{00000000-0005-0000-0000-000050470000}"/>
    <cellStyle name="_20061117Holux_WorldBankCMSScope_slm_llp_0520_FP_CAMPITReporting_Maintenance_Dashboard 3" xfId="18347" xr:uid="{00000000-0005-0000-0000-000051470000}"/>
    <cellStyle name="_20061117Holux_WorldBankCMSScope_slm_llp_0520_FP_CAMPITReporting_Maintenance_Dashboard_Steps of Doneness" xfId="18348" xr:uid="{00000000-0005-0000-0000-000052470000}"/>
    <cellStyle name="_20061117Holux_WorldBankCMSScope_slm_llp_0520_FP_Commissions_Req_Dn_ProgramWorkBook_10-Dec-2010" xfId="18349" xr:uid="{00000000-0005-0000-0000-000053470000}"/>
    <cellStyle name="_20061117Holux_WorldBankCMSScope_slm_llp_0520_FP_Commissions_Req_Dn_ProgramWorkBook_10-Dec-2010 2" xfId="18350" xr:uid="{00000000-0005-0000-0000-000054470000}"/>
    <cellStyle name="_20061117Holux_WorldBankCMSScope_slm_llp_0520_FP_Commissions_Req_Dn_ProgramWorkBook_10-Dec-2010 2_Steps of Doneness" xfId="18351" xr:uid="{00000000-0005-0000-0000-000055470000}"/>
    <cellStyle name="_20061117Holux_WorldBankCMSScope_slm_llp_0520_FP_Commissions_Req_Dn_ProgramWorkBook_10-Dec-2010 3" xfId="18352" xr:uid="{00000000-0005-0000-0000-000056470000}"/>
    <cellStyle name="_20061117Holux_WorldBankCMSScope_slm_llp_0520_FP_Commissions_Req_Dn_ProgramWorkBook_10-Dec-2010_Steps of Doneness" xfId="18353" xr:uid="{00000000-0005-0000-0000-000057470000}"/>
    <cellStyle name="_20061117Holux_WorldBankCMSScope_slm_llp_0520_FP_DW_Impl_ProgramWorkBook_07-Jan-2011" xfId="18354" xr:uid="{00000000-0005-0000-0000-000058470000}"/>
    <cellStyle name="_20061117Holux_WorldBankCMSScope_slm_llp_0520_FP_DW_Impl_ProgramWorkBook_07-Jan-2011 2" xfId="18355" xr:uid="{00000000-0005-0000-0000-000059470000}"/>
    <cellStyle name="_20061117Holux_WorldBankCMSScope_slm_llp_0520_FP_DW_Impl_ProgramWorkBook_07-Jan-2011 2 2" xfId="18356" xr:uid="{00000000-0005-0000-0000-00005A470000}"/>
    <cellStyle name="_20061117Holux_WorldBankCMSScope_slm_llp_0520_FP_DW_Impl_ProgramWorkBook_07-Jan-2011 2 2_Steps of Doneness" xfId="18357" xr:uid="{00000000-0005-0000-0000-00005B470000}"/>
    <cellStyle name="_20061117Holux_WorldBankCMSScope_slm_llp_0520_FP_DW_Impl_ProgramWorkBook_07-Jan-2011 2 3" xfId="18358" xr:uid="{00000000-0005-0000-0000-00005C470000}"/>
    <cellStyle name="_20061117Holux_WorldBankCMSScope_slm_llp_0520_FP_DW_Impl_ProgramWorkBook_07-Jan-2011 2_Steps of Doneness" xfId="18359" xr:uid="{00000000-0005-0000-0000-00005D470000}"/>
    <cellStyle name="_20061117Holux_WorldBankCMSScope_slm_llp_0520_FP_DW_Impl_ProgramWorkBook_07-Jan-2011 3" xfId="18360" xr:uid="{00000000-0005-0000-0000-00005E470000}"/>
    <cellStyle name="_20061117Holux_WorldBankCMSScope_slm_llp_0520_FP_DW_Impl_ProgramWorkBook_07-Jan-2011 3_Steps of Doneness" xfId="18361" xr:uid="{00000000-0005-0000-0000-00005F470000}"/>
    <cellStyle name="_20061117Holux_WorldBankCMSScope_slm_llp_0520_FP_DW_Impl_ProgramWorkBook_07-Jan-2011 4" xfId="18362" xr:uid="{00000000-0005-0000-0000-000060470000}"/>
    <cellStyle name="_20061117Holux_WorldBankCMSScope_slm_llp_0520_FP_DW_Impl_ProgramWorkBook_07-Jan-2011_Steps of Doneness" xfId="18363" xr:uid="{00000000-0005-0000-0000-000061470000}"/>
    <cellStyle name="_20061117Holux_WorldBankCMSScope_slm_llp_0520_FP_DW_Impl_ProgramWorkBook_11-Feb-2011" xfId="18364" xr:uid="{00000000-0005-0000-0000-000062470000}"/>
    <cellStyle name="_20061117Holux_WorldBankCMSScope_slm_llp_0520_FP_DW_Impl_ProgramWorkBook_11-Feb-2011 2" xfId="18365" xr:uid="{00000000-0005-0000-0000-000063470000}"/>
    <cellStyle name="_20061117Holux_WorldBankCMSScope_slm_llp_0520_FP_DW_Impl_ProgramWorkBook_11-Feb-2011 2_Steps of Doneness" xfId="18366" xr:uid="{00000000-0005-0000-0000-000064470000}"/>
    <cellStyle name="_20061117Holux_WorldBankCMSScope_slm_llp_0520_FP_DW_Impl_ProgramWorkBook_11-Feb-2011 3" xfId="18367" xr:uid="{00000000-0005-0000-0000-000065470000}"/>
    <cellStyle name="_20061117Holux_WorldBankCMSScope_slm_llp_0520_FP_DW_Impl_ProgramWorkBook_11-Feb-2011_Steps of Doneness" xfId="18368" xr:uid="{00000000-0005-0000-0000-000066470000}"/>
    <cellStyle name="_20061117Holux_WorldBankCMSScope_slm_llp_0520_FP_DW_Impl_ProgramWorkBook_18-Feb-2011 - Working" xfId="18369" xr:uid="{00000000-0005-0000-0000-000067470000}"/>
    <cellStyle name="_20061117Holux_WorldBankCMSScope_slm_llp_0520_FP_DW_Impl_ProgramWorkBook_18-Feb-2011 - Working 2" xfId="18370" xr:uid="{00000000-0005-0000-0000-000068470000}"/>
    <cellStyle name="_20061117Holux_WorldBankCMSScope_slm_llp_0520_FP_DW_Impl_ProgramWorkBook_18-Feb-2011 - Working 2_Steps of Doneness" xfId="18371" xr:uid="{00000000-0005-0000-0000-000069470000}"/>
    <cellStyle name="_20061117Holux_WorldBankCMSScope_slm_llp_0520_FP_DW_Impl_ProgramWorkBook_18-Feb-2011 - Working 3" xfId="18372" xr:uid="{00000000-0005-0000-0000-00006A470000}"/>
    <cellStyle name="_20061117Holux_WorldBankCMSScope_slm_llp_0520_FP_DW_Impl_ProgramWorkBook_18-Feb-2011 - Working_Steps of Doneness" xfId="18373" xr:uid="{00000000-0005-0000-0000-00006B470000}"/>
    <cellStyle name="_20061117Holux_WorldBankCMSScope_slm_llp_0520_FP_EnterprisePortal_ProgramWorkbook" xfId="18374" xr:uid="{00000000-0005-0000-0000-00006C470000}"/>
    <cellStyle name="_20061117Holux_WorldBankCMSScope_slm_llp_0520_FP_EnterprisePortal_ProgramWorkbook 2" xfId="18375" xr:uid="{00000000-0005-0000-0000-00006D470000}"/>
    <cellStyle name="_20061117Holux_WorldBankCMSScope_slm_llp_0520_FP_EnterprisePortal_ProgramWorkbook 2_Steps of Doneness" xfId="18376" xr:uid="{00000000-0005-0000-0000-00006E470000}"/>
    <cellStyle name="_20061117Holux_WorldBankCMSScope_slm_llp_0520_FP_EnterprisePortal_ProgramWorkbook 3" xfId="18377" xr:uid="{00000000-0005-0000-0000-00006F470000}"/>
    <cellStyle name="_20061117Holux_WorldBankCMSScope_slm_llp_0520_FP_EnterprisePortal_ProgramWorkbook_Steps of Doneness" xfId="18378" xr:uid="{00000000-0005-0000-0000-000070470000}"/>
    <cellStyle name="_20061117Holux_WorldBankCMSScope_slm_llp_0520_FP_SAP_MLP v2" xfId="18379" xr:uid="{00000000-0005-0000-0000-000071470000}"/>
    <cellStyle name="_20061117Holux_WorldBankCMSScope_slm_llp_0520_FP_SAP_MLP v2 2" xfId="18380" xr:uid="{00000000-0005-0000-0000-000072470000}"/>
    <cellStyle name="_20061117Holux_WorldBankCMSScope_slm_llp_0520_FP_SAP_MLP v2 2_Steps of Doneness" xfId="18381" xr:uid="{00000000-0005-0000-0000-000073470000}"/>
    <cellStyle name="_20061117Holux_WorldBankCMSScope_slm_llp_0520_FP_SAP_MLP v2 3" xfId="18382" xr:uid="{00000000-0005-0000-0000-000074470000}"/>
    <cellStyle name="_20061117Holux_WorldBankCMSScope_slm_llp_0520_FP_SAP_MLP v2_Steps of Doneness" xfId="18383" xr:uid="{00000000-0005-0000-0000-000075470000}"/>
    <cellStyle name="_20061117Holux_WorldBankCMSScope_slm_llp_0520_KeyDecisions" xfId="18384" xr:uid="{00000000-0005-0000-0000-000076470000}"/>
    <cellStyle name="_20061117Holux_WorldBankCMSScope_slm_llp_0520_KeyDecisions 2" xfId="18385" xr:uid="{00000000-0005-0000-0000-000077470000}"/>
    <cellStyle name="_20061117Holux_WorldBankCMSScope_slm_llp_0520_KeyDecisions 2_Steps of Doneness" xfId="18386" xr:uid="{00000000-0005-0000-0000-000078470000}"/>
    <cellStyle name="_20061117Holux_WorldBankCMSScope_slm_llp_0520_KeyDecisions 3" xfId="18387" xr:uid="{00000000-0005-0000-0000-000079470000}"/>
    <cellStyle name="_20061117Holux_WorldBankCMSScope_slm_llp_0520_KeyDecisions_Steps of Doneness" xfId="18388" xr:uid="{00000000-0005-0000-0000-00007A470000}"/>
    <cellStyle name="_20061117Holux_WorldBankCMSScope_slm_llp_0520_Sophia_Imp_ProjectWorkBook_02_18_2011" xfId="18389" xr:uid="{00000000-0005-0000-0000-00007B470000}"/>
    <cellStyle name="_20061117Holux_WorldBankCMSScope_slm_llp_0520_Sophia_Imp_ProjectWorkBook_02_18_2011 2" xfId="18390" xr:uid="{00000000-0005-0000-0000-00007C470000}"/>
    <cellStyle name="_20061117Holux_WorldBankCMSScope_slm_llp_0520_Sophia_Imp_ProjectWorkBook_02_18_2011 2_Steps of Doneness" xfId="18391" xr:uid="{00000000-0005-0000-0000-00007D470000}"/>
    <cellStyle name="_20061117Holux_WorldBankCMSScope_slm_llp_0520_Sophia_Imp_ProjectWorkBook_02_18_2011 3" xfId="18392" xr:uid="{00000000-0005-0000-0000-00007E470000}"/>
    <cellStyle name="_20061117Holux_WorldBankCMSScope_slm_llp_0520_Sophia_Imp_ProjectWorkBook_02_18_2011_Steps of Doneness" xfId="18393" xr:uid="{00000000-0005-0000-0000-00007F470000}"/>
    <cellStyle name="_20061117Holux_WorldBankCMSScope_slm_llp_0520_Steps of Doneness" xfId="18394" xr:uid="{00000000-0005-0000-0000-000080470000}"/>
    <cellStyle name="_20061117Holux_WorldBankCMSScope_slm_llp_0520_t" xfId="18395" xr:uid="{00000000-0005-0000-0000-000081470000}"/>
    <cellStyle name="_20061117Holux_WorldBankCMSScope_slm_llp_0520_t 2" xfId="18396" xr:uid="{00000000-0005-0000-0000-000082470000}"/>
    <cellStyle name="_20061117Holux_WorldBankCMSScope_slm_llp_0520_t 2_Steps of Doneness" xfId="18397" xr:uid="{00000000-0005-0000-0000-000083470000}"/>
    <cellStyle name="_20061117Holux_WorldBankCMSScope_slm_llp_0520_t 3" xfId="18398" xr:uid="{00000000-0005-0000-0000-000084470000}"/>
    <cellStyle name="_20061117Holux_WorldBankCMSScope_slm_llp_0520_t_Steps of Doneness" xfId="18399" xr:uid="{00000000-0005-0000-0000-000085470000}"/>
    <cellStyle name="_20061117Holux_WorldBankCMSScope_SLM_PM_Workbook_053110" xfId="18400" xr:uid="{00000000-0005-0000-0000-000086470000}"/>
    <cellStyle name="_20061117Holux_WorldBankCMSScope_SLM_PM_Workbook_053110 2" xfId="18401" xr:uid="{00000000-0005-0000-0000-000087470000}"/>
    <cellStyle name="_20061117Holux_WorldBankCMSScope_SLM_PM_Workbook_053110 2 2" xfId="18402" xr:uid="{00000000-0005-0000-0000-000088470000}"/>
    <cellStyle name="_20061117Holux_WorldBankCMSScope_SLM_PM_Workbook_053110 2 2_Steps of Doneness" xfId="18403" xr:uid="{00000000-0005-0000-0000-000089470000}"/>
    <cellStyle name="_20061117Holux_WorldBankCMSScope_SLM_PM_Workbook_053110 2 3" xfId="18404" xr:uid="{00000000-0005-0000-0000-00008A470000}"/>
    <cellStyle name="_20061117Holux_WorldBankCMSScope_SLM_PM_Workbook_053110 2_Steps of Doneness" xfId="18405" xr:uid="{00000000-0005-0000-0000-00008B470000}"/>
    <cellStyle name="_20061117Holux_WorldBankCMSScope_SLM_PM_Workbook_053110 3" xfId="18406" xr:uid="{00000000-0005-0000-0000-00008C470000}"/>
    <cellStyle name="_20061117Holux_WorldBankCMSScope_SLM_PM_Workbook_053110 3_Steps of Doneness" xfId="18407" xr:uid="{00000000-0005-0000-0000-00008D470000}"/>
    <cellStyle name="_20061117Holux_WorldBankCMSScope_SLM_PM_Workbook_053110 4" xfId="18408" xr:uid="{00000000-0005-0000-0000-00008E470000}"/>
    <cellStyle name="_20061117Holux_WorldBankCMSScope_SLM_PM_Workbook_053110_Commissioning System Implementation_Project Workbook_06_10_2011" xfId="18409" xr:uid="{00000000-0005-0000-0000-00008F470000}"/>
    <cellStyle name="_20061117Holux_WorldBankCMSScope_SLM_PM_Workbook_053110_Commissioning System Implementation_Project Workbook_06_10_2011 2" xfId="18410" xr:uid="{00000000-0005-0000-0000-000090470000}"/>
    <cellStyle name="_20061117Holux_WorldBankCMSScope_SLM_PM_Workbook_053110_Commissioning System Implementation_Project Workbook_06_10_2011 2_Steps of Doneness" xfId="18411" xr:uid="{00000000-0005-0000-0000-000091470000}"/>
    <cellStyle name="_20061117Holux_WorldBankCMSScope_SLM_PM_Workbook_053110_Commissioning System Implementation_Project Workbook_06_10_2011 3" xfId="18412" xr:uid="{00000000-0005-0000-0000-000092470000}"/>
    <cellStyle name="_20061117Holux_WorldBankCMSScope_SLM_PM_Workbook_053110_Commissioning System Implementation_Project Workbook_06_10_2011_Steps of Doneness" xfId="18413" xr:uid="{00000000-0005-0000-0000-000093470000}"/>
    <cellStyle name="_20061117Holux_WorldBankCMSScope_SLM_PM_Workbook_053110_FairPoint_CampReport" xfId="18414" xr:uid="{00000000-0005-0000-0000-000094470000}"/>
    <cellStyle name="_20061117Holux_WorldBankCMSScope_SLM_PM_Workbook_053110_FairPoint_CampReport 2" xfId="18415" xr:uid="{00000000-0005-0000-0000-000095470000}"/>
    <cellStyle name="_20061117Holux_WorldBankCMSScope_SLM_PM_Workbook_053110_FairPoint_CampReport 2_Steps of Doneness" xfId="18416" xr:uid="{00000000-0005-0000-0000-000096470000}"/>
    <cellStyle name="_20061117Holux_WorldBankCMSScope_SLM_PM_Workbook_053110_FairPoint_CampReport 3" xfId="18417" xr:uid="{00000000-0005-0000-0000-000097470000}"/>
    <cellStyle name="_20061117Holux_WorldBankCMSScope_SLM_PM_Workbook_053110_FairPoint_CampReport_Steps of Doneness" xfId="18418" xr:uid="{00000000-0005-0000-0000-000098470000}"/>
    <cellStyle name="_20061117Holux_WorldBankCMSScope_SLM_PM_Workbook_053110_FairPoint_FP comTechOps_ProgramWorkbook" xfId="18419" xr:uid="{00000000-0005-0000-0000-000099470000}"/>
    <cellStyle name="_20061117Holux_WorldBankCMSScope_SLM_PM_Workbook_053110_FairPoint_FP comTechOps_ProgramWorkbook 2" xfId="18420" xr:uid="{00000000-0005-0000-0000-00009A470000}"/>
    <cellStyle name="_20061117Holux_WorldBankCMSScope_SLM_PM_Workbook_053110_FairPoint_FP comTechOps_ProgramWorkbook 2_Steps of Doneness" xfId="18421" xr:uid="{00000000-0005-0000-0000-00009B470000}"/>
    <cellStyle name="_20061117Holux_WorldBankCMSScope_SLM_PM_Workbook_053110_FairPoint_FP comTechOps_ProgramWorkbook 3" xfId="18422" xr:uid="{00000000-0005-0000-0000-00009C470000}"/>
    <cellStyle name="_20061117Holux_WorldBankCMSScope_SLM_PM_Workbook_053110_FairPoint_FP comTechOps_ProgramWorkbook_sachin" xfId="18423" xr:uid="{00000000-0005-0000-0000-00009D470000}"/>
    <cellStyle name="_20061117Holux_WorldBankCMSScope_SLM_PM_Workbook_053110_FairPoint_FP comTechOps_ProgramWorkbook_sachin 2" xfId="18424" xr:uid="{00000000-0005-0000-0000-00009E470000}"/>
    <cellStyle name="_20061117Holux_WorldBankCMSScope_SLM_PM_Workbook_053110_FairPoint_FP comTechOps_ProgramWorkbook_sachin 2_Steps of Doneness" xfId="18425" xr:uid="{00000000-0005-0000-0000-00009F470000}"/>
    <cellStyle name="_20061117Holux_WorldBankCMSScope_SLM_PM_Workbook_053110_FairPoint_FP comTechOps_ProgramWorkbook_sachin 3" xfId="18426" xr:uid="{00000000-0005-0000-0000-0000A0470000}"/>
    <cellStyle name="_20061117Holux_WorldBankCMSScope_SLM_PM_Workbook_053110_FairPoint_FP comTechOps_ProgramWorkbook_sachin_Steps of Doneness" xfId="18427" xr:uid="{00000000-0005-0000-0000-0000A1470000}"/>
    <cellStyle name="_20061117Holux_WorldBankCMSScope_SLM_PM_Workbook_053110_FairPoint_FP comTechOps_ProgramWorkbook_sachin_v1" xfId="18428" xr:uid="{00000000-0005-0000-0000-0000A2470000}"/>
    <cellStyle name="_20061117Holux_WorldBankCMSScope_SLM_PM_Workbook_053110_FairPoint_FP comTechOps_ProgramWorkbook_sachin_v1 2" xfId="18429" xr:uid="{00000000-0005-0000-0000-0000A3470000}"/>
    <cellStyle name="_20061117Holux_WorldBankCMSScope_SLM_PM_Workbook_053110_FairPoint_FP comTechOps_ProgramWorkbook_sachin_v1 2_Steps of Doneness" xfId="18430" xr:uid="{00000000-0005-0000-0000-0000A4470000}"/>
    <cellStyle name="_20061117Holux_WorldBankCMSScope_SLM_PM_Workbook_053110_FairPoint_FP comTechOps_ProgramWorkbook_sachin_v1 3" xfId="18431" xr:uid="{00000000-0005-0000-0000-0000A5470000}"/>
    <cellStyle name="_20061117Holux_WorldBankCMSScope_SLM_PM_Workbook_053110_FairPoint_FP comTechOps_ProgramWorkbook_sachin_v1_Steps of Doneness" xfId="18432" xr:uid="{00000000-0005-0000-0000-0000A6470000}"/>
    <cellStyle name="_20061117Holux_WorldBankCMSScope_SLM_PM_Workbook_053110_FairPoint_FP comTechOps_ProgramWorkbook_Steps of Doneness" xfId="18433" xr:uid="{00000000-0005-0000-0000-0000A7470000}"/>
    <cellStyle name="_20061117Holux_WorldBankCMSScope_SLM_PM_Workbook_053110_FP_CAMP&amp;ITReporting_Maintenance_Dashboard" xfId="18434" xr:uid="{00000000-0005-0000-0000-0000A8470000}"/>
    <cellStyle name="_20061117Holux_WorldBankCMSScope_SLM_PM_Workbook_053110_FP_CAMP&amp;ITReporting_Maintenance_Dashboard 2" xfId="18435" xr:uid="{00000000-0005-0000-0000-0000A9470000}"/>
    <cellStyle name="_20061117Holux_WorldBankCMSScope_SLM_PM_Workbook_053110_FP_CAMP&amp;ITReporting_Maintenance_Dashboard 2_Steps of Doneness" xfId="18436" xr:uid="{00000000-0005-0000-0000-0000AA470000}"/>
    <cellStyle name="_20061117Holux_WorldBankCMSScope_SLM_PM_Workbook_053110_FP_CAMP&amp;ITReporting_Maintenance_Dashboard 3" xfId="18437" xr:uid="{00000000-0005-0000-0000-0000AB470000}"/>
    <cellStyle name="_20061117Holux_WorldBankCMSScope_SLM_PM_Workbook_053110_FP_CAMP&amp;ITReporting_Maintenance_Dashboard_Steps of Doneness" xfId="18438" xr:uid="{00000000-0005-0000-0000-0000AC470000}"/>
    <cellStyle name="_20061117Holux_WorldBankCMSScope_SLM_PM_Workbook_053110_FP_CAMPITReporting_Maintenance_Dashboard" xfId="18439" xr:uid="{00000000-0005-0000-0000-0000AD470000}"/>
    <cellStyle name="_20061117Holux_WorldBankCMSScope_SLM_PM_Workbook_053110_FP_CAMPITReporting_Maintenance_Dashboard 2" xfId="18440" xr:uid="{00000000-0005-0000-0000-0000AE470000}"/>
    <cellStyle name="_20061117Holux_WorldBankCMSScope_SLM_PM_Workbook_053110_FP_CAMPITReporting_Maintenance_Dashboard 2_Steps of Doneness" xfId="18441" xr:uid="{00000000-0005-0000-0000-0000AF470000}"/>
    <cellStyle name="_20061117Holux_WorldBankCMSScope_SLM_PM_Workbook_053110_FP_CAMPITReporting_Maintenance_Dashboard 3" xfId="18442" xr:uid="{00000000-0005-0000-0000-0000B0470000}"/>
    <cellStyle name="_20061117Holux_WorldBankCMSScope_SLM_PM_Workbook_053110_FP_CAMPITReporting_Maintenance_Dashboard_Steps of Doneness" xfId="18443" xr:uid="{00000000-0005-0000-0000-0000B1470000}"/>
    <cellStyle name="_20061117Holux_WorldBankCMSScope_SLM_PM_Workbook_053110_FP_Commissions_Req_Dn_ProgramWorkBook_10-Dec-2010" xfId="18444" xr:uid="{00000000-0005-0000-0000-0000B2470000}"/>
    <cellStyle name="_20061117Holux_WorldBankCMSScope_SLM_PM_Workbook_053110_FP_Commissions_Req_Dn_ProgramWorkBook_10-Dec-2010 2" xfId="18445" xr:uid="{00000000-0005-0000-0000-0000B3470000}"/>
    <cellStyle name="_20061117Holux_WorldBankCMSScope_SLM_PM_Workbook_053110_FP_Commissions_Req_Dn_ProgramWorkBook_10-Dec-2010 2_Steps of Doneness" xfId="18446" xr:uid="{00000000-0005-0000-0000-0000B4470000}"/>
    <cellStyle name="_20061117Holux_WorldBankCMSScope_SLM_PM_Workbook_053110_FP_Commissions_Req_Dn_ProgramWorkBook_10-Dec-2010 3" xfId="18447" xr:uid="{00000000-0005-0000-0000-0000B5470000}"/>
    <cellStyle name="_20061117Holux_WorldBankCMSScope_SLM_PM_Workbook_053110_FP_Commissions_Req_Dn_ProgramWorkBook_10-Dec-2010_Steps of Doneness" xfId="18448" xr:uid="{00000000-0005-0000-0000-0000B6470000}"/>
    <cellStyle name="_20061117Holux_WorldBankCMSScope_SLM_PM_Workbook_053110_FP_DW_Impl_ProgramWorkBook_07-Jan-2011" xfId="18449" xr:uid="{00000000-0005-0000-0000-0000B7470000}"/>
    <cellStyle name="_20061117Holux_WorldBankCMSScope_SLM_PM_Workbook_053110_FP_DW_Impl_ProgramWorkBook_07-Jan-2011 2" xfId="18450" xr:uid="{00000000-0005-0000-0000-0000B8470000}"/>
    <cellStyle name="_20061117Holux_WorldBankCMSScope_SLM_PM_Workbook_053110_FP_DW_Impl_ProgramWorkBook_07-Jan-2011 2 2" xfId="18451" xr:uid="{00000000-0005-0000-0000-0000B9470000}"/>
    <cellStyle name="_20061117Holux_WorldBankCMSScope_SLM_PM_Workbook_053110_FP_DW_Impl_ProgramWorkBook_07-Jan-2011 2 2_Steps of Doneness" xfId="18452" xr:uid="{00000000-0005-0000-0000-0000BA470000}"/>
    <cellStyle name="_20061117Holux_WorldBankCMSScope_SLM_PM_Workbook_053110_FP_DW_Impl_ProgramWorkBook_07-Jan-2011 2 3" xfId="18453" xr:uid="{00000000-0005-0000-0000-0000BB470000}"/>
    <cellStyle name="_20061117Holux_WorldBankCMSScope_SLM_PM_Workbook_053110_FP_DW_Impl_ProgramWorkBook_07-Jan-2011 2_Steps of Doneness" xfId="18454" xr:uid="{00000000-0005-0000-0000-0000BC470000}"/>
    <cellStyle name="_20061117Holux_WorldBankCMSScope_SLM_PM_Workbook_053110_FP_DW_Impl_ProgramWorkBook_07-Jan-2011 3" xfId="18455" xr:uid="{00000000-0005-0000-0000-0000BD470000}"/>
    <cellStyle name="_20061117Holux_WorldBankCMSScope_SLM_PM_Workbook_053110_FP_DW_Impl_ProgramWorkBook_07-Jan-2011 3_Steps of Doneness" xfId="18456" xr:uid="{00000000-0005-0000-0000-0000BE470000}"/>
    <cellStyle name="_20061117Holux_WorldBankCMSScope_SLM_PM_Workbook_053110_FP_DW_Impl_ProgramWorkBook_07-Jan-2011 4" xfId="18457" xr:uid="{00000000-0005-0000-0000-0000BF470000}"/>
    <cellStyle name="_20061117Holux_WorldBankCMSScope_SLM_PM_Workbook_053110_FP_DW_Impl_ProgramWorkBook_07-Jan-2011_Steps of Doneness" xfId="18458" xr:uid="{00000000-0005-0000-0000-0000C0470000}"/>
    <cellStyle name="_20061117Holux_WorldBankCMSScope_SLM_PM_Workbook_053110_FP_DW_Impl_ProgramWorkBook_11-Feb-2011" xfId="18459" xr:uid="{00000000-0005-0000-0000-0000C1470000}"/>
    <cellStyle name="_20061117Holux_WorldBankCMSScope_SLM_PM_Workbook_053110_FP_DW_Impl_ProgramWorkBook_11-Feb-2011 2" xfId="18460" xr:uid="{00000000-0005-0000-0000-0000C2470000}"/>
    <cellStyle name="_20061117Holux_WorldBankCMSScope_SLM_PM_Workbook_053110_FP_DW_Impl_ProgramWorkBook_11-Feb-2011 2_Steps of Doneness" xfId="18461" xr:uid="{00000000-0005-0000-0000-0000C3470000}"/>
    <cellStyle name="_20061117Holux_WorldBankCMSScope_SLM_PM_Workbook_053110_FP_DW_Impl_ProgramWorkBook_11-Feb-2011 3" xfId="18462" xr:uid="{00000000-0005-0000-0000-0000C4470000}"/>
    <cellStyle name="_20061117Holux_WorldBankCMSScope_SLM_PM_Workbook_053110_FP_DW_Impl_ProgramWorkBook_11-Feb-2011_Steps of Doneness" xfId="18463" xr:uid="{00000000-0005-0000-0000-0000C5470000}"/>
    <cellStyle name="_20061117Holux_WorldBankCMSScope_SLM_PM_Workbook_053110_FP_DW_Impl_ProgramWorkBook_18-Feb-2011 - Working" xfId="18464" xr:uid="{00000000-0005-0000-0000-0000C6470000}"/>
    <cellStyle name="_20061117Holux_WorldBankCMSScope_SLM_PM_Workbook_053110_FP_DW_Impl_ProgramWorkBook_18-Feb-2011 - Working 2" xfId="18465" xr:uid="{00000000-0005-0000-0000-0000C7470000}"/>
    <cellStyle name="_20061117Holux_WorldBankCMSScope_SLM_PM_Workbook_053110_FP_DW_Impl_ProgramWorkBook_18-Feb-2011 - Working 2_Steps of Doneness" xfId="18466" xr:uid="{00000000-0005-0000-0000-0000C8470000}"/>
    <cellStyle name="_20061117Holux_WorldBankCMSScope_SLM_PM_Workbook_053110_FP_DW_Impl_ProgramWorkBook_18-Feb-2011 - Working 3" xfId="18467" xr:uid="{00000000-0005-0000-0000-0000C9470000}"/>
    <cellStyle name="_20061117Holux_WorldBankCMSScope_SLM_PM_Workbook_053110_FP_DW_Impl_ProgramWorkBook_18-Feb-2011 - Working_Steps of Doneness" xfId="18468" xr:uid="{00000000-0005-0000-0000-0000CA470000}"/>
    <cellStyle name="_20061117Holux_WorldBankCMSScope_SLM_PM_Workbook_053110_FP_EnterprisePortal_ProgramWorkbook" xfId="18469" xr:uid="{00000000-0005-0000-0000-0000CB470000}"/>
    <cellStyle name="_20061117Holux_WorldBankCMSScope_SLM_PM_Workbook_053110_FP_EnterprisePortal_ProgramWorkbook 2" xfId="18470" xr:uid="{00000000-0005-0000-0000-0000CC470000}"/>
    <cellStyle name="_20061117Holux_WorldBankCMSScope_SLM_PM_Workbook_053110_FP_EnterprisePortal_ProgramWorkbook 2_Steps of Doneness" xfId="18471" xr:uid="{00000000-0005-0000-0000-0000CD470000}"/>
    <cellStyle name="_20061117Holux_WorldBankCMSScope_SLM_PM_Workbook_053110_FP_EnterprisePortal_ProgramWorkbook 3" xfId="18472" xr:uid="{00000000-0005-0000-0000-0000CE470000}"/>
    <cellStyle name="_20061117Holux_WorldBankCMSScope_SLM_PM_Workbook_053110_FP_EnterprisePortal_ProgramWorkbook_Steps of Doneness" xfId="18473" xr:uid="{00000000-0005-0000-0000-0000CF470000}"/>
    <cellStyle name="_20061117Holux_WorldBankCMSScope_SLM_PM_Workbook_053110_FP_SAP_MLP v2" xfId="18474" xr:uid="{00000000-0005-0000-0000-0000D0470000}"/>
    <cellStyle name="_20061117Holux_WorldBankCMSScope_SLM_PM_Workbook_053110_FP_SAP_MLP v2 2" xfId="18475" xr:uid="{00000000-0005-0000-0000-0000D1470000}"/>
    <cellStyle name="_20061117Holux_WorldBankCMSScope_SLM_PM_Workbook_053110_FP_SAP_MLP v2 2_Steps of Doneness" xfId="18476" xr:uid="{00000000-0005-0000-0000-0000D2470000}"/>
    <cellStyle name="_20061117Holux_WorldBankCMSScope_SLM_PM_Workbook_053110_FP_SAP_MLP v2 3" xfId="18477" xr:uid="{00000000-0005-0000-0000-0000D3470000}"/>
    <cellStyle name="_20061117Holux_WorldBankCMSScope_SLM_PM_Workbook_053110_FP_SAP_MLP v2_Steps of Doneness" xfId="18478" xr:uid="{00000000-0005-0000-0000-0000D4470000}"/>
    <cellStyle name="_20061117Holux_WorldBankCMSScope_SLM_PM_Workbook_053110_KeyDecisions" xfId="18479" xr:uid="{00000000-0005-0000-0000-0000D5470000}"/>
    <cellStyle name="_20061117Holux_WorldBankCMSScope_SLM_PM_Workbook_053110_KeyDecisions 2" xfId="18480" xr:uid="{00000000-0005-0000-0000-0000D6470000}"/>
    <cellStyle name="_20061117Holux_WorldBankCMSScope_SLM_PM_Workbook_053110_KeyDecisions 2_Steps of Doneness" xfId="18481" xr:uid="{00000000-0005-0000-0000-0000D7470000}"/>
    <cellStyle name="_20061117Holux_WorldBankCMSScope_SLM_PM_Workbook_053110_KeyDecisions 3" xfId="18482" xr:uid="{00000000-0005-0000-0000-0000D8470000}"/>
    <cellStyle name="_20061117Holux_WorldBankCMSScope_SLM_PM_Workbook_053110_KeyDecisions_Steps of Doneness" xfId="18483" xr:uid="{00000000-0005-0000-0000-0000D9470000}"/>
    <cellStyle name="_20061117Holux_WorldBankCMSScope_SLM_PM_Workbook_053110_Sophia_Imp_ProjectWorkBook_02_18_2011" xfId="18484" xr:uid="{00000000-0005-0000-0000-0000DA470000}"/>
    <cellStyle name="_20061117Holux_WorldBankCMSScope_SLM_PM_Workbook_053110_Sophia_Imp_ProjectWorkBook_02_18_2011 2" xfId="18485" xr:uid="{00000000-0005-0000-0000-0000DB470000}"/>
    <cellStyle name="_20061117Holux_WorldBankCMSScope_SLM_PM_Workbook_053110_Sophia_Imp_ProjectWorkBook_02_18_2011 2_Steps of Doneness" xfId="18486" xr:uid="{00000000-0005-0000-0000-0000DC470000}"/>
    <cellStyle name="_20061117Holux_WorldBankCMSScope_SLM_PM_Workbook_053110_Sophia_Imp_ProjectWorkBook_02_18_2011 3" xfId="18487" xr:uid="{00000000-0005-0000-0000-0000DD470000}"/>
    <cellStyle name="_20061117Holux_WorldBankCMSScope_SLM_PM_Workbook_053110_Sophia_Imp_ProjectWorkBook_02_18_2011_Steps of Doneness" xfId="18488" xr:uid="{00000000-0005-0000-0000-0000DE470000}"/>
    <cellStyle name="_20061117Holux_WorldBankCMSScope_SLM_PM_Workbook_053110_Steps of Doneness" xfId="18489" xr:uid="{00000000-0005-0000-0000-0000DF470000}"/>
    <cellStyle name="_20061117Holux_WorldBankCMSScope_SLM_PM_Workbook_053110_t" xfId="18490" xr:uid="{00000000-0005-0000-0000-0000E0470000}"/>
    <cellStyle name="_20061117Holux_WorldBankCMSScope_SLM_PM_Workbook_053110_t 2" xfId="18491" xr:uid="{00000000-0005-0000-0000-0000E1470000}"/>
    <cellStyle name="_20061117Holux_WorldBankCMSScope_SLM_PM_Workbook_053110_t 2_Steps of Doneness" xfId="18492" xr:uid="{00000000-0005-0000-0000-0000E2470000}"/>
    <cellStyle name="_20061117Holux_WorldBankCMSScope_SLM_PM_Workbook_053110_t 3" xfId="18493" xr:uid="{00000000-0005-0000-0000-0000E3470000}"/>
    <cellStyle name="_20061117Holux_WorldBankCMSScope_SLM_PM_Workbook_053110_t_Steps of Doneness" xfId="18494" xr:uid="{00000000-0005-0000-0000-0000E4470000}"/>
    <cellStyle name="_20061117Holux_WorldBankCMSScope_SLM_PMO_Workbook_060910" xfId="18495" xr:uid="{00000000-0005-0000-0000-0000E5470000}"/>
    <cellStyle name="_20061117Holux_WorldBankCMSScope_SLM_PMO_Workbook_060910 2" xfId="18496" xr:uid="{00000000-0005-0000-0000-0000E6470000}"/>
    <cellStyle name="_20061117Holux_WorldBankCMSScope_SLM_PMO_Workbook_060910 2 2" xfId="18497" xr:uid="{00000000-0005-0000-0000-0000E7470000}"/>
    <cellStyle name="_20061117Holux_WorldBankCMSScope_SLM_PMO_Workbook_060910 2 2_Steps of Doneness" xfId="18498" xr:uid="{00000000-0005-0000-0000-0000E8470000}"/>
    <cellStyle name="_20061117Holux_WorldBankCMSScope_SLM_PMO_Workbook_060910 2 3" xfId="18499" xr:uid="{00000000-0005-0000-0000-0000E9470000}"/>
    <cellStyle name="_20061117Holux_WorldBankCMSScope_SLM_PMO_Workbook_060910 2_Steps of Doneness" xfId="18500" xr:uid="{00000000-0005-0000-0000-0000EA470000}"/>
    <cellStyle name="_20061117Holux_WorldBankCMSScope_SLM_PMO_Workbook_060910 3" xfId="18501" xr:uid="{00000000-0005-0000-0000-0000EB470000}"/>
    <cellStyle name="_20061117Holux_WorldBankCMSScope_SLM_PMO_Workbook_060910 3_Steps of Doneness" xfId="18502" xr:uid="{00000000-0005-0000-0000-0000EC470000}"/>
    <cellStyle name="_20061117Holux_WorldBankCMSScope_SLM_PMO_Workbook_060910 4" xfId="18503" xr:uid="{00000000-0005-0000-0000-0000ED470000}"/>
    <cellStyle name="_20061117Holux_WorldBankCMSScope_SLM_PMO_Workbook_060910_Commissioning System Implementation_Project Workbook_06_10_2011" xfId="18504" xr:uid="{00000000-0005-0000-0000-0000EE470000}"/>
    <cellStyle name="_20061117Holux_WorldBankCMSScope_SLM_PMO_Workbook_060910_Commissioning System Implementation_Project Workbook_06_10_2011 2" xfId="18505" xr:uid="{00000000-0005-0000-0000-0000EF470000}"/>
    <cellStyle name="_20061117Holux_WorldBankCMSScope_SLM_PMO_Workbook_060910_Commissioning System Implementation_Project Workbook_06_10_2011 2_Steps of Doneness" xfId="18506" xr:uid="{00000000-0005-0000-0000-0000F0470000}"/>
    <cellStyle name="_20061117Holux_WorldBankCMSScope_SLM_PMO_Workbook_060910_Commissioning System Implementation_Project Workbook_06_10_2011 3" xfId="18507" xr:uid="{00000000-0005-0000-0000-0000F1470000}"/>
    <cellStyle name="_20061117Holux_WorldBankCMSScope_SLM_PMO_Workbook_060910_Commissioning System Implementation_Project Workbook_06_10_2011_Steps of Doneness" xfId="18508" xr:uid="{00000000-0005-0000-0000-0000F2470000}"/>
    <cellStyle name="_20061117Holux_WorldBankCMSScope_SLM_PMO_Workbook_060910_FairPoint_CampReport" xfId="18509" xr:uid="{00000000-0005-0000-0000-0000F3470000}"/>
    <cellStyle name="_20061117Holux_WorldBankCMSScope_SLM_PMO_Workbook_060910_FairPoint_CampReport 2" xfId="18510" xr:uid="{00000000-0005-0000-0000-0000F4470000}"/>
    <cellStyle name="_20061117Holux_WorldBankCMSScope_SLM_PMO_Workbook_060910_FairPoint_CampReport 2_Steps of Doneness" xfId="18511" xr:uid="{00000000-0005-0000-0000-0000F5470000}"/>
    <cellStyle name="_20061117Holux_WorldBankCMSScope_SLM_PMO_Workbook_060910_FairPoint_CampReport 3" xfId="18512" xr:uid="{00000000-0005-0000-0000-0000F6470000}"/>
    <cellStyle name="_20061117Holux_WorldBankCMSScope_SLM_PMO_Workbook_060910_FairPoint_CampReport_Steps of Doneness" xfId="18513" xr:uid="{00000000-0005-0000-0000-0000F7470000}"/>
    <cellStyle name="_20061117Holux_WorldBankCMSScope_SLM_PMO_Workbook_060910_FairPoint_FP comTechOps_ProgramWorkbook" xfId="18514" xr:uid="{00000000-0005-0000-0000-0000F8470000}"/>
    <cellStyle name="_20061117Holux_WorldBankCMSScope_SLM_PMO_Workbook_060910_FairPoint_FP comTechOps_ProgramWorkbook 2" xfId="18515" xr:uid="{00000000-0005-0000-0000-0000F9470000}"/>
    <cellStyle name="_20061117Holux_WorldBankCMSScope_SLM_PMO_Workbook_060910_FairPoint_FP comTechOps_ProgramWorkbook 2_Steps of Doneness" xfId="18516" xr:uid="{00000000-0005-0000-0000-0000FA470000}"/>
    <cellStyle name="_20061117Holux_WorldBankCMSScope_SLM_PMO_Workbook_060910_FairPoint_FP comTechOps_ProgramWorkbook 3" xfId="18517" xr:uid="{00000000-0005-0000-0000-0000FB470000}"/>
    <cellStyle name="_20061117Holux_WorldBankCMSScope_SLM_PMO_Workbook_060910_FairPoint_FP comTechOps_ProgramWorkbook_sachin" xfId="18518" xr:uid="{00000000-0005-0000-0000-0000FC470000}"/>
    <cellStyle name="_20061117Holux_WorldBankCMSScope_SLM_PMO_Workbook_060910_FairPoint_FP comTechOps_ProgramWorkbook_sachin 2" xfId="18519" xr:uid="{00000000-0005-0000-0000-0000FD470000}"/>
    <cellStyle name="_20061117Holux_WorldBankCMSScope_SLM_PMO_Workbook_060910_FairPoint_FP comTechOps_ProgramWorkbook_sachin 2_Steps of Doneness" xfId="18520" xr:uid="{00000000-0005-0000-0000-0000FE470000}"/>
    <cellStyle name="_20061117Holux_WorldBankCMSScope_SLM_PMO_Workbook_060910_FairPoint_FP comTechOps_ProgramWorkbook_sachin 3" xfId="18521" xr:uid="{00000000-0005-0000-0000-0000FF470000}"/>
    <cellStyle name="_20061117Holux_WorldBankCMSScope_SLM_PMO_Workbook_060910_FairPoint_FP comTechOps_ProgramWorkbook_sachin_Steps of Doneness" xfId="18522" xr:uid="{00000000-0005-0000-0000-000000480000}"/>
    <cellStyle name="_20061117Holux_WorldBankCMSScope_SLM_PMO_Workbook_060910_FairPoint_FP comTechOps_ProgramWorkbook_sachin_v1" xfId="18523" xr:uid="{00000000-0005-0000-0000-000001480000}"/>
    <cellStyle name="_20061117Holux_WorldBankCMSScope_SLM_PMO_Workbook_060910_FairPoint_FP comTechOps_ProgramWorkbook_sachin_v1 2" xfId="18524" xr:uid="{00000000-0005-0000-0000-000002480000}"/>
    <cellStyle name="_20061117Holux_WorldBankCMSScope_SLM_PMO_Workbook_060910_FairPoint_FP comTechOps_ProgramWorkbook_sachin_v1 2_Steps of Doneness" xfId="18525" xr:uid="{00000000-0005-0000-0000-000003480000}"/>
    <cellStyle name="_20061117Holux_WorldBankCMSScope_SLM_PMO_Workbook_060910_FairPoint_FP comTechOps_ProgramWorkbook_sachin_v1 3" xfId="18526" xr:uid="{00000000-0005-0000-0000-000004480000}"/>
    <cellStyle name="_20061117Holux_WorldBankCMSScope_SLM_PMO_Workbook_060910_FairPoint_FP comTechOps_ProgramWorkbook_sachin_v1_Steps of Doneness" xfId="18527" xr:uid="{00000000-0005-0000-0000-000005480000}"/>
    <cellStyle name="_20061117Holux_WorldBankCMSScope_SLM_PMO_Workbook_060910_FairPoint_FP comTechOps_ProgramWorkbook_Steps of Doneness" xfId="18528" xr:uid="{00000000-0005-0000-0000-000006480000}"/>
    <cellStyle name="_20061117Holux_WorldBankCMSScope_SLM_PMO_Workbook_060910_FP_CAMP&amp;ITReporting_Maintenance_Dashboard" xfId="18529" xr:uid="{00000000-0005-0000-0000-000007480000}"/>
    <cellStyle name="_20061117Holux_WorldBankCMSScope_SLM_PMO_Workbook_060910_FP_CAMP&amp;ITReporting_Maintenance_Dashboard 2" xfId="18530" xr:uid="{00000000-0005-0000-0000-000008480000}"/>
    <cellStyle name="_20061117Holux_WorldBankCMSScope_SLM_PMO_Workbook_060910_FP_CAMP&amp;ITReporting_Maintenance_Dashboard 2_Steps of Doneness" xfId="18531" xr:uid="{00000000-0005-0000-0000-000009480000}"/>
    <cellStyle name="_20061117Holux_WorldBankCMSScope_SLM_PMO_Workbook_060910_FP_CAMP&amp;ITReporting_Maintenance_Dashboard 3" xfId="18532" xr:uid="{00000000-0005-0000-0000-00000A480000}"/>
    <cellStyle name="_20061117Holux_WorldBankCMSScope_SLM_PMO_Workbook_060910_FP_CAMP&amp;ITReporting_Maintenance_Dashboard_Steps of Doneness" xfId="18533" xr:uid="{00000000-0005-0000-0000-00000B480000}"/>
    <cellStyle name="_20061117Holux_WorldBankCMSScope_SLM_PMO_Workbook_060910_FP_CAMPITReporting_Maintenance_Dashboard" xfId="18534" xr:uid="{00000000-0005-0000-0000-00000C480000}"/>
    <cellStyle name="_20061117Holux_WorldBankCMSScope_SLM_PMO_Workbook_060910_FP_CAMPITReporting_Maintenance_Dashboard 2" xfId="18535" xr:uid="{00000000-0005-0000-0000-00000D480000}"/>
    <cellStyle name="_20061117Holux_WorldBankCMSScope_SLM_PMO_Workbook_060910_FP_CAMPITReporting_Maintenance_Dashboard 2_Steps of Doneness" xfId="18536" xr:uid="{00000000-0005-0000-0000-00000E480000}"/>
    <cellStyle name="_20061117Holux_WorldBankCMSScope_SLM_PMO_Workbook_060910_FP_CAMPITReporting_Maintenance_Dashboard 3" xfId="18537" xr:uid="{00000000-0005-0000-0000-00000F480000}"/>
    <cellStyle name="_20061117Holux_WorldBankCMSScope_SLM_PMO_Workbook_060910_FP_CAMPITReporting_Maintenance_Dashboard_Steps of Doneness" xfId="18538" xr:uid="{00000000-0005-0000-0000-000010480000}"/>
    <cellStyle name="_20061117Holux_WorldBankCMSScope_SLM_PMO_Workbook_060910_FP_Commissions_Req_Dn_ProgramWorkBook_10-Dec-2010" xfId="18539" xr:uid="{00000000-0005-0000-0000-000011480000}"/>
    <cellStyle name="_20061117Holux_WorldBankCMSScope_SLM_PMO_Workbook_060910_FP_Commissions_Req_Dn_ProgramWorkBook_10-Dec-2010 2" xfId="18540" xr:uid="{00000000-0005-0000-0000-000012480000}"/>
    <cellStyle name="_20061117Holux_WorldBankCMSScope_SLM_PMO_Workbook_060910_FP_Commissions_Req_Dn_ProgramWorkBook_10-Dec-2010 2_Steps of Doneness" xfId="18541" xr:uid="{00000000-0005-0000-0000-000013480000}"/>
    <cellStyle name="_20061117Holux_WorldBankCMSScope_SLM_PMO_Workbook_060910_FP_Commissions_Req_Dn_ProgramWorkBook_10-Dec-2010 3" xfId="18542" xr:uid="{00000000-0005-0000-0000-000014480000}"/>
    <cellStyle name="_20061117Holux_WorldBankCMSScope_SLM_PMO_Workbook_060910_FP_Commissions_Req_Dn_ProgramWorkBook_10-Dec-2010_Steps of Doneness" xfId="18543" xr:uid="{00000000-0005-0000-0000-000015480000}"/>
    <cellStyle name="_20061117Holux_WorldBankCMSScope_SLM_PMO_Workbook_060910_FP_DW_Impl_ProgramWorkBook_07-Jan-2011" xfId="18544" xr:uid="{00000000-0005-0000-0000-000016480000}"/>
    <cellStyle name="_20061117Holux_WorldBankCMSScope_SLM_PMO_Workbook_060910_FP_DW_Impl_ProgramWorkBook_07-Jan-2011 2" xfId="18545" xr:uid="{00000000-0005-0000-0000-000017480000}"/>
    <cellStyle name="_20061117Holux_WorldBankCMSScope_SLM_PMO_Workbook_060910_FP_DW_Impl_ProgramWorkBook_07-Jan-2011 2 2" xfId="18546" xr:uid="{00000000-0005-0000-0000-000018480000}"/>
    <cellStyle name="_20061117Holux_WorldBankCMSScope_SLM_PMO_Workbook_060910_FP_DW_Impl_ProgramWorkBook_07-Jan-2011 2 2_Steps of Doneness" xfId="18547" xr:uid="{00000000-0005-0000-0000-000019480000}"/>
    <cellStyle name="_20061117Holux_WorldBankCMSScope_SLM_PMO_Workbook_060910_FP_DW_Impl_ProgramWorkBook_07-Jan-2011 2 3" xfId="18548" xr:uid="{00000000-0005-0000-0000-00001A480000}"/>
    <cellStyle name="_20061117Holux_WorldBankCMSScope_SLM_PMO_Workbook_060910_FP_DW_Impl_ProgramWorkBook_07-Jan-2011 2_Steps of Doneness" xfId="18549" xr:uid="{00000000-0005-0000-0000-00001B480000}"/>
    <cellStyle name="_20061117Holux_WorldBankCMSScope_SLM_PMO_Workbook_060910_FP_DW_Impl_ProgramWorkBook_07-Jan-2011 3" xfId="18550" xr:uid="{00000000-0005-0000-0000-00001C480000}"/>
    <cellStyle name="_20061117Holux_WorldBankCMSScope_SLM_PMO_Workbook_060910_FP_DW_Impl_ProgramWorkBook_07-Jan-2011 3_Steps of Doneness" xfId="18551" xr:uid="{00000000-0005-0000-0000-00001D480000}"/>
    <cellStyle name="_20061117Holux_WorldBankCMSScope_SLM_PMO_Workbook_060910_FP_DW_Impl_ProgramWorkBook_07-Jan-2011 4" xfId="18552" xr:uid="{00000000-0005-0000-0000-00001E480000}"/>
    <cellStyle name="_20061117Holux_WorldBankCMSScope_SLM_PMO_Workbook_060910_FP_DW_Impl_ProgramWorkBook_07-Jan-2011_Steps of Doneness" xfId="18553" xr:uid="{00000000-0005-0000-0000-00001F480000}"/>
    <cellStyle name="_20061117Holux_WorldBankCMSScope_SLM_PMO_Workbook_060910_FP_DW_Impl_ProgramWorkBook_11-Feb-2011" xfId="18554" xr:uid="{00000000-0005-0000-0000-000020480000}"/>
    <cellStyle name="_20061117Holux_WorldBankCMSScope_SLM_PMO_Workbook_060910_FP_DW_Impl_ProgramWorkBook_11-Feb-2011 2" xfId="18555" xr:uid="{00000000-0005-0000-0000-000021480000}"/>
    <cellStyle name="_20061117Holux_WorldBankCMSScope_SLM_PMO_Workbook_060910_FP_DW_Impl_ProgramWorkBook_11-Feb-2011 2_Steps of Doneness" xfId="18556" xr:uid="{00000000-0005-0000-0000-000022480000}"/>
    <cellStyle name="_20061117Holux_WorldBankCMSScope_SLM_PMO_Workbook_060910_FP_DW_Impl_ProgramWorkBook_11-Feb-2011 3" xfId="18557" xr:uid="{00000000-0005-0000-0000-000023480000}"/>
    <cellStyle name="_20061117Holux_WorldBankCMSScope_SLM_PMO_Workbook_060910_FP_DW_Impl_ProgramWorkBook_11-Feb-2011_Steps of Doneness" xfId="18558" xr:uid="{00000000-0005-0000-0000-000024480000}"/>
    <cellStyle name="_20061117Holux_WorldBankCMSScope_SLM_PMO_Workbook_060910_FP_DW_Impl_ProgramWorkBook_18-Feb-2011 - Working" xfId="18559" xr:uid="{00000000-0005-0000-0000-000025480000}"/>
    <cellStyle name="_20061117Holux_WorldBankCMSScope_SLM_PMO_Workbook_060910_FP_DW_Impl_ProgramWorkBook_18-Feb-2011 - Working 2" xfId="18560" xr:uid="{00000000-0005-0000-0000-000026480000}"/>
    <cellStyle name="_20061117Holux_WorldBankCMSScope_SLM_PMO_Workbook_060910_FP_DW_Impl_ProgramWorkBook_18-Feb-2011 - Working 2_Steps of Doneness" xfId="18561" xr:uid="{00000000-0005-0000-0000-000027480000}"/>
    <cellStyle name="_20061117Holux_WorldBankCMSScope_SLM_PMO_Workbook_060910_FP_DW_Impl_ProgramWorkBook_18-Feb-2011 - Working 3" xfId="18562" xr:uid="{00000000-0005-0000-0000-000028480000}"/>
    <cellStyle name="_20061117Holux_WorldBankCMSScope_SLM_PMO_Workbook_060910_FP_DW_Impl_ProgramWorkBook_18-Feb-2011 - Working_Steps of Doneness" xfId="18563" xr:uid="{00000000-0005-0000-0000-000029480000}"/>
    <cellStyle name="_20061117Holux_WorldBankCMSScope_SLM_PMO_Workbook_060910_FP_EnterprisePortal_ProgramWorkbook" xfId="18564" xr:uid="{00000000-0005-0000-0000-00002A480000}"/>
    <cellStyle name="_20061117Holux_WorldBankCMSScope_SLM_PMO_Workbook_060910_FP_EnterprisePortal_ProgramWorkbook 2" xfId="18565" xr:uid="{00000000-0005-0000-0000-00002B480000}"/>
    <cellStyle name="_20061117Holux_WorldBankCMSScope_SLM_PMO_Workbook_060910_FP_EnterprisePortal_ProgramWorkbook 2_Steps of Doneness" xfId="18566" xr:uid="{00000000-0005-0000-0000-00002C480000}"/>
    <cellStyle name="_20061117Holux_WorldBankCMSScope_SLM_PMO_Workbook_060910_FP_EnterprisePortal_ProgramWorkbook 3" xfId="18567" xr:uid="{00000000-0005-0000-0000-00002D480000}"/>
    <cellStyle name="_20061117Holux_WorldBankCMSScope_SLM_PMO_Workbook_060910_FP_EnterprisePortal_ProgramWorkbook_Steps of Doneness" xfId="18568" xr:uid="{00000000-0005-0000-0000-00002E480000}"/>
    <cellStyle name="_20061117Holux_WorldBankCMSScope_SLM_PMO_Workbook_060910_FP_SAP_MLP v2" xfId="18569" xr:uid="{00000000-0005-0000-0000-00002F480000}"/>
    <cellStyle name="_20061117Holux_WorldBankCMSScope_SLM_PMO_Workbook_060910_FP_SAP_MLP v2 2" xfId="18570" xr:uid="{00000000-0005-0000-0000-000030480000}"/>
    <cellStyle name="_20061117Holux_WorldBankCMSScope_SLM_PMO_Workbook_060910_FP_SAP_MLP v2 2_Steps of Doneness" xfId="18571" xr:uid="{00000000-0005-0000-0000-000031480000}"/>
    <cellStyle name="_20061117Holux_WorldBankCMSScope_SLM_PMO_Workbook_060910_FP_SAP_MLP v2 3" xfId="18572" xr:uid="{00000000-0005-0000-0000-000032480000}"/>
    <cellStyle name="_20061117Holux_WorldBankCMSScope_SLM_PMO_Workbook_060910_FP_SAP_MLP v2_Steps of Doneness" xfId="18573" xr:uid="{00000000-0005-0000-0000-000033480000}"/>
    <cellStyle name="_20061117Holux_WorldBankCMSScope_SLM_PMO_Workbook_060910_KeyDecisions" xfId="18574" xr:uid="{00000000-0005-0000-0000-000034480000}"/>
    <cellStyle name="_20061117Holux_WorldBankCMSScope_SLM_PMO_Workbook_060910_KeyDecisions 2" xfId="18575" xr:uid="{00000000-0005-0000-0000-000035480000}"/>
    <cellStyle name="_20061117Holux_WorldBankCMSScope_SLM_PMO_Workbook_060910_KeyDecisions 2_Steps of Doneness" xfId="18576" xr:uid="{00000000-0005-0000-0000-000036480000}"/>
    <cellStyle name="_20061117Holux_WorldBankCMSScope_SLM_PMO_Workbook_060910_KeyDecisions 3" xfId="18577" xr:uid="{00000000-0005-0000-0000-000037480000}"/>
    <cellStyle name="_20061117Holux_WorldBankCMSScope_SLM_PMO_Workbook_060910_KeyDecisions_Steps of Doneness" xfId="18578" xr:uid="{00000000-0005-0000-0000-000038480000}"/>
    <cellStyle name="_20061117Holux_WorldBankCMSScope_SLM_PMO_Workbook_060910_Sophia_Imp_ProjectWorkBook_02_18_2011" xfId="18579" xr:uid="{00000000-0005-0000-0000-000039480000}"/>
    <cellStyle name="_20061117Holux_WorldBankCMSScope_SLM_PMO_Workbook_060910_Sophia_Imp_ProjectWorkBook_02_18_2011 2" xfId="18580" xr:uid="{00000000-0005-0000-0000-00003A480000}"/>
    <cellStyle name="_20061117Holux_WorldBankCMSScope_SLM_PMO_Workbook_060910_Sophia_Imp_ProjectWorkBook_02_18_2011 2_Steps of Doneness" xfId="18581" xr:uid="{00000000-0005-0000-0000-00003B480000}"/>
    <cellStyle name="_20061117Holux_WorldBankCMSScope_SLM_PMO_Workbook_060910_Sophia_Imp_ProjectWorkBook_02_18_2011 3" xfId="18582" xr:uid="{00000000-0005-0000-0000-00003C480000}"/>
    <cellStyle name="_20061117Holux_WorldBankCMSScope_SLM_PMO_Workbook_060910_Sophia_Imp_ProjectWorkBook_02_18_2011_Steps of Doneness" xfId="18583" xr:uid="{00000000-0005-0000-0000-00003D480000}"/>
    <cellStyle name="_20061117Holux_WorldBankCMSScope_SLM_PMO_Workbook_060910_Steps of Doneness" xfId="18584" xr:uid="{00000000-0005-0000-0000-00003E480000}"/>
    <cellStyle name="_20061117Holux_WorldBankCMSScope_SLM_PMO_Workbook_060910_t" xfId="18585" xr:uid="{00000000-0005-0000-0000-00003F480000}"/>
    <cellStyle name="_20061117Holux_WorldBankCMSScope_SLM_PMO_Workbook_060910_t 2" xfId="18586" xr:uid="{00000000-0005-0000-0000-000040480000}"/>
    <cellStyle name="_20061117Holux_WorldBankCMSScope_SLM_PMO_Workbook_060910_t 2_Steps of Doneness" xfId="18587" xr:uid="{00000000-0005-0000-0000-000041480000}"/>
    <cellStyle name="_20061117Holux_WorldBankCMSScope_SLM_PMO_Workbook_060910_t 3" xfId="18588" xr:uid="{00000000-0005-0000-0000-000042480000}"/>
    <cellStyle name="_20061117Holux_WorldBankCMSScope_SLM_PMO_Workbook_060910_t_Steps of Doneness" xfId="18589" xr:uid="{00000000-0005-0000-0000-000043480000}"/>
    <cellStyle name="_20061117Holux_WorldBankCMSScope_Sophia_Imp_ProjectWorkBook_02_18_2011" xfId="18590" xr:uid="{00000000-0005-0000-0000-000044480000}"/>
    <cellStyle name="_20061117Holux_WorldBankCMSScope_Sophia_Imp_ProjectWorkBook_02_18_2011 2" xfId="18591" xr:uid="{00000000-0005-0000-0000-000045480000}"/>
    <cellStyle name="_20061117Holux_WorldBankCMSScope_Sophia_Imp_ProjectWorkBook_02_18_2011 2_Steps of Doneness" xfId="18592" xr:uid="{00000000-0005-0000-0000-000046480000}"/>
    <cellStyle name="_20061117Holux_WorldBankCMSScope_Sophia_Imp_ProjectWorkBook_02_18_2011 3" xfId="18593" xr:uid="{00000000-0005-0000-0000-000047480000}"/>
    <cellStyle name="_20061117Holux_WorldBankCMSScope_Sophia_Imp_ProjectWorkBook_02_18_2011_Steps of Doneness" xfId="18594" xr:uid="{00000000-0005-0000-0000-000048480000}"/>
    <cellStyle name="_20061117Holux_WorldBankCMSScope_Steps of Doneness" xfId="18595" xr:uid="{00000000-0005-0000-0000-000049480000}"/>
    <cellStyle name="_20061117Holux_WorldBankCMSScope_t" xfId="18596" xr:uid="{00000000-0005-0000-0000-00004A480000}"/>
    <cellStyle name="_20061117Holux_WorldBankCMSScope_t 2" xfId="18597" xr:uid="{00000000-0005-0000-0000-00004B480000}"/>
    <cellStyle name="_20061117Holux_WorldBankCMSScope_t 2_Steps of Doneness" xfId="18598" xr:uid="{00000000-0005-0000-0000-00004C480000}"/>
    <cellStyle name="_20061117Holux_WorldBankCMSScope_t 3" xfId="18599" xr:uid="{00000000-0005-0000-0000-00004D480000}"/>
    <cellStyle name="_20061117Holux_WorldBankCMSScope_t_Steps of Doneness" xfId="18600" xr:uid="{00000000-0005-0000-0000-00004E480000}"/>
    <cellStyle name="_20061117Holux_WorldBankCMSScope_UX Plan_0401" xfId="18601" xr:uid="{00000000-0005-0000-0000-00004F480000}"/>
    <cellStyle name="_20061117Holux_WorldBankCMSScope_UX Plan_0401 2" xfId="18602" xr:uid="{00000000-0005-0000-0000-000050480000}"/>
    <cellStyle name="_20061117Holux_WorldBankCMSScope_UX Plan_0401 2 2" xfId="18603" xr:uid="{00000000-0005-0000-0000-000051480000}"/>
    <cellStyle name="_20061117Holux_WorldBankCMSScope_UX Plan_0401 2 2_Steps of Doneness" xfId="18604" xr:uid="{00000000-0005-0000-0000-000052480000}"/>
    <cellStyle name="_20061117Holux_WorldBankCMSScope_UX Plan_0401 2 3" xfId="18605" xr:uid="{00000000-0005-0000-0000-000053480000}"/>
    <cellStyle name="_20061117Holux_WorldBankCMSScope_UX Plan_0401 2_Steps of Doneness" xfId="18606" xr:uid="{00000000-0005-0000-0000-000054480000}"/>
    <cellStyle name="_20061117Holux_WorldBankCMSScope_UX Plan_0401 3" xfId="18607" xr:uid="{00000000-0005-0000-0000-000055480000}"/>
    <cellStyle name="_20061117Holux_WorldBankCMSScope_UX Plan_0401 3_Steps of Doneness" xfId="18608" xr:uid="{00000000-0005-0000-0000-000056480000}"/>
    <cellStyle name="_20061117Holux_WorldBankCMSScope_UX Plan_0401 4" xfId="18609" xr:uid="{00000000-0005-0000-0000-000057480000}"/>
    <cellStyle name="_20061117Holux_WorldBankCMSScope_UX Plan_0401_Commissioning System Implementation_Project Workbook_06_10_2011" xfId="18610" xr:uid="{00000000-0005-0000-0000-000058480000}"/>
    <cellStyle name="_20061117Holux_WorldBankCMSScope_UX Plan_0401_Commissioning System Implementation_Project Workbook_06_10_2011 2" xfId="18611" xr:uid="{00000000-0005-0000-0000-000059480000}"/>
    <cellStyle name="_20061117Holux_WorldBankCMSScope_UX Plan_0401_Commissioning System Implementation_Project Workbook_06_10_2011 2_Steps of Doneness" xfId="18612" xr:uid="{00000000-0005-0000-0000-00005A480000}"/>
    <cellStyle name="_20061117Holux_WorldBankCMSScope_UX Plan_0401_Commissioning System Implementation_Project Workbook_06_10_2011 3" xfId="18613" xr:uid="{00000000-0005-0000-0000-00005B480000}"/>
    <cellStyle name="_20061117Holux_WorldBankCMSScope_UX Plan_0401_Commissioning System Implementation_Project Workbook_06_10_2011_Steps of Doneness" xfId="18614" xr:uid="{00000000-0005-0000-0000-00005C480000}"/>
    <cellStyle name="_20061117Holux_WorldBankCMSScope_UX Plan_0401_FairPoint_CampReport" xfId="18615" xr:uid="{00000000-0005-0000-0000-00005D480000}"/>
    <cellStyle name="_20061117Holux_WorldBankCMSScope_UX Plan_0401_FairPoint_CampReport 2" xfId="18616" xr:uid="{00000000-0005-0000-0000-00005E480000}"/>
    <cellStyle name="_20061117Holux_WorldBankCMSScope_UX Plan_0401_FairPoint_CampReport 2_Steps of Doneness" xfId="18617" xr:uid="{00000000-0005-0000-0000-00005F480000}"/>
    <cellStyle name="_20061117Holux_WorldBankCMSScope_UX Plan_0401_FairPoint_CampReport 3" xfId="18618" xr:uid="{00000000-0005-0000-0000-000060480000}"/>
    <cellStyle name="_20061117Holux_WorldBankCMSScope_UX Plan_0401_FairPoint_CampReport_Steps of Doneness" xfId="18619" xr:uid="{00000000-0005-0000-0000-000061480000}"/>
    <cellStyle name="_20061117Holux_WorldBankCMSScope_UX Plan_0401_FairPoint_FP comTechOps_ProgramWorkbook" xfId="18620" xr:uid="{00000000-0005-0000-0000-000062480000}"/>
    <cellStyle name="_20061117Holux_WorldBankCMSScope_UX Plan_0401_FairPoint_FP comTechOps_ProgramWorkbook 2" xfId="18621" xr:uid="{00000000-0005-0000-0000-000063480000}"/>
    <cellStyle name="_20061117Holux_WorldBankCMSScope_UX Plan_0401_FairPoint_FP comTechOps_ProgramWorkbook 2_Steps of Doneness" xfId="18622" xr:uid="{00000000-0005-0000-0000-000064480000}"/>
    <cellStyle name="_20061117Holux_WorldBankCMSScope_UX Plan_0401_FairPoint_FP comTechOps_ProgramWorkbook 3" xfId="18623" xr:uid="{00000000-0005-0000-0000-000065480000}"/>
    <cellStyle name="_20061117Holux_WorldBankCMSScope_UX Plan_0401_FairPoint_FP comTechOps_ProgramWorkbook_sachin" xfId="18624" xr:uid="{00000000-0005-0000-0000-000066480000}"/>
    <cellStyle name="_20061117Holux_WorldBankCMSScope_UX Plan_0401_FairPoint_FP comTechOps_ProgramWorkbook_sachin 2" xfId="18625" xr:uid="{00000000-0005-0000-0000-000067480000}"/>
    <cellStyle name="_20061117Holux_WorldBankCMSScope_UX Plan_0401_FairPoint_FP comTechOps_ProgramWorkbook_sachin 2_Steps of Doneness" xfId="18626" xr:uid="{00000000-0005-0000-0000-000068480000}"/>
    <cellStyle name="_20061117Holux_WorldBankCMSScope_UX Plan_0401_FairPoint_FP comTechOps_ProgramWorkbook_sachin 3" xfId="18627" xr:uid="{00000000-0005-0000-0000-000069480000}"/>
    <cellStyle name="_20061117Holux_WorldBankCMSScope_UX Plan_0401_FairPoint_FP comTechOps_ProgramWorkbook_sachin_Steps of Doneness" xfId="18628" xr:uid="{00000000-0005-0000-0000-00006A480000}"/>
    <cellStyle name="_20061117Holux_WorldBankCMSScope_UX Plan_0401_FairPoint_FP comTechOps_ProgramWorkbook_sachin_v1" xfId="18629" xr:uid="{00000000-0005-0000-0000-00006B480000}"/>
    <cellStyle name="_20061117Holux_WorldBankCMSScope_UX Plan_0401_FairPoint_FP comTechOps_ProgramWorkbook_sachin_v1 2" xfId="18630" xr:uid="{00000000-0005-0000-0000-00006C480000}"/>
    <cellStyle name="_20061117Holux_WorldBankCMSScope_UX Plan_0401_FairPoint_FP comTechOps_ProgramWorkbook_sachin_v1 2_Steps of Doneness" xfId="18631" xr:uid="{00000000-0005-0000-0000-00006D480000}"/>
    <cellStyle name="_20061117Holux_WorldBankCMSScope_UX Plan_0401_FairPoint_FP comTechOps_ProgramWorkbook_sachin_v1 3" xfId="18632" xr:uid="{00000000-0005-0000-0000-00006E480000}"/>
    <cellStyle name="_20061117Holux_WorldBankCMSScope_UX Plan_0401_FairPoint_FP comTechOps_ProgramWorkbook_sachin_v1_Steps of Doneness" xfId="18633" xr:uid="{00000000-0005-0000-0000-00006F480000}"/>
    <cellStyle name="_20061117Holux_WorldBankCMSScope_UX Plan_0401_FairPoint_FP comTechOps_ProgramWorkbook_Steps of Doneness" xfId="18634" xr:uid="{00000000-0005-0000-0000-000070480000}"/>
    <cellStyle name="_20061117Holux_WorldBankCMSScope_UX Plan_0401_FP_CAMP&amp;ITReporting_Maintenance_Dashboard" xfId="18635" xr:uid="{00000000-0005-0000-0000-000071480000}"/>
    <cellStyle name="_20061117Holux_WorldBankCMSScope_UX Plan_0401_FP_CAMP&amp;ITReporting_Maintenance_Dashboard 2" xfId="18636" xr:uid="{00000000-0005-0000-0000-000072480000}"/>
    <cellStyle name="_20061117Holux_WorldBankCMSScope_UX Plan_0401_FP_CAMP&amp;ITReporting_Maintenance_Dashboard 2_Steps of Doneness" xfId="18637" xr:uid="{00000000-0005-0000-0000-000073480000}"/>
    <cellStyle name="_20061117Holux_WorldBankCMSScope_UX Plan_0401_FP_CAMP&amp;ITReporting_Maintenance_Dashboard 3" xfId="18638" xr:uid="{00000000-0005-0000-0000-000074480000}"/>
    <cellStyle name="_20061117Holux_WorldBankCMSScope_UX Plan_0401_FP_CAMP&amp;ITReporting_Maintenance_Dashboard_Steps of Doneness" xfId="18639" xr:uid="{00000000-0005-0000-0000-000075480000}"/>
    <cellStyle name="_20061117Holux_WorldBankCMSScope_UX Plan_0401_FP_CAMPITReporting_Maintenance_Dashboard" xfId="18640" xr:uid="{00000000-0005-0000-0000-000076480000}"/>
    <cellStyle name="_20061117Holux_WorldBankCMSScope_UX Plan_0401_FP_CAMPITReporting_Maintenance_Dashboard 2" xfId="18641" xr:uid="{00000000-0005-0000-0000-000077480000}"/>
    <cellStyle name="_20061117Holux_WorldBankCMSScope_UX Plan_0401_FP_CAMPITReporting_Maintenance_Dashboard 2_Steps of Doneness" xfId="18642" xr:uid="{00000000-0005-0000-0000-000078480000}"/>
    <cellStyle name="_20061117Holux_WorldBankCMSScope_UX Plan_0401_FP_CAMPITReporting_Maintenance_Dashboard 3" xfId="18643" xr:uid="{00000000-0005-0000-0000-000079480000}"/>
    <cellStyle name="_20061117Holux_WorldBankCMSScope_UX Plan_0401_FP_CAMPITReporting_Maintenance_Dashboard_Steps of Doneness" xfId="18644" xr:uid="{00000000-0005-0000-0000-00007A480000}"/>
    <cellStyle name="_20061117Holux_WorldBankCMSScope_UX Plan_0401_FP_Commissions_Req_Dn_ProgramWorkBook_10-Dec-2010" xfId="18645" xr:uid="{00000000-0005-0000-0000-00007B480000}"/>
    <cellStyle name="_20061117Holux_WorldBankCMSScope_UX Plan_0401_FP_Commissions_Req_Dn_ProgramWorkBook_10-Dec-2010 2" xfId="18646" xr:uid="{00000000-0005-0000-0000-00007C480000}"/>
    <cellStyle name="_20061117Holux_WorldBankCMSScope_UX Plan_0401_FP_Commissions_Req_Dn_ProgramWorkBook_10-Dec-2010 2_Steps of Doneness" xfId="18647" xr:uid="{00000000-0005-0000-0000-00007D480000}"/>
    <cellStyle name="_20061117Holux_WorldBankCMSScope_UX Plan_0401_FP_Commissions_Req_Dn_ProgramWorkBook_10-Dec-2010 3" xfId="18648" xr:uid="{00000000-0005-0000-0000-00007E480000}"/>
    <cellStyle name="_20061117Holux_WorldBankCMSScope_UX Plan_0401_FP_Commissions_Req_Dn_ProgramWorkBook_10-Dec-2010_Steps of Doneness" xfId="18649" xr:uid="{00000000-0005-0000-0000-00007F480000}"/>
    <cellStyle name="_20061117Holux_WorldBankCMSScope_UX Plan_0401_FP_DW_Impl_ProgramWorkBook_07-Jan-2011" xfId="18650" xr:uid="{00000000-0005-0000-0000-000080480000}"/>
    <cellStyle name="_20061117Holux_WorldBankCMSScope_UX Plan_0401_FP_DW_Impl_ProgramWorkBook_07-Jan-2011 2" xfId="18651" xr:uid="{00000000-0005-0000-0000-000081480000}"/>
    <cellStyle name="_20061117Holux_WorldBankCMSScope_UX Plan_0401_FP_DW_Impl_ProgramWorkBook_07-Jan-2011 2 2" xfId="18652" xr:uid="{00000000-0005-0000-0000-000082480000}"/>
    <cellStyle name="_20061117Holux_WorldBankCMSScope_UX Plan_0401_FP_DW_Impl_ProgramWorkBook_07-Jan-2011 2 2_Steps of Doneness" xfId="18653" xr:uid="{00000000-0005-0000-0000-000083480000}"/>
    <cellStyle name="_20061117Holux_WorldBankCMSScope_UX Plan_0401_FP_DW_Impl_ProgramWorkBook_07-Jan-2011 2 3" xfId="18654" xr:uid="{00000000-0005-0000-0000-000084480000}"/>
    <cellStyle name="_20061117Holux_WorldBankCMSScope_UX Plan_0401_FP_DW_Impl_ProgramWorkBook_07-Jan-2011 2_Steps of Doneness" xfId="18655" xr:uid="{00000000-0005-0000-0000-000085480000}"/>
    <cellStyle name="_20061117Holux_WorldBankCMSScope_UX Plan_0401_FP_DW_Impl_ProgramWorkBook_07-Jan-2011 3" xfId="18656" xr:uid="{00000000-0005-0000-0000-000086480000}"/>
    <cellStyle name="_20061117Holux_WorldBankCMSScope_UX Plan_0401_FP_DW_Impl_ProgramWorkBook_07-Jan-2011 3_Steps of Doneness" xfId="18657" xr:uid="{00000000-0005-0000-0000-000087480000}"/>
    <cellStyle name="_20061117Holux_WorldBankCMSScope_UX Plan_0401_FP_DW_Impl_ProgramWorkBook_07-Jan-2011 4" xfId="18658" xr:uid="{00000000-0005-0000-0000-000088480000}"/>
    <cellStyle name="_20061117Holux_WorldBankCMSScope_UX Plan_0401_FP_DW_Impl_ProgramWorkBook_07-Jan-2011_Steps of Doneness" xfId="18659" xr:uid="{00000000-0005-0000-0000-000089480000}"/>
    <cellStyle name="_20061117Holux_WorldBankCMSScope_UX Plan_0401_FP_DW_Impl_ProgramWorkBook_11-Feb-2011" xfId="18660" xr:uid="{00000000-0005-0000-0000-00008A480000}"/>
    <cellStyle name="_20061117Holux_WorldBankCMSScope_UX Plan_0401_FP_DW_Impl_ProgramWorkBook_11-Feb-2011 2" xfId="18661" xr:uid="{00000000-0005-0000-0000-00008B480000}"/>
    <cellStyle name="_20061117Holux_WorldBankCMSScope_UX Plan_0401_FP_DW_Impl_ProgramWorkBook_11-Feb-2011 2_Steps of Doneness" xfId="18662" xr:uid="{00000000-0005-0000-0000-00008C480000}"/>
    <cellStyle name="_20061117Holux_WorldBankCMSScope_UX Plan_0401_FP_DW_Impl_ProgramWorkBook_11-Feb-2011 3" xfId="18663" xr:uid="{00000000-0005-0000-0000-00008D480000}"/>
    <cellStyle name="_20061117Holux_WorldBankCMSScope_UX Plan_0401_FP_DW_Impl_ProgramWorkBook_11-Feb-2011_Steps of Doneness" xfId="18664" xr:uid="{00000000-0005-0000-0000-00008E480000}"/>
    <cellStyle name="_20061117Holux_WorldBankCMSScope_UX Plan_0401_FP_DW_Impl_ProgramWorkBook_18-Feb-2011 - Working" xfId="18665" xr:uid="{00000000-0005-0000-0000-00008F480000}"/>
    <cellStyle name="_20061117Holux_WorldBankCMSScope_UX Plan_0401_FP_DW_Impl_ProgramWorkBook_18-Feb-2011 - Working 2" xfId="18666" xr:uid="{00000000-0005-0000-0000-000090480000}"/>
    <cellStyle name="_20061117Holux_WorldBankCMSScope_UX Plan_0401_FP_DW_Impl_ProgramWorkBook_18-Feb-2011 - Working 2_Steps of Doneness" xfId="18667" xr:uid="{00000000-0005-0000-0000-000091480000}"/>
    <cellStyle name="_20061117Holux_WorldBankCMSScope_UX Plan_0401_FP_DW_Impl_ProgramWorkBook_18-Feb-2011 - Working 3" xfId="18668" xr:uid="{00000000-0005-0000-0000-000092480000}"/>
    <cellStyle name="_20061117Holux_WorldBankCMSScope_UX Plan_0401_FP_DW_Impl_ProgramWorkBook_18-Feb-2011 - Working_Steps of Doneness" xfId="18669" xr:uid="{00000000-0005-0000-0000-000093480000}"/>
    <cellStyle name="_20061117Holux_WorldBankCMSScope_UX Plan_0401_FP_EnterprisePortal_ProgramWorkbook" xfId="18670" xr:uid="{00000000-0005-0000-0000-000094480000}"/>
    <cellStyle name="_20061117Holux_WorldBankCMSScope_UX Plan_0401_FP_EnterprisePortal_ProgramWorkbook 2" xfId="18671" xr:uid="{00000000-0005-0000-0000-000095480000}"/>
    <cellStyle name="_20061117Holux_WorldBankCMSScope_UX Plan_0401_FP_EnterprisePortal_ProgramWorkbook 2_Steps of Doneness" xfId="18672" xr:uid="{00000000-0005-0000-0000-000096480000}"/>
    <cellStyle name="_20061117Holux_WorldBankCMSScope_UX Plan_0401_FP_EnterprisePortal_ProgramWorkbook 3" xfId="18673" xr:uid="{00000000-0005-0000-0000-000097480000}"/>
    <cellStyle name="_20061117Holux_WorldBankCMSScope_UX Plan_0401_FP_EnterprisePortal_ProgramWorkbook_Steps of Doneness" xfId="18674" xr:uid="{00000000-0005-0000-0000-000098480000}"/>
    <cellStyle name="_20061117Holux_WorldBankCMSScope_UX Plan_0401_FP_SAP_MLP v2" xfId="18675" xr:uid="{00000000-0005-0000-0000-000099480000}"/>
    <cellStyle name="_20061117Holux_WorldBankCMSScope_UX Plan_0401_FP_SAP_MLP v2 2" xfId="18676" xr:uid="{00000000-0005-0000-0000-00009A480000}"/>
    <cellStyle name="_20061117Holux_WorldBankCMSScope_UX Plan_0401_FP_SAP_MLP v2 2_Steps of Doneness" xfId="18677" xr:uid="{00000000-0005-0000-0000-00009B480000}"/>
    <cellStyle name="_20061117Holux_WorldBankCMSScope_UX Plan_0401_FP_SAP_MLP v2 3" xfId="18678" xr:uid="{00000000-0005-0000-0000-00009C480000}"/>
    <cellStyle name="_20061117Holux_WorldBankCMSScope_UX Plan_0401_FP_SAP_MLP v2_Steps of Doneness" xfId="18679" xr:uid="{00000000-0005-0000-0000-00009D480000}"/>
    <cellStyle name="_20061117Holux_WorldBankCMSScope_UX Plan_0401_KeyDecisions" xfId="18680" xr:uid="{00000000-0005-0000-0000-00009E480000}"/>
    <cellStyle name="_20061117Holux_WorldBankCMSScope_UX Plan_0401_KeyDecisions 2" xfId="18681" xr:uid="{00000000-0005-0000-0000-00009F480000}"/>
    <cellStyle name="_20061117Holux_WorldBankCMSScope_UX Plan_0401_KeyDecisions 2_Steps of Doneness" xfId="18682" xr:uid="{00000000-0005-0000-0000-0000A0480000}"/>
    <cellStyle name="_20061117Holux_WorldBankCMSScope_UX Plan_0401_KeyDecisions 3" xfId="18683" xr:uid="{00000000-0005-0000-0000-0000A1480000}"/>
    <cellStyle name="_20061117Holux_WorldBankCMSScope_UX Plan_0401_KeyDecisions_Steps of Doneness" xfId="18684" xr:uid="{00000000-0005-0000-0000-0000A2480000}"/>
    <cellStyle name="_20061117Holux_WorldBankCMSScope_UX Plan_0401_Sophia_Imp_ProjectWorkBook_02_18_2011" xfId="18685" xr:uid="{00000000-0005-0000-0000-0000A3480000}"/>
    <cellStyle name="_20061117Holux_WorldBankCMSScope_UX Plan_0401_Sophia_Imp_ProjectWorkBook_02_18_2011 2" xfId="18686" xr:uid="{00000000-0005-0000-0000-0000A4480000}"/>
    <cellStyle name="_20061117Holux_WorldBankCMSScope_UX Plan_0401_Sophia_Imp_ProjectWorkBook_02_18_2011 2_Steps of Doneness" xfId="18687" xr:uid="{00000000-0005-0000-0000-0000A5480000}"/>
    <cellStyle name="_20061117Holux_WorldBankCMSScope_UX Plan_0401_Sophia_Imp_ProjectWorkBook_02_18_2011 3" xfId="18688" xr:uid="{00000000-0005-0000-0000-0000A6480000}"/>
    <cellStyle name="_20061117Holux_WorldBankCMSScope_UX Plan_0401_Sophia_Imp_ProjectWorkBook_02_18_2011_Steps of Doneness" xfId="18689" xr:uid="{00000000-0005-0000-0000-0000A7480000}"/>
    <cellStyle name="_20061117Holux_WorldBankCMSScope_UX Plan_0401_Steps of Doneness" xfId="18690" xr:uid="{00000000-0005-0000-0000-0000A8480000}"/>
    <cellStyle name="_20061117Holux_WorldBankCMSScope_UX Plan_0401_t" xfId="18691" xr:uid="{00000000-0005-0000-0000-0000A9480000}"/>
    <cellStyle name="_20061117Holux_WorldBankCMSScope_UX Plan_0401_t 2" xfId="18692" xr:uid="{00000000-0005-0000-0000-0000AA480000}"/>
    <cellStyle name="_20061117Holux_WorldBankCMSScope_UX Plan_0401_t 2_Steps of Doneness" xfId="18693" xr:uid="{00000000-0005-0000-0000-0000AB480000}"/>
    <cellStyle name="_20061117Holux_WorldBankCMSScope_UX Plan_0401_t 3" xfId="18694" xr:uid="{00000000-0005-0000-0000-0000AC480000}"/>
    <cellStyle name="_20061117Holux_WorldBankCMSScope_UX Plan_0401_t_Steps of Doneness" xfId="18695" xr:uid="{00000000-0005-0000-0000-0000AD480000}"/>
    <cellStyle name="_Estimation_Tool-improved" xfId="18696" xr:uid="{00000000-0005-0000-0000-0000AE480000}"/>
    <cellStyle name="_Estimation_Tool-improved 2" xfId="18697" xr:uid="{00000000-0005-0000-0000-0000AF480000}"/>
    <cellStyle name="_Estimation_Tool-improved_Steps of Doneness" xfId="18698" xr:uid="{00000000-0005-0000-0000-0000B0480000}"/>
    <cellStyle name="_WU.COM_US_ACH_Plan" xfId="18699" xr:uid="{00000000-0005-0000-0000-0000B1480000}"/>
    <cellStyle name="_WU.COM_US_ACH_Plan 2" xfId="18700" xr:uid="{00000000-0005-0000-0000-0000B2480000}"/>
    <cellStyle name="_WU.COM_US_ACH_Plan_Steps of Doneness" xfId="18701" xr:uid="{00000000-0005-0000-0000-0000B3480000}"/>
    <cellStyle name="=C:\WINNT\SYSTEM32\COMMAND.COM" xfId="18702" xr:uid="{00000000-0005-0000-0000-0000B4480000}"/>
    <cellStyle name="=C:\WINNT\SYSTEM32\COMMAND.COM 2" xfId="18703" xr:uid="{00000000-0005-0000-0000-0000B5480000}"/>
    <cellStyle name="=C:\WINNT\SYSTEM32\COMMAND.COM 2 2" xfId="18704" xr:uid="{00000000-0005-0000-0000-0000B6480000}"/>
    <cellStyle name="=C:\WINNT\SYSTEM32\COMMAND.COM 2 3" xfId="18705" xr:uid="{00000000-0005-0000-0000-0000B7480000}"/>
    <cellStyle name="=C:\WINNT\SYSTEM32\COMMAND.COM 2_Steps of Doneness" xfId="18706" xr:uid="{00000000-0005-0000-0000-0000B8480000}"/>
    <cellStyle name="=C:\WINNT\SYSTEM32\COMMAND.COM 3" xfId="18707" xr:uid="{00000000-0005-0000-0000-0000B9480000}"/>
    <cellStyle name="=C:\WINNT\SYSTEM32\COMMAND.COM 4" xfId="18708" xr:uid="{00000000-0005-0000-0000-0000BA480000}"/>
    <cellStyle name="=C:\WINNT\SYSTEM32\COMMAND.COM_Steps of Doneness" xfId="18709" xr:uid="{00000000-0005-0000-0000-0000BB480000}"/>
    <cellStyle name="0,0_x000a__x000a_NA_x000a__x000a_" xfId="18710" xr:uid="{00000000-0005-0000-0000-0000BC480000}"/>
    <cellStyle name="0,0_x000a__x000a_NA_x000a__x000a_ 2" xfId="18711" xr:uid="{00000000-0005-0000-0000-0000BD480000}"/>
    <cellStyle name="0,0_x000d__x000a_NA_x000d__x000a_" xfId="18712" xr:uid="{00000000-0005-0000-0000-0000BE480000}"/>
    <cellStyle name="0,0_x000d__x000a_NA_x000d__x000a_ 2" xfId="18713" xr:uid="{00000000-0005-0000-0000-0000BF480000}"/>
    <cellStyle name="1" xfId="18714" xr:uid="{00000000-0005-0000-0000-0000C0480000}"/>
    <cellStyle name="1 2" xfId="18715" xr:uid="{00000000-0005-0000-0000-0000C1480000}"/>
    <cellStyle name="1 2 2" xfId="18716" xr:uid="{00000000-0005-0000-0000-0000C2480000}"/>
    <cellStyle name="1 2 3" xfId="18717" xr:uid="{00000000-0005-0000-0000-0000C3480000}"/>
    <cellStyle name="1 2 4" xfId="18718" xr:uid="{00000000-0005-0000-0000-0000C4480000}"/>
    <cellStyle name="1 3" xfId="18719" xr:uid="{00000000-0005-0000-0000-0000C5480000}"/>
    <cellStyle name="1 3 2" xfId="18720" xr:uid="{00000000-0005-0000-0000-0000C6480000}"/>
    <cellStyle name="1 4" xfId="18721" xr:uid="{00000000-0005-0000-0000-0000C7480000}"/>
    <cellStyle name="20% - Accent1" xfId="1" builtinId="30" customBuiltin="1"/>
    <cellStyle name="20% - Accent1 2" xfId="63" xr:uid="{00000000-0005-0000-0000-0000C9480000}"/>
    <cellStyle name="20% - Accent1 2 2" xfId="18722" xr:uid="{00000000-0005-0000-0000-0000CA480000}"/>
    <cellStyle name="20% - Accent1 3" xfId="18723" xr:uid="{00000000-0005-0000-0000-0000CB480000}"/>
    <cellStyle name="20% - Accent1 3 2" xfId="18724" xr:uid="{00000000-0005-0000-0000-0000CC480000}"/>
    <cellStyle name="20% - Accent1 4" xfId="18725" xr:uid="{00000000-0005-0000-0000-0000CD480000}"/>
    <cellStyle name="20% - Accent1 5" xfId="18726" xr:uid="{00000000-0005-0000-0000-0000CE480000}"/>
    <cellStyle name="20% - Accent1 5 2" xfId="18727" xr:uid="{00000000-0005-0000-0000-0000CF480000}"/>
    <cellStyle name="20% - Accent1 6" xfId="18728" xr:uid="{00000000-0005-0000-0000-0000D0480000}"/>
    <cellStyle name="20% - Accent1 6 2" xfId="18729" xr:uid="{00000000-0005-0000-0000-0000D1480000}"/>
    <cellStyle name="20% - Accent1 7" xfId="18730" xr:uid="{00000000-0005-0000-0000-0000D2480000}"/>
    <cellStyle name="20% - Accent2" xfId="2" builtinId="34" customBuiltin="1"/>
    <cellStyle name="20% - Accent2 2" xfId="67" xr:uid="{00000000-0005-0000-0000-0000D4480000}"/>
    <cellStyle name="20% - Accent2 2 2" xfId="18731" xr:uid="{00000000-0005-0000-0000-0000D5480000}"/>
    <cellStyle name="20% - Accent2 3" xfId="18732" xr:uid="{00000000-0005-0000-0000-0000D6480000}"/>
    <cellStyle name="20% - Accent2 3 2" xfId="18733" xr:uid="{00000000-0005-0000-0000-0000D7480000}"/>
    <cellStyle name="20% - Accent2 4" xfId="18734" xr:uid="{00000000-0005-0000-0000-0000D8480000}"/>
    <cellStyle name="20% - Accent2 5" xfId="18735" xr:uid="{00000000-0005-0000-0000-0000D9480000}"/>
    <cellStyle name="20% - Accent2 5 2" xfId="18736" xr:uid="{00000000-0005-0000-0000-0000DA480000}"/>
    <cellStyle name="20% - Accent2 6" xfId="18737" xr:uid="{00000000-0005-0000-0000-0000DB480000}"/>
    <cellStyle name="20% - Accent2 6 2" xfId="18738" xr:uid="{00000000-0005-0000-0000-0000DC480000}"/>
    <cellStyle name="20% - Accent2 7" xfId="18739" xr:uid="{00000000-0005-0000-0000-0000DD480000}"/>
    <cellStyle name="20% - Accent3" xfId="3" builtinId="38" customBuiltin="1"/>
    <cellStyle name="20% - Accent3 2" xfId="71" xr:uid="{00000000-0005-0000-0000-0000DF480000}"/>
    <cellStyle name="20% - Accent3 2 2" xfId="18740" xr:uid="{00000000-0005-0000-0000-0000E0480000}"/>
    <cellStyle name="20% - Accent3 3" xfId="18741" xr:uid="{00000000-0005-0000-0000-0000E1480000}"/>
    <cellStyle name="20% - Accent3 3 2" xfId="18742" xr:uid="{00000000-0005-0000-0000-0000E2480000}"/>
    <cellStyle name="20% - Accent3 4" xfId="18743" xr:uid="{00000000-0005-0000-0000-0000E3480000}"/>
    <cellStyle name="20% - Accent3 5" xfId="18744" xr:uid="{00000000-0005-0000-0000-0000E4480000}"/>
    <cellStyle name="20% - Accent3 5 2" xfId="18745" xr:uid="{00000000-0005-0000-0000-0000E5480000}"/>
    <cellStyle name="20% - Accent3 6" xfId="18746" xr:uid="{00000000-0005-0000-0000-0000E6480000}"/>
    <cellStyle name="20% - Accent3 6 2" xfId="18747" xr:uid="{00000000-0005-0000-0000-0000E7480000}"/>
    <cellStyle name="20% - Accent3 7" xfId="18748" xr:uid="{00000000-0005-0000-0000-0000E8480000}"/>
    <cellStyle name="20% - Accent4" xfId="4" builtinId="42" customBuiltin="1"/>
    <cellStyle name="20% - Accent4 2" xfId="75" xr:uid="{00000000-0005-0000-0000-0000EA480000}"/>
    <cellStyle name="20% - Accent4 2 2" xfId="18749" xr:uid="{00000000-0005-0000-0000-0000EB480000}"/>
    <cellStyle name="20% - Accent4 3" xfId="18750" xr:uid="{00000000-0005-0000-0000-0000EC480000}"/>
    <cellStyle name="20% - Accent4 3 2" xfId="18751" xr:uid="{00000000-0005-0000-0000-0000ED480000}"/>
    <cellStyle name="20% - Accent4 4" xfId="18752" xr:uid="{00000000-0005-0000-0000-0000EE480000}"/>
    <cellStyle name="20% - Accent4 5" xfId="18753" xr:uid="{00000000-0005-0000-0000-0000EF480000}"/>
    <cellStyle name="20% - Accent4 5 2" xfId="18754" xr:uid="{00000000-0005-0000-0000-0000F0480000}"/>
    <cellStyle name="20% - Accent4 6" xfId="18755" xr:uid="{00000000-0005-0000-0000-0000F1480000}"/>
    <cellStyle name="20% - Accent4 6 2" xfId="18756" xr:uid="{00000000-0005-0000-0000-0000F2480000}"/>
    <cellStyle name="20% - Accent4 7" xfId="18757" xr:uid="{00000000-0005-0000-0000-0000F3480000}"/>
    <cellStyle name="20% - Accent5" xfId="5" builtinId="46" customBuiltin="1"/>
    <cellStyle name="20% - Accent5 2" xfId="79" xr:uid="{00000000-0005-0000-0000-0000F5480000}"/>
    <cellStyle name="20% - Accent5 2 2" xfId="18758" xr:uid="{00000000-0005-0000-0000-0000F6480000}"/>
    <cellStyle name="20% - Accent5 3" xfId="18759" xr:uid="{00000000-0005-0000-0000-0000F7480000}"/>
    <cellStyle name="20% - Accent5 3 2" xfId="18760" xr:uid="{00000000-0005-0000-0000-0000F8480000}"/>
    <cellStyle name="20% - Accent5 4" xfId="18761" xr:uid="{00000000-0005-0000-0000-0000F9480000}"/>
    <cellStyle name="20% - Accent5 5" xfId="18762" xr:uid="{00000000-0005-0000-0000-0000FA480000}"/>
    <cellStyle name="20% - Accent5 5 2" xfId="18763" xr:uid="{00000000-0005-0000-0000-0000FB480000}"/>
    <cellStyle name="20% - Accent5 6" xfId="18764" xr:uid="{00000000-0005-0000-0000-0000FC480000}"/>
    <cellStyle name="20% - Accent5 6 2" xfId="18765" xr:uid="{00000000-0005-0000-0000-0000FD480000}"/>
    <cellStyle name="20% - Accent5 7" xfId="18766" xr:uid="{00000000-0005-0000-0000-0000FE480000}"/>
    <cellStyle name="20% - Accent6" xfId="6" builtinId="50" customBuiltin="1"/>
    <cellStyle name="20% - Accent6 2" xfId="83" xr:uid="{00000000-0005-0000-0000-000000490000}"/>
    <cellStyle name="20% - Accent6 2 2" xfId="18767" xr:uid="{00000000-0005-0000-0000-000001490000}"/>
    <cellStyle name="20% - Accent6 3" xfId="18768" xr:uid="{00000000-0005-0000-0000-000002490000}"/>
    <cellStyle name="20% - Accent6 3 2" xfId="18769" xr:uid="{00000000-0005-0000-0000-000003490000}"/>
    <cellStyle name="20% - Accent6 4" xfId="18770" xr:uid="{00000000-0005-0000-0000-000004490000}"/>
    <cellStyle name="20% - Accent6 5" xfId="18771" xr:uid="{00000000-0005-0000-0000-000005490000}"/>
    <cellStyle name="20% - Accent6 5 2" xfId="18772" xr:uid="{00000000-0005-0000-0000-000006490000}"/>
    <cellStyle name="20% - Accent6 6" xfId="18773" xr:uid="{00000000-0005-0000-0000-000007490000}"/>
    <cellStyle name="20% - Accent6 6 2" xfId="18774" xr:uid="{00000000-0005-0000-0000-000008490000}"/>
    <cellStyle name="20% - Accent6 7" xfId="18775" xr:uid="{00000000-0005-0000-0000-000009490000}"/>
    <cellStyle name="40% - Accent1" xfId="7" builtinId="31" customBuiltin="1"/>
    <cellStyle name="40% - Accent1 2" xfId="64" xr:uid="{00000000-0005-0000-0000-00000B490000}"/>
    <cellStyle name="40% - Accent1 2 2" xfId="18776" xr:uid="{00000000-0005-0000-0000-00000C490000}"/>
    <cellStyle name="40% - Accent1 3" xfId="18777" xr:uid="{00000000-0005-0000-0000-00000D490000}"/>
    <cellStyle name="40% - Accent1 3 2" xfId="18778" xr:uid="{00000000-0005-0000-0000-00000E490000}"/>
    <cellStyle name="40% - Accent1 4" xfId="18779" xr:uid="{00000000-0005-0000-0000-00000F490000}"/>
    <cellStyle name="40% - Accent1 5" xfId="18780" xr:uid="{00000000-0005-0000-0000-000010490000}"/>
    <cellStyle name="40% - Accent1 5 2" xfId="18781" xr:uid="{00000000-0005-0000-0000-000011490000}"/>
    <cellStyle name="40% - Accent1 6" xfId="18782" xr:uid="{00000000-0005-0000-0000-000012490000}"/>
    <cellStyle name="40% - Accent1 6 2" xfId="18783" xr:uid="{00000000-0005-0000-0000-000013490000}"/>
    <cellStyle name="40% - Accent1 7" xfId="18784" xr:uid="{00000000-0005-0000-0000-000014490000}"/>
    <cellStyle name="40% - Accent2" xfId="8" builtinId="35" customBuiltin="1"/>
    <cellStyle name="40% - Accent2 2" xfId="68" xr:uid="{00000000-0005-0000-0000-000016490000}"/>
    <cellStyle name="40% - Accent2 2 2" xfId="18785" xr:uid="{00000000-0005-0000-0000-000017490000}"/>
    <cellStyle name="40% - Accent2 3" xfId="18786" xr:uid="{00000000-0005-0000-0000-000018490000}"/>
    <cellStyle name="40% - Accent2 3 2" xfId="18787" xr:uid="{00000000-0005-0000-0000-000019490000}"/>
    <cellStyle name="40% - Accent2 4" xfId="18788" xr:uid="{00000000-0005-0000-0000-00001A490000}"/>
    <cellStyle name="40% - Accent2 5" xfId="18789" xr:uid="{00000000-0005-0000-0000-00001B490000}"/>
    <cellStyle name="40% - Accent2 5 2" xfId="18790" xr:uid="{00000000-0005-0000-0000-00001C490000}"/>
    <cellStyle name="40% - Accent2 6" xfId="18791" xr:uid="{00000000-0005-0000-0000-00001D490000}"/>
    <cellStyle name="40% - Accent2 6 2" xfId="18792" xr:uid="{00000000-0005-0000-0000-00001E490000}"/>
    <cellStyle name="40% - Accent2 7" xfId="18793" xr:uid="{00000000-0005-0000-0000-00001F490000}"/>
    <cellStyle name="40% - Accent3" xfId="9" builtinId="39" customBuiltin="1"/>
    <cellStyle name="40% - Accent3 2" xfId="72" xr:uid="{00000000-0005-0000-0000-000021490000}"/>
    <cellStyle name="40% - Accent3 2 2" xfId="18794" xr:uid="{00000000-0005-0000-0000-000022490000}"/>
    <cellStyle name="40% - Accent3 3" xfId="18795" xr:uid="{00000000-0005-0000-0000-000023490000}"/>
    <cellStyle name="40% - Accent3 3 2" xfId="18796" xr:uid="{00000000-0005-0000-0000-000024490000}"/>
    <cellStyle name="40% - Accent3 4" xfId="18797" xr:uid="{00000000-0005-0000-0000-000025490000}"/>
    <cellStyle name="40% - Accent3 5" xfId="18798" xr:uid="{00000000-0005-0000-0000-000026490000}"/>
    <cellStyle name="40% - Accent3 5 2" xfId="18799" xr:uid="{00000000-0005-0000-0000-000027490000}"/>
    <cellStyle name="40% - Accent3 6" xfId="18800" xr:uid="{00000000-0005-0000-0000-000028490000}"/>
    <cellStyle name="40% - Accent3 6 2" xfId="18801" xr:uid="{00000000-0005-0000-0000-000029490000}"/>
    <cellStyle name="40% - Accent3 7" xfId="18802" xr:uid="{00000000-0005-0000-0000-00002A490000}"/>
    <cellStyle name="40% - Accent4" xfId="10" builtinId="43" customBuiltin="1"/>
    <cellStyle name="40% - Accent4 2" xfId="76" xr:uid="{00000000-0005-0000-0000-00002C490000}"/>
    <cellStyle name="40% - Accent4 2 2" xfId="18803" xr:uid="{00000000-0005-0000-0000-00002D490000}"/>
    <cellStyle name="40% - Accent4 3" xfId="18804" xr:uid="{00000000-0005-0000-0000-00002E490000}"/>
    <cellStyle name="40% - Accent4 3 2" xfId="18805" xr:uid="{00000000-0005-0000-0000-00002F490000}"/>
    <cellStyle name="40% - Accent4 4" xfId="18806" xr:uid="{00000000-0005-0000-0000-000030490000}"/>
    <cellStyle name="40% - Accent4 5" xfId="18807" xr:uid="{00000000-0005-0000-0000-000031490000}"/>
    <cellStyle name="40% - Accent4 5 2" xfId="18808" xr:uid="{00000000-0005-0000-0000-000032490000}"/>
    <cellStyle name="40% - Accent4 6" xfId="18809" xr:uid="{00000000-0005-0000-0000-000033490000}"/>
    <cellStyle name="40% - Accent4 6 2" xfId="18810" xr:uid="{00000000-0005-0000-0000-000034490000}"/>
    <cellStyle name="40% - Accent4 7" xfId="18811" xr:uid="{00000000-0005-0000-0000-000035490000}"/>
    <cellStyle name="40% - Accent5" xfId="11" builtinId="47" customBuiltin="1"/>
    <cellStyle name="40% - Accent5 2" xfId="80" xr:uid="{00000000-0005-0000-0000-000037490000}"/>
    <cellStyle name="40% - Accent5 2 2" xfId="18812" xr:uid="{00000000-0005-0000-0000-000038490000}"/>
    <cellStyle name="40% - Accent5 3" xfId="18813" xr:uid="{00000000-0005-0000-0000-000039490000}"/>
    <cellStyle name="40% - Accent5 3 2" xfId="18814" xr:uid="{00000000-0005-0000-0000-00003A490000}"/>
    <cellStyle name="40% - Accent5 4" xfId="18815" xr:uid="{00000000-0005-0000-0000-00003B490000}"/>
    <cellStyle name="40% - Accent5 5" xfId="18816" xr:uid="{00000000-0005-0000-0000-00003C490000}"/>
    <cellStyle name="40% - Accent5 5 2" xfId="18817" xr:uid="{00000000-0005-0000-0000-00003D490000}"/>
    <cellStyle name="40% - Accent5 6" xfId="18818" xr:uid="{00000000-0005-0000-0000-00003E490000}"/>
    <cellStyle name="40% - Accent5 6 2" xfId="18819" xr:uid="{00000000-0005-0000-0000-00003F490000}"/>
    <cellStyle name="40% - Accent5 7" xfId="18820" xr:uid="{00000000-0005-0000-0000-000040490000}"/>
    <cellStyle name="40% - Accent6" xfId="12" builtinId="51" customBuiltin="1"/>
    <cellStyle name="40% - Accent6 2" xfId="84" xr:uid="{00000000-0005-0000-0000-000042490000}"/>
    <cellStyle name="40% - Accent6 2 2" xfId="18821" xr:uid="{00000000-0005-0000-0000-000043490000}"/>
    <cellStyle name="40% - Accent6 3" xfId="18822" xr:uid="{00000000-0005-0000-0000-000044490000}"/>
    <cellStyle name="40% - Accent6 3 2" xfId="18823" xr:uid="{00000000-0005-0000-0000-000045490000}"/>
    <cellStyle name="40% - Accent6 4" xfId="18824" xr:uid="{00000000-0005-0000-0000-000046490000}"/>
    <cellStyle name="40% - Accent6 5" xfId="18825" xr:uid="{00000000-0005-0000-0000-000047490000}"/>
    <cellStyle name="40% - Accent6 5 2" xfId="18826" xr:uid="{00000000-0005-0000-0000-000048490000}"/>
    <cellStyle name="40% - Accent6 6" xfId="18827" xr:uid="{00000000-0005-0000-0000-000049490000}"/>
    <cellStyle name="40% - Accent6 6 2" xfId="18828" xr:uid="{00000000-0005-0000-0000-00004A490000}"/>
    <cellStyle name="40% - Accent6 7" xfId="18829" xr:uid="{00000000-0005-0000-0000-00004B490000}"/>
    <cellStyle name="60% - Accent1" xfId="13" builtinId="32" customBuiltin="1"/>
    <cellStyle name="60% - Accent1 2" xfId="65" xr:uid="{00000000-0005-0000-0000-00004D490000}"/>
    <cellStyle name="60% - Accent1 2 2" xfId="18830" xr:uid="{00000000-0005-0000-0000-00004E490000}"/>
    <cellStyle name="60% - Accent1 3" xfId="18831" xr:uid="{00000000-0005-0000-0000-00004F490000}"/>
    <cellStyle name="60% - Accent2" xfId="14" builtinId="36" customBuiltin="1"/>
    <cellStyle name="60% - Accent2 2" xfId="69" xr:uid="{00000000-0005-0000-0000-000051490000}"/>
    <cellStyle name="60% - Accent2 2 2" xfId="18832" xr:uid="{00000000-0005-0000-0000-000052490000}"/>
    <cellStyle name="60% - Accent2 3" xfId="18833" xr:uid="{00000000-0005-0000-0000-000053490000}"/>
    <cellStyle name="60% - Accent3" xfId="15" builtinId="40" customBuiltin="1"/>
    <cellStyle name="60% - Accent3 2" xfId="73" xr:uid="{00000000-0005-0000-0000-000055490000}"/>
    <cellStyle name="60% - Accent3 2 2" xfId="18834" xr:uid="{00000000-0005-0000-0000-000056490000}"/>
    <cellStyle name="60% - Accent3 3" xfId="18835" xr:uid="{00000000-0005-0000-0000-000057490000}"/>
    <cellStyle name="60% - Accent4" xfId="16" builtinId="44" customBuiltin="1"/>
    <cellStyle name="60% - Accent4 2" xfId="77" xr:uid="{00000000-0005-0000-0000-000059490000}"/>
    <cellStyle name="60% - Accent4 2 2" xfId="18836" xr:uid="{00000000-0005-0000-0000-00005A490000}"/>
    <cellStyle name="60% - Accent4 3" xfId="18837" xr:uid="{00000000-0005-0000-0000-00005B490000}"/>
    <cellStyle name="60% - Accent5" xfId="17" builtinId="48" customBuiltin="1"/>
    <cellStyle name="60% - Accent5 2" xfId="81" xr:uid="{00000000-0005-0000-0000-00005D490000}"/>
    <cellStyle name="60% - Accent5 2 2" xfId="18838" xr:uid="{00000000-0005-0000-0000-00005E490000}"/>
    <cellStyle name="60% - Accent5 3" xfId="18839" xr:uid="{00000000-0005-0000-0000-00005F490000}"/>
    <cellStyle name="60% - Accent6" xfId="18" builtinId="52" customBuiltin="1"/>
    <cellStyle name="60% - Accent6 2" xfId="85" xr:uid="{00000000-0005-0000-0000-000061490000}"/>
    <cellStyle name="60% - Accent6 2 2" xfId="18840" xr:uid="{00000000-0005-0000-0000-000062490000}"/>
    <cellStyle name="60% - Accent6 3" xfId="18841" xr:uid="{00000000-0005-0000-0000-000063490000}"/>
    <cellStyle name="_x0001_Ãâ" xfId="18842" xr:uid="{00000000-0005-0000-0000-000064490000}"/>
    <cellStyle name="_x0001_Ãâ 2" xfId="18843" xr:uid="{00000000-0005-0000-0000-000065490000}"/>
    <cellStyle name="_x0001_Ãâ 2 2" xfId="18844" xr:uid="{00000000-0005-0000-0000-000066490000}"/>
    <cellStyle name="_x0001_Ãâ 2 3" xfId="18845" xr:uid="{00000000-0005-0000-0000-000067490000}"/>
    <cellStyle name="_x0001_Ãâ 2_Steps of Doneness" xfId="18846" xr:uid="{00000000-0005-0000-0000-000068490000}"/>
    <cellStyle name="_x0001_Ãâ 3" xfId="18847" xr:uid="{00000000-0005-0000-0000-000069490000}"/>
    <cellStyle name="_x0001_Ãâ 3 2" xfId="18848" xr:uid="{00000000-0005-0000-0000-00006A490000}"/>
    <cellStyle name="_x0001_Ãâ 3 3" xfId="18849" xr:uid="{00000000-0005-0000-0000-00006B490000}"/>
    <cellStyle name="_x0001_Ãâ 3_Steps of Doneness" xfId="18850" xr:uid="{00000000-0005-0000-0000-00006C490000}"/>
    <cellStyle name="_x0001_Ãâ 4" xfId="18851" xr:uid="{00000000-0005-0000-0000-00006D490000}"/>
    <cellStyle name="_x0001_Ãâ 5" xfId="18852" xr:uid="{00000000-0005-0000-0000-00006E490000}"/>
    <cellStyle name="_x0001_Ãâ_Commissioning System Implementation_Project Workbook_06_10_2011" xfId="18853" xr:uid="{00000000-0005-0000-0000-00006F490000}"/>
    <cellStyle name="Accent1" xfId="19" builtinId="29" customBuiltin="1"/>
    <cellStyle name="Accent1 2" xfId="62" xr:uid="{00000000-0005-0000-0000-000071490000}"/>
    <cellStyle name="Accent1 2 2" xfId="18854" xr:uid="{00000000-0005-0000-0000-000072490000}"/>
    <cellStyle name="Accent1 3" xfId="18855" xr:uid="{00000000-0005-0000-0000-000073490000}"/>
    <cellStyle name="Accent2" xfId="20" builtinId="33" customBuiltin="1"/>
    <cellStyle name="Accent2 2" xfId="66" xr:uid="{00000000-0005-0000-0000-000075490000}"/>
    <cellStyle name="Accent2 2 2" xfId="18856" xr:uid="{00000000-0005-0000-0000-000076490000}"/>
    <cellStyle name="Accent2 3" xfId="18857" xr:uid="{00000000-0005-0000-0000-000077490000}"/>
    <cellStyle name="Accent3" xfId="21" builtinId="37" customBuiltin="1"/>
    <cellStyle name="Accent3 2" xfId="70" xr:uid="{00000000-0005-0000-0000-000079490000}"/>
    <cellStyle name="Accent3 2 2" xfId="18858" xr:uid="{00000000-0005-0000-0000-00007A490000}"/>
    <cellStyle name="Accent3 3" xfId="18859" xr:uid="{00000000-0005-0000-0000-00007B490000}"/>
    <cellStyle name="Accent4" xfId="22" builtinId="41" customBuiltin="1"/>
    <cellStyle name="Accent4 2" xfId="74" xr:uid="{00000000-0005-0000-0000-00007D490000}"/>
    <cellStyle name="Accent4 2 2" xfId="18860" xr:uid="{00000000-0005-0000-0000-00007E490000}"/>
    <cellStyle name="Accent4 3" xfId="18861" xr:uid="{00000000-0005-0000-0000-00007F490000}"/>
    <cellStyle name="Accent5" xfId="23" builtinId="45" customBuiltin="1"/>
    <cellStyle name="Accent5 2" xfId="78" xr:uid="{00000000-0005-0000-0000-000081490000}"/>
    <cellStyle name="Accent5 2 2" xfId="18862" xr:uid="{00000000-0005-0000-0000-000082490000}"/>
    <cellStyle name="Accent5 3" xfId="18863" xr:uid="{00000000-0005-0000-0000-000083490000}"/>
    <cellStyle name="Accent6" xfId="24" builtinId="49" customBuiltin="1"/>
    <cellStyle name="Accent6 2" xfId="82" xr:uid="{00000000-0005-0000-0000-000085490000}"/>
    <cellStyle name="Accent6 2 2" xfId="18864" xr:uid="{00000000-0005-0000-0000-000086490000}"/>
    <cellStyle name="Accent6 3" xfId="18865" xr:uid="{00000000-0005-0000-0000-000087490000}"/>
    <cellStyle name="Bad" xfId="25" builtinId="27" customBuiltin="1"/>
    <cellStyle name="Bad 2" xfId="51" xr:uid="{00000000-0005-0000-0000-000089490000}"/>
    <cellStyle name="Bad 2 2" xfId="18866" xr:uid="{00000000-0005-0000-0000-00008A490000}"/>
    <cellStyle name="Bad 3" xfId="18867" xr:uid="{00000000-0005-0000-0000-00008B490000}"/>
    <cellStyle name="Blue" xfId="18868" xr:uid="{00000000-0005-0000-0000-00008C490000}"/>
    <cellStyle name="Blue 2" xfId="18869" xr:uid="{00000000-0005-0000-0000-00008D490000}"/>
    <cellStyle name="Body" xfId="18870" xr:uid="{00000000-0005-0000-0000-00008E490000}"/>
    <cellStyle name="Calculation" xfId="26" builtinId="22" customBuiltin="1"/>
    <cellStyle name="Calculation 2" xfId="55" xr:uid="{00000000-0005-0000-0000-000090490000}"/>
    <cellStyle name="Calculation 2 2" xfId="18871" xr:uid="{00000000-0005-0000-0000-000091490000}"/>
    <cellStyle name="Calculation 2 2 2" xfId="18872" xr:uid="{00000000-0005-0000-0000-000092490000}"/>
    <cellStyle name="Calculation 2 2 2 2" xfId="18873" xr:uid="{00000000-0005-0000-0000-000093490000}"/>
    <cellStyle name="Calculation 2 2 2 3" xfId="18874" xr:uid="{00000000-0005-0000-0000-000094490000}"/>
    <cellStyle name="Calculation 2 2 3" xfId="18875" xr:uid="{00000000-0005-0000-0000-000095490000}"/>
    <cellStyle name="Calculation 2 2 3 2" xfId="18876" xr:uid="{00000000-0005-0000-0000-000096490000}"/>
    <cellStyle name="Calculation 2 2 4" xfId="18877" xr:uid="{00000000-0005-0000-0000-000097490000}"/>
    <cellStyle name="Calculation 2 3" xfId="18878" xr:uid="{00000000-0005-0000-0000-000098490000}"/>
    <cellStyle name="Calculation 2 3 2" xfId="18879" xr:uid="{00000000-0005-0000-0000-000099490000}"/>
    <cellStyle name="Calculation 2 3 3" xfId="18880" xr:uid="{00000000-0005-0000-0000-00009A490000}"/>
    <cellStyle name="Calculation 2 4" xfId="18881" xr:uid="{00000000-0005-0000-0000-00009B490000}"/>
    <cellStyle name="Calculation 2 4 2" xfId="18882" xr:uid="{00000000-0005-0000-0000-00009C490000}"/>
    <cellStyle name="Calculation 2 5" xfId="18883" xr:uid="{00000000-0005-0000-0000-00009D490000}"/>
    <cellStyle name="Calculation 3" xfId="18884" xr:uid="{00000000-0005-0000-0000-00009E490000}"/>
    <cellStyle name="Calculation 3 2" xfId="18885" xr:uid="{00000000-0005-0000-0000-00009F490000}"/>
    <cellStyle name="Calculation 3 2 2" xfId="18886" xr:uid="{00000000-0005-0000-0000-0000A0490000}"/>
    <cellStyle name="Calculation 3 2 3" xfId="18887" xr:uid="{00000000-0005-0000-0000-0000A1490000}"/>
    <cellStyle name="Calculation 3 3" xfId="18888" xr:uid="{00000000-0005-0000-0000-0000A2490000}"/>
    <cellStyle name="Calculation 3 3 2" xfId="18889" xr:uid="{00000000-0005-0000-0000-0000A3490000}"/>
    <cellStyle name="Calculation 3 4" xfId="18890" xr:uid="{00000000-0005-0000-0000-0000A4490000}"/>
    <cellStyle name="change" xfId="18891" xr:uid="{00000000-0005-0000-0000-0000A5490000}"/>
    <cellStyle name="change 2" xfId="18892" xr:uid="{00000000-0005-0000-0000-0000A6490000}"/>
    <cellStyle name="change 2 2" xfId="18893" xr:uid="{00000000-0005-0000-0000-0000A7490000}"/>
    <cellStyle name="change 2 2 2" xfId="18894" xr:uid="{00000000-0005-0000-0000-0000A8490000}"/>
    <cellStyle name="change 2 2 2 2" xfId="18895" xr:uid="{00000000-0005-0000-0000-0000A9490000}"/>
    <cellStyle name="change 2 2 3" xfId="18896" xr:uid="{00000000-0005-0000-0000-0000AA490000}"/>
    <cellStyle name="change 2 2 3 2" xfId="18897" xr:uid="{00000000-0005-0000-0000-0000AB490000}"/>
    <cellStyle name="change 2 2 3 3" xfId="18898" xr:uid="{00000000-0005-0000-0000-0000AC490000}"/>
    <cellStyle name="change 2 2 3 4" xfId="18899" xr:uid="{00000000-0005-0000-0000-0000AD490000}"/>
    <cellStyle name="change 2 2 4" xfId="18900" xr:uid="{00000000-0005-0000-0000-0000AE490000}"/>
    <cellStyle name="change 2 2 4 2" xfId="18901" xr:uid="{00000000-0005-0000-0000-0000AF490000}"/>
    <cellStyle name="change 2 2 4 3" xfId="18902" xr:uid="{00000000-0005-0000-0000-0000B0490000}"/>
    <cellStyle name="change 2 2 4 4" xfId="18903" xr:uid="{00000000-0005-0000-0000-0000B1490000}"/>
    <cellStyle name="change 2 3" xfId="18904" xr:uid="{00000000-0005-0000-0000-0000B2490000}"/>
    <cellStyle name="change 2 3 2" xfId="18905" xr:uid="{00000000-0005-0000-0000-0000B3490000}"/>
    <cellStyle name="change 2 4" xfId="18906" xr:uid="{00000000-0005-0000-0000-0000B4490000}"/>
    <cellStyle name="change 2 4 2" xfId="18907" xr:uid="{00000000-0005-0000-0000-0000B5490000}"/>
    <cellStyle name="change 2 4 3" xfId="18908" xr:uid="{00000000-0005-0000-0000-0000B6490000}"/>
    <cellStyle name="change 2 4 4" xfId="18909" xr:uid="{00000000-0005-0000-0000-0000B7490000}"/>
    <cellStyle name="change 2 5" xfId="18910" xr:uid="{00000000-0005-0000-0000-0000B8490000}"/>
    <cellStyle name="change 2 5 2" xfId="18911" xr:uid="{00000000-0005-0000-0000-0000B9490000}"/>
    <cellStyle name="change 2 5 3" xfId="18912" xr:uid="{00000000-0005-0000-0000-0000BA490000}"/>
    <cellStyle name="change 2 5 4" xfId="18913" xr:uid="{00000000-0005-0000-0000-0000BB490000}"/>
    <cellStyle name="change 3" xfId="18914" xr:uid="{00000000-0005-0000-0000-0000BC490000}"/>
    <cellStyle name="change 3 2" xfId="18915" xr:uid="{00000000-0005-0000-0000-0000BD490000}"/>
    <cellStyle name="change 3 2 2" xfId="18916" xr:uid="{00000000-0005-0000-0000-0000BE490000}"/>
    <cellStyle name="change 3 3" xfId="18917" xr:uid="{00000000-0005-0000-0000-0000BF490000}"/>
    <cellStyle name="change 3 3 2" xfId="18918" xr:uid="{00000000-0005-0000-0000-0000C0490000}"/>
    <cellStyle name="change 3 3 3" xfId="18919" xr:uid="{00000000-0005-0000-0000-0000C1490000}"/>
    <cellStyle name="change 3 3 4" xfId="18920" xr:uid="{00000000-0005-0000-0000-0000C2490000}"/>
    <cellStyle name="change 3 4" xfId="18921" xr:uid="{00000000-0005-0000-0000-0000C3490000}"/>
    <cellStyle name="change 3 4 2" xfId="18922" xr:uid="{00000000-0005-0000-0000-0000C4490000}"/>
    <cellStyle name="change 3 4 3" xfId="18923" xr:uid="{00000000-0005-0000-0000-0000C5490000}"/>
    <cellStyle name="change 3 4 4" xfId="18924" xr:uid="{00000000-0005-0000-0000-0000C6490000}"/>
    <cellStyle name="change 4" xfId="18925" xr:uid="{00000000-0005-0000-0000-0000C7490000}"/>
    <cellStyle name="change 4 2" xfId="18926" xr:uid="{00000000-0005-0000-0000-0000C8490000}"/>
    <cellStyle name="change 5" xfId="18927" xr:uid="{00000000-0005-0000-0000-0000C9490000}"/>
    <cellStyle name="change 5 2" xfId="18928" xr:uid="{00000000-0005-0000-0000-0000CA490000}"/>
    <cellStyle name="change 5 3" xfId="18929" xr:uid="{00000000-0005-0000-0000-0000CB490000}"/>
    <cellStyle name="change 5 4" xfId="18930" xr:uid="{00000000-0005-0000-0000-0000CC490000}"/>
    <cellStyle name="change 6" xfId="18931" xr:uid="{00000000-0005-0000-0000-0000CD490000}"/>
    <cellStyle name="change 6 2" xfId="18932" xr:uid="{00000000-0005-0000-0000-0000CE490000}"/>
    <cellStyle name="change 6 3" xfId="18933" xr:uid="{00000000-0005-0000-0000-0000CF490000}"/>
    <cellStyle name="change 6 4" xfId="18934" xr:uid="{00000000-0005-0000-0000-0000D0490000}"/>
    <cellStyle name="change_Steps of Doneness" xfId="18935" xr:uid="{00000000-0005-0000-0000-0000D1490000}"/>
    <cellStyle name="Check Cell" xfId="27" builtinId="23" customBuiltin="1"/>
    <cellStyle name="Check Cell 2" xfId="57" xr:uid="{00000000-0005-0000-0000-0000D3490000}"/>
    <cellStyle name="Check Cell 2 2" xfId="18936" xr:uid="{00000000-0005-0000-0000-0000D4490000}"/>
    <cellStyle name="Check Cell 3" xfId="18937" xr:uid="{00000000-0005-0000-0000-0000D5490000}"/>
    <cellStyle name="Comma  - Style1" xfId="18938" xr:uid="{00000000-0005-0000-0000-0000D6490000}"/>
    <cellStyle name="Comma  - Style2" xfId="18939" xr:uid="{00000000-0005-0000-0000-0000D7490000}"/>
    <cellStyle name="Comma  - Style3" xfId="18940" xr:uid="{00000000-0005-0000-0000-0000D8490000}"/>
    <cellStyle name="Comma  - Style4" xfId="18941" xr:uid="{00000000-0005-0000-0000-0000D9490000}"/>
    <cellStyle name="Comma  - Style5" xfId="18942" xr:uid="{00000000-0005-0000-0000-0000DA490000}"/>
    <cellStyle name="Comma  - Style6" xfId="18943" xr:uid="{00000000-0005-0000-0000-0000DB490000}"/>
    <cellStyle name="Comma  - Style7" xfId="18944" xr:uid="{00000000-0005-0000-0000-0000DC490000}"/>
    <cellStyle name="Comma  - Style8" xfId="18945" xr:uid="{00000000-0005-0000-0000-0000DD490000}"/>
    <cellStyle name="Comma [0] 2" xfId="18946" xr:uid="{00000000-0005-0000-0000-0000DE490000}"/>
    <cellStyle name="Comma [0] 2 2" xfId="18947" xr:uid="{00000000-0005-0000-0000-0000DF490000}"/>
    <cellStyle name="Comma [0] 2_Steps of Doneness" xfId="18948" xr:uid="{00000000-0005-0000-0000-0000E0490000}"/>
    <cellStyle name="Comma 2" xfId="18949" xr:uid="{00000000-0005-0000-0000-0000E1490000}"/>
    <cellStyle name="Comma 2 2" xfId="18950" xr:uid="{00000000-0005-0000-0000-0000E2490000}"/>
    <cellStyle name="Comma 2 2 2" xfId="18951" xr:uid="{00000000-0005-0000-0000-0000E3490000}"/>
    <cellStyle name="Comma 2 2_Steps of Doneness" xfId="18952" xr:uid="{00000000-0005-0000-0000-0000E4490000}"/>
    <cellStyle name="Comma 2 3" xfId="18953" xr:uid="{00000000-0005-0000-0000-0000E5490000}"/>
    <cellStyle name="Comma 2_Steps of Doneness" xfId="18954" xr:uid="{00000000-0005-0000-0000-0000E6490000}"/>
    <cellStyle name="Comma 3" xfId="18955" xr:uid="{00000000-0005-0000-0000-0000E7490000}"/>
    <cellStyle name="Comma 3 2" xfId="18956" xr:uid="{00000000-0005-0000-0000-0000E8490000}"/>
    <cellStyle name="Comma 3_Steps of Doneness" xfId="18957" xr:uid="{00000000-0005-0000-0000-0000E9490000}"/>
    <cellStyle name="Comma 4" xfId="18958" xr:uid="{00000000-0005-0000-0000-0000EA490000}"/>
    <cellStyle name="Comma 5" xfId="18959" xr:uid="{00000000-0005-0000-0000-0000EB490000}"/>
    <cellStyle name="Comma 6" xfId="18960" xr:uid="{00000000-0005-0000-0000-0000EC490000}"/>
    <cellStyle name="Comma 7" xfId="18961" xr:uid="{00000000-0005-0000-0000-0000ED490000}"/>
    <cellStyle name="Currency 10" xfId="18962" xr:uid="{00000000-0005-0000-0000-0000EE490000}"/>
    <cellStyle name="Currency 11" xfId="18963" xr:uid="{00000000-0005-0000-0000-0000EF490000}"/>
    <cellStyle name="Currency 11 2" xfId="18964" xr:uid="{00000000-0005-0000-0000-0000F0490000}"/>
    <cellStyle name="Currency 11 2 2" xfId="18965" xr:uid="{00000000-0005-0000-0000-0000F1490000}"/>
    <cellStyle name="Currency 11 3" xfId="18966" xr:uid="{00000000-0005-0000-0000-0000F2490000}"/>
    <cellStyle name="Currency 2" xfId="18967" xr:uid="{00000000-0005-0000-0000-0000F3490000}"/>
    <cellStyle name="Currency 2 2" xfId="18968" xr:uid="{00000000-0005-0000-0000-0000F4490000}"/>
    <cellStyle name="Currency 2 2 2" xfId="18969" xr:uid="{00000000-0005-0000-0000-0000F5490000}"/>
    <cellStyle name="Currency 2 2_Steps of Doneness" xfId="18970" xr:uid="{00000000-0005-0000-0000-0000F6490000}"/>
    <cellStyle name="Currency 2 3" xfId="18971" xr:uid="{00000000-0005-0000-0000-0000F7490000}"/>
    <cellStyle name="Currency 2_Steps of Doneness" xfId="18972" xr:uid="{00000000-0005-0000-0000-0000F8490000}"/>
    <cellStyle name="Currency 3" xfId="18973" xr:uid="{00000000-0005-0000-0000-0000F9490000}"/>
    <cellStyle name="Currency 3 2" xfId="18974" xr:uid="{00000000-0005-0000-0000-0000FA490000}"/>
    <cellStyle name="Currency 4" xfId="18975" xr:uid="{00000000-0005-0000-0000-0000FB490000}"/>
    <cellStyle name="Currency 4 2" xfId="18976" xr:uid="{00000000-0005-0000-0000-0000FC490000}"/>
    <cellStyle name="Currency 4 2 2" xfId="18977" xr:uid="{00000000-0005-0000-0000-0000FD490000}"/>
    <cellStyle name="Currency 4 2 2 2" xfId="18978" xr:uid="{00000000-0005-0000-0000-0000FE490000}"/>
    <cellStyle name="Currency 4 2 2 2 2" xfId="18979" xr:uid="{00000000-0005-0000-0000-0000FF490000}"/>
    <cellStyle name="Currency 4 2 2 3" xfId="18980" xr:uid="{00000000-0005-0000-0000-0000004A0000}"/>
    <cellStyle name="Currency 4 2 3" xfId="18981" xr:uid="{00000000-0005-0000-0000-0000014A0000}"/>
    <cellStyle name="Currency 4 2 3 2" xfId="18982" xr:uid="{00000000-0005-0000-0000-0000024A0000}"/>
    <cellStyle name="Currency 4 2 4" xfId="18983" xr:uid="{00000000-0005-0000-0000-0000034A0000}"/>
    <cellStyle name="Currency 4 2_Steps of Doneness" xfId="18984" xr:uid="{00000000-0005-0000-0000-0000044A0000}"/>
    <cellStyle name="Currency 4 3" xfId="18985" xr:uid="{00000000-0005-0000-0000-0000054A0000}"/>
    <cellStyle name="Currency 4 3 2" xfId="18986" xr:uid="{00000000-0005-0000-0000-0000064A0000}"/>
    <cellStyle name="Currency 4 3 2 2" xfId="18987" xr:uid="{00000000-0005-0000-0000-0000074A0000}"/>
    <cellStyle name="Currency 4 3 3" xfId="18988" xr:uid="{00000000-0005-0000-0000-0000084A0000}"/>
    <cellStyle name="Currency 4 4" xfId="18989" xr:uid="{00000000-0005-0000-0000-0000094A0000}"/>
    <cellStyle name="Currency 4 4 2" xfId="18990" xr:uid="{00000000-0005-0000-0000-00000A4A0000}"/>
    <cellStyle name="Currency 4 5" xfId="18991" xr:uid="{00000000-0005-0000-0000-00000B4A0000}"/>
    <cellStyle name="Currency 4_Steps of Doneness" xfId="18992" xr:uid="{00000000-0005-0000-0000-00000C4A0000}"/>
    <cellStyle name="Currency 5" xfId="18993" xr:uid="{00000000-0005-0000-0000-00000D4A0000}"/>
    <cellStyle name="Currency 5 2" xfId="18994" xr:uid="{00000000-0005-0000-0000-00000E4A0000}"/>
    <cellStyle name="Currency 5 2 2" xfId="18995" xr:uid="{00000000-0005-0000-0000-00000F4A0000}"/>
    <cellStyle name="Currency 5 2 2 2" xfId="18996" xr:uid="{00000000-0005-0000-0000-0000104A0000}"/>
    <cellStyle name="Currency 5 2 2 2 2" xfId="18997" xr:uid="{00000000-0005-0000-0000-0000114A0000}"/>
    <cellStyle name="Currency 5 2 2 2 2 2" xfId="18998" xr:uid="{00000000-0005-0000-0000-0000124A0000}"/>
    <cellStyle name="Currency 5 2 2 2 3" xfId="18999" xr:uid="{00000000-0005-0000-0000-0000134A0000}"/>
    <cellStyle name="Currency 5 2 2 3" xfId="19000" xr:uid="{00000000-0005-0000-0000-0000144A0000}"/>
    <cellStyle name="Currency 5 2 2 3 2" xfId="19001" xr:uid="{00000000-0005-0000-0000-0000154A0000}"/>
    <cellStyle name="Currency 5 2 2 4" xfId="19002" xr:uid="{00000000-0005-0000-0000-0000164A0000}"/>
    <cellStyle name="Currency 5 2 2_Steps of Doneness" xfId="19003" xr:uid="{00000000-0005-0000-0000-0000174A0000}"/>
    <cellStyle name="Currency 5 2 3" xfId="19004" xr:uid="{00000000-0005-0000-0000-0000184A0000}"/>
    <cellStyle name="Currency 5 2 3 2" xfId="19005" xr:uid="{00000000-0005-0000-0000-0000194A0000}"/>
    <cellStyle name="Currency 5 2 3 2 2" xfId="19006" xr:uid="{00000000-0005-0000-0000-00001A4A0000}"/>
    <cellStyle name="Currency 5 2 3 3" xfId="19007" xr:uid="{00000000-0005-0000-0000-00001B4A0000}"/>
    <cellStyle name="Currency 5 2 4" xfId="19008" xr:uid="{00000000-0005-0000-0000-00001C4A0000}"/>
    <cellStyle name="Currency 5 2 4 2" xfId="19009" xr:uid="{00000000-0005-0000-0000-00001D4A0000}"/>
    <cellStyle name="Currency 5 2 5" xfId="19010" xr:uid="{00000000-0005-0000-0000-00001E4A0000}"/>
    <cellStyle name="Currency 5 2_Steps of Doneness" xfId="19011" xr:uid="{00000000-0005-0000-0000-00001F4A0000}"/>
    <cellStyle name="Currency 5 3" xfId="19012" xr:uid="{00000000-0005-0000-0000-0000204A0000}"/>
    <cellStyle name="Currency 5 3 10" xfId="19013" xr:uid="{00000000-0005-0000-0000-0000214A0000}"/>
    <cellStyle name="Currency 5 3 10 2" xfId="19014" xr:uid="{00000000-0005-0000-0000-0000224A0000}"/>
    <cellStyle name="Currency 5 3 10 2 2" xfId="19015" xr:uid="{00000000-0005-0000-0000-0000234A0000}"/>
    <cellStyle name="Currency 5 3 10 3" xfId="19016" xr:uid="{00000000-0005-0000-0000-0000244A0000}"/>
    <cellStyle name="Currency 5 3 11" xfId="19017" xr:uid="{00000000-0005-0000-0000-0000254A0000}"/>
    <cellStyle name="Currency 5 3 11 2" xfId="19018" xr:uid="{00000000-0005-0000-0000-0000264A0000}"/>
    <cellStyle name="Currency 5 3 11 2 2" xfId="19019" xr:uid="{00000000-0005-0000-0000-0000274A0000}"/>
    <cellStyle name="Currency 5 3 11 3" xfId="19020" xr:uid="{00000000-0005-0000-0000-0000284A0000}"/>
    <cellStyle name="Currency 5 3 12" xfId="19021" xr:uid="{00000000-0005-0000-0000-0000294A0000}"/>
    <cellStyle name="Currency 5 3 12 2" xfId="19022" xr:uid="{00000000-0005-0000-0000-00002A4A0000}"/>
    <cellStyle name="Currency 5 3 12 2 2" xfId="19023" xr:uid="{00000000-0005-0000-0000-00002B4A0000}"/>
    <cellStyle name="Currency 5 3 12 3" xfId="19024" xr:uid="{00000000-0005-0000-0000-00002C4A0000}"/>
    <cellStyle name="Currency 5 3 13" xfId="19025" xr:uid="{00000000-0005-0000-0000-00002D4A0000}"/>
    <cellStyle name="Currency 5 3 13 10" xfId="19026" xr:uid="{00000000-0005-0000-0000-00002E4A0000}"/>
    <cellStyle name="Currency 5 3 13 10 2" xfId="19027" xr:uid="{00000000-0005-0000-0000-00002F4A0000}"/>
    <cellStyle name="Currency 5 3 13 10 2 2" xfId="19028" xr:uid="{00000000-0005-0000-0000-0000304A0000}"/>
    <cellStyle name="Currency 5 3 13 10 3" xfId="19029" xr:uid="{00000000-0005-0000-0000-0000314A0000}"/>
    <cellStyle name="Currency 5 3 13 11" xfId="19030" xr:uid="{00000000-0005-0000-0000-0000324A0000}"/>
    <cellStyle name="Currency 5 3 13 11 2" xfId="19031" xr:uid="{00000000-0005-0000-0000-0000334A0000}"/>
    <cellStyle name="Currency 5 3 13 11 2 2" xfId="19032" xr:uid="{00000000-0005-0000-0000-0000344A0000}"/>
    <cellStyle name="Currency 5 3 13 11 3" xfId="19033" xr:uid="{00000000-0005-0000-0000-0000354A0000}"/>
    <cellStyle name="Currency 5 3 13 12" xfId="19034" xr:uid="{00000000-0005-0000-0000-0000364A0000}"/>
    <cellStyle name="Currency 5 3 13 12 2" xfId="19035" xr:uid="{00000000-0005-0000-0000-0000374A0000}"/>
    <cellStyle name="Currency 5 3 13 12 2 2" xfId="19036" xr:uid="{00000000-0005-0000-0000-0000384A0000}"/>
    <cellStyle name="Currency 5 3 13 12 3" xfId="19037" xr:uid="{00000000-0005-0000-0000-0000394A0000}"/>
    <cellStyle name="Currency 5 3 13 13" xfId="19038" xr:uid="{00000000-0005-0000-0000-00003A4A0000}"/>
    <cellStyle name="Currency 5 3 13 13 2" xfId="19039" xr:uid="{00000000-0005-0000-0000-00003B4A0000}"/>
    <cellStyle name="Currency 5 3 13 13 2 2" xfId="19040" xr:uid="{00000000-0005-0000-0000-00003C4A0000}"/>
    <cellStyle name="Currency 5 3 13 13 3" xfId="19041" xr:uid="{00000000-0005-0000-0000-00003D4A0000}"/>
    <cellStyle name="Currency 5 3 13 14" xfId="19042" xr:uid="{00000000-0005-0000-0000-00003E4A0000}"/>
    <cellStyle name="Currency 5 3 13 14 2" xfId="19043" xr:uid="{00000000-0005-0000-0000-00003F4A0000}"/>
    <cellStyle name="Currency 5 3 13 14 2 2" xfId="19044" xr:uid="{00000000-0005-0000-0000-0000404A0000}"/>
    <cellStyle name="Currency 5 3 13 14 3" xfId="19045" xr:uid="{00000000-0005-0000-0000-0000414A0000}"/>
    <cellStyle name="Currency 5 3 13 15" xfId="19046" xr:uid="{00000000-0005-0000-0000-0000424A0000}"/>
    <cellStyle name="Currency 5 3 13 15 2" xfId="19047" xr:uid="{00000000-0005-0000-0000-0000434A0000}"/>
    <cellStyle name="Currency 5 3 13 15 2 2" xfId="19048" xr:uid="{00000000-0005-0000-0000-0000444A0000}"/>
    <cellStyle name="Currency 5 3 13 15 3" xfId="19049" xr:uid="{00000000-0005-0000-0000-0000454A0000}"/>
    <cellStyle name="Currency 5 3 13 16" xfId="19050" xr:uid="{00000000-0005-0000-0000-0000464A0000}"/>
    <cellStyle name="Currency 5 3 13 16 2" xfId="19051" xr:uid="{00000000-0005-0000-0000-0000474A0000}"/>
    <cellStyle name="Currency 5 3 13 17" xfId="19052" xr:uid="{00000000-0005-0000-0000-0000484A0000}"/>
    <cellStyle name="Currency 5 3 13 2" xfId="19053" xr:uid="{00000000-0005-0000-0000-0000494A0000}"/>
    <cellStyle name="Currency 5 3 13 2 2" xfId="19054" xr:uid="{00000000-0005-0000-0000-00004A4A0000}"/>
    <cellStyle name="Currency 5 3 13 2 2 2" xfId="19055" xr:uid="{00000000-0005-0000-0000-00004B4A0000}"/>
    <cellStyle name="Currency 5 3 13 2 3" xfId="19056" xr:uid="{00000000-0005-0000-0000-00004C4A0000}"/>
    <cellStyle name="Currency 5 3 13 3" xfId="19057" xr:uid="{00000000-0005-0000-0000-00004D4A0000}"/>
    <cellStyle name="Currency 5 3 13 3 2" xfId="19058" xr:uid="{00000000-0005-0000-0000-00004E4A0000}"/>
    <cellStyle name="Currency 5 3 13 3 2 2" xfId="19059" xr:uid="{00000000-0005-0000-0000-00004F4A0000}"/>
    <cellStyle name="Currency 5 3 13 3 3" xfId="19060" xr:uid="{00000000-0005-0000-0000-0000504A0000}"/>
    <cellStyle name="Currency 5 3 13 4" xfId="19061" xr:uid="{00000000-0005-0000-0000-0000514A0000}"/>
    <cellStyle name="Currency 5 3 13 4 2" xfId="19062" xr:uid="{00000000-0005-0000-0000-0000524A0000}"/>
    <cellStyle name="Currency 5 3 13 4 2 2" xfId="19063" xr:uid="{00000000-0005-0000-0000-0000534A0000}"/>
    <cellStyle name="Currency 5 3 13 4 3" xfId="19064" xr:uid="{00000000-0005-0000-0000-0000544A0000}"/>
    <cellStyle name="Currency 5 3 13 5" xfId="19065" xr:uid="{00000000-0005-0000-0000-0000554A0000}"/>
    <cellStyle name="Currency 5 3 13 5 2" xfId="19066" xr:uid="{00000000-0005-0000-0000-0000564A0000}"/>
    <cellStyle name="Currency 5 3 13 5 2 2" xfId="19067" xr:uid="{00000000-0005-0000-0000-0000574A0000}"/>
    <cellStyle name="Currency 5 3 13 5 3" xfId="19068" xr:uid="{00000000-0005-0000-0000-0000584A0000}"/>
    <cellStyle name="Currency 5 3 13 6" xfId="19069" xr:uid="{00000000-0005-0000-0000-0000594A0000}"/>
    <cellStyle name="Currency 5 3 13 6 2" xfId="19070" xr:uid="{00000000-0005-0000-0000-00005A4A0000}"/>
    <cellStyle name="Currency 5 3 13 6 2 2" xfId="19071" xr:uid="{00000000-0005-0000-0000-00005B4A0000}"/>
    <cellStyle name="Currency 5 3 13 6 3" xfId="19072" xr:uid="{00000000-0005-0000-0000-00005C4A0000}"/>
    <cellStyle name="Currency 5 3 13 7" xfId="19073" xr:uid="{00000000-0005-0000-0000-00005D4A0000}"/>
    <cellStyle name="Currency 5 3 13 7 2" xfId="19074" xr:uid="{00000000-0005-0000-0000-00005E4A0000}"/>
    <cellStyle name="Currency 5 3 13 7 2 2" xfId="19075" xr:uid="{00000000-0005-0000-0000-00005F4A0000}"/>
    <cellStyle name="Currency 5 3 13 7 3" xfId="19076" xr:uid="{00000000-0005-0000-0000-0000604A0000}"/>
    <cellStyle name="Currency 5 3 13 8" xfId="19077" xr:uid="{00000000-0005-0000-0000-0000614A0000}"/>
    <cellStyle name="Currency 5 3 13 8 2" xfId="19078" xr:uid="{00000000-0005-0000-0000-0000624A0000}"/>
    <cellStyle name="Currency 5 3 13 8 2 2" xfId="19079" xr:uid="{00000000-0005-0000-0000-0000634A0000}"/>
    <cellStyle name="Currency 5 3 13 8 3" xfId="19080" xr:uid="{00000000-0005-0000-0000-0000644A0000}"/>
    <cellStyle name="Currency 5 3 13 9" xfId="19081" xr:uid="{00000000-0005-0000-0000-0000654A0000}"/>
    <cellStyle name="Currency 5 3 13 9 2" xfId="19082" xr:uid="{00000000-0005-0000-0000-0000664A0000}"/>
    <cellStyle name="Currency 5 3 13 9 2 2" xfId="19083" xr:uid="{00000000-0005-0000-0000-0000674A0000}"/>
    <cellStyle name="Currency 5 3 13 9 3" xfId="19084" xr:uid="{00000000-0005-0000-0000-0000684A0000}"/>
    <cellStyle name="Currency 5 3 13_Steps of Doneness" xfId="19085" xr:uid="{00000000-0005-0000-0000-0000694A0000}"/>
    <cellStyle name="Currency 5 3 14" xfId="19086" xr:uid="{00000000-0005-0000-0000-00006A4A0000}"/>
    <cellStyle name="Currency 5 3 14 2" xfId="19087" xr:uid="{00000000-0005-0000-0000-00006B4A0000}"/>
    <cellStyle name="Currency 5 3 14 2 2" xfId="19088" xr:uid="{00000000-0005-0000-0000-00006C4A0000}"/>
    <cellStyle name="Currency 5 3 14 3" xfId="19089" xr:uid="{00000000-0005-0000-0000-00006D4A0000}"/>
    <cellStyle name="Currency 5 3 15" xfId="19090" xr:uid="{00000000-0005-0000-0000-00006E4A0000}"/>
    <cellStyle name="Currency 5 3 15 2" xfId="19091" xr:uid="{00000000-0005-0000-0000-00006F4A0000}"/>
    <cellStyle name="Currency 5 3 15 2 2" xfId="19092" xr:uid="{00000000-0005-0000-0000-0000704A0000}"/>
    <cellStyle name="Currency 5 3 15 3" xfId="19093" xr:uid="{00000000-0005-0000-0000-0000714A0000}"/>
    <cellStyle name="Currency 5 3 16" xfId="19094" xr:uid="{00000000-0005-0000-0000-0000724A0000}"/>
    <cellStyle name="Currency 5 3 16 2" xfId="19095" xr:uid="{00000000-0005-0000-0000-0000734A0000}"/>
    <cellStyle name="Currency 5 3 17" xfId="19096" xr:uid="{00000000-0005-0000-0000-0000744A0000}"/>
    <cellStyle name="Currency 5 3 2" xfId="19097" xr:uid="{00000000-0005-0000-0000-0000754A0000}"/>
    <cellStyle name="Currency 5 3 2 2" xfId="19098" xr:uid="{00000000-0005-0000-0000-0000764A0000}"/>
    <cellStyle name="Currency 5 3 2 2 2" xfId="19099" xr:uid="{00000000-0005-0000-0000-0000774A0000}"/>
    <cellStyle name="Currency 5 3 2 2 2 2" xfId="19100" xr:uid="{00000000-0005-0000-0000-0000784A0000}"/>
    <cellStyle name="Currency 5 3 2 2 3" xfId="19101" xr:uid="{00000000-0005-0000-0000-0000794A0000}"/>
    <cellStyle name="Currency 5 3 2 3" xfId="19102" xr:uid="{00000000-0005-0000-0000-00007A4A0000}"/>
    <cellStyle name="Currency 5 3 2 3 2" xfId="19103" xr:uid="{00000000-0005-0000-0000-00007B4A0000}"/>
    <cellStyle name="Currency 5 3 2 4" xfId="19104" xr:uid="{00000000-0005-0000-0000-00007C4A0000}"/>
    <cellStyle name="Currency 5 3 2_Steps of Doneness" xfId="19105" xr:uid="{00000000-0005-0000-0000-00007D4A0000}"/>
    <cellStyle name="Currency 5 3 3" xfId="19106" xr:uid="{00000000-0005-0000-0000-00007E4A0000}"/>
    <cellStyle name="Currency 5 3 3 2" xfId="19107" xr:uid="{00000000-0005-0000-0000-00007F4A0000}"/>
    <cellStyle name="Currency 5 3 3 2 2" xfId="19108" xr:uid="{00000000-0005-0000-0000-0000804A0000}"/>
    <cellStyle name="Currency 5 3 3 2 2 2" xfId="19109" xr:uid="{00000000-0005-0000-0000-0000814A0000}"/>
    <cellStyle name="Currency 5 3 3 2 3" xfId="19110" xr:uid="{00000000-0005-0000-0000-0000824A0000}"/>
    <cellStyle name="Currency 5 3 3 3" xfId="19111" xr:uid="{00000000-0005-0000-0000-0000834A0000}"/>
    <cellStyle name="Currency 5 3 3 3 2" xfId="19112" xr:uid="{00000000-0005-0000-0000-0000844A0000}"/>
    <cellStyle name="Currency 5 3 3 4" xfId="19113" xr:uid="{00000000-0005-0000-0000-0000854A0000}"/>
    <cellStyle name="Currency 5 3 3_Steps of Doneness" xfId="19114" xr:uid="{00000000-0005-0000-0000-0000864A0000}"/>
    <cellStyle name="Currency 5 3 4" xfId="19115" xr:uid="{00000000-0005-0000-0000-0000874A0000}"/>
    <cellStyle name="Currency 5 3 4 2" xfId="19116" xr:uid="{00000000-0005-0000-0000-0000884A0000}"/>
    <cellStyle name="Currency 5 3 4 2 2" xfId="19117" xr:uid="{00000000-0005-0000-0000-0000894A0000}"/>
    <cellStyle name="Currency 5 3 4 2 2 2" xfId="19118" xr:uid="{00000000-0005-0000-0000-00008A4A0000}"/>
    <cellStyle name="Currency 5 3 4 2 2 2 2" xfId="19119" xr:uid="{00000000-0005-0000-0000-00008B4A0000}"/>
    <cellStyle name="Currency 5 3 4 2 2 3" xfId="19120" xr:uid="{00000000-0005-0000-0000-00008C4A0000}"/>
    <cellStyle name="Currency 5 3 4 2 3" xfId="19121" xr:uid="{00000000-0005-0000-0000-00008D4A0000}"/>
    <cellStyle name="Currency 5 3 4 2 3 2" xfId="19122" xr:uid="{00000000-0005-0000-0000-00008E4A0000}"/>
    <cellStyle name="Currency 5 3 4 2 3 2 2" xfId="19123" xr:uid="{00000000-0005-0000-0000-00008F4A0000}"/>
    <cellStyle name="Currency 5 3 4 2 3 3" xfId="19124" xr:uid="{00000000-0005-0000-0000-0000904A0000}"/>
    <cellStyle name="Currency 5 3 4 2 4" xfId="19125" xr:uid="{00000000-0005-0000-0000-0000914A0000}"/>
    <cellStyle name="Currency 5 3 4 2 4 2" xfId="19126" xr:uid="{00000000-0005-0000-0000-0000924A0000}"/>
    <cellStyle name="Currency 5 3 4 2 5" xfId="19127" xr:uid="{00000000-0005-0000-0000-0000934A0000}"/>
    <cellStyle name="Currency 5 3 4 2_Steps of Doneness" xfId="19128" xr:uid="{00000000-0005-0000-0000-0000944A0000}"/>
    <cellStyle name="Currency 5 3 4 3" xfId="19129" xr:uid="{00000000-0005-0000-0000-0000954A0000}"/>
    <cellStyle name="Currency 5 3 4 3 2" xfId="19130" xr:uid="{00000000-0005-0000-0000-0000964A0000}"/>
    <cellStyle name="Currency 5 3 4 3 2 2" xfId="19131" xr:uid="{00000000-0005-0000-0000-0000974A0000}"/>
    <cellStyle name="Currency 5 3 4 3 3" xfId="19132" xr:uid="{00000000-0005-0000-0000-0000984A0000}"/>
    <cellStyle name="Currency 5 3 4 4" xfId="19133" xr:uid="{00000000-0005-0000-0000-0000994A0000}"/>
    <cellStyle name="Currency 5 3 4 4 2" xfId="19134" xr:uid="{00000000-0005-0000-0000-00009A4A0000}"/>
    <cellStyle name="Currency 5 3 4 5" xfId="19135" xr:uid="{00000000-0005-0000-0000-00009B4A0000}"/>
    <cellStyle name="Currency 5 3 4_Steps of Doneness" xfId="19136" xr:uid="{00000000-0005-0000-0000-00009C4A0000}"/>
    <cellStyle name="Currency 5 3 5" xfId="19137" xr:uid="{00000000-0005-0000-0000-00009D4A0000}"/>
    <cellStyle name="Currency 5 3 5 2" xfId="19138" xr:uid="{00000000-0005-0000-0000-00009E4A0000}"/>
    <cellStyle name="Currency 5 3 5 2 2" xfId="19139" xr:uid="{00000000-0005-0000-0000-00009F4A0000}"/>
    <cellStyle name="Currency 5 3 5 2 2 2" xfId="19140" xr:uid="{00000000-0005-0000-0000-0000A04A0000}"/>
    <cellStyle name="Currency 5 3 5 2 3" xfId="19141" xr:uid="{00000000-0005-0000-0000-0000A14A0000}"/>
    <cellStyle name="Currency 5 3 5 3" xfId="19142" xr:uid="{00000000-0005-0000-0000-0000A24A0000}"/>
    <cellStyle name="Currency 5 3 5 3 2" xfId="19143" xr:uid="{00000000-0005-0000-0000-0000A34A0000}"/>
    <cellStyle name="Currency 5 3 5 4" xfId="19144" xr:uid="{00000000-0005-0000-0000-0000A44A0000}"/>
    <cellStyle name="Currency 5 3 5_Steps of Doneness" xfId="19145" xr:uid="{00000000-0005-0000-0000-0000A54A0000}"/>
    <cellStyle name="Currency 5 3 6" xfId="19146" xr:uid="{00000000-0005-0000-0000-0000A64A0000}"/>
    <cellStyle name="Currency 5 3 6 2" xfId="19147" xr:uid="{00000000-0005-0000-0000-0000A74A0000}"/>
    <cellStyle name="Currency 5 3 6 2 2" xfId="19148" xr:uid="{00000000-0005-0000-0000-0000A84A0000}"/>
    <cellStyle name="Currency 5 3 6 3" xfId="19149" xr:uid="{00000000-0005-0000-0000-0000A94A0000}"/>
    <cellStyle name="Currency 5 3 7" xfId="19150" xr:uid="{00000000-0005-0000-0000-0000AA4A0000}"/>
    <cellStyle name="Currency 5 3 7 2" xfId="19151" xr:uid="{00000000-0005-0000-0000-0000AB4A0000}"/>
    <cellStyle name="Currency 5 3 7 2 2" xfId="19152" xr:uid="{00000000-0005-0000-0000-0000AC4A0000}"/>
    <cellStyle name="Currency 5 3 7 3" xfId="19153" xr:uid="{00000000-0005-0000-0000-0000AD4A0000}"/>
    <cellStyle name="Currency 5 3 8" xfId="19154" xr:uid="{00000000-0005-0000-0000-0000AE4A0000}"/>
    <cellStyle name="Currency 5 3 8 2" xfId="19155" xr:uid="{00000000-0005-0000-0000-0000AF4A0000}"/>
    <cellStyle name="Currency 5 3 8 2 2" xfId="19156" xr:uid="{00000000-0005-0000-0000-0000B04A0000}"/>
    <cellStyle name="Currency 5 3 8 3" xfId="19157" xr:uid="{00000000-0005-0000-0000-0000B14A0000}"/>
    <cellStyle name="Currency 5 3 9" xfId="19158" xr:uid="{00000000-0005-0000-0000-0000B24A0000}"/>
    <cellStyle name="Currency 5 3 9 2" xfId="19159" xr:uid="{00000000-0005-0000-0000-0000B34A0000}"/>
    <cellStyle name="Currency 5 3 9 2 2" xfId="19160" xr:uid="{00000000-0005-0000-0000-0000B44A0000}"/>
    <cellStyle name="Currency 5 3 9 3" xfId="19161" xr:uid="{00000000-0005-0000-0000-0000B54A0000}"/>
    <cellStyle name="Currency 5 3_Steps of Doneness" xfId="19162" xr:uid="{00000000-0005-0000-0000-0000B64A0000}"/>
    <cellStyle name="Currency 5 4" xfId="19163" xr:uid="{00000000-0005-0000-0000-0000B74A0000}"/>
    <cellStyle name="Currency 5 4 2" xfId="19164" xr:uid="{00000000-0005-0000-0000-0000B84A0000}"/>
    <cellStyle name="Currency 5 4 2 2" xfId="19165" xr:uid="{00000000-0005-0000-0000-0000B94A0000}"/>
    <cellStyle name="Currency 5 4 2 2 2" xfId="19166" xr:uid="{00000000-0005-0000-0000-0000BA4A0000}"/>
    <cellStyle name="Currency 5 4 2 3" xfId="19167" xr:uid="{00000000-0005-0000-0000-0000BB4A0000}"/>
    <cellStyle name="Currency 5 4 3" xfId="19168" xr:uid="{00000000-0005-0000-0000-0000BC4A0000}"/>
    <cellStyle name="Currency 5 4 3 2" xfId="19169" xr:uid="{00000000-0005-0000-0000-0000BD4A0000}"/>
    <cellStyle name="Currency 5 4 4" xfId="19170" xr:uid="{00000000-0005-0000-0000-0000BE4A0000}"/>
    <cellStyle name="Currency 5 4_Steps of Doneness" xfId="19171" xr:uid="{00000000-0005-0000-0000-0000BF4A0000}"/>
    <cellStyle name="Currency 5 5" xfId="19172" xr:uid="{00000000-0005-0000-0000-0000C04A0000}"/>
    <cellStyle name="Currency 5 5 2" xfId="19173" xr:uid="{00000000-0005-0000-0000-0000C14A0000}"/>
    <cellStyle name="Currency 5 5 2 2" xfId="19174" xr:uid="{00000000-0005-0000-0000-0000C24A0000}"/>
    <cellStyle name="Currency 5 5 3" xfId="19175" xr:uid="{00000000-0005-0000-0000-0000C34A0000}"/>
    <cellStyle name="Currency 5 6" xfId="19176" xr:uid="{00000000-0005-0000-0000-0000C44A0000}"/>
    <cellStyle name="Currency 5 6 2" xfId="19177" xr:uid="{00000000-0005-0000-0000-0000C54A0000}"/>
    <cellStyle name="Currency 5 7" xfId="19178" xr:uid="{00000000-0005-0000-0000-0000C64A0000}"/>
    <cellStyle name="Currency 5_Steps of Doneness" xfId="19179" xr:uid="{00000000-0005-0000-0000-0000C74A0000}"/>
    <cellStyle name="Currency 6" xfId="19180" xr:uid="{00000000-0005-0000-0000-0000C84A0000}"/>
    <cellStyle name="Currency 6 2" xfId="19181" xr:uid="{00000000-0005-0000-0000-0000C94A0000}"/>
    <cellStyle name="Currency 6_Steps of Doneness" xfId="19182" xr:uid="{00000000-0005-0000-0000-0000CA4A0000}"/>
    <cellStyle name="Currency 7" xfId="19183" xr:uid="{00000000-0005-0000-0000-0000CB4A0000}"/>
    <cellStyle name="Currency 7 2" xfId="19184" xr:uid="{00000000-0005-0000-0000-0000CC4A0000}"/>
    <cellStyle name="Currency 7 2 2" xfId="19185" xr:uid="{00000000-0005-0000-0000-0000CD4A0000}"/>
    <cellStyle name="Currency 7 2_Steps of Doneness" xfId="19186" xr:uid="{00000000-0005-0000-0000-0000CE4A0000}"/>
    <cellStyle name="Currency 7 3" xfId="19187" xr:uid="{00000000-0005-0000-0000-0000CF4A0000}"/>
    <cellStyle name="Currency 7_Steps of Doneness" xfId="19188" xr:uid="{00000000-0005-0000-0000-0000D04A0000}"/>
    <cellStyle name="Currency 8" xfId="19189" xr:uid="{00000000-0005-0000-0000-0000D14A0000}"/>
    <cellStyle name="Currency 8 2" xfId="19190" xr:uid="{00000000-0005-0000-0000-0000D24A0000}"/>
    <cellStyle name="Currency 8 2 2" xfId="19191" xr:uid="{00000000-0005-0000-0000-0000D34A0000}"/>
    <cellStyle name="Currency 8 2 2 2" xfId="19192" xr:uid="{00000000-0005-0000-0000-0000D44A0000}"/>
    <cellStyle name="Currency 8 2 3" xfId="19193" xr:uid="{00000000-0005-0000-0000-0000D54A0000}"/>
    <cellStyle name="Currency 8 3" xfId="19194" xr:uid="{00000000-0005-0000-0000-0000D64A0000}"/>
    <cellStyle name="Currency 8 3 2" xfId="19195" xr:uid="{00000000-0005-0000-0000-0000D74A0000}"/>
    <cellStyle name="Currency 8 4" xfId="19196" xr:uid="{00000000-0005-0000-0000-0000D84A0000}"/>
    <cellStyle name="Currency 8_Steps of Doneness" xfId="19197" xr:uid="{00000000-0005-0000-0000-0000D94A0000}"/>
    <cellStyle name="Currency 9" xfId="19198" xr:uid="{00000000-0005-0000-0000-0000DA4A0000}"/>
    <cellStyle name="Currency 9 2" xfId="19199" xr:uid="{00000000-0005-0000-0000-0000DB4A0000}"/>
    <cellStyle name="Currency 9_Steps of Doneness" xfId="19200" xr:uid="{00000000-0005-0000-0000-0000DC4A0000}"/>
    <cellStyle name="Date" xfId="19201" xr:uid="{00000000-0005-0000-0000-0000DD4A0000}"/>
    <cellStyle name="Date 2" xfId="19202" xr:uid="{00000000-0005-0000-0000-0000DE4A0000}"/>
    <cellStyle name="Date 2 2" xfId="19203" xr:uid="{00000000-0005-0000-0000-0000DF4A0000}"/>
    <cellStyle name="Date 2_Steps of Doneness" xfId="19204" xr:uid="{00000000-0005-0000-0000-0000E04A0000}"/>
    <cellStyle name="Date 3" xfId="19205" xr:uid="{00000000-0005-0000-0000-0000E14A0000}"/>
    <cellStyle name="Date_Commissioning System Implementation_Project Workbook_06_10_2011" xfId="19206" xr:uid="{00000000-0005-0000-0000-0000E24A0000}"/>
    <cellStyle name="Difference" xfId="19207" xr:uid="{00000000-0005-0000-0000-0000E34A0000}"/>
    <cellStyle name="Difference 2" xfId="19208" xr:uid="{00000000-0005-0000-0000-0000E44A0000}"/>
    <cellStyle name="Difference_Steps of Doneness" xfId="19209" xr:uid="{00000000-0005-0000-0000-0000E54A0000}"/>
    <cellStyle name="Euro" xfId="19210" xr:uid="{00000000-0005-0000-0000-0000E64A0000}"/>
    <cellStyle name="Euro 2" xfId="19211" xr:uid="{00000000-0005-0000-0000-0000E74A0000}"/>
    <cellStyle name="Euro 2 2" xfId="19212" xr:uid="{00000000-0005-0000-0000-0000E84A0000}"/>
    <cellStyle name="Euro 2 3" xfId="19213" xr:uid="{00000000-0005-0000-0000-0000E94A0000}"/>
    <cellStyle name="Euro 2_Steps of Doneness" xfId="19214" xr:uid="{00000000-0005-0000-0000-0000EA4A0000}"/>
    <cellStyle name="Euro 3" xfId="19215" xr:uid="{00000000-0005-0000-0000-0000EB4A0000}"/>
    <cellStyle name="Euro 4" xfId="19216" xr:uid="{00000000-0005-0000-0000-0000EC4A0000}"/>
    <cellStyle name="Euro_Steps of Doneness" xfId="19217" xr:uid="{00000000-0005-0000-0000-0000ED4A0000}"/>
    <cellStyle name="Explanatory Text" xfId="28" builtinId="53" customBuiltin="1"/>
    <cellStyle name="Explanatory Text 2" xfId="60" xr:uid="{00000000-0005-0000-0000-0000EF4A0000}"/>
    <cellStyle name="Explanatory Text 2 2" xfId="19218" xr:uid="{00000000-0005-0000-0000-0000F04A0000}"/>
    <cellStyle name="Explanatory Text 3" xfId="19219" xr:uid="{00000000-0005-0000-0000-0000F14A0000}"/>
    <cellStyle name="Formula" xfId="19220" xr:uid="{00000000-0005-0000-0000-0000F24A0000}"/>
    <cellStyle name="Formula 2" xfId="19221" xr:uid="{00000000-0005-0000-0000-0000F34A0000}"/>
    <cellStyle name="Formula_Steps of Doneness" xfId="19222" xr:uid="{00000000-0005-0000-0000-0000F44A0000}"/>
    <cellStyle name="FP_template" xfId="19223" xr:uid="{00000000-0005-0000-0000-0000F54A0000}"/>
    <cellStyle name="Good" xfId="29" builtinId="26" customBuiltin="1"/>
    <cellStyle name="Good 2" xfId="50" xr:uid="{00000000-0005-0000-0000-0000F74A0000}"/>
    <cellStyle name="Good 2 2" xfId="19224" xr:uid="{00000000-0005-0000-0000-0000F84A0000}"/>
    <cellStyle name="Good 3" xfId="19225" xr:uid="{00000000-0005-0000-0000-0000F94A0000}"/>
    <cellStyle name="gray" xfId="19226" xr:uid="{00000000-0005-0000-0000-0000FA4A0000}"/>
    <cellStyle name="gray 2" xfId="19227" xr:uid="{00000000-0005-0000-0000-0000FB4A0000}"/>
    <cellStyle name="gray 2 2" xfId="19228" xr:uid="{00000000-0005-0000-0000-0000FC4A0000}"/>
    <cellStyle name="gray 3" xfId="19229" xr:uid="{00000000-0005-0000-0000-0000FD4A0000}"/>
    <cellStyle name="gray 3 2" xfId="19230" xr:uid="{00000000-0005-0000-0000-0000FE4A0000}"/>
    <cellStyle name="gray 4" xfId="19231" xr:uid="{00000000-0005-0000-0000-0000FF4A0000}"/>
    <cellStyle name="gray_Commissioning System Implementation_Project Workbook_06_10_2011" xfId="19232" xr:uid="{00000000-0005-0000-0000-0000004B0000}"/>
    <cellStyle name="Grey" xfId="19233" xr:uid="{00000000-0005-0000-0000-0000014B0000}"/>
    <cellStyle name="Grey 2" xfId="19234" xr:uid="{00000000-0005-0000-0000-0000024B0000}"/>
    <cellStyle name="Grey_Steps of Doneness" xfId="19235" xr:uid="{00000000-0005-0000-0000-0000034B0000}"/>
    <cellStyle name="Grid" xfId="19236" xr:uid="{00000000-0005-0000-0000-0000044B0000}"/>
    <cellStyle name="Grid 2" xfId="19237" xr:uid="{00000000-0005-0000-0000-0000054B0000}"/>
    <cellStyle name="Grid 2 2" xfId="19238" xr:uid="{00000000-0005-0000-0000-0000064B0000}"/>
    <cellStyle name="Grid 2 2 2" xfId="19239" xr:uid="{00000000-0005-0000-0000-0000074B0000}"/>
    <cellStyle name="Grid 2 2 2 2" xfId="19240" xr:uid="{00000000-0005-0000-0000-0000084B0000}"/>
    <cellStyle name="Grid 2 2 2 3" xfId="19241" xr:uid="{00000000-0005-0000-0000-0000094B0000}"/>
    <cellStyle name="Grid 2 2 3" xfId="19242" xr:uid="{00000000-0005-0000-0000-00000A4B0000}"/>
    <cellStyle name="Grid 2 2 3 2" xfId="19243" xr:uid="{00000000-0005-0000-0000-00000B4B0000}"/>
    <cellStyle name="Grid 2 2 4" xfId="19244" xr:uid="{00000000-0005-0000-0000-00000C4B0000}"/>
    <cellStyle name="Grid 2 3" xfId="19245" xr:uid="{00000000-0005-0000-0000-00000D4B0000}"/>
    <cellStyle name="Grid 2 3 2" xfId="19246" xr:uid="{00000000-0005-0000-0000-00000E4B0000}"/>
    <cellStyle name="Grid 2 3 2 2" xfId="19247" xr:uid="{00000000-0005-0000-0000-00000F4B0000}"/>
    <cellStyle name="Grid 2 3 2 3" xfId="19248" xr:uid="{00000000-0005-0000-0000-0000104B0000}"/>
    <cellStyle name="Grid 2 3 3" xfId="19249" xr:uid="{00000000-0005-0000-0000-0000114B0000}"/>
    <cellStyle name="Grid 2 3 3 2" xfId="19250" xr:uid="{00000000-0005-0000-0000-0000124B0000}"/>
    <cellStyle name="Grid 2 3 4" xfId="19251" xr:uid="{00000000-0005-0000-0000-0000134B0000}"/>
    <cellStyle name="Grid 2 4" xfId="19252" xr:uid="{00000000-0005-0000-0000-0000144B0000}"/>
    <cellStyle name="Grid 2 4 2" xfId="19253" xr:uid="{00000000-0005-0000-0000-0000154B0000}"/>
    <cellStyle name="Grid 2 4 3" xfId="19254" xr:uid="{00000000-0005-0000-0000-0000164B0000}"/>
    <cellStyle name="Grid 2 5" xfId="19255" xr:uid="{00000000-0005-0000-0000-0000174B0000}"/>
    <cellStyle name="Grid 2 5 2" xfId="19256" xr:uid="{00000000-0005-0000-0000-0000184B0000}"/>
    <cellStyle name="Grid 2 6" xfId="19257" xr:uid="{00000000-0005-0000-0000-0000194B0000}"/>
    <cellStyle name="Grid 2_Steps of Doneness" xfId="19258" xr:uid="{00000000-0005-0000-0000-00001A4B0000}"/>
    <cellStyle name="Grid 3" xfId="19259" xr:uid="{00000000-0005-0000-0000-00001B4B0000}"/>
    <cellStyle name="Grid 3 2" xfId="19260" xr:uid="{00000000-0005-0000-0000-00001C4B0000}"/>
    <cellStyle name="Grid 3 2 2" xfId="19261" xr:uid="{00000000-0005-0000-0000-00001D4B0000}"/>
    <cellStyle name="Grid 3 2 3" xfId="19262" xr:uid="{00000000-0005-0000-0000-00001E4B0000}"/>
    <cellStyle name="Grid 3 3" xfId="19263" xr:uid="{00000000-0005-0000-0000-00001F4B0000}"/>
    <cellStyle name="Grid 3 3 2" xfId="19264" xr:uid="{00000000-0005-0000-0000-0000204B0000}"/>
    <cellStyle name="Grid 3 4" xfId="19265" xr:uid="{00000000-0005-0000-0000-0000214B0000}"/>
    <cellStyle name="Grid 4" xfId="19266" xr:uid="{00000000-0005-0000-0000-0000224B0000}"/>
    <cellStyle name="Grid 4 2" xfId="19267" xr:uid="{00000000-0005-0000-0000-0000234B0000}"/>
    <cellStyle name="Grid 4 2 2" xfId="19268" xr:uid="{00000000-0005-0000-0000-0000244B0000}"/>
    <cellStyle name="Grid 4 2 3" xfId="19269" xr:uid="{00000000-0005-0000-0000-0000254B0000}"/>
    <cellStyle name="Grid 4 3" xfId="19270" xr:uid="{00000000-0005-0000-0000-0000264B0000}"/>
    <cellStyle name="Grid 4 3 2" xfId="19271" xr:uid="{00000000-0005-0000-0000-0000274B0000}"/>
    <cellStyle name="Grid 4 4" xfId="19272" xr:uid="{00000000-0005-0000-0000-0000284B0000}"/>
    <cellStyle name="Grid 5" xfId="19273" xr:uid="{00000000-0005-0000-0000-0000294B0000}"/>
    <cellStyle name="Grid 5 2" xfId="19274" xr:uid="{00000000-0005-0000-0000-00002A4B0000}"/>
    <cellStyle name="Grid 5 3" xfId="19275" xr:uid="{00000000-0005-0000-0000-00002B4B0000}"/>
    <cellStyle name="Grid 6" xfId="19276" xr:uid="{00000000-0005-0000-0000-00002C4B0000}"/>
    <cellStyle name="Grid 6 2" xfId="19277" xr:uid="{00000000-0005-0000-0000-00002D4B0000}"/>
    <cellStyle name="Grid 7" xfId="19278" xr:uid="{00000000-0005-0000-0000-00002E4B0000}"/>
    <cellStyle name="Grid_Steps of Doneness" xfId="19279" xr:uid="{00000000-0005-0000-0000-00002F4B0000}"/>
    <cellStyle name="Group" xfId="19280" xr:uid="{00000000-0005-0000-0000-0000304B0000}"/>
    <cellStyle name="Group 2" xfId="19281" xr:uid="{00000000-0005-0000-0000-0000314B0000}"/>
    <cellStyle name="Header1" xfId="19282" xr:uid="{00000000-0005-0000-0000-0000324B0000}"/>
    <cellStyle name="Header1 2" xfId="19283" xr:uid="{00000000-0005-0000-0000-0000334B0000}"/>
    <cellStyle name="Header1 2 2" xfId="19284" xr:uid="{00000000-0005-0000-0000-0000344B0000}"/>
    <cellStyle name="Header1 3" xfId="19285" xr:uid="{00000000-0005-0000-0000-0000354B0000}"/>
    <cellStyle name="Header1_Steps of Doneness" xfId="19286" xr:uid="{00000000-0005-0000-0000-0000364B0000}"/>
    <cellStyle name="Header2" xfId="19287" xr:uid="{00000000-0005-0000-0000-0000374B0000}"/>
    <cellStyle name="Header2 2" xfId="19288" xr:uid="{00000000-0005-0000-0000-0000384B0000}"/>
    <cellStyle name="Header2 2 2" xfId="19289" xr:uid="{00000000-0005-0000-0000-0000394B0000}"/>
    <cellStyle name="Header2 2 2 2" xfId="19290" xr:uid="{00000000-0005-0000-0000-00003A4B0000}"/>
    <cellStyle name="Header2 2 3" xfId="19291" xr:uid="{00000000-0005-0000-0000-00003B4B0000}"/>
    <cellStyle name="Header2 3" xfId="19292" xr:uid="{00000000-0005-0000-0000-00003C4B0000}"/>
    <cellStyle name="Header2 3 2" xfId="19293" xr:uid="{00000000-0005-0000-0000-00003D4B0000}"/>
    <cellStyle name="Header2 4" xfId="19294" xr:uid="{00000000-0005-0000-0000-00003E4B0000}"/>
    <cellStyle name="Header2_Steps of Doneness" xfId="19295" xr:uid="{00000000-0005-0000-0000-00003F4B0000}"/>
    <cellStyle name="Heading 1" xfId="30" builtinId="16" customBuiltin="1"/>
    <cellStyle name="Heading 1 2" xfId="46" xr:uid="{00000000-0005-0000-0000-0000414B0000}"/>
    <cellStyle name="Heading 1 2 2" xfId="19296" xr:uid="{00000000-0005-0000-0000-0000424B0000}"/>
    <cellStyle name="Heading 1 3" xfId="19297" xr:uid="{00000000-0005-0000-0000-0000434B0000}"/>
    <cellStyle name="Heading 1 3 2" xfId="19298" xr:uid="{00000000-0005-0000-0000-0000444B0000}"/>
    <cellStyle name="Heading 1 4" xfId="19299" xr:uid="{00000000-0005-0000-0000-0000454B0000}"/>
    <cellStyle name="Heading 2" xfId="31" builtinId="17" customBuiltin="1"/>
    <cellStyle name="Heading 2 2" xfId="47" xr:uid="{00000000-0005-0000-0000-0000474B0000}"/>
    <cellStyle name="Heading 2 2 2" xfId="19300" xr:uid="{00000000-0005-0000-0000-0000484B0000}"/>
    <cellStyle name="Heading 2 3" xfId="19301" xr:uid="{00000000-0005-0000-0000-0000494B0000}"/>
    <cellStyle name="Heading 2 3 2" xfId="19302" xr:uid="{00000000-0005-0000-0000-00004A4B0000}"/>
    <cellStyle name="Heading 2 4" xfId="19303" xr:uid="{00000000-0005-0000-0000-00004B4B0000}"/>
    <cellStyle name="Heading 3" xfId="32" builtinId="18" customBuiltin="1"/>
    <cellStyle name="Heading 3 2" xfId="48" xr:uid="{00000000-0005-0000-0000-00004D4B0000}"/>
    <cellStyle name="Heading 3 2 2" xfId="19304" xr:uid="{00000000-0005-0000-0000-00004E4B0000}"/>
    <cellStyle name="Heading 3 2 2 2" xfId="19305" xr:uid="{00000000-0005-0000-0000-00004F4B0000}"/>
    <cellStyle name="Heading 3 2 2 3" xfId="19306" xr:uid="{00000000-0005-0000-0000-0000504B0000}"/>
    <cellStyle name="Heading 3 2 3" xfId="19307" xr:uid="{00000000-0005-0000-0000-0000514B0000}"/>
    <cellStyle name="Heading 3 2 4" xfId="19308" xr:uid="{00000000-0005-0000-0000-0000524B0000}"/>
    <cellStyle name="Heading 3 2_Steps of Doneness" xfId="19309" xr:uid="{00000000-0005-0000-0000-0000534B0000}"/>
    <cellStyle name="Heading 3 3" xfId="19310" xr:uid="{00000000-0005-0000-0000-0000544B0000}"/>
    <cellStyle name="Heading 4" xfId="33" builtinId="19" customBuiltin="1"/>
    <cellStyle name="Heading 4 2" xfId="49" xr:uid="{00000000-0005-0000-0000-0000564B0000}"/>
    <cellStyle name="Heading 4 2 2" xfId="19311" xr:uid="{00000000-0005-0000-0000-0000574B0000}"/>
    <cellStyle name="Heading 4 3" xfId="19312" xr:uid="{00000000-0005-0000-0000-0000584B0000}"/>
    <cellStyle name="Headings" xfId="19313" xr:uid="{00000000-0005-0000-0000-0000594B0000}"/>
    <cellStyle name="Hyperlink 10" xfId="19314" xr:uid="{00000000-0005-0000-0000-00005A4B0000}"/>
    <cellStyle name="Hyperlink 11" xfId="19315" xr:uid="{00000000-0005-0000-0000-00005B4B0000}"/>
    <cellStyle name="Hyperlink 12" xfId="19316" xr:uid="{00000000-0005-0000-0000-00005C4B0000}"/>
    <cellStyle name="Hyperlink 13" xfId="19317" xr:uid="{00000000-0005-0000-0000-00005D4B0000}"/>
    <cellStyle name="Hyperlink 14" xfId="19318" xr:uid="{00000000-0005-0000-0000-00005E4B0000}"/>
    <cellStyle name="Hyperlink 15" xfId="19319" xr:uid="{00000000-0005-0000-0000-00005F4B0000}"/>
    <cellStyle name="Hyperlink 16" xfId="19320" xr:uid="{00000000-0005-0000-0000-0000604B0000}"/>
    <cellStyle name="Hyperlink 17" xfId="19321" xr:uid="{00000000-0005-0000-0000-0000614B0000}"/>
    <cellStyle name="Hyperlink 18" xfId="19322" xr:uid="{00000000-0005-0000-0000-0000624B0000}"/>
    <cellStyle name="Hyperlink 19" xfId="19323" xr:uid="{00000000-0005-0000-0000-0000634B0000}"/>
    <cellStyle name="Hyperlink 2" xfId="43" xr:uid="{00000000-0005-0000-0000-0000644B0000}"/>
    <cellStyle name="Hyperlink 2 2" xfId="19324" xr:uid="{00000000-0005-0000-0000-0000654B0000}"/>
    <cellStyle name="Hyperlink 20" xfId="19325" xr:uid="{00000000-0005-0000-0000-0000664B0000}"/>
    <cellStyle name="Hyperlink 21" xfId="19326" xr:uid="{00000000-0005-0000-0000-0000674B0000}"/>
    <cellStyle name="Hyperlink 22" xfId="19327" xr:uid="{00000000-0005-0000-0000-0000684B0000}"/>
    <cellStyle name="Hyperlink 3" xfId="19328" xr:uid="{00000000-0005-0000-0000-0000694B0000}"/>
    <cellStyle name="Hyperlink 3 2" xfId="19329" xr:uid="{00000000-0005-0000-0000-00006A4B0000}"/>
    <cellStyle name="Hyperlink 4" xfId="19330" xr:uid="{00000000-0005-0000-0000-00006B4B0000}"/>
    <cellStyle name="Hyperlink 4 2" xfId="19331" xr:uid="{00000000-0005-0000-0000-00006C4B0000}"/>
    <cellStyle name="Hyperlink 5" xfId="19332" xr:uid="{00000000-0005-0000-0000-00006D4B0000}"/>
    <cellStyle name="Hyperlink 5 2" xfId="19333" xr:uid="{00000000-0005-0000-0000-00006E4B0000}"/>
    <cellStyle name="Hyperlink 6" xfId="19334" xr:uid="{00000000-0005-0000-0000-00006F4B0000}"/>
    <cellStyle name="Hyperlink 7" xfId="19335" xr:uid="{00000000-0005-0000-0000-0000704B0000}"/>
    <cellStyle name="Hyperlink 8" xfId="19336" xr:uid="{00000000-0005-0000-0000-0000714B0000}"/>
    <cellStyle name="Hyperlink 9" xfId="19337" xr:uid="{00000000-0005-0000-0000-0000724B0000}"/>
    <cellStyle name="Input" xfId="34" builtinId="20" customBuiltin="1"/>
    <cellStyle name="Input 2" xfId="53" xr:uid="{00000000-0005-0000-0000-0000744B0000}"/>
    <cellStyle name="Input 2 2" xfId="19338" xr:uid="{00000000-0005-0000-0000-0000754B0000}"/>
    <cellStyle name="Input 2 2 2" xfId="19339" xr:uid="{00000000-0005-0000-0000-0000764B0000}"/>
    <cellStyle name="Input 2 2 2 2" xfId="19340" xr:uid="{00000000-0005-0000-0000-0000774B0000}"/>
    <cellStyle name="Input 2 2 2 3" xfId="19341" xr:uid="{00000000-0005-0000-0000-0000784B0000}"/>
    <cellStyle name="Input 2 2 3" xfId="19342" xr:uid="{00000000-0005-0000-0000-0000794B0000}"/>
    <cellStyle name="Input 2 2 3 2" xfId="19343" xr:uid="{00000000-0005-0000-0000-00007A4B0000}"/>
    <cellStyle name="Input 2 2 4" xfId="19344" xr:uid="{00000000-0005-0000-0000-00007B4B0000}"/>
    <cellStyle name="Input 2 3" xfId="19345" xr:uid="{00000000-0005-0000-0000-00007C4B0000}"/>
    <cellStyle name="Input 2 3 2" xfId="19346" xr:uid="{00000000-0005-0000-0000-00007D4B0000}"/>
    <cellStyle name="Input 2 3 3" xfId="19347" xr:uid="{00000000-0005-0000-0000-00007E4B0000}"/>
    <cellStyle name="Input 2 4" xfId="19348" xr:uid="{00000000-0005-0000-0000-00007F4B0000}"/>
    <cellStyle name="Input 2 4 2" xfId="19349" xr:uid="{00000000-0005-0000-0000-0000804B0000}"/>
    <cellStyle name="Input 2 5" xfId="19350" xr:uid="{00000000-0005-0000-0000-0000814B0000}"/>
    <cellStyle name="Input 3" xfId="19351" xr:uid="{00000000-0005-0000-0000-0000824B0000}"/>
    <cellStyle name="Input 3 2" xfId="19352" xr:uid="{00000000-0005-0000-0000-0000834B0000}"/>
    <cellStyle name="Input 3 2 2" xfId="19353" xr:uid="{00000000-0005-0000-0000-0000844B0000}"/>
    <cellStyle name="Input 3 2 3" xfId="19354" xr:uid="{00000000-0005-0000-0000-0000854B0000}"/>
    <cellStyle name="Input 3 3" xfId="19355" xr:uid="{00000000-0005-0000-0000-0000864B0000}"/>
    <cellStyle name="Input 3 3 2" xfId="19356" xr:uid="{00000000-0005-0000-0000-0000874B0000}"/>
    <cellStyle name="Input 3 4" xfId="19357" xr:uid="{00000000-0005-0000-0000-0000884B0000}"/>
    <cellStyle name="Item" xfId="19358" xr:uid="{00000000-0005-0000-0000-0000894B0000}"/>
    <cellStyle name="Linked Cell" xfId="35" builtinId="24" customBuiltin="1"/>
    <cellStyle name="Linked Cell 2" xfId="56" xr:uid="{00000000-0005-0000-0000-00008B4B0000}"/>
    <cellStyle name="Linked Cell 2 2" xfId="19359" xr:uid="{00000000-0005-0000-0000-00008C4B0000}"/>
    <cellStyle name="Linked Cell 3" xfId="19360" xr:uid="{00000000-0005-0000-0000-00008D4B0000}"/>
    <cellStyle name="MetNos" xfId="19361" xr:uid="{00000000-0005-0000-0000-00008E4B0000}"/>
    <cellStyle name="MetNos 2" xfId="19362" xr:uid="{00000000-0005-0000-0000-00008F4B0000}"/>
    <cellStyle name="MetNos_Commissioning System Implementation_Project Workbook_06_10_2011" xfId="19363" xr:uid="{00000000-0005-0000-0000-0000904B0000}"/>
    <cellStyle name="Metric" xfId="19364" xr:uid="{00000000-0005-0000-0000-0000914B0000}"/>
    <cellStyle name="Metric 2" xfId="19365" xr:uid="{00000000-0005-0000-0000-0000924B0000}"/>
    <cellStyle name="MOES" xfId="19366" xr:uid="{00000000-0005-0000-0000-0000934B0000}"/>
    <cellStyle name="MOES 2" xfId="19367" xr:uid="{00000000-0005-0000-0000-0000944B0000}"/>
    <cellStyle name="MOES_Steps of Doneness" xfId="19368" xr:uid="{00000000-0005-0000-0000-0000954B0000}"/>
    <cellStyle name="Neutral" xfId="36" builtinId="28" customBuiltin="1"/>
    <cellStyle name="Neutral 2" xfId="52" xr:uid="{00000000-0005-0000-0000-0000974B0000}"/>
    <cellStyle name="Neutral 2 2" xfId="19369" xr:uid="{00000000-0005-0000-0000-0000984B0000}"/>
    <cellStyle name="Neutral 3" xfId="19370" xr:uid="{00000000-0005-0000-0000-0000994B0000}"/>
    <cellStyle name="Normal" xfId="0" builtinId="0"/>
    <cellStyle name="Normal - Style1" xfId="19371" xr:uid="{00000000-0005-0000-0000-00009B4B0000}"/>
    <cellStyle name="Normal 10" xfId="19372" xr:uid="{00000000-0005-0000-0000-00009C4B0000}"/>
    <cellStyle name="Normal 10 2" xfId="19373" xr:uid="{00000000-0005-0000-0000-00009D4B0000}"/>
    <cellStyle name="Normal 10 2 2" xfId="19374" xr:uid="{00000000-0005-0000-0000-00009E4B0000}"/>
    <cellStyle name="Normal 10 2 2 2" xfId="19375" xr:uid="{00000000-0005-0000-0000-00009F4B0000}"/>
    <cellStyle name="Normal 10 2 2 3" xfId="19376" xr:uid="{00000000-0005-0000-0000-0000A04B0000}"/>
    <cellStyle name="Normal 10 2 2_Steps of Doneness" xfId="19377" xr:uid="{00000000-0005-0000-0000-0000A14B0000}"/>
    <cellStyle name="Normal 10 2 3" xfId="19378" xr:uid="{00000000-0005-0000-0000-0000A24B0000}"/>
    <cellStyle name="Normal 10 2 3 2" xfId="19379" xr:uid="{00000000-0005-0000-0000-0000A34B0000}"/>
    <cellStyle name="Normal 10 2 3 2 2" xfId="19380" xr:uid="{00000000-0005-0000-0000-0000A44B0000}"/>
    <cellStyle name="Normal 10 2 3 2_Steps of Doneness" xfId="19381" xr:uid="{00000000-0005-0000-0000-0000A54B0000}"/>
    <cellStyle name="Normal 10 2 3 3" xfId="19382" xr:uid="{00000000-0005-0000-0000-0000A64B0000}"/>
    <cellStyle name="Normal 10 2 3_Steps of Doneness" xfId="19383" xr:uid="{00000000-0005-0000-0000-0000A74B0000}"/>
    <cellStyle name="Normal 10 2 4" xfId="19384" xr:uid="{00000000-0005-0000-0000-0000A84B0000}"/>
    <cellStyle name="Normal 10 2 4 2" xfId="19385" xr:uid="{00000000-0005-0000-0000-0000A94B0000}"/>
    <cellStyle name="Normal 10 2 4 2 2" xfId="19386" xr:uid="{00000000-0005-0000-0000-0000AA4B0000}"/>
    <cellStyle name="Normal 10 2 4 2 2 2" xfId="19387" xr:uid="{00000000-0005-0000-0000-0000AB4B0000}"/>
    <cellStyle name="Normal 10 2 4 2 2 3" xfId="19388" xr:uid="{00000000-0005-0000-0000-0000AC4B0000}"/>
    <cellStyle name="Normal 10 2 4 2 2_Steps of Doneness" xfId="19389" xr:uid="{00000000-0005-0000-0000-0000AD4B0000}"/>
    <cellStyle name="Normal 10 2 4 2 3" xfId="19390" xr:uid="{00000000-0005-0000-0000-0000AE4B0000}"/>
    <cellStyle name="Normal 10 2 4 2 3 2" xfId="19391" xr:uid="{00000000-0005-0000-0000-0000AF4B0000}"/>
    <cellStyle name="Normal 10 2 4 2 3 3" xfId="19392" xr:uid="{00000000-0005-0000-0000-0000B04B0000}"/>
    <cellStyle name="Normal 10 2 4 2 3_Steps of Doneness" xfId="19393" xr:uid="{00000000-0005-0000-0000-0000B14B0000}"/>
    <cellStyle name="Normal 10 2 4 2 4" xfId="19394" xr:uid="{00000000-0005-0000-0000-0000B24B0000}"/>
    <cellStyle name="Normal 10 2 4 2 4 2" xfId="19395" xr:uid="{00000000-0005-0000-0000-0000B34B0000}"/>
    <cellStyle name="Normal 10 2 4 2 4_Steps of Doneness" xfId="19396" xr:uid="{00000000-0005-0000-0000-0000B44B0000}"/>
    <cellStyle name="Normal 10 2 4 2 5" xfId="19397" xr:uid="{00000000-0005-0000-0000-0000B54B0000}"/>
    <cellStyle name="Normal 10 2 4 2 6" xfId="19398" xr:uid="{00000000-0005-0000-0000-0000B64B0000}"/>
    <cellStyle name="Normal 10 2 4 2 7" xfId="19399" xr:uid="{00000000-0005-0000-0000-0000B74B0000}"/>
    <cellStyle name="Normal 10 2 4 2_Steps of Doneness" xfId="19400" xr:uid="{00000000-0005-0000-0000-0000B84B0000}"/>
    <cellStyle name="Normal 10 2 4 3" xfId="19401" xr:uid="{00000000-0005-0000-0000-0000B94B0000}"/>
    <cellStyle name="Normal 10 2 4 3 2" xfId="19402" xr:uid="{00000000-0005-0000-0000-0000BA4B0000}"/>
    <cellStyle name="Normal 10 2 4 3_Steps of Doneness" xfId="19403" xr:uid="{00000000-0005-0000-0000-0000BB4B0000}"/>
    <cellStyle name="Normal 10 2 4 4" xfId="19404" xr:uid="{00000000-0005-0000-0000-0000BC4B0000}"/>
    <cellStyle name="Normal 10 2 4 5" xfId="19405" xr:uid="{00000000-0005-0000-0000-0000BD4B0000}"/>
    <cellStyle name="Normal 10 2 4 6" xfId="19406" xr:uid="{00000000-0005-0000-0000-0000BE4B0000}"/>
    <cellStyle name="Normal 10 2 4_Steps of Doneness" xfId="19407" xr:uid="{00000000-0005-0000-0000-0000BF4B0000}"/>
    <cellStyle name="Normal 10 2 5" xfId="19408" xr:uid="{00000000-0005-0000-0000-0000C04B0000}"/>
    <cellStyle name="Normal 10 2 5 2" xfId="19409" xr:uid="{00000000-0005-0000-0000-0000C14B0000}"/>
    <cellStyle name="Normal 10 2 5_Steps of Doneness" xfId="19410" xr:uid="{00000000-0005-0000-0000-0000C24B0000}"/>
    <cellStyle name="Normal 10 2 6" xfId="19411" xr:uid="{00000000-0005-0000-0000-0000C34B0000}"/>
    <cellStyle name="Normal 10 2 6 2" xfId="19412" xr:uid="{00000000-0005-0000-0000-0000C44B0000}"/>
    <cellStyle name="Normal 10 2 6_Steps of Doneness" xfId="19413" xr:uid="{00000000-0005-0000-0000-0000C54B0000}"/>
    <cellStyle name="Normal 10 2 7" xfId="19414" xr:uid="{00000000-0005-0000-0000-0000C64B0000}"/>
    <cellStyle name="Normal 10 2 8" xfId="19415" xr:uid="{00000000-0005-0000-0000-0000C74B0000}"/>
    <cellStyle name="Normal 10 2_Steps of Doneness" xfId="19416" xr:uid="{00000000-0005-0000-0000-0000C84B0000}"/>
    <cellStyle name="Normal 10 3" xfId="19417" xr:uid="{00000000-0005-0000-0000-0000C94B0000}"/>
    <cellStyle name="Normal 10 4" xfId="19418" xr:uid="{00000000-0005-0000-0000-0000CA4B0000}"/>
    <cellStyle name="Normal 10_Steps of Doneness" xfId="19419" xr:uid="{00000000-0005-0000-0000-0000CB4B0000}"/>
    <cellStyle name="Normal 11" xfId="19420" xr:uid="{00000000-0005-0000-0000-0000CC4B0000}"/>
    <cellStyle name="Normal 11 10" xfId="19421" xr:uid="{00000000-0005-0000-0000-0000CD4B0000}"/>
    <cellStyle name="Normal 11 10 2" xfId="19422" xr:uid="{00000000-0005-0000-0000-0000CE4B0000}"/>
    <cellStyle name="Normal 11 11" xfId="19423" xr:uid="{00000000-0005-0000-0000-0000CF4B0000}"/>
    <cellStyle name="Normal 11 2" xfId="19424" xr:uid="{00000000-0005-0000-0000-0000D04B0000}"/>
    <cellStyle name="Normal 11 2 10" xfId="19425" xr:uid="{00000000-0005-0000-0000-0000D14B0000}"/>
    <cellStyle name="Normal 11 2 2" xfId="19426" xr:uid="{00000000-0005-0000-0000-0000D24B0000}"/>
    <cellStyle name="Normal 11 2 2 2" xfId="19427" xr:uid="{00000000-0005-0000-0000-0000D34B0000}"/>
    <cellStyle name="Normal 11 2 2 2 2" xfId="19428" xr:uid="{00000000-0005-0000-0000-0000D44B0000}"/>
    <cellStyle name="Normal 11 2 2 2 2 2" xfId="19429" xr:uid="{00000000-0005-0000-0000-0000D54B0000}"/>
    <cellStyle name="Normal 11 2 2 2 2 2 2" xfId="19430" xr:uid="{00000000-0005-0000-0000-0000D64B0000}"/>
    <cellStyle name="Normal 11 2 2 2 2 2 2 2" xfId="19431" xr:uid="{00000000-0005-0000-0000-0000D74B0000}"/>
    <cellStyle name="Normal 11 2 2 2 2 2 3" xfId="19432" xr:uid="{00000000-0005-0000-0000-0000D84B0000}"/>
    <cellStyle name="Normal 11 2 2 2 2 3" xfId="19433" xr:uid="{00000000-0005-0000-0000-0000D94B0000}"/>
    <cellStyle name="Normal 11 2 2 2 2 3 2" xfId="19434" xr:uid="{00000000-0005-0000-0000-0000DA4B0000}"/>
    <cellStyle name="Normal 11 2 2 2 2 4" xfId="19435" xr:uid="{00000000-0005-0000-0000-0000DB4B0000}"/>
    <cellStyle name="Normal 11 2 2 2 2_Steps of Doneness" xfId="19436" xr:uid="{00000000-0005-0000-0000-0000DC4B0000}"/>
    <cellStyle name="Normal 11 2 2 2 3" xfId="19437" xr:uid="{00000000-0005-0000-0000-0000DD4B0000}"/>
    <cellStyle name="Normal 11 2 2 2 3 2" xfId="19438" xr:uid="{00000000-0005-0000-0000-0000DE4B0000}"/>
    <cellStyle name="Normal 11 2 2 2 3 2 2" xfId="19439" xr:uid="{00000000-0005-0000-0000-0000DF4B0000}"/>
    <cellStyle name="Normal 11 2 2 2 3 3" xfId="19440" xr:uid="{00000000-0005-0000-0000-0000E04B0000}"/>
    <cellStyle name="Normal 11 2 2 2 4" xfId="19441" xr:uid="{00000000-0005-0000-0000-0000E14B0000}"/>
    <cellStyle name="Normal 11 2 2 2 4 2" xfId="19442" xr:uid="{00000000-0005-0000-0000-0000E24B0000}"/>
    <cellStyle name="Normal 11 2 2 2 5" xfId="19443" xr:uid="{00000000-0005-0000-0000-0000E34B0000}"/>
    <cellStyle name="Normal 11 2 2 2_Steps of Doneness" xfId="19444" xr:uid="{00000000-0005-0000-0000-0000E44B0000}"/>
    <cellStyle name="Normal 11 2 2 3" xfId="19445" xr:uid="{00000000-0005-0000-0000-0000E54B0000}"/>
    <cellStyle name="Normal 11 2 2 3 10" xfId="19446" xr:uid="{00000000-0005-0000-0000-0000E64B0000}"/>
    <cellStyle name="Normal 11 2 2 3 10 2" xfId="19447" xr:uid="{00000000-0005-0000-0000-0000E74B0000}"/>
    <cellStyle name="Normal 11 2 2 3 10 2 2" xfId="19448" xr:uid="{00000000-0005-0000-0000-0000E84B0000}"/>
    <cellStyle name="Normal 11 2 2 3 10 3" xfId="19449" xr:uid="{00000000-0005-0000-0000-0000E94B0000}"/>
    <cellStyle name="Normal 11 2 2 3 11" xfId="19450" xr:uid="{00000000-0005-0000-0000-0000EA4B0000}"/>
    <cellStyle name="Normal 11 2 2 3 11 2" xfId="19451" xr:uid="{00000000-0005-0000-0000-0000EB4B0000}"/>
    <cellStyle name="Normal 11 2 2 3 11 2 2" xfId="19452" xr:uid="{00000000-0005-0000-0000-0000EC4B0000}"/>
    <cellStyle name="Normal 11 2 2 3 11 2 2 2" xfId="19453" xr:uid="{00000000-0005-0000-0000-0000ED4B0000}"/>
    <cellStyle name="Normal 11 2 2 3 11 2 3" xfId="19454" xr:uid="{00000000-0005-0000-0000-0000EE4B0000}"/>
    <cellStyle name="Normal 11 2 2 3 11 3" xfId="19455" xr:uid="{00000000-0005-0000-0000-0000EF4B0000}"/>
    <cellStyle name="Normal 11 2 2 3 11 3 2" xfId="19456" xr:uid="{00000000-0005-0000-0000-0000F04B0000}"/>
    <cellStyle name="Normal 11 2 2 3 11 4" xfId="19457" xr:uid="{00000000-0005-0000-0000-0000F14B0000}"/>
    <cellStyle name="Normal 11 2 2 3 12" xfId="19458" xr:uid="{00000000-0005-0000-0000-0000F24B0000}"/>
    <cellStyle name="Normal 11 2 2 3 12 10" xfId="19459" xr:uid="{00000000-0005-0000-0000-0000F34B0000}"/>
    <cellStyle name="Normal 11 2 2 3 12 10 2" xfId="19460" xr:uid="{00000000-0005-0000-0000-0000F44B0000}"/>
    <cellStyle name="Normal 11 2 2 3 12 10 2 2" xfId="19461" xr:uid="{00000000-0005-0000-0000-0000F54B0000}"/>
    <cellStyle name="Normal 11 2 2 3 12 10 3" xfId="19462" xr:uid="{00000000-0005-0000-0000-0000F64B0000}"/>
    <cellStyle name="Normal 11 2 2 3 12 11" xfId="19463" xr:uid="{00000000-0005-0000-0000-0000F74B0000}"/>
    <cellStyle name="Normal 11 2 2 3 12 11 2" xfId="19464" xr:uid="{00000000-0005-0000-0000-0000F84B0000}"/>
    <cellStyle name="Normal 11 2 2 3 12 11 2 2" xfId="19465" xr:uid="{00000000-0005-0000-0000-0000F94B0000}"/>
    <cellStyle name="Normal 11 2 2 3 12 11 3" xfId="19466" xr:uid="{00000000-0005-0000-0000-0000FA4B0000}"/>
    <cellStyle name="Normal 11 2 2 3 12 12" xfId="19467" xr:uid="{00000000-0005-0000-0000-0000FB4B0000}"/>
    <cellStyle name="Normal 11 2 2 3 12 12 2" xfId="19468" xr:uid="{00000000-0005-0000-0000-0000FC4B0000}"/>
    <cellStyle name="Normal 11 2 2 3 12 12 2 2" xfId="19469" xr:uid="{00000000-0005-0000-0000-0000FD4B0000}"/>
    <cellStyle name="Normal 11 2 2 3 12 12 3" xfId="19470" xr:uid="{00000000-0005-0000-0000-0000FE4B0000}"/>
    <cellStyle name="Normal 11 2 2 3 12 13" xfId="19471" xr:uid="{00000000-0005-0000-0000-0000FF4B0000}"/>
    <cellStyle name="Normal 11 2 2 3 12 13 2" xfId="19472" xr:uid="{00000000-0005-0000-0000-0000004C0000}"/>
    <cellStyle name="Normal 11 2 2 3 12 13 2 2" xfId="19473" xr:uid="{00000000-0005-0000-0000-0000014C0000}"/>
    <cellStyle name="Normal 11 2 2 3 12 13 3" xfId="19474" xr:uid="{00000000-0005-0000-0000-0000024C0000}"/>
    <cellStyle name="Normal 11 2 2 3 12 14" xfId="19475" xr:uid="{00000000-0005-0000-0000-0000034C0000}"/>
    <cellStyle name="Normal 11 2 2 3 12 14 2" xfId="19476" xr:uid="{00000000-0005-0000-0000-0000044C0000}"/>
    <cellStyle name="Normal 11 2 2 3 12 15" xfId="19477" xr:uid="{00000000-0005-0000-0000-0000054C0000}"/>
    <cellStyle name="Normal 11 2 2 3 12 2" xfId="19478" xr:uid="{00000000-0005-0000-0000-0000064C0000}"/>
    <cellStyle name="Normal 11 2 2 3 12 2 2" xfId="19479" xr:uid="{00000000-0005-0000-0000-0000074C0000}"/>
    <cellStyle name="Normal 11 2 2 3 12 2 2 2" xfId="19480" xr:uid="{00000000-0005-0000-0000-0000084C0000}"/>
    <cellStyle name="Normal 11 2 2 3 12 2 3" xfId="19481" xr:uid="{00000000-0005-0000-0000-0000094C0000}"/>
    <cellStyle name="Normal 11 2 2 3 12 3" xfId="19482" xr:uid="{00000000-0005-0000-0000-00000A4C0000}"/>
    <cellStyle name="Normal 11 2 2 3 12 3 2" xfId="19483" xr:uid="{00000000-0005-0000-0000-00000B4C0000}"/>
    <cellStyle name="Normal 11 2 2 3 12 3 2 2" xfId="19484" xr:uid="{00000000-0005-0000-0000-00000C4C0000}"/>
    <cellStyle name="Normal 11 2 2 3 12 3 3" xfId="19485" xr:uid="{00000000-0005-0000-0000-00000D4C0000}"/>
    <cellStyle name="Normal 11 2 2 3 12 4" xfId="19486" xr:uid="{00000000-0005-0000-0000-00000E4C0000}"/>
    <cellStyle name="Normal 11 2 2 3 12 4 2" xfId="19487" xr:uid="{00000000-0005-0000-0000-00000F4C0000}"/>
    <cellStyle name="Normal 11 2 2 3 12 4 2 2" xfId="19488" xr:uid="{00000000-0005-0000-0000-0000104C0000}"/>
    <cellStyle name="Normal 11 2 2 3 12 4 3" xfId="19489" xr:uid="{00000000-0005-0000-0000-0000114C0000}"/>
    <cellStyle name="Normal 11 2 2 3 12 5" xfId="19490" xr:uid="{00000000-0005-0000-0000-0000124C0000}"/>
    <cellStyle name="Normal 11 2 2 3 12 5 2" xfId="19491" xr:uid="{00000000-0005-0000-0000-0000134C0000}"/>
    <cellStyle name="Normal 11 2 2 3 12 5 2 2" xfId="19492" xr:uid="{00000000-0005-0000-0000-0000144C0000}"/>
    <cellStyle name="Normal 11 2 2 3 12 5 2 2 2" xfId="19493" xr:uid="{00000000-0005-0000-0000-0000154C0000}"/>
    <cellStyle name="Normal 11 2 2 3 12 5 2 3" xfId="19494" xr:uid="{00000000-0005-0000-0000-0000164C0000}"/>
    <cellStyle name="Normal 11 2 2 3 12 5 3" xfId="19495" xr:uid="{00000000-0005-0000-0000-0000174C0000}"/>
    <cellStyle name="Normal 11 2 2 3 12 5 3 2" xfId="19496" xr:uid="{00000000-0005-0000-0000-0000184C0000}"/>
    <cellStyle name="Normal 11 2 2 3 12 5 4" xfId="19497" xr:uid="{00000000-0005-0000-0000-0000194C0000}"/>
    <cellStyle name="Normal 11 2 2 3 12 6" xfId="19498" xr:uid="{00000000-0005-0000-0000-00001A4C0000}"/>
    <cellStyle name="Normal 11 2 2 3 12 6 2" xfId="19499" xr:uid="{00000000-0005-0000-0000-00001B4C0000}"/>
    <cellStyle name="Normal 11 2 2 3 12 6 2 2" xfId="19500" xr:uid="{00000000-0005-0000-0000-00001C4C0000}"/>
    <cellStyle name="Normal 11 2 2 3 12 6 3" xfId="19501" xr:uid="{00000000-0005-0000-0000-00001D4C0000}"/>
    <cellStyle name="Normal 11 2 2 3 12 7" xfId="19502" xr:uid="{00000000-0005-0000-0000-00001E4C0000}"/>
    <cellStyle name="Normal 11 2 2 3 12 7 2" xfId="19503" xr:uid="{00000000-0005-0000-0000-00001F4C0000}"/>
    <cellStyle name="Normal 11 2 2 3 12 7 2 2" xfId="19504" xr:uid="{00000000-0005-0000-0000-0000204C0000}"/>
    <cellStyle name="Normal 11 2 2 3 12 7 3" xfId="19505" xr:uid="{00000000-0005-0000-0000-0000214C0000}"/>
    <cellStyle name="Normal 11 2 2 3 12 8" xfId="19506" xr:uid="{00000000-0005-0000-0000-0000224C0000}"/>
    <cellStyle name="Normal 11 2 2 3 12 8 2" xfId="19507" xr:uid="{00000000-0005-0000-0000-0000234C0000}"/>
    <cellStyle name="Normal 11 2 2 3 12 8 2 2" xfId="19508" xr:uid="{00000000-0005-0000-0000-0000244C0000}"/>
    <cellStyle name="Normal 11 2 2 3 12 8 3" xfId="19509" xr:uid="{00000000-0005-0000-0000-0000254C0000}"/>
    <cellStyle name="Normal 11 2 2 3 12 9" xfId="19510" xr:uid="{00000000-0005-0000-0000-0000264C0000}"/>
    <cellStyle name="Normal 11 2 2 3 12 9 2" xfId="19511" xr:uid="{00000000-0005-0000-0000-0000274C0000}"/>
    <cellStyle name="Normal 11 2 2 3 12 9 2 2" xfId="19512" xr:uid="{00000000-0005-0000-0000-0000284C0000}"/>
    <cellStyle name="Normal 11 2 2 3 12 9 3" xfId="19513" xr:uid="{00000000-0005-0000-0000-0000294C0000}"/>
    <cellStyle name="Normal 11 2 2 3 12_Steps of Doneness" xfId="19514" xr:uid="{00000000-0005-0000-0000-00002A4C0000}"/>
    <cellStyle name="Normal 11 2 2 3 13" xfId="19515" xr:uid="{00000000-0005-0000-0000-00002B4C0000}"/>
    <cellStyle name="Normal 11 2 2 3 13 2" xfId="19516" xr:uid="{00000000-0005-0000-0000-00002C4C0000}"/>
    <cellStyle name="Normal 11 2 2 3 13 2 2" xfId="19517" xr:uid="{00000000-0005-0000-0000-00002D4C0000}"/>
    <cellStyle name="Normal 11 2 2 3 13 3" xfId="19518" xr:uid="{00000000-0005-0000-0000-00002E4C0000}"/>
    <cellStyle name="Normal 11 2 2 3 14" xfId="19519" xr:uid="{00000000-0005-0000-0000-00002F4C0000}"/>
    <cellStyle name="Normal 11 2 2 3 14 2" xfId="19520" xr:uid="{00000000-0005-0000-0000-0000304C0000}"/>
    <cellStyle name="Normal 11 2 2 3 14 2 2" xfId="19521" xr:uid="{00000000-0005-0000-0000-0000314C0000}"/>
    <cellStyle name="Normal 11 2 2 3 14 3" xfId="19522" xr:uid="{00000000-0005-0000-0000-0000324C0000}"/>
    <cellStyle name="Normal 11 2 2 3 15" xfId="19523" xr:uid="{00000000-0005-0000-0000-0000334C0000}"/>
    <cellStyle name="Normal 11 2 2 3 15 2" xfId="19524" xr:uid="{00000000-0005-0000-0000-0000344C0000}"/>
    <cellStyle name="Normal 11 2 2 3 16" xfId="19525" xr:uid="{00000000-0005-0000-0000-0000354C0000}"/>
    <cellStyle name="Normal 11 2 2 3 2" xfId="19526" xr:uid="{00000000-0005-0000-0000-0000364C0000}"/>
    <cellStyle name="Normal 11 2 2 3 2 2" xfId="19527" xr:uid="{00000000-0005-0000-0000-0000374C0000}"/>
    <cellStyle name="Normal 11 2 2 3 2 2 2" xfId="19528" xr:uid="{00000000-0005-0000-0000-0000384C0000}"/>
    <cellStyle name="Normal 11 2 2 3 2 2 2 2" xfId="19529" xr:uid="{00000000-0005-0000-0000-0000394C0000}"/>
    <cellStyle name="Normal 11 2 2 3 2 2 3" xfId="19530" xr:uid="{00000000-0005-0000-0000-00003A4C0000}"/>
    <cellStyle name="Normal 11 2 2 3 2 3" xfId="19531" xr:uid="{00000000-0005-0000-0000-00003B4C0000}"/>
    <cellStyle name="Normal 11 2 2 3 2 3 2" xfId="19532" xr:uid="{00000000-0005-0000-0000-00003C4C0000}"/>
    <cellStyle name="Normal 11 2 2 3 2 4" xfId="19533" xr:uid="{00000000-0005-0000-0000-00003D4C0000}"/>
    <cellStyle name="Normal 11 2 2 3 2_Steps of Doneness" xfId="19534" xr:uid="{00000000-0005-0000-0000-00003E4C0000}"/>
    <cellStyle name="Normal 11 2 2 3 3" xfId="19535" xr:uid="{00000000-0005-0000-0000-00003F4C0000}"/>
    <cellStyle name="Normal 11 2 2 3 3 2" xfId="19536" xr:uid="{00000000-0005-0000-0000-0000404C0000}"/>
    <cellStyle name="Normal 11 2 2 3 3 2 2" xfId="19537" xr:uid="{00000000-0005-0000-0000-0000414C0000}"/>
    <cellStyle name="Normal 11 2 2 3 3 2 2 2" xfId="19538" xr:uid="{00000000-0005-0000-0000-0000424C0000}"/>
    <cellStyle name="Normal 11 2 2 3 3 2 3" xfId="19539" xr:uid="{00000000-0005-0000-0000-0000434C0000}"/>
    <cellStyle name="Normal 11 2 2 3 3 3" xfId="19540" xr:uid="{00000000-0005-0000-0000-0000444C0000}"/>
    <cellStyle name="Normal 11 2 2 3 3 3 2" xfId="19541" xr:uid="{00000000-0005-0000-0000-0000454C0000}"/>
    <cellStyle name="Normal 11 2 2 3 3 4" xfId="19542" xr:uid="{00000000-0005-0000-0000-0000464C0000}"/>
    <cellStyle name="Normal 11 2 2 3 3_Steps of Doneness" xfId="19543" xr:uid="{00000000-0005-0000-0000-0000474C0000}"/>
    <cellStyle name="Normal 11 2 2 3 4" xfId="19544" xr:uid="{00000000-0005-0000-0000-0000484C0000}"/>
    <cellStyle name="Normal 11 2 2 3 4 2" xfId="19545" xr:uid="{00000000-0005-0000-0000-0000494C0000}"/>
    <cellStyle name="Normal 11 2 2 3 4 2 2" xfId="19546" xr:uid="{00000000-0005-0000-0000-00004A4C0000}"/>
    <cellStyle name="Normal 11 2 2 3 4 3" xfId="19547" xr:uid="{00000000-0005-0000-0000-00004B4C0000}"/>
    <cellStyle name="Normal 11 2 2 3 5" xfId="19548" xr:uid="{00000000-0005-0000-0000-00004C4C0000}"/>
    <cellStyle name="Normal 11 2 2 3 5 2" xfId="19549" xr:uid="{00000000-0005-0000-0000-00004D4C0000}"/>
    <cellStyle name="Normal 11 2 2 3 5 2 2" xfId="19550" xr:uid="{00000000-0005-0000-0000-00004E4C0000}"/>
    <cellStyle name="Normal 11 2 2 3 5 3" xfId="19551" xr:uid="{00000000-0005-0000-0000-00004F4C0000}"/>
    <cellStyle name="Normal 11 2 2 3 6" xfId="19552" xr:uid="{00000000-0005-0000-0000-0000504C0000}"/>
    <cellStyle name="Normal 11 2 2 3 6 2" xfId="19553" xr:uid="{00000000-0005-0000-0000-0000514C0000}"/>
    <cellStyle name="Normal 11 2 2 3 6 2 2" xfId="19554" xr:uid="{00000000-0005-0000-0000-0000524C0000}"/>
    <cellStyle name="Normal 11 2 2 3 6 3" xfId="19555" xr:uid="{00000000-0005-0000-0000-0000534C0000}"/>
    <cellStyle name="Normal 11 2 2 3 7" xfId="19556" xr:uid="{00000000-0005-0000-0000-0000544C0000}"/>
    <cellStyle name="Normal 11 2 2 3 7 2" xfId="19557" xr:uid="{00000000-0005-0000-0000-0000554C0000}"/>
    <cellStyle name="Normal 11 2 2 3 7 2 2" xfId="19558" xr:uid="{00000000-0005-0000-0000-0000564C0000}"/>
    <cellStyle name="Normal 11 2 2 3 7 2 2 2" xfId="19559" xr:uid="{00000000-0005-0000-0000-0000574C0000}"/>
    <cellStyle name="Normal 11 2 2 3 7 2 3" xfId="19560" xr:uid="{00000000-0005-0000-0000-0000584C0000}"/>
    <cellStyle name="Normal 11 2 2 3 7 3" xfId="19561" xr:uid="{00000000-0005-0000-0000-0000594C0000}"/>
    <cellStyle name="Normal 11 2 2 3 7 3 2" xfId="19562" xr:uid="{00000000-0005-0000-0000-00005A4C0000}"/>
    <cellStyle name="Normal 11 2 2 3 7 4" xfId="19563" xr:uid="{00000000-0005-0000-0000-00005B4C0000}"/>
    <cellStyle name="Normal 11 2 2 3 8" xfId="19564" xr:uid="{00000000-0005-0000-0000-00005C4C0000}"/>
    <cellStyle name="Normal 11 2 2 3 8 2" xfId="19565" xr:uid="{00000000-0005-0000-0000-00005D4C0000}"/>
    <cellStyle name="Normal 11 2 2 3 8 2 2" xfId="19566" xr:uid="{00000000-0005-0000-0000-00005E4C0000}"/>
    <cellStyle name="Normal 11 2 2 3 8 3" xfId="19567" xr:uid="{00000000-0005-0000-0000-00005F4C0000}"/>
    <cellStyle name="Normal 11 2 2 3 9" xfId="19568" xr:uid="{00000000-0005-0000-0000-0000604C0000}"/>
    <cellStyle name="Normal 11 2 2 3 9 2" xfId="19569" xr:uid="{00000000-0005-0000-0000-0000614C0000}"/>
    <cellStyle name="Normal 11 2 2 3 9 2 2" xfId="19570" xr:uid="{00000000-0005-0000-0000-0000624C0000}"/>
    <cellStyle name="Normal 11 2 2 3 9 3" xfId="19571" xr:uid="{00000000-0005-0000-0000-0000634C0000}"/>
    <cellStyle name="Normal 11 2 2 3_Steps of Doneness" xfId="19572" xr:uid="{00000000-0005-0000-0000-0000644C0000}"/>
    <cellStyle name="Normal 11 2 2 4" xfId="19573" xr:uid="{00000000-0005-0000-0000-0000654C0000}"/>
    <cellStyle name="Normal 11 2 2 4 2" xfId="19574" xr:uid="{00000000-0005-0000-0000-0000664C0000}"/>
    <cellStyle name="Normal 11 2 2 4 2 2" xfId="19575" xr:uid="{00000000-0005-0000-0000-0000674C0000}"/>
    <cellStyle name="Normal 11 2 2 4 2 2 2" xfId="19576" xr:uid="{00000000-0005-0000-0000-0000684C0000}"/>
    <cellStyle name="Normal 11 2 2 4 2 3" xfId="19577" xr:uid="{00000000-0005-0000-0000-0000694C0000}"/>
    <cellStyle name="Normal 11 2 2 4 3" xfId="19578" xr:uid="{00000000-0005-0000-0000-00006A4C0000}"/>
    <cellStyle name="Normal 11 2 2 4 3 2" xfId="19579" xr:uid="{00000000-0005-0000-0000-00006B4C0000}"/>
    <cellStyle name="Normal 11 2 2 4 4" xfId="19580" xr:uid="{00000000-0005-0000-0000-00006C4C0000}"/>
    <cellStyle name="Normal 11 2 2 4_Steps of Doneness" xfId="19581" xr:uid="{00000000-0005-0000-0000-00006D4C0000}"/>
    <cellStyle name="Normal 11 2 2 5" xfId="19582" xr:uid="{00000000-0005-0000-0000-00006E4C0000}"/>
    <cellStyle name="Normal 11 2 2 5 2" xfId="19583" xr:uid="{00000000-0005-0000-0000-00006F4C0000}"/>
    <cellStyle name="Normal 11 2 2 5 2 2" xfId="19584" xr:uid="{00000000-0005-0000-0000-0000704C0000}"/>
    <cellStyle name="Normal 11 2 2 5 3" xfId="19585" xr:uid="{00000000-0005-0000-0000-0000714C0000}"/>
    <cellStyle name="Normal 11 2 2 6" xfId="19586" xr:uid="{00000000-0005-0000-0000-0000724C0000}"/>
    <cellStyle name="Normal 11 2 2 6 2" xfId="19587" xr:uid="{00000000-0005-0000-0000-0000734C0000}"/>
    <cellStyle name="Normal 11 2 2 7" xfId="19588" xr:uid="{00000000-0005-0000-0000-0000744C0000}"/>
    <cellStyle name="Normal 11 2 2_Steps of Doneness" xfId="19589" xr:uid="{00000000-0005-0000-0000-0000754C0000}"/>
    <cellStyle name="Normal 11 2 3" xfId="19590" xr:uid="{00000000-0005-0000-0000-0000764C0000}"/>
    <cellStyle name="Normal 11 2 3 2" xfId="19591" xr:uid="{00000000-0005-0000-0000-0000774C0000}"/>
    <cellStyle name="Normal 11 2 3 2 2" xfId="19592" xr:uid="{00000000-0005-0000-0000-0000784C0000}"/>
    <cellStyle name="Normal 11 2 3 2 2 2" xfId="19593" xr:uid="{00000000-0005-0000-0000-0000794C0000}"/>
    <cellStyle name="Normal 11 2 3 2 3" xfId="19594" xr:uid="{00000000-0005-0000-0000-00007A4C0000}"/>
    <cellStyle name="Normal 11 2 3 3" xfId="19595" xr:uid="{00000000-0005-0000-0000-00007B4C0000}"/>
    <cellStyle name="Normal 11 2 3 3 2" xfId="19596" xr:uid="{00000000-0005-0000-0000-00007C4C0000}"/>
    <cellStyle name="Normal 11 2 3 4" xfId="19597" xr:uid="{00000000-0005-0000-0000-00007D4C0000}"/>
    <cellStyle name="Normal 11 2 3_Steps of Doneness" xfId="19598" xr:uid="{00000000-0005-0000-0000-00007E4C0000}"/>
    <cellStyle name="Normal 11 2 4" xfId="19599" xr:uid="{00000000-0005-0000-0000-00007F4C0000}"/>
    <cellStyle name="Normal 11 2 4 2" xfId="19600" xr:uid="{00000000-0005-0000-0000-0000804C0000}"/>
    <cellStyle name="Normal 11 2 4 2 2" xfId="19601" xr:uid="{00000000-0005-0000-0000-0000814C0000}"/>
    <cellStyle name="Normal 11 2 4 3" xfId="19602" xr:uid="{00000000-0005-0000-0000-0000824C0000}"/>
    <cellStyle name="Normal 11 2 5" xfId="19603" xr:uid="{00000000-0005-0000-0000-0000834C0000}"/>
    <cellStyle name="Normal 11 2 5 2" xfId="19604" xr:uid="{00000000-0005-0000-0000-0000844C0000}"/>
    <cellStyle name="Normal 11 2 6" xfId="19605" xr:uid="{00000000-0005-0000-0000-0000854C0000}"/>
    <cellStyle name="Normal 11 2 6 2" xfId="19606" xr:uid="{00000000-0005-0000-0000-0000864C0000}"/>
    <cellStyle name="Normal 11 2 7" xfId="19607" xr:uid="{00000000-0005-0000-0000-0000874C0000}"/>
    <cellStyle name="Normal 11 2 7 2" xfId="19608" xr:uid="{00000000-0005-0000-0000-0000884C0000}"/>
    <cellStyle name="Normal 11 2 8" xfId="19609" xr:uid="{00000000-0005-0000-0000-0000894C0000}"/>
    <cellStyle name="Normal 11 2 8 2" xfId="19610" xr:uid="{00000000-0005-0000-0000-00008A4C0000}"/>
    <cellStyle name="Normal 11 2 9" xfId="19611" xr:uid="{00000000-0005-0000-0000-00008B4C0000}"/>
    <cellStyle name="Normal 11 2 9 2" xfId="19612" xr:uid="{00000000-0005-0000-0000-00008C4C0000}"/>
    <cellStyle name="Normal 11 2_Steps of Doneness" xfId="19613" xr:uid="{00000000-0005-0000-0000-00008D4C0000}"/>
    <cellStyle name="Normal 11 3" xfId="19614" xr:uid="{00000000-0005-0000-0000-00008E4C0000}"/>
    <cellStyle name="Normal 11 3 2" xfId="19615" xr:uid="{00000000-0005-0000-0000-00008F4C0000}"/>
    <cellStyle name="Normal 11 3 2 2" xfId="19616" xr:uid="{00000000-0005-0000-0000-0000904C0000}"/>
    <cellStyle name="Normal 11 3 2 2 2" xfId="19617" xr:uid="{00000000-0005-0000-0000-0000914C0000}"/>
    <cellStyle name="Normal 11 3 2 2 2 2" xfId="19618" xr:uid="{00000000-0005-0000-0000-0000924C0000}"/>
    <cellStyle name="Normal 11 3 2 2 2 2 2" xfId="19619" xr:uid="{00000000-0005-0000-0000-0000934C0000}"/>
    <cellStyle name="Normal 11 3 2 2 2 2 2 2" xfId="19620" xr:uid="{00000000-0005-0000-0000-0000944C0000}"/>
    <cellStyle name="Normal 11 3 2 2 2 2 2 2 2" xfId="19621" xr:uid="{00000000-0005-0000-0000-0000954C0000}"/>
    <cellStyle name="Normal 11 3 2 2 2 2 2 3" xfId="19622" xr:uid="{00000000-0005-0000-0000-0000964C0000}"/>
    <cellStyle name="Normal 11 3 2 2 2 2 3" xfId="19623" xr:uid="{00000000-0005-0000-0000-0000974C0000}"/>
    <cellStyle name="Normal 11 3 2 2 2 2 3 2" xfId="19624" xr:uid="{00000000-0005-0000-0000-0000984C0000}"/>
    <cellStyle name="Normal 11 3 2 2 2 2 4" xfId="19625" xr:uid="{00000000-0005-0000-0000-0000994C0000}"/>
    <cellStyle name="Normal 11 3 2 2 2 3" xfId="19626" xr:uid="{00000000-0005-0000-0000-00009A4C0000}"/>
    <cellStyle name="Normal 11 3 2 2 2 3 2" xfId="19627" xr:uid="{00000000-0005-0000-0000-00009B4C0000}"/>
    <cellStyle name="Normal 11 3 2 2 2 3 2 2" xfId="19628" xr:uid="{00000000-0005-0000-0000-00009C4C0000}"/>
    <cellStyle name="Normal 11 3 2 2 2 3 3" xfId="19629" xr:uid="{00000000-0005-0000-0000-00009D4C0000}"/>
    <cellStyle name="Normal 11 3 2 2 2 4" xfId="19630" xr:uid="{00000000-0005-0000-0000-00009E4C0000}"/>
    <cellStyle name="Normal 11 3 2 2 2 4 2" xfId="19631" xr:uid="{00000000-0005-0000-0000-00009F4C0000}"/>
    <cellStyle name="Normal 11 3 2 2 2 5" xfId="19632" xr:uid="{00000000-0005-0000-0000-0000A04C0000}"/>
    <cellStyle name="Normal 11 3 2 2 2_Steps of Doneness" xfId="19633" xr:uid="{00000000-0005-0000-0000-0000A14C0000}"/>
    <cellStyle name="Normal 11 3 2 2 3" xfId="19634" xr:uid="{00000000-0005-0000-0000-0000A24C0000}"/>
    <cellStyle name="Normal 11 3 2 2 3 2" xfId="19635" xr:uid="{00000000-0005-0000-0000-0000A34C0000}"/>
    <cellStyle name="Normal 11 3 2 2 3 2 2" xfId="19636" xr:uid="{00000000-0005-0000-0000-0000A44C0000}"/>
    <cellStyle name="Normal 11 3 2 2 3 2 2 2" xfId="19637" xr:uid="{00000000-0005-0000-0000-0000A54C0000}"/>
    <cellStyle name="Normal 11 3 2 2 3 2 3" xfId="19638" xr:uid="{00000000-0005-0000-0000-0000A64C0000}"/>
    <cellStyle name="Normal 11 3 2 2 3 3" xfId="19639" xr:uid="{00000000-0005-0000-0000-0000A74C0000}"/>
    <cellStyle name="Normal 11 3 2 2 3 3 2" xfId="19640" xr:uid="{00000000-0005-0000-0000-0000A84C0000}"/>
    <cellStyle name="Normal 11 3 2 2 3 4" xfId="19641" xr:uid="{00000000-0005-0000-0000-0000A94C0000}"/>
    <cellStyle name="Normal 11 3 2 2 4" xfId="19642" xr:uid="{00000000-0005-0000-0000-0000AA4C0000}"/>
    <cellStyle name="Normal 11 3 2 2 4 2" xfId="19643" xr:uid="{00000000-0005-0000-0000-0000AB4C0000}"/>
    <cellStyle name="Normal 11 3 2 2 4 2 2" xfId="19644" xr:uid="{00000000-0005-0000-0000-0000AC4C0000}"/>
    <cellStyle name="Normal 11 3 2 2 4 3" xfId="19645" xr:uid="{00000000-0005-0000-0000-0000AD4C0000}"/>
    <cellStyle name="Normal 11 3 2 2 5" xfId="19646" xr:uid="{00000000-0005-0000-0000-0000AE4C0000}"/>
    <cellStyle name="Normal 11 3 2 2 5 2" xfId="19647" xr:uid="{00000000-0005-0000-0000-0000AF4C0000}"/>
    <cellStyle name="Normal 11 3 2 2 6" xfId="19648" xr:uid="{00000000-0005-0000-0000-0000B04C0000}"/>
    <cellStyle name="Normal 11 3 2 2_Steps of Doneness" xfId="19649" xr:uid="{00000000-0005-0000-0000-0000B14C0000}"/>
    <cellStyle name="Normal 11 3 2 3" xfId="19650" xr:uid="{00000000-0005-0000-0000-0000B24C0000}"/>
    <cellStyle name="Normal 11 3 2 4" xfId="19651" xr:uid="{00000000-0005-0000-0000-0000B34C0000}"/>
    <cellStyle name="Normal 11 3 2 4 2" xfId="19652" xr:uid="{00000000-0005-0000-0000-0000B44C0000}"/>
    <cellStyle name="Normal 11 3 2 4 2 2" xfId="19653" xr:uid="{00000000-0005-0000-0000-0000B54C0000}"/>
    <cellStyle name="Normal 11 3 2 4 2 2 2" xfId="19654" xr:uid="{00000000-0005-0000-0000-0000B64C0000}"/>
    <cellStyle name="Normal 11 3 2 4 2 2 2 2" xfId="19655" xr:uid="{00000000-0005-0000-0000-0000B74C0000}"/>
    <cellStyle name="Normal 11 3 2 4 2 2 3" xfId="19656" xr:uid="{00000000-0005-0000-0000-0000B84C0000}"/>
    <cellStyle name="Normal 11 3 2 4 2 3" xfId="19657" xr:uid="{00000000-0005-0000-0000-0000B94C0000}"/>
    <cellStyle name="Normal 11 3 2 4 2 3 2" xfId="19658" xr:uid="{00000000-0005-0000-0000-0000BA4C0000}"/>
    <cellStyle name="Normal 11 3 2 4 2 4" xfId="19659" xr:uid="{00000000-0005-0000-0000-0000BB4C0000}"/>
    <cellStyle name="Normal 11 3 2 4 3" xfId="19660" xr:uid="{00000000-0005-0000-0000-0000BC4C0000}"/>
    <cellStyle name="Normal 11 3 2 4 3 2" xfId="19661" xr:uid="{00000000-0005-0000-0000-0000BD4C0000}"/>
    <cellStyle name="Normal 11 3 2 4 3 2 2" xfId="19662" xr:uid="{00000000-0005-0000-0000-0000BE4C0000}"/>
    <cellStyle name="Normal 11 3 2 4 3 3" xfId="19663" xr:uid="{00000000-0005-0000-0000-0000BF4C0000}"/>
    <cellStyle name="Normal 11 3 2 4 4" xfId="19664" xr:uid="{00000000-0005-0000-0000-0000C04C0000}"/>
    <cellStyle name="Normal 11 3 2 4 4 2" xfId="19665" xr:uid="{00000000-0005-0000-0000-0000C14C0000}"/>
    <cellStyle name="Normal 11 3 2 4 5" xfId="19666" xr:uid="{00000000-0005-0000-0000-0000C24C0000}"/>
    <cellStyle name="Normal 11 3 2 4_Steps of Doneness" xfId="19667" xr:uid="{00000000-0005-0000-0000-0000C34C0000}"/>
    <cellStyle name="Normal 11 3 2 5" xfId="19668" xr:uid="{00000000-0005-0000-0000-0000C44C0000}"/>
    <cellStyle name="Normal 11 3 2 5 2" xfId="19669" xr:uid="{00000000-0005-0000-0000-0000C54C0000}"/>
    <cellStyle name="Normal 11 3 2 5 3" xfId="19670" xr:uid="{00000000-0005-0000-0000-0000C64C0000}"/>
    <cellStyle name="Normal 11 3 2 5 4" xfId="19671" xr:uid="{00000000-0005-0000-0000-0000C74C0000}"/>
    <cellStyle name="Normal 11 3 2 5 4 2" xfId="19672" xr:uid="{00000000-0005-0000-0000-0000C84C0000}"/>
    <cellStyle name="Normal 11 3 2 5 5" xfId="19673" xr:uid="{00000000-0005-0000-0000-0000C94C0000}"/>
    <cellStyle name="Normal 11 3 2 5 5 2" xfId="19674" xr:uid="{00000000-0005-0000-0000-0000CA4C0000}"/>
    <cellStyle name="Normal 11 3 2 5 6" xfId="19675" xr:uid="{00000000-0005-0000-0000-0000CB4C0000}"/>
    <cellStyle name="Normal 11 3 2 5_Steps of Doneness" xfId="19676" xr:uid="{00000000-0005-0000-0000-0000CC4C0000}"/>
    <cellStyle name="Normal 11 3 2 6" xfId="19677" xr:uid="{00000000-0005-0000-0000-0000CD4C0000}"/>
    <cellStyle name="Normal 11 3 2 6 2" xfId="19678" xr:uid="{00000000-0005-0000-0000-0000CE4C0000}"/>
    <cellStyle name="Normal 11 3 2 6 2 2" xfId="19679" xr:uid="{00000000-0005-0000-0000-0000CF4C0000}"/>
    <cellStyle name="Normal 11 3 2 6 2 2 2" xfId="19680" xr:uid="{00000000-0005-0000-0000-0000D04C0000}"/>
    <cellStyle name="Normal 11 3 2 6 2 3" xfId="19681" xr:uid="{00000000-0005-0000-0000-0000D14C0000}"/>
    <cellStyle name="Normal 11 3 2 6 3" xfId="19682" xr:uid="{00000000-0005-0000-0000-0000D24C0000}"/>
    <cellStyle name="Normal 11 3 2 6 3 2" xfId="19683" xr:uid="{00000000-0005-0000-0000-0000D34C0000}"/>
    <cellStyle name="Normal 11 3 2 6 4" xfId="19684" xr:uid="{00000000-0005-0000-0000-0000D44C0000}"/>
    <cellStyle name="Normal 11 3 2 7" xfId="19685" xr:uid="{00000000-0005-0000-0000-0000D54C0000}"/>
    <cellStyle name="Normal 11 3 2 7 2" xfId="19686" xr:uid="{00000000-0005-0000-0000-0000D64C0000}"/>
    <cellStyle name="Normal 11 3 2 7 2 2" xfId="19687" xr:uid="{00000000-0005-0000-0000-0000D74C0000}"/>
    <cellStyle name="Normal 11 3 2 7 3" xfId="19688" xr:uid="{00000000-0005-0000-0000-0000D84C0000}"/>
    <cellStyle name="Normal 11 3 2 8" xfId="19689" xr:uid="{00000000-0005-0000-0000-0000D94C0000}"/>
    <cellStyle name="Normal 11 3 2 8 2" xfId="19690" xr:uid="{00000000-0005-0000-0000-0000DA4C0000}"/>
    <cellStyle name="Normal 11 3 2 9" xfId="19691" xr:uid="{00000000-0005-0000-0000-0000DB4C0000}"/>
    <cellStyle name="Normal 11 3 2_Steps of Doneness" xfId="19692" xr:uid="{00000000-0005-0000-0000-0000DC4C0000}"/>
    <cellStyle name="Normal 11 3 3" xfId="19693" xr:uid="{00000000-0005-0000-0000-0000DD4C0000}"/>
    <cellStyle name="Normal 11 3 3 2" xfId="19694" xr:uid="{00000000-0005-0000-0000-0000DE4C0000}"/>
    <cellStyle name="Normal 11 3 3 2 2" xfId="19695" xr:uid="{00000000-0005-0000-0000-0000DF4C0000}"/>
    <cellStyle name="Normal 11 3 3 2 2 2" xfId="19696" xr:uid="{00000000-0005-0000-0000-0000E04C0000}"/>
    <cellStyle name="Normal 11 3 3 2 2 2 2" xfId="19697" xr:uid="{00000000-0005-0000-0000-0000E14C0000}"/>
    <cellStyle name="Normal 11 3 3 2 2 3" xfId="19698" xr:uid="{00000000-0005-0000-0000-0000E24C0000}"/>
    <cellStyle name="Normal 11 3 3 2 3" xfId="19699" xr:uid="{00000000-0005-0000-0000-0000E34C0000}"/>
    <cellStyle name="Normal 11 3 3 2 3 2" xfId="19700" xr:uid="{00000000-0005-0000-0000-0000E44C0000}"/>
    <cellStyle name="Normal 11 3 3 2 4" xfId="19701" xr:uid="{00000000-0005-0000-0000-0000E54C0000}"/>
    <cellStyle name="Normal 11 3 3 3" xfId="19702" xr:uid="{00000000-0005-0000-0000-0000E64C0000}"/>
    <cellStyle name="Normal 11 3 3 3 2" xfId="19703" xr:uid="{00000000-0005-0000-0000-0000E74C0000}"/>
    <cellStyle name="Normal 11 3 3 3 2 2" xfId="19704" xr:uid="{00000000-0005-0000-0000-0000E84C0000}"/>
    <cellStyle name="Normal 11 3 3 3 3" xfId="19705" xr:uid="{00000000-0005-0000-0000-0000E94C0000}"/>
    <cellStyle name="Normal 11 3 3 4" xfId="19706" xr:uid="{00000000-0005-0000-0000-0000EA4C0000}"/>
    <cellStyle name="Normal 11 3 3 4 2" xfId="19707" xr:uid="{00000000-0005-0000-0000-0000EB4C0000}"/>
    <cellStyle name="Normal 11 3 3 5" xfId="19708" xr:uid="{00000000-0005-0000-0000-0000EC4C0000}"/>
    <cellStyle name="Normal 11 3 3_Steps of Doneness" xfId="19709" xr:uid="{00000000-0005-0000-0000-0000ED4C0000}"/>
    <cellStyle name="Normal 11 3 4" xfId="19710" xr:uid="{00000000-0005-0000-0000-0000EE4C0000}"/>
    <cellStyle name="Normal 11 3 4 2" xfId="19711" xr:uid="{00000000-0005-0000-0000-0000EF4C0000}"/>
    <cellStyle name="Normal 11 3 4 2 2" xfId="19712" xr:uid="{00000000-0005-0000-0000-0000F04C0000}"/>
    <cellStyle name="Normal 11 3 4 2 2 2" xfId="19713" xr:uid="{00000000-0005-0000-0000-0000F14C0000}"/>
    <cellStyle name="Normal 11 3 4 2 3" xfId="19714" xr:uid="{00000000-0005-0000-0000-0000F24C0000}"/>
    <cellStyle name="Normal 11 3 4 3" xfId="19715" xr:uid="{00000000-0005-0000-0000-0000F34C0000}"/>
    <cellStyle name="Normal 11 3 4 3 2" xfId="19716" xr:uid="{00000000-0005-0000-0000-0000F44C0000}"/>
    <cellStyle name="Normal 11 3 4 4" xfId="19717" xr:uid="{00000000-0005-0000-0000-0000F54C0000}"/>
    <cellStyle name="Normal 11 3 5" xfId="19718" xr:uid="{00000000-0005-0000-0000-0000F64C0000}"/>
    <cellStyle name="Normal 11 3 5 2" xfId="19719" xr:uid="{00000000-0005-0000-0000-0000F74C0000}"/>
    <cellStyle name="Normal 11 3 5 2 2" xfId="19720" xr:uid="{00000000-0005-0000-0000-0000F84C0000}"/>
    <cellStyle name="Normal 11 3 5 3" xfId="19721" xr:uid="{00000000-0005-0000-0000-0000F94C0000}"/>
    <cellStyle name="Normal 11 3 6" xfId="19722" xr:uid="{00000000-0005-0000-0000-0000FA4C0000}"/>
    <cellStyle name="Normal 11 3 6 2" xfId="19723" xr:uid="{00000000-0005-0000-0000-0000FB4C0000}"/>
    <cellStyle name="Normal 11 3 7" xfId="19724" xr:uid="{00000000-0005-0000-0000-0000FC4C0000}"/>
    <cellStyle name="Normal 11 3_Steps of Doneness" xfId="19725" xr:uid="{00000000-0005-0000-0000-0000FD4C0000}"/>
    <cellStyle name="Normal 11 4" xfId="19726" xr:uid="{00000000-0005-0000-0000-0000FE4C0000}"/>
    <cellStyle name="Normal 11 4 2" xfId="19727" xr:uid="{00000000-0005-0000-0000-0000FF4C0000}"/>
    <cellStyle name="Normal 11 4 2 2" xfId="19728" xr:uid="{00000000-0005-0000-0000-0000004D0000}"/>
    <cellStyle name="Normal 11 4 2 2 2" xfId="19729" xr:uid="{00000000-0005-0000-0000-0000014D0000}"/>
    <cellStyle name="Normal 11 4 2 2 2 2" xfId="19730" xr:uid="{00000000-0005-0000-0000-0000024D0000}"/>
    <cellStyle name="Normal 11 4 2 2 3" xfId="19731" xr:uid="{00000000-0005-0000-0000-0000034D0000}"/>
    <cellStyle name="Normal 11 4 2 3" xfId="19732" xr:uid="{00000000-0005-0000-0000-0000044D0000}"/>
    <cellStyle name="Normal 11 4 2 3 2" xfId="19733" xr:uid="{00000000-0005-0000-0000-0000054D0000}"/>
    <cellStyle name="Normal 11 4 2 4" xfId="19734" xr:uid="{00000000-0005-0000-0000-0000064D0000}"/>
    <cellStyle name="Normal 11 4 3" xfId="19735" xr:uid="{00000000-0005-0000-0000-0000074D0000}"/>
    <cellStyle name="Normal 11 4 3 2" xfId="19736" xr:uid="{00000000-0005-0000-0000-0000084D0000}"/>
    <cellStyle name="Normal 11 4 3 2 2" xfId="19737" xr:uid="{00000000-0005-0000-0000-0000094D0000}"/>
    <cellStyle name="Normal 11 4 3 3" xfId="19738" xr:uid="{00000000-0005-0000-0000-00000A4D0000}"/>
    <cellStyle name="Normal 11 4 4" xfId="19739" xr:uid="{00000000-0005-0000-0000-00000B4D0000}"/>
    <cellStyle name="Normal 11 4 4 2" xfId="19740" xr:uid="{00000000-0005-0000-0000-00000C4D0000}"/>
    <cellStyle name="Normal 11 4 5" xfId="19741" xr:uid="{00000000-0005-0000-0000-00000D4D0000}"/>
    <cellStyle name="Normal 11 4_Steps of Doneness" xfId="19742" xr:uid="{00000000-0005-0000-0000-00000E4D0000}"/>
    <cellStyle name="Normal 11 5" xfId="19743" xr:uid="{00000000-0005-0000-0000-00000F4D0000}"/>
    <cellStyle name="Normal 11 5 2" xfId="19744" xr:uid="{00000000-0005-0000-0000-0000104D0000}"/>
    <cellStyle name="Normal 11 5 2 2" xfId="19745" xr:uid="{00000000-0005-0000-0000-0000114D0000}"/>
    <cellStyle name="Normal 11 5 2 2 2" xfId="19746" xr:uid="{00000000-0005-0000-0000-0000124D0000}"/>
    <cellStyle name="Normal 11 5 2 3" xfId="19747" xr:uid="{00000000-0005-0000-0000-0000134D0000}"/>
    <cellStyle name="Normal 11 5 3" xfId="19748" xr:uid="{00000000-0005-0000-0000-0000144D0000}"/>
    <cellStyle name="Normal 11 5 3 2" xfId="19749" xr:uid="{00000000-0005-0000-0000-0000154D0000}"/>
    <cellStyle name="Normal 11 5 4" xfId="19750" xr:uid="{00000000-0005-0000-0000-0000164D0000}"/>
    <cellStyle name="Normal 11 6" xfId="19751" xr:uid="{00000000-0005-0000-0000-0000174D0000}"/>
    <cellStyle name="Normal 11 6 2" xfId="19752" xr:uid="{00000000-0005-0000-0000-0000184D0000}"/>
    <cellStyle name="Normal 11 6 2 2" xfId="19753" xr:uid="{00000000-0005-0000-0000-0000194D0000}"/>
    <cellStyle name="Normal 11 6 3" xfId="19754" xr:uid="{00000000-0005-0000-0000-00001A4D0000}"/>
    <cellStyle name="Normal 11 7" xfId="19755" xr:uid="{00000000-0005-0000-0000-00001B4D0000}"/>
    <cellStyle name="Normal 11 7 2" xfId="19756" xr:uid="{00000000-0005-0000-0000-00001C4D0000}"/>
    <cellStyle name="Normal 11 8" xfId="19757" xr:uid="{00000000-0005-0000-0000-00001D4D0000}"/>
    <cellStyle name="Normal 11 8 2" xfId="19758" xr:uid="{00000000-0005-0000-0000-00001E4D0000}"/>
    <cellStyle name="Normal 11 9" xfId="19759" xr:uid="{00000000-0005-0000-0000-00001F4D0000}"/>
    <cellStyle name="Normal 11 9 2" xfId="19760" xr:uid="{00000000-0005-0000-0000-0000204D0000}"/>
    <cellStyle name="Normal 11_Steps of Doneness" xfId="19761" xr:uid="{00000000-0005-0000-0000-0000214D0000}"/>
    <cellStyle name="Normal 12" xfId="19762" xr:uid="{00000000-0005-0000-0000-0000224D0000}"/>
    <cellStyle name="Normal 12 2" xfId="19763" xr:uid="{00000000-0005-0000-0000-0000234D0000}"/>
    <cellStyle name="Normal 12 2 2" xfId="19764" xr:uid="{00000000-0005-0000-0000-0000244D0000}"/>
    <cellStyle name="Normal 12 2 3" xfId="19765" xr:uid="{00000000-0005-0000-0000-0000254D0000}"/>
    <cellStyle name="Normal 12 2_Steps of Doneness" xfId="19766" xr:uid="{00000000-0005-0000-0000-0000264D0000}"/>
    <cellStyle name="Normal 12 3" xfId="19767" xr:uid="{00000000-0005-0000-0000-0000274D0000}"/>
    <cellStyle name="Normal 12 4" xfId="19768" xr:uid="{00000000-0005-0000-0000-0000284D0000}"/>
    <cellStyle name="Normal 12_Steps of Doneness" xfId="19769" xr:uid="{00000000-0005-0000-0000-0000294D0000}"/>
    <cellStyle name="Normal 13" xfId="19770" xr:uid="{00000000-0005-0000-0000-00002A4D0000}"/>
    <cellStyle name="Normal 13 2" xfId="19771" xr:uid="{00000000-0005-0000-0000-00002B4D0000}"/>
    <cellStyle name="Normal 13 3" xfId="19772" xr:uid="{00000000-0005-0000-0000-00002C4D0000}"/>
    <cellStyle name="Normal 13_Steps of Doneness" xfId="19773" xr:uid="{00000000-0005-0000-0000-00002D4D0000}"/>
    <cellStyle name="Normal 14" xfId="19774" xr:uid="{00000000-0005-0000-0000-00002E4D0000}"/>
    <cellStyle name="Normal 14 2" xfId="19775" xr:uid="{00000000-0005-0000-0000-00002F4D0000}"/>
    <cellStyle name="Normal 14 2 2" xfId="19776" xr:uid="{00000000-0005-0000-0000-0000304D0000}"/>
    <cellStyle name="Normal 14 2 2 2" xfId="19777" xr:uid="{00000000-0005-0000-0000-0000314D0000}"/>
    <cellStyle name="Normal 14 2 2 2 2" xfId="19778" xr:uid="{00000000-0005-0000-0000-0000324D0000}"/>
    <cellStyle name="Normal 14 2 2 2 2 2" xfId="19779" xr:uid="{00000000-0005-0000-0000-0000334D0000}"/>
    <cellStyle name="Normal 14 2 2 2 3" xfId="19780" xr:uid="{00000000-0005-0000-0000-0000344D0000}"/>
    <cellStyle name="Normal 14 2 2 3" xfId="19781" xr:uid="{00000000-0005-0000-0000-0000354D0000}"/>
    <cellStyle name="Normal 14 2 2 3 2" xfId="19782" xr:uid="{00000000-0005-0000-0000-0000364D0000}"/>
    <cellStyle name="Normal 14 2 2 4" xfId="19783" xr:uid="{00000000-0005-0000-0000-0000374D0000}"/>
    <cellStyle name="Normal 14 2 3" xfId="19784" xr:uid="{00000000-0005-0000-0000-0000384D0000}"/>
    <cellStyle name="Normal 14 2 3 2" xfId="19785" xr:uid="{00000000-0005-0000-0000-0000394D0000}"/>
    <cellStyle name="Normal 14 2 3 2 2" xfId="19786" xr:uid="{00000000-0005-0000-0000-00003A4D0000}"/>
    <cellStyle name="Normal 14 2 3 3" xfId="19787" xr:uid="{00000000-0005-0000-0000-00003B4D0000}"/>
    <cellStyle name="Normal 14 2 4" xfId="19788" xr:uid="{00000000-0005-0000-0000-00003C4D0000}"/>
    <cellStyle name="Normal 14 2 4 2" xfId="19789" xr:uid="{00000000-0005-0000-0000-00003D4D0000}"/>
    <cellStyle name="Normal 14 2 5" xfId="19790" xr:uid="{00000000-0005-0000-0000-00003E4D0000}"/>
    <cellStyle name="Normal 14 2_Steps of Doneness" xfId="19791" xr:uid="{00000000-0005-0000-0000-00003F4D0000}"/>
    <cellStyle name="Normal 14 3" xfId="19792" xr:uid="{00000000-0005-0000-0000-0000404D0000}"/>
    <cellStyle name="Normal 14 3 2" xfId="19793" xr:uid="{00000000-0005-0000-0000-0000414D0000}"/>
    <cellStyle name="Normal 14 3 2 2" xfId="19794" xr:uid="{00000000-0005-0000-0000-0000424D0000}"/>
    <cellStyle name="Normal 14 3 2 2 2" xfId="19795" xr:uid="{00000000-0005-0000-0000-0000434D0000}"/>
    <cellStyle name="Normal 14 3 2 3" xfId="19796" xr:uid="{00000000-0005-0000-0000-0000444D0000}"/>
    <cellStyle name="Normal 14 3 3" xfId="19797" xr:uid="{00000000-0005-0000-0000-0000454D0000}"/>
    <cellStyle name="Normal 14 3 3 2" xfId="19798" xr:uid="{00000000-0005-0000-0000-0000464D0000}"/>
    <cellStyle name="Normal 14 3 4" xfId="19799" xr:uid="{00000000-0005-0000-0000-0000474D0000}"/>
    <cellStyle name="Normal 14 4" xfId="19800" xr:uid="{00000000-0005-0000-0000-0000484D0000}"/>
    <cellStyle name="Normal 14 4 2" xfId="19801" xr:uid="{00000000-0005-0000-0000-0000494D0000}"/>
    <cellStyle name="Normal 14 4 2 2" xfId="19802" xr:uid="{00000000-0005-0000-0000-00004A4D0000}"/>
    <cellStyle name="Normal 14 4 3" xfId="19803" xr:uid="{00000000-0005-0000-0000-00004B4D0000}"/>
    <cellStyle name="Normal 14 5" xfId="19804" xr:uid="{00000000-0005-0000-0000-00004C4D0000}"/>
    <cellStyle name="Normal 14 5 2" xfId="19805" xr:uid="{00000000-0005-0000-0000-00004D4D0000}"/>
    <cellStyle name="Normal 14 6" xfId="19806" xr:uid="{00000000-0005-0000-0000-00004E4D0000}"/>
    <cellStyle name="Normal 14_Steps of Doneness" xfId="19807" xr:uid="{00000000-0005-0000-0000-00004F4D0000}"/>
    <cellStyle name="Normal 15" xfId="19808" xr:uid="{00000000-0005-0000-0000-0000504D0000}"/>
    <cellStyle name="Normal 15 2" xfId="19809" xr:uid="{00000000-0005-0000-0000-0000514D0000}"/>
    <cellStyle name="Normal 15 2 2" xfId="19810" xr:uid="{00000000-0005-0000-0000-0000524D0000}"/>
    <cellStyle name="Normal 15 2 3" xfId="19811" xr:uid="{00000000-0005-0000-0000-0000534D0000}"/>
    <cellStyle name="Normal 15 2_Steps of Doneness" xfId="19812" xr:uid="{00000000-0005-0000-0000-0000544D0000}"/>
    <cellStyle name="Normal 15 3" xfId="19813" xr:uid="{00000000-0005-0000-0000-0000554D0000}"/>
    <cellStyle name="Normal 15 4" xfId="19814" xr:uid="{00000000-0005-0000-0000-0000564D0000}"/>
    <cellStyle name="Normal 15 5" xfId="19815" xr:uid="{00000000-0005-0000-0000-0000574D0000}"/>
    <cellStyle name="Normal 15 6" xfId="19816" xr:uid="{00000000-0005-0000-0000-0000584D0000}"/>
    <cellStyle name="Normal 15_Steps of Doneness" xfId="19817" xr:uid="{00000000-0005-0000-0000-0000594D0000}"/>
    <cellStyle name="Normal 16" xfId="19818" xr:uid="{00000000-0005-0000-0000-00005A4D0000}"/>
    <cellStyle name="Normal 16 2" xfId="19819" xr:uid="{00000000-0005-0000-0000-00005B4D0000}"/>
    <cellStyle name="Normal 16 2 2" xfId="19820" xr:uid="{00000000-0005-0000-0000-00005C4D0000}"/>
    <cellStyle name="Normal 16 2 3" xfId="19821" xr:uid="{00000000-0005-0000-0000-00005D4D0000}"/>
    <cellStyle name="Normal 16 2_Steps of Doneness" xfId="19822" xr:uid="{00000000-0005-0000-0000-00005E4D0000}"/>
    <cellStyle name="Normal 16 3" xfId="19823" xr:uid="{00000000-0005-0000-0000-00005F4D0000}"/>
    <cellStyle name="Normal 16 4" xfId="19824" xr:uid="{00000000-0005-0000-0000-0000604D0000}"/>
    <cellStyle name="Normal 16_Steps of Doneness" xfId="19825" xr:uid="{00000000-0005-0000-0000-0000614D0000}"/>
    <cellStyle name="Normal 17" xfId="19826" xr:uid="{00000000-0005-0000-0000-0000624D0000}"/>
    <cellStyle name="Normal 17 2" xfId="19827" xr:uid="{00000000-0005-0000-0000-0000634D0000}"/>
    <cellStyle name="Normal 17 2 2" xfId="19828" xr:uid="{00000000-0005-0000-0000-0000644D0000}"/>
    <cellStyle name="Normal 17 2 3" xfId="19829" xr:uid="{00000000-0005-0000-0000-0000654D0000}"/>
    <cellStyle name="Normal 17 2_Steps of Doneness" xfId="19830" xr:uid="{00000000-0005-0000-0000-0000664D0000}"/>
    <cellStyle name="Normal 17 3" xfId="19831" xr:uid="{00000000-0005-0000-0000-0000674D0000}"/>
    <cellStyle name="Normal 17 3 2" xfId="19832" xr:uid="{00000000-0005-0000-0000-0000684D0000}"/>
    <cellStyle name="Normal 17 3 3" xfId="19833" xr:uid="{00000000-0005-0000-0000-0000694D0000}"/>
    <cellStyle name="Normal 17 3_Steps of Doneness" xfId="19834" xr:uid="{00000000-0005-0000-0000-00006A4D0000}"/>
    <cellStyle name="Normal 17 4" xfId="19835" xr:uid="{00000000-0005-0000-0000-00006B4D0000}"/>
    <cellStyle name="Normal 17 5" xfId="19836" xr:uid="{00000000-0005-0000-0000-00006C4D0000}"/>
    <cellStyle name="Normal 17 6" xfId="19837" xr:uid="{00000000-0005-0000-0000-00006D4D0000}"/>
    <cellStyle name="Normal 17_Steps of Doneness" xfId="19838" xr:uid="{00000000-0005-0000-0000-00006E4D0000}"/>
    <cellStyle name="Normal 18" xfId="19839" xr:uid="{00000000-0005-0000-0000-00006F4D0000}"/>
    <cellStyle name="Normal 18 2" xfId="19840" xr:uid="{00000000-0005-0000-0000-0000704D0000}"/>
    <cellStyle name="Normal 18 2 2" xfId="19841" xr:uid="{00000000-0005-0000-0000-0000714D0000}"/>
    <cellStyle name="Normal 18 2 3" xfId="19842" xr:uid="{00000000-0005-0000-0000-0000724D0000}"/>
    <cellStyle name="Normal 18 2_Steps of Doneness" xfId="19843" xr:uid="{00000000-0005-0000-0000-0000734D0000}"/>
    <cellStyle name="Normal 18 3" xfId="19844" xr:uid="{00000000-0005-0000-0000-0000744D0000}"/>
    <cellStyle name="Normal 18 4" xfId="19845" xr:uid="{00000000-0005-0000-0000-0000754D0000}"/>
    <cellStyle name="Normal 18_Steps of Doneness" xfId="19846" xr:uid="{00000000-0005-0000-0000-0000764D0000}"/>
    <cellStyle name="Normal 19" xfId="19847" xr:uid="{00000000-0005-0000-0000-0000774D0000}"/>
    <cellStyle name="Normal 19 2" xfId="19848" xr:uid="{00000000-0005-0000-0000-0000784D0000}"/>
    <cellStyle name="Normal 19 2 2" xfId="19849" xr:uid="{00000000-0005-0000-0000-0000794D0000}"/>
    <cellStyle name="Normal 19 2 3" xfId="19850" xr:uid="{00000000-0005-0000-0000-00007A4D0000}"/>
    <cellStyle name="Normal 19 2_Steps of Doneness" xfId="19851" xr:uid="{00000000-0005-0000-0000-00007B4D0000}"/>
    <cellStyle name="Normal 19 3" xfId="19852" xr:uid="{00000000-0005-0000-0000-00007C4D0000}"/>
    <cellStyle name="Normal 19 4" xfId="19853" xr:uid="{00000000-0005-0000-0000-00007D4D0000}"/>
    <cellStyle name="Normal 19_Steps of Doneness" xfId="19854" xr:uid="{00000000-0005-0000-0000-00007E4D0000}"/>
    <cellStyle name="Normal 2" xfId="42" xr:uid="{00000000-0005-0000-0000-00007F4D0000}"/>
    <cellStyle name="Normal 2 10" xfId="19855" xr:uid="{00000000-0005-0000-0000-0000804D0000}"/>
    <cellStyle name="Normal 2 10 2" xfId="19856" xr:uid="{00000000-0005-0000-0000-0000814D0000}"/>
    <cellStyle name="Normal 2 10 2 2" xfId="19857" xr:uid="{00000000-0005-0000-0000-0000824D0000}"/>
    <cellStyle name="Normal 2 10 3" xfId="19858" xr:uid="{00000000-0005-0000-0000-0000834D0000}"/>
    <cellStyle name="Normal 2 11" xfId="19859" xr:uid="{00000000-0005-0000-0000-0000844D0000}"/>
    <cellStyle name="Normal 2 11 2" xfId="19860" xr:uid="{00000000-0005-0000-0000-0000854D0000}"/>
    <cellStyle name="Normal 2 12" xfId="19861" xr:uid="{00000000-0005-0000-0000-0000864D0000}"/>
    <cellStyle name="Normal 2 13" xfId="19862" xr:uid="{00000000-0005-0000-0000-0000874D0000}"/>
    <cellStyle name="Normal 2 14" xfId="19863" xr:uid="{00000000-0005-0000-0000-0000884D0000}"/>
    <cellStyle name="Normal 2 15" xfId="19864" xr:uid="{00000000-0005-0000-0000-0000894D0000}"/>
    <cellStyle name="Normal 2 17" xfId="19865" xr:uid="{00000000-0005-0000-0000-00008A4D0000}"/>
    <cellStyle name="Normal 2 18" xfId="19866" xr:uid="{00000000-0005-0000-0000-00008B4D0000}"/>
    <cellStyle name="Normal 2 2" xfId="19867" xr:uid="{00000000-0005-0000-0000-00008C4D0000}"/>
    <cellStyle name="Normal 2 2 2" xfId="19868" xr:uid="{00000000-0005-0000-0000-00008D4D0000}"/>
    <cellStyle name="Normal 2 2 2 2" xfId="19869" xr:uid="{00000000-0005-0000-0000-00008E4D0000}"/>
    <cellStyle name="Normal 2 2 2 3" xfId="19870" xr:uid="{00000000-0005-0000-0000-00008F4D0000}"/>
    <cellStyle name="Normal 2 2 2_Steps of Doneness" xfId="19871" xr:uid="{00000000-0005-0000-0000-0000904D0000}"/>
    <cellStyle name="Normal 2 2 3" xfId="19872" xr:uid="{00000000-0005-0000-0000-0000914D0000}"/>
    <cellStyle name="Normal 2 2 4" xfId="19873" xr:uid="{00000000-0005-0000-0000-0000924D0000}"/>
    <cellStyle name="Normal 2 2 5" xfId="19874" xr:uid="{00000000-0005-0000-0000-0000934D0000}"/>
    <cellStyle name="Normal 2 2_Steps of Doneness" xfId="19875" xr:uid="{00000000-0005-0000-0000-0000944D0000}"/>
    <cellStyle name="Normal 2 3" xfId="19876" xr:uid="{00000000-0005-0000-0000-0000954D0000}"/>
    <cellStyle name="Normal 2 3 10" xfId="19877" xr:uid="{00000000-0005-0000-0000-0000964D0000}"/>
    <cellStyle name="Normal 2 3 11" xfId="19878" xr:uid="{00000000-0005-0000-0000-0000974D0000}"/>
    <cellStyle name="Normal 2 3 12" xfId="19879" xr:uid="{00000000-0005-0000-0000-0000984D0000}"/>
    <cellStyle name="Normal 2 3 13" xfId="19880" xr:uid="{00000000-0005-0000-0000-0000994D0000}"/>
    <cellStyle name="Normal 2 3 14" xfId="19881" xr:uid="{00000000-0005-0000-0000-00009A4D0000}"/>
    <cellStyle name="Normal 2 3 15" xfId="19882" xr:uid="{00000000-0005-0000-0000-00009B4D0000}"/>
    <cellStyle name="Normal 2 3 2" xfId="19883" xr:uid="{00000000-0005-0000-0000-00009C4D0000}"/>
    <cellStyle name="Normal 2 3 2 2" xfId="19884" xr:uid="{00000000-0005-0000-0000-00009D4D0000}"/>
    <cellStyle name="Normal 2 3 2 3" xfId="19885" xr:uid="{00000000-0005-0000-0000-00009E4D0000}"/>
    <cellStyle name="Normal 2 3 2_Steps of Doneness" xfId="19886" xr:uid="{00000000-0005-0000-0000-00009F4D0000}"/>
    <cellStyle name="Normal 2 3 3" xfId="19887" xr:uid="{00000000-0005-0000-0000-0000A04D0000}"/>
    <cellStyle name="Normal 2 3 3 2" xfId="19888" xr:uid="{00000000-0005-0000-0000-0000A14D0000}"/>
    <cellStyle name="Normal 2 3 3 3" xfId="19889" xr:uid="{00000000-0005-0000-0000-0000A24D0000}"/>
    <cellStyle name="Normal 2 3 3_Steps of Doneness" xfId="19890" xr:uid="{00000000-0005-0000-0000-0000A34D0000}"/>
    <cellStyle name="Normal 2 3 4" xfId="19891" xr:uid="{00000000-0005-0000-0000-0000A44D0000}"/>
    <cellStyle name="Normal 2 3 4 2" xfId="19892" xr:uid="{00000000-0005-0000-0000-0000A54D0000}"/>
    <cellStyle name="Normal 2 3 4_Steps of Doneness" xfId="19893" xr:uid="{00000000-0005-0000-0000-0000A64D0000}"/>
    <cellStyle name="Normal 2 3 5" xfId="19894" xr:uid="{00000000-0005-0000-0000-0000A74D0000}"/>
    <cellStyle name="Normal 2 3 5 2" xfId="19895" xr:uid="{00000000-0005-0000-0000-0000A84D0000}"/>
    <cellStyle name="Normal 2 3 5_Steps of Doneness" xfId="19896" xr:uid="{00000000-0005-0000-0000-0000A94D0000}"/>
    <cellStyle name="Normal 2 3 6" xfId="19897" xr:uid="{00000000-0005-0000-0000-0000AA4D0000}"/>
    <cellStyle name="Normal 2 3 6 2" xfId="19898" xr:uid="{00000000-0005-0000-0000-0000AB4D0000}"/>
    <cellStyle name="Normal 2 3 6_Steps of Doneness" xfId="19899" xr:uid="{00000000-0005-0000-0000-0000AC4D0000}"/>
    <cellStyle name="Normal 2 3 7" xfId="19900" xr:uid="{00000000-0005-0000-0000-0000AD4D0000}"/>
    <cellStyle name="Normal 2 3 7 2" xfId="19901" xr:uid="{00000000-0005-0000-0000-0000AE4D0000}"/>
    <cellStyle name="Normal 2 3 7_Steps of Doneness" xfId="19902" xr:uid="{00000000-0005-0000-0000-0000AF4D0000}"/>
    <cellStyle name="Normal 2 3 8" xfId="19903" xr:uid="{00000000-0005-0000-0000-0000B04D0000}"/>
    <cellStyle name="Normal 2 3 8 2" xfId="19904" xr:uid="{00000000-0005-0000-0000-0000B14D0000}"/>
    <cellStyle name="Normal 2 3 8_Steps of Doneness" xfId="19905" xr:uid="{00000000-0005-0000-0000-0000B24D0000}"/>
    <cellStyle name="Normal 2 3 9" xfId="19906" xr:uid="{00000000-0005-0000-0000-0000B34D0000}"/>
    <cellStyle name="Normal 2 3_Steps of Doneness" xfId="19907" xr:uid="{00000000-0005-0000-0000-0000B44D0000}"/>
    <cellStyle name="Normal 2 4" xfId="19908" xr:uid="{00000000-0005-0000-0000-0000B54D0000}"/>
    <cellStyle name="Normal 2 4 2" xfId="19909" xr:uid="{00000000-0005-0000-0000-0000B64D0000}"/>
    <cellStyle name="Normal 2 4 3" xfId="19910" xr:uid="{00000000-0005-0000-0000-0000B74D0000}"/>
    <cellStyle name="Normal 2 4_Steps of Doneness" xfId="19911" xr:uid="{00000000-0005-0000-0000-0000B84D0000}"/>
    <cellStyle name="Normal 2 5" xfId="19912" xr:uid="{00000000-0005-0000-0000-0000B94D0000}"/>
    <cellStyle name="Normal 2 5 2" xfId="19913" xr:uid="{00000000-0005-0000-0000-0000BA4D0000}"/>
    <cellStyle name="Normal 2 5 2 2" xfId="19914" xr:uid="{00000000-0005-0000-0000-0000BB4D0000}"/>
    <cellStyle name="Normal 2 5 2 3" xfId="19915" xr:uid="{00000000-0005-0000-0000-0000BC4D0000}"/>
    <cellStyle name="Normal 2 5 2_Steps of Doneness" xfId="19916" xr:uid="{00000000-0005-0000-0000-0000BD4D0000}"/>
    <cellStyle name="Normal 2 5 3" xfId="19917" xr:uid="{00000000-0005-0000-0000-0000BE4D0000}"/>
    <cellStyle name="Normal 2 5 4" xfId="19918" xr:uid="{00000000-0005-0000-0000-0000BF4D0000}"/>
    <cellStyle name="Normal 2 5 5" xfId="19919" xr:uid="{00000000-0005-0000-0000-0000C04D0000}"/>
    <cellStyle name="Normal 2 5_Steps of Doneness" xfId="19920" xr:uid="{00000000-0005-0000-0000-0000C14D0000}"/>
    <cellStyle name="Normal 2 6" xfId="19921" xr:uid="{00000000-0005-0000-0000-0000C24D0000}"/>
    <cellStyle name="Normal 2 6 2" xfId="19922" xr:uid="{00000000-0005-0000-0000-0000C34D0000}"/>
    <cellStyle name="Normal 2 6_Steps of Doneness" xfId="19923" xr:uid="{00000000-0005-0000-0000-0000C44D0000}"/>
    <cellStyle name="Normal 2 7" xfId="19924" xr:uid="{00000000-0005-0000-0000-0000C54D0000}"/>
    <cellStyle name="Normal 2 7 2" xfId="19925" xr:uid="{00000000-0005-0000-0000-0000C64D0000}"/>
    <cellStyle name="Normal 2 7 3" xfId="19926" xr:uid="{00000000-0005-0000-0000-0000C74D0000}"/>
    <cellStyle name="Normal 2 7_Steps of Doneness" xfId="19927" xr:uid="{00000000-0005-0000-0000-0000C84D0000}"/>
    <cellStyle name="Normal 2 8" xfId="19928" xr:uid="{00000000-0005-0000-0000-0000C94D0000}"/>
    <cellStyle name="Normal 2 8 2" xfId="19929" xr:uid="{00000000-0005-0000-0000-0000CA4D0000}"/>
    <cellStyle name="Normal 2 8 3" xfId="19930" xr:uid="{00000000-0005-0000-0000-0000CB4D0000}"/>
    <cellStyle name="Normal 2 8_Steps of Doneness" xfId="19931" xr:uid="{00000000-0005-0000-0000-0000CC4D0000}"/>
    <cellStyle name="Normal 2 9" xfId="19932" xr:uid="{00000000-0005-0000-0000-0000CD4D0000}"/>
    <cellStyle name="Normal 2 9 2" xfId="19933" xr:uid="{00000000-0005-0000-0000-0000CE4D0000}"/>
    <cellStyle name="Normal 2 9 2 2" xfId="19934" xr:uid="{00000000-0005-0000-0000-0000CF4D0000}"/>
    <cellStyle name="Normal 2 9 2 2 2" xfId="19935" xr:uid="{00000000-0005-0000-0000-0000D04D0000}"/>
    <cellStyle name="Normal 2 9 2 3" xfId="19936" xr:uid="{00000000-0005-0000-0000-0000D14D0000}"/>
    <cellStyle name="Normal 2 9 3" xfId="19937" xr:uid="{00000000-0005-0000-0000-0000D24D0000}"/>
    <cellStyle name="Normal 2 9 3 2" xfId="19938" xr:uid="{00000000-0005-0000-0000-0000D34D0000}"/>
    <cellStyle name="Normal 2 9 3 2 2" xfId="19939" xr:uid="{00000000-0005-0000-0000-0000D44D0000}"/>
    <cellStyle name="Normal 2 9 3 2 2 2" xfId="19940" xr:uid="{00000000-0005-0000-0000-0000D54D0000}"/>
    <cellStyle name="Normal 2 9 3 2 3" xfId="19941" xr:uid="{00000000-0005-0000-0000-0000D64D0000}"/>
    <cellStyle name="Normal 2 9 3 3" xfId="19942" xr:uid="{00000000-0005-0000-0000-0000D74D0000}"/>
    <cellStyle name="Normal 2 9 3 3 2" xfId="19943" xr:uid="{00000000-0005-0000-0000-0000D84D0000}"/>
    <cellStyle name="Normal 2 9 3 4" xfId="19944" xr:uid="{00000000-0005-0000-0000-0000D94D0000}"/>
    <cellStyle name="Normal 2 9 4" xfId="19945" xr:uid="{00000000-0005-0000-0000-0000DA4D0000}"/>
    <cellStyle name="Normal 2 9 4 2" xfId="19946" xr:uid="{00000000-0005-0000-0000-0000DB4D0000}"/>
    <cellStyle name="Normal 2 9 5" xfId="19947" xr:uid="{00000000-0005-0000-0000-0000DC4D0000}"/>
    <cellStyle name="Normal 2_CC_Test_Framework_Workbook" xfId="19948" xr:uid="{00000000-0005-0000-0000-0000DD4D0000}"/>
    <cellStyle name="Normal 20" xfId="19949" xr:uid="{00000000-0005-0000-0000-0000DE4D0000}"/>
    <cellStyle name="Normal 20 2" xfId="19950" xr:uid="{00000000-0005-0000-0000-0000DF4D0000}"/>
    <cellStyle name="Normal 20 2 2" xfId="19951" xr:uid="{00000000-0005-0000-0000-0000E04D0000}"/>
    <cellStyle name="Normal 20 2 3" xfId="19952" xr:uid="{00000000-0005-0000-0000-0000E14D0000}"/>
    <cellStyle name="Normal 20 2_Steps of Doneness" xfId="19953" xr:uid="{00000000-0005-0000-0000-0000E24D0000}"/>
    <cellStyle name="Normal 20 3" xfId="19954" xr:uid="{00000000-0005-0000-0000-0000E34D0000}"/>
    <cellStyle name="Normal 20 4" xfId="19955" xr:uid="{00000000-0005-0000-0000-0000E44D0000}"/>
    <cellStyle name="Normal 20_Steps of Doneness" xfId="19956" xr:uid="{00000000-0005-0000-0000-0000E54D0000}"/>
    <cellStyle name="Normal 21" xfId="19957" xr:uid="{00000000-0005-0000-0000-0000E64D0000}"/>
    <cellStyle name="Normal 21 2" xfId="19958" xr:uid="{00000000-0005-0000-0000-0000E74D0000}"/>
    <cellStyle name="Normal 21 2 2" xfId="19959" xr:uid="{00000000-0005-0000-0000-0000E84D0000}"/>
    <cellStyle name="Normal 21 2 3" xfId="19960" xr:uid="{00000000-0005-0000-0000-0000E94D0000}"/>
    <cellStyle name="Normal 21 2_Steps of Doneness" xfId="19961" xr:uid="{00000000-0005-0000-0000-0000EA4D0000}"/>
    <cellStyle name="Normal 21 3" xfId="19962" xr:uid="{00000000-0005-0000-0000-0000EB4D0000}"/>
    <cellStyle name="Normal 21 4" xfId="19963" xr:uid="{00000000-0005-0000-0000-0000EC4D0000}"/>
    <cellStyle name="Normal 21_Steps of Doneness" xfId="19964" xr:uid="{00000000-0005-0000-0000-0000ED4D0000}"/>
    <cellStyle name="Normal 22" xfId="19965" xr:uid="{00000000-0005-0000-0000-0000EE4D0000}"/>
    <cellStyle name="Normal 22 2" xfId="19966" xr:uid="{00000000-0005-0000-0000-0000EF4D0000}"/>
    <cellStyle name="Normal 22 2 2" xfId="19967" xr:uid="{00000000-0005-0000-0000-0000F04D0000}"/>
    <cellStyle name="Normal 22 2 3" xfId="19968" xr:uid="{00000000-0005-0000-0000-0000F14D0000}"/>
    <cellStyle name="Normal 22 2_Steps of Doneness" xfId="19969" xr:uid="{00000000-0005-0000-0000-0000F24D0000}"/>
    <cellStyle name="Normal 22 3" xfId="19970" xr:uid="{00000000-0005-0000-0000-0000F34D0000}"/>
    <cellStyle name="Normal 22 4" xfId="19971" xr:uid="{00000000-0005-0000-0000-0000F44D0000}"/>
    <cellStyle name="Normal 22_Steps of Doneness" xfId="19972" xr:uid="{00000000-0005-0000-0000-0000F54D0000}"/>
    <cellStyle name="Normal 23" xfId="19973" xr:uid="{00000000-0005-0000-0000-0000F64D0000}"/>
    <cellStyle name="Normal 23 2" xfId="19974" xr:uid="{00000000-0005-0000-0000-0000F74D0000}"/>
    <cellStyle name="Normal 23 2 2" xfId="19975" xr:uid="{00000000-0005-0000-0000-0000F84D0000}"/>
    <cellStyle name="Normal 23 2 3" xfId="19976" xr:uid="{00000000-0005-0000-0000-0000F94D0000}"/>
    <cellStyle name="Normal 23 2_Steps of Doneness" xfId="19977" xr:uid="{00000000-0005-0000-0000-0000FA4D0000}"/>
    <cellStyle name="Normal 23 3" xfId="19978" xr:uid="{00000000-0005-0000-0000-0000FB4D0000}"/>
    <cellStyle name="Normal 23 4" xfId="19979" xr:uid="{00000000-0005-0000-0000-0000FC4D0000}"/>
    <cellStyle name="Normal 23_Steps of Doneness" xfId="19980" xr:uid="{00000000-0005-0000-0000-0000FD4D0000}"/>
    <cellStyle name="Normal 24" xfId="19981" xr:uid="{00000000-0005-0000-0000-0000FE4D0000}"/>
    <cellStyle name="Normal 24 2" xfId="19982" xr:uid="{00000000-0005-0000-0000-0000FF4D0000}"/>
    <cellStyle name="Normal 24 2 2" xfId="19983" xr:uid="{00000000-0005-0000-0000-0000004E0000}"/>
    <cellStyle name="Normal 24 2 3" xfId="19984" xr:uid="{00000000-0005-0000-0000-0000014E0000}"/>
    <cellStyle name="Normal 24 2_Steps of Doneness" xfId="19985" xr:uid="{00000000-0005-0000-0000-0000024E0000}"/>
    <cellStyle name="Normal 24 3" xfId="19986" xr:uid="{00000000-0005-0000-0000-0000034E0000}"/>
    <cellStyle name="Normal 24 4" xfId="19987" xr:uid="{00000000-0005-0000-0000-0000044E0000}"/>
    <cellStyle name="Normal 24_Steps of Doneness" xfId="19988" xr:uid="{00000000-0005-0000-0000-0000054E0000}"/>
    <cellStyle name="Normal 25" xfId="19989" xr:uid="{00000000-0005-0000-0000-0000064E0000}"/>
    <cellStyle name="Normal 25 2" xfId="19990" xr:uid="{00000000-0005-0000-0000-0000074E0000}"/>
    <cellStyle name="Normal 25 3" xfId="19991" xr:uid="{00000000-0005-0000-0000-0000084E0000}"/>
    <cellStyle name="Normal 25_Steps of Doneness" xfId="19992" xr:uid="{00000000-0005-0000-0000-0000094E0000}"/>
    <cellStyle name="Normal 26" xfId="19993" xr:uid="{00000000-0005-0000-0000-00000A4E0000}"/>
    <cellStyle name="Normal 26 2" xfId="19994" xr:uid="{00000000-0005-0000-0000-00000B4E0000}"/>
    <cellStyle name="Normal 26 2 2" xfId="19995" xr:uid="{00000000-0005-0000-0000-00000C4E0000}"/>
    <cellStyle name="Normal 26 2 3" xfId="19996" xr:uid="{00000000-0005-0000-0000-00000D4E0000}"/>
    <cellStyle name="Normal 26 2_Steps of Doneness" xfId="19997" xr:uid="{00000000-0005-0000-0000-00000E4E0000}"/>
    <cellStyle name="Normal 26 3" xfId="19998" xr:uid="{00000000-0005-0000-0000-00000F4E0000}"/>
    <cellStyle name="Normal 26 4" xfId="19999" xr:uid="{00000000-0005-0000-0000-0000104E0000}"/>
    <cellStyle name="Normal 26_Steps of Doneness" xfId="20000" xr:uid="{00000000-0005-0000-0000-0000114E0000}"/>
    <cellStyle name="Normal 27" xfId="20001" xr:uid="{00000000-0005-0000-0000-0000124E0000}"/>
    <cellStyle name="Normal 27 2" xfId="20002" xr:uid="{00000000-0005-0000-0000-0000134E0000}"/>
    <cellStyle name="Normal 27 2 2" xfId="20003" xr:uid="{00000000-0005-0000-0000-0000144E0000}"/>
    <cellStyle name="Normal 27 2 3" xfId="20004" xr:uid="{00000000-0005-0000-0000-0000154E0000}"/>
    <cellStyle name="Normal 27 2_Steps of Doneness" xfId="20005" xr:uid="{00000000-0005-0000-0000-0000164E0000}"/>
    <cellStyle name="Normal 27 3" xfId="20006" xr:uid="{00000000-0005-0000-0000-0000174E0000}"/>
    <cellStyle name="Normal 27 4" xfId="20007" xr:uid="{00000000-0005-0000-0000-0000184E0000}"/>
    <cellStyle name="Normal 27_Steps of Doneness" xfId="20008" xr:uid="{00000000-0005-0000-0000-0000194E0000}"/>
    <cellStyle name="Normal 28" xfId="20009" xr:uid="{00000000-0005-0000-0000-00001A4E0000}"/>
    <cellStyle name="Normal 28 2" xfId="20010" xr:uid="{00000000-0005-0000-0000-00001B4E0000}"/>
    <cellStyle name="Normal 28 3" xfId="20011" xr:uid="{00000000-0005-0000-0000-00001C4E0000}"/>
    <cellStyle name="Normal 28_Steps of Doneness" xfId="20012" xr:uid="{00000000-0005-0000-0000-00001D4E0000}"/>
    <cellStyle name="Normal 29" xfId="20013" xr:uid="{00000000-0005-0000-0000-00001E4E0000}"/>
    <cellStyle name="Normal 29 2" xfId="20014" xr:uid="{00000000-0005-0000-0000-00001F4E0000}"/>
    <cellStyle name="Normal 29 2 2" xfId="20015" xr:uid="{00000000-0005-0000-0000-0000204E0000}"/>
    <cellStyle name="Normal 29 2 2 2" xfId="20016" xr:uid="{00000000-0005-0000-0000-0000214E0000}"/>
    <cellStyle name="Normal 29 2 2 2 2" xfId="20017" xr:uid="{00000000-0005-0000-0000-0000224E0000}"/>
    <cellStyle name="Normal 29 2 2 3" xfId="20018" xr:uid="{00000000-0005-0000-0000-0000234E0000}"/>
    <cellStyle name="Normal 29 2 3" xfId="20019" xr:uid="{00000000-0005-0000-0000-0000244E0000}"/>
    <cellStyle name="Normal 29 2 3 2" xfId="20020" xr:uid="{00000000-0005-0000-0000-0000254E0000}"/>
    <cellStyle name="Normal 29 2 4" xfId="20021" xr:uid="{00000000-0005-0000-0000-0000264E0000}"/>
    <cellStyle name="Normal 29 3" xfId="20022" xr:uid="{00000000-0005-0000-0000-0000274E0000}"/>
    <cellStyle name="Normal 29 3 2" xfId="20023" xr:uid="{00000000-0005-0000-0000-0000284E0000}"/>
    <cellStyle name="Normal 29 3 2 2" xfId="20024" xr:uid="{00000000-0005-0000-0000-0000294E0000}"/>
    <cellStyle name="Normal 29 3 3" xfId="20025" xr:uid="{00000000-0005-0000-0000-00002A4E0000}"/>
    <cellStyle name="Normal 29 4" xfId="20026" xr:uid="{00000000-0005-0000-0000-00002B4E0000}"/>
    <cellStyle name="Normal 29 4 2" xfId="20027" xr:uid="{00000000-0005-0000-0000-00002C4E0000}"/>
    <cellStyle name="Normal 29 5" xfId="20028" xr:uid="{00000000-0005-0000-0000-00002D4E0000}"/>
    <cellStyle name="Normal 29_Steps of Doneness" xfId="20029" xr:uid="{00000000-0005-0000-0000-00002E4E0000}"/>
    <cellStyle name="Normal 3" xfId="44" xr:uid="{00000000-0005-0000-0000-00002F4E0000}"/>
    <cellStyle name="Normal 3 2" xfId="20030" xr:uid="{00000000-0005-0000-0000-0000304E0000}"/>
    <cellStyle name="Normal 3 2 2" xfId="20031" xr:uid="{00000000-0005-0000-0000-0000314E0000}"/>
    <cellStyle name="Normal 3 2 2 2" xfId="20032" xr:uid="{00000000-0005-0000-0000-0000324E0000}"/>
    <cellStyle name="Normal 3 2 2 2 2" xfId="20033" xr:uid="{00000000-0005-0000-0000-0000334E0000}"/>
    <cellStyle name="Normal 3 2 2 2 2 2" xfId="20034" xr:uid="{00000000-0005-0000-0000-0000344E0000}"/>
    <cellStyle name="Normal 3 2 2 3" xfId="20035" xr:uid="{00000000-0005-0000-0000-0000354E0000}"/>
    <cellStyle name="Normal 3 2 2_Steps of Doneness" xfId="20036" xr:uid="{00000000-0005-0000-0000-0000364E0000}"/>
    <cellStyle name="Normal 3 2 3" xfId="20037" xr:uid="{00000000-0005-0000-0000-0000374E0000}"/>
    <cellStyle name="Normal 3 2 3 2" xfId="20038" xr:uid="{00000000-0005-0000-0000-0000384E0000}"/>
    <cellStyle name="Normal 3 2 3 2 2" xfId="20039" xr:uid="{00000000-0005-0000-0000-0000394E0000}"/>
    <cellStyle name="Normal 3 2 3 2 2 2" xfId="20040" xr:uid="{00000000-0005-0000-0000-00003A4E0000}"/>
    <cellStyle name="Normal 3 2 3 2 2 2 2" xfId="20041" xr:uid="{00000000-0005-0000-0000-00003B4E0000}"/>
    <cellStyle name="Normal 3 2 3 2 2 2 3" xfId="20042" xr:uid="{00000000-0005-0000-0000-00003C4E0000}"/>
    <cellStyle name="Normal 3 2 3 2 2 2_Steps of Doneness" xfId="20043" xr:uid="{00000000-0005-0000-0000-00003D4E0000}"/>
    <cellStyle name="Normal 3 2 3 2 2 3" xfId="20044" xr:uid="{00000000-0005-0000-0000-00003E4E0000}"/>
    <cellStyle name="Normal 3 2 3 2 2 3 2" xfId="20045" xr:uid="{00000000-0005-0000-0000-00003F4E0000}"/>
    <cellStyle name="Normal 3 2 3 2 2 3 3" xfId="20046" xr:uid="{00000000-0005-0000-0000-0000404E0000}"/>
    <cellStyle name="Normal 3 2 3 2 2 3_Steps of Doneness" xfId="20047" xr:uid="{00000000-0005-0000-0000-0000414E0000}"/>
    <cellStyle name="Normal 3 2 3 2 2 4" xfId="20048" xr:uid="{00000000-0005-0000-0000-0000424E0000}"/>
    <cellStyle name="Normal 3 2 3 2 2 4 2" xfId="20049" xr:uid="{00000000-0005-0000-0000-0000434E0000}"/>
    <cellStyle name="Normal 3 2 3 2 2 4_Steps of Doneness" xfId="20050" xr:uid="{00000000-0005-0000-0000-0000444E0000}"/>
    <cellStyle name="Normal 3 2 3 2 2 5" xfId="20051" xr:uid="{00000000-0005-0000-0000-0000454E0000}"/>
    <cellStyle name="Normal 3 2 3 2 2 6" xfId="20052" xr:uid="{00000000-0005-0000-0000-0000464E0000}"/>
    <cellStyle name="Normal 3 2 3 2 2 7" xfId="20053" xr:uid="{00000000-0005-0000-0000-0000474E0000}"/>
    <cellStyle name="Normal 3 2 3 2 2_Steps of Doneness" xfId="20054" xr:uid="{00000000-0005-0000-0000-0000484E0000}"/>
    <cellStyle name="Normal 3 2 3 2 3" xfId="20055" xr:uid="{00000000-0005-0000-0000-0000494E0000}"/>
    <cellStyle name="Normal 3 2 3 2 3 2" xfId="20056" xr:uid="{00000000-0005-0000-0000-00004A4E0000}"/>
    <cellStyle name="Normal 3 2 3 2 3_Steps of Doneness" xfId="20057" xr:uid="{00000000-0005-0000-0000-00004B4E0000}"/>
    <cellStyle name="Normal 3 2 3 2 4" xfId="20058" xr:uid="{00000000-0005-0000-0000-00004C4E0000}"/>
    <cellStyle name="Normal 3 2 3 2 5" xfId="20059" xr:uid="{00000000-0005-0000-0000-00004D4E0000}"/>
    <cellStyle name="Normal 3 2 3 2 6" xfId="20060" xr:uid="{00000000-0005-0000-0000-00004E4E0000}"/>
    <cellStyle name="Normal 3 2 3 2_Steps of Doneness" xfId="20061" xr:uid="{00000000-0005-0000-0000-00004F4E0000}"/>
    <cellStyle name="Normal 3 2 3 3" xfId="20062" xr:uid="{00000000-0005-0000-0000-0000504E0000}"/>
    <cellStyle name="Normal 3 2 3 3 2" xfId="20063" xr:uid="{00000000-0005-0000-0000-0000514E0000}"/>
    <cellStyle name="Normal 3 2 3 3_Steps of Doneness" xfId="20064" xr:uid="{00000000-0005-0000-0000-0000524E0000}"/>
    <cellStyle name="Normal 3 2 3 4" xfId="20065" xr:uid="{00000000-0005-0000-0000-0000534E0000}"/>
    <cellStyle name="Normal 3 2 3 4 2" xfId="20066" xr:uid="{00000000-0005-0000-0000-0000544E0000}"/>
    <cellStyle name="Normal 3 2 3 4_Steps of Doneness" xfId="20067" xr:uid="{00000000-0005-0000-0000-0000554E0000}"/>
    <cellStyle name="Normal 3 2 3 5" xfId="20068" xr:uid="{00000000-0005-0000-0000-0000564E0000}"/>
    <cellStyle name="Normal 3 2 3 5 2" xfId="20069" xr:uid="{00000000-0005-0000-0000-0000574E0000}"/>
    <cellStyle name="Normal 3 2 3 5 3" xfId="20070" xr:uid="{00000000-0005-0000-0000-0000584E0000}"/>
    <cellStyle name="Normal 3 2 3 5_Steps of Doneness" xfId="20071" xr:uid="{00000000-0005-0000-0000-0000594E0000}"/>
    <cellStyle name="Normal 3 2 3 6" xfId="20072" xr:uid="{00000000-0005-0000-0000-00005A4E0000}"/>
    <cellStyle name="Normal 3 2 3 7" xfId="20073" xr:uid="{00000000-0005-0000-0000-00005B4E0000}"/>
    <cellStyle name="Normal 3 2 3_Steps of Doneness" xfId="20074" xr:uid="{00000000-0005-0000-0000-00005C4E0000}"/>
    <cellStyle name="Normal 3 2 4" xfId="20075" xr:uid="{00000000-0005-0000-0000-00005D4E0000}"/>
    <cellStyle name="Normal 3 2 4 2" xfId="20076" xr:uid="{00000000-0005-0000-0000-00005E4E0000}"/>
    <cellStyle name="Normal 3 2 4 3" xfId="20077" xr:uid="{00000000-0005-0000-0000-00005F4E0000}"/>
    <cellStyle name="Normal 3 2 4_Steps of Doneness" xfId="20078" xr:uid="{00000000-0005-0000-0000-0000604E0000}"/>
    <cellStyle name="Normal 3 2 5" xfId="20079" xr:uid="{00000000-0005-0000-0000-0000614E0000}"/>
    <cellStyle name="Normal 3 2 5 2" xfId="20080" xr:uid="{00000000-0005-0000-0000-0000624E0000}"/>
    <cellStyle name="Normal 3 2 5 3" xfId="20081" xr:uid="{00000000-0005-0000-0000-0000634E0000}"/>
    <cellStyle name="Normal 3 2 5_Steps of Doneness" xfId="20082" xr:uid="{00000000-0005-0000-0000-0000644E0000}"/>
    <cellStyle name="Normal 3 2 6" xfId="20083" xr:uid="{00000000-0005-0000-0000-0000654E0000}"/>
    <cellStyle name="Normal 3 2 6 2" xfId="20084" xr:uid="{00000000-0005-0000-0000-0000664E0000}"/>
    <cellStyle name="Normal 3 2 6_Steps of Doneness" xfId="20085" xr:uid="{00000000-0005-0000-0000-0000674E0000}"/>
    <cellStyle name="Normal 3 2 7" xfId="20086" xr:uid="{00000000-0005-0000-0000-0000684E0000}"/>
    <cellStyle name="Normal 3 2 7 2" xfId="20087" xr:uid="{00000000-0005-0000-0000-0000694E0000}"/>
    <cellStyle name="Normal 3 2 7 2 2" xfId="20088" xr:uid="{00000000-0005-0000-0000-00006A4E0000}"/>
    <cellStyle name="Normal 3 2 7 2 2 2" xfId="20089" xr:uid="{00000000-0005-0000-0000-00006B4E0000}"/>
    <cellStyle name="Normal 3 2 7 2 3" xfId="20090" xr:uid="{00000000-0005-0000-0000-00006C4E0000}"/>
    <cellStyle name="Normal 3 2_Steps of Doneness" xfId="20091" xr:uid="{00000000-0005-0000-0000-00006D4E0000}"/>
    <cellStyle name="Normal 3 3" xfId="20092" xr:uid="{00000000-0005-0000-0000-00006E4E0000}"/>
    <cellStyle name="Normal 3 3 2" xfId="20093" xr:uid="{00000000-0005-0000-0000-00006F4E0000}"/>
    <cellStyle name="Normal 3 3 3" xfId="20094" xr:uid="{00000000-0005-0000-0000-0000704E0000}"/>
    <cellStyle name="Normal 3 3_Steps of Doneness" xfId="20095" xr:uid="{00000000-0005-0000-0000-0000714E0000}"/>
    <cellStyle name="Normal 3 4" xfId="20096" xr:uid="{00000000-0005-0000-0000-0000724E0000}"/>
    <cellStyle name="Normal 3 4 2" xfId="20097" xr:uid="{00000000-0005-0000-0000-0000734E0000}"/>
    <cellStyle name="Normal 3 4 2 2" xfId="20098" xr:uid="{00000000-0005-0000-0000-0000744E0000}"/>
    <cellStyle name="Normal 3 4 2 2 2" xfId="20099" xr:uid="{00000000-0005-0000-0000-0000754E0000}"/>
    <cellStyle name="Normal 3 4 2 2 3" xfId="20100" xr:uid="{00000000-0005-0000-0000-0000764E0000}"/>
    <cellStyle name="Normal 3 4 2 2_Steps of Doneness" xfId="20101" xr:uid="{00000000-0005-0000-0000-0000774E0000}"/>
    <cellStyle name="Normal 3 4 2 3" xfId="20102" xr:uid="{00000000-0005-0000-0000-0000784E0000}"/>
    <cellStyle name="Normal 3 4 2 3 2" xfId="20103" xr:uid="{00000000-0005-0000-0000-0000794E0000}"/>
    <cellStyle name="Normal 3 4 2 3 2 2" xfId="20104" xr:uid="{00000000-0005-0000-0000-00007A4E0000}"/>
    <cellStyle name="Normal 3 4 2 3 2_Steps of Doneness" xfId="20105" xr:uid="{00000000-0005-0000-0000-00007B4E0000}"/>
    <cellStyle name="Normal 3 4 2 3 3" xfId="20106" xr:uid="{00000000-0005-0000-0000-00007C4E0000}"/>
    <cellStyle name="Normal 3 4 2 3_Steps of Doneness" xfId="20107" xr:uid="{00000000-0005-0000-0000-00007D4E0000}"/>
    <cellStyle name="Normal 3 4 2 4" xfId="20108" xr:uid="{00000000-0005-0000-0000-00007E4E0000}"/>
    <cellStyle name="Normal 3 4 2 4 2" xfId="20109" xr:uid="{00000000-0005-0000-0000-00007F4E0000}"/>
    <cellStyle name="Normal 3 4 2 4 2 2" xfId="20110" xr:uid="{00000000-0005-0000-0000-0000804E0000}"/>
    <cellStyle name="Normal 3 4 2 4 2 2 2" xfId="20111" xr:uid="{00000000-0005-0000-0000-0000814E0000}"/>
    <cellStyle name="Normal 3 4 2 4 2 2 3" xfId="20112" xr:uid="{00000000-0005-0000-0000-0000824E0000}"/>
    <cellStyle name="Normal 3 4 2 4 2 2_Steps of Doneness" xfId="20113" xr:uid="{00000000-0005-0000-0000-0000834E0000}"/>
    <cellStyle name="Normal 3 4 2 4 2 3" xfId="20114" xr:uid="{00000000-0005-0000-0000-0000844E0000}"/>
    <cellStyle name="Normal 3 4 2 4 2 3 2" xfId="20115" xr:uid="{00000000-0005-0000-0000-0000854E0000}"/>
    <cellStyle name="Normal 3 4 2 4 2 3 3" xfId="20116" xr:uid="{00000000-0005-0000-0000-0000864E0000}"/>
    <cellStyle name="Normal 3 4 2 4 2 3_Steps of Doneness" xfId="20117" xr:uid="{00000000-0005-0000-0000-0000874E0000}"/>
    <cellStyle name="Normal 3 4 2 4 2 4" xfId="20118" xr:uid="{00000000-0005-0000-0000-0000884E0000}"/>
    <cellStyle name="Normal 3 4 2 4 2 4 2" xfId="20119" xr:uid="{00000000-0005-0000-0000-0000894E0000}"/>
    <cellStyle name="Normal 3 4 2 4 2 4_Steps of Doneness" xfId="20120" xr:uid="{00000000-0005-0000-0000-00008A4E0000}"/>
    <cellStyle name="Normal 3 4 2 4 2 5" xfId="20121" xr:uid="{00000000-0005-0000-0000-00008B4E0000}"/>
    <cellStyle name="Normal 3 4 2 4 2 6" xfId="20122" xr:uid="{00000000-0005-0000-0000-00008C4E0000}"/>
    <cellStyle name="Normal 3 4 2 4 2 7" xfId="20123" xr:uid="{00000000-0005-0000-0000-00008D4E0000}"/>
    <cellStyle name="Normal 3 4 2 4 2_Steps of Doneness" xfId="20124" xr:uid="{00000000-0005-0000-0000-00008E4E0000}"/>
    <cellStyle name="Normal 3 4 2 4 3" xfId="20125" xr:uid="{00000000-0005-0000-0000-00008F4E0000}"/>
    <cellStyle name="Normal 3 4 2 4 3 2" xfId="20126" xr:uid="{00000000-0005-0000-0000-0000904E0000}"/>
    <cellStyle name="Normal 3 4 2 4 3_Steps of Doneness" xfId="20127" xr:uid="{00000000-0005-0000-0000-0000914E0000}"/>
    <cellStyle name="Normal 3 4 2 4 4" xfId="20128" xr:uid="{00000000-0005-0000-0000-0000924E0000}"/>
    <cellStyle name="Normal 3 4 2 4 5" xfId="20129" xr:uid="{00000000-0005-0000-0000-0000934E0000}"/>
    <cellStyle name="Normal 3 4 2 4 6" xfId="20130" xr:uid="{00000000-0005-0000-0000-0000944E0000}"/>
    <cellStyle name="Normal 3 4 2 4_Steps of Doneness" xfId="20131" xr:uid="{00000000-0005-0000-0000-0000954E0000}"/>
    <cellStyle name="Normal 3 4 2 5" xfId="20132" xr:uid="{00000000-0005-0000-0000-0000964E0000}"/>
    <cellStyle name="Normal 3 4 2 6" xfId="20133" xr:uid="{00000000-0005-0000-0000-0000974E0000}"/>
    <cellStyle name="Normal 3 4 2_Steps of Doneness" xfId="20134" xr:uid="{00000000-0005-0000-0000-0000984E0000}"/>
    <cellStyle name="Normal 3 4 3" xfId="20135" xr:uid="{00000000-0005-0000-0000-0000994E0000}"/>
    <cellStyle name="Normal 3 4 4" xfId="20136" xr:uid="{00000000-0005-0000-0000-00009A4E0000}"/>
    <cellStyle name="Normal 3 4_Steps of Doneness" xfId="20137" xr:uid="{00000000-0005-0000-0000-00009B4E0000}"/>
    <cellStyle name="Normal 3 5" xfId="20138" xr:uid="{00000000-0005-0000-0000-00009C4E0000}"/>
    <cellStyle name="Normal 3 6" xfId="20139" xr:uid="{00000000-0005-0000-0000-00009D4E0000}"/>
    <cellStyle name="Normal 3 6 2" xfId="20140" xr:uid="{00000000-0005-0000-0000-00009E4E0000}"/>
    <cellStyle name="Normal 3 6 2 2" xfId="20141" xr:uid="{00000000-0005-0000-0000-00009F4E0000}"/>
    <cellStyle name="Normal 3 6 2 2 2" xfId="20142" xr:uid="{00000000-0005-0000-0000-0000A04E0000}"/>
    <cellStyle name="Normal 3 6 2 3" xfId="20143" xr:uid="{00000000-0005-0000-0000-0000A14E0000}"/>
    <cellStyle name="Normal 3 6 3" xfId="20144" xr:uid="{00000000-0005-0000-0000-0000A24E0000}"/>
    <cellStyle name="Normal 3 6 3 2" xfId="20145" xr:uid="{00000000-0005-0000-0000-0000A34E0000}"/>
    <cellStyle name="Normal 3 6 3 3" xfId="21720" xr:uid="{00000000-0005-0000-0000-0000A44E0000}"/>
    <cellStyle name="Normal 3 6 4" xfId="20146" xr:uid="{00000000-0005-0000-0000-0000A54E0000}"/>
    <cellStyle name="Normal 3_CC_Test_Framework_Workbook" xfId="20147" xr:uid="{00000000-0005-0000-0000-0000A64E0000}"/>
    <cellStyle name="Normal 30" xfId="20148" xr:uid="{00000000-0005-0000-0000-0000A74E0000}"/>
    <cellStyle name="Normal 30 2" xfId="20149" xr:uid="{00000000-0005-0000-0000-0000A84E0000}"/>
    <cellStyle name="Normal 30 2 2" xfId="20150" xr:uid="{00000000-0005-0000-0000-0000A94E0000}"/>
    <cellStyle name="Normal 30 2 2 2" xfId="20151" xr:uid="{00000000-0005-0000-0000-0000AA4E0000}"/>
    <cellStyle name="Normal 30 2 2 2 2" xfId="20152" xr:uid="{00000000-0005-0000-0000-0000AB4E0000}"/>
    <cellStyle name="Normal 30 2 2 2 2 2" xfId="20153" xr:uid="{00000000-0005-0000-0000-0000AC4E0000}"/>
    <cellStyle name="Normal 30 2 2 2 3" xfId="20154" xr:uid="{00000000-0005-0000-0000-0000AD4E0000}"/>
    <cellStyle name="Normal 30 2 2 3" xfId="20155" xr:uid="{00000000-0005-0000-0000-0000AE4E0000}"/>
    <cellStyle name="Normal 30 2 2 3 2" xfId="20156" xr:uid="{00000000-0005-0000-0000-0000AF4E0000}"/>
    <cellStyle name="Normal 30 2 2 4" xfId="20157" xr:uid="{00000000-0005-0000-0000-0000B04E0000}"/>
    <cellStyle name="Normal 30 2 3" xfId="20158" xr:uid="{00000000-0005-0000-0000-0000B14E0000}"/>
    <cellStyle name="Normal 30 2 3 2" xfId="20159" xr:uid="{00000000-0005-0000-0000-0000B24E0000}"/>
    <cellStyle name="Normal 30 2 3 2 2" xfId="20160" xr:uid="{00000000-0005-0000-0000-0000B34E0000}"/>
    <cellStyle name="Normal 30 2 3 3" xfId="20161" xr:uid="{00000000-0005-0000-0000-0000B44E0000}"/>
    <cellStyle name="Normal 30 2 4" xfId="20162" xr:uid="{00000000-0005-0000-0000-0000B54E0000}"/>
    <cellStyle name="Normal 30 2 4 2" xfId="20163" xr:uid="{00000000-0005-0000-0000-0000B64E0000}"/>
    <cellStyle name="Normal 30 2 5" xfId="20164" xr:uid="{00000000-0005-0000-0000-0000B74E0000}"/>
    <cellStyle name="Normal 30 2_Steps of Doneness" xfId="20165" xr:uid="{00000000-0005-0000-0000-0000B84E0000}"/>
    <cellStyle name="Normal 30 3" xfId="20166" xr:uid="{00000000-0005-0000-0000-0000B94E0000}"/>
    <cellStyle name="Normal 30 3 2" xfId="20167" xr:uid="{00000000-0005-0000-0000-0000BA4E0000}"/>
    <cellStyle name="Normal 30 3 2 2" xfId="20168" xr:uid="{00000000-0005-0000-0000-0000BB4E0000}"/>
    <cellStyle name="Normal 30 3 2 2 2" xfId="20169" xr:uid="{00000000-0005-0000-0000-0000BC4E0000}"/>
    <cellStyle name="Normal 30 3 2 3" xfId="20170" xr:uid="{00000000-0005-0000-0000-0000BD4E0000}"/>
    <cellStyle name="Normal 30 3 3" xfId="20171" xr:uid="{00000000-0005-0000-0000-0000BE4E0000}"/>
    <cellStyle name="Normal 30 3 3 2" xfId="20172" xr:uid="{00000000-0005-0000-0000-0000BF4E0000}"/>
    <cellStyle name="Normal 30 3 4" xfId="20173" xr:uid="{00000000-0005-0000-0000-0000C04E0000}"/>
    <cellStyle name="Normal 30 4" xfId="20174" xr:uid="{00000000-0005-0000-0000-0000C14E0000}"/>
    <cellStyle name="Normal 30 4 2" xfId="20175" xr:uid="{00000000-0005-0000-0000-0000C24E0000}"/>
    <cellStyle name="Normal 30 4 2 2" xfId="20176" xr:uid="{00000000-0005-0000-0000-0000C34E0000}"/>
    <cellStyle name="Normal 30 4 3" xfId="20177" xr:uid="{00000000-0005-0000-0000-0000C44E0000}"/>
    <cellStyle name="Normal 30 5" xfId="20178" xr:uid="{00000000-0005-0000-0000-0000C54E0000}"/>
    <cellStyle name="Normal 30 5 2" xfId="20179" xr:uid="{00000000-0005-0000-0000-0000C64E0000}"/>
    <cellStyle name="Normal 30 6" xfId="20180" xr:uid="{00000000-0005-0000-0000-0000C74E0000}"/>
    <cellStyle name="Normal 30_Steps of Doneness" xfId="20181" xr:uid="{00000000-0005-0000-0000-0000C84E0000}"/>
    <cellStyle name="Normal 31" xfId="20182" xr:uid="{00000000-0005-0000-0000-0000C94E0000}"/>
    <cellStyle name="Normal 31 2" xfId="20183" xr:uid="{00000000-0005-0000-0000-0000CA4E0000}"/>
    <cellStyle name="Normal 31 2 2" xfId="20184" xr:uid="{00000000-0005-0000-0000-0000CB4E0000}"/>
    <cellStyle name="Normal 31 2 3" xfId="20185" xr:uid="{00000000-0005-0000-0000-0000CC4E0000}"/>
    <cellStyle name="Normal 31 2_Steps of Doneness" xfId="20186" xr:uid="{00000000-0005-0000-0000-0000CD4E0000}"/>
    <cellStyle name="Normal 31 3" xfId="20187" xr:uid="{00000000-0005-0000-0000-0000CE4E0000}"/>
    <cellStyle name="Normal 31 4" xfId="20188" xr:uid="{00000000-0005-0000-0000-0000CF4E0000}"/>
    <cellStyle name="Normal 31_Steps of Doneness" xfId="20189" xr:uid="{00000000-0005-0000-0000-0000D04E0000}"/>
    <cellStyle name="Normal 32" xfId="20190" xr:uid="{00000000-0005-0000-0000-0000D14E0000}"/>
    <cellStyle name="Normal 32 2" xfId="20191" xr:uid="{00000000-0005-0000-0000-0000D24E0000}"/>
    <cellStyle name="Normal 32 3" xfId="20192" xr:uid="{00000000-0005-0000-0000-0000D34E0000}"/>
    <cellStyle name="Normal 32_Steps of Doneness" xfId="20193" xr:uid="{00000000-0005-0000-0000-0000D44E0000}"/>
    <cellStyle name="Normal 33" xfId="20194" xr:uid="{00000000-0005-0000-0000-0000D54E0000}"/>
    <cellStyle name="Normal 33 2" xfId="20195" xr:uid="{00000000-0005-0000-0000-0000D64E0000}"/>
    <cellStyle name="Normal 33 3" xfId="20196" xr:uid="{00000000-0005-0000-0000-0000D74E0000}"/>
    <cellStyle name="Normal 33_Steps of Doneness" xfId="20197" xr:uid="{00000000-0005-0000-0000-0000D84E0000}"/>
    <cellStyle name="Normal 34" xfId="20198" xr:uid="{00000000-0005-0000-0000-0000D94E0000}"/>
    <cellStyle name="Normal 34 2" xfId="20199" xr:uid="{00000000-0005-0000-0000-0000DA4E0000}"/>
    <cellStyle name="Normal 34 2 2" xfId="20200" xr:uid="{00000000-0005-0000-0000-0000DB4E0000}"/>
    <cellStyle name="Normal 34 2 2 2" xfId="20201" xr:uid="{00000000-0005-0000-0000-0000DC4E0000}"/>
    <cellStyle name="Normal 34 2 3" xfId="20202" xr:uid="{00000000-0005-0000-0000-0000DD4E0000}"/>
    <cellStyle name="Normal 34 3" xfId="20203" xr:uid="{00000000-0005-0000-0000-0000DE4E0000}"/>
    <cellStyle name="Normal 34 3 2" xfId="20204" xr:uid="{00000000-0005-0000-0000-0000DF4E0000}"/>
    <cellStyle name="Normal 34 4" xfId="20205" xr:uid="{00000000-0005-0000-0000-0000E04E0000}"/>
    <cellStyle name="Normal 35" xfId="20206" xr:uid="{00000000-0005-0000-0000-0000E14E0000}"/>
    <cellStyle name="Normal 35 2" xfId="20207" xr:uid="{00000000-0005-0000-0000-0000E24E0000}"/>
    <cellStyle name="Normal 35 2 2" xfId="20208" xr:uid="{00000000-0005-0000-0000-0000E34E0000}"/>
    <cellStyle name="Normal 35 2 2 2" xfId="20209" xr:uid="{00000000-0005-0000-0000-0000E44E0000}"/>
    <cellStyle name="Normal 35 2 3" xfId="20210" xr:uid="{00000000-0005-0000-0000-0000E54E0000}"/>
    <cellStyle name="Normal 35 3" xfId="20211" xr:uid="{00000000-0005-0000-0000-0000E64E0000}"/>
    <cellStyle name="Normal 35 3 2" xfId="20212" xr:uid="{00000000-0005-0000-0000-0000E74E0000}"/>
    <cellStyle name="Normal 35 4" xfId="20213" xr:uid="{00000000-0005-0000-0000-0000E84E0000}"/>
    <cellStyle name="Normal 36" xfId="20214" xr:uid="{00000000-0005-0000-0000-0000E94E0000}"/>
    <cellStyle name="Normal 36 2" xfId="20215" xr:uid="{00000000-0005-0000-0000-0000EA4E0000}"/>
    <cellStyle name="Normal 36 3" xfId="20216" xr:uid="{00000000-0005-0000-0000-0000EB4E0000}"/>
    <cellStyle name="Normal 36_Steps of Doneness" xfId="20217" xr:uid="{00000000-0005-0000-0000-0000EC4E0000}"/>
    <cellStyle name="Normal 37" xfId="20218" xr:uid="{00000000-0005-0000-0000-0000ED4E0000}"/>
    <cellStyle name="Normal 37 2" xfId="20219" xr:uid="{00000000-0005-0000-0000-0000EE4E0000}"/>
    <cellStyle name="Normal 37 2 2" xfId="20220" xr:uid="{00000000-0005-0000-0000-0000EF4E0000}"/>
    <cellStyle name="Normal 37 2 2 2" xfId="20221" xr:uid="{00000000-0005-0000-0000-0000F04E0000}"/>
    <cellStyle name="Normal 37 2 3" xfId="20222" xr:uid="{00000000-0005-0000-0000-0000F14E0000}"/>
    <cellStyle name="Normal 37 3" xfId="20223" xr:uid="{00000000-0005-0000-0000-0000F24E0000}"/>
    <cellStyle name="Normal 37 3 2" xfId="20224" xr:uid="{00000000-0005-0000-0000-0000F34E0000}"/>
    <cellStyle name="Normal 37 4" xfId="20225" xr:uid="{00000000-0005-0000-0000-0000F44E0000}"/>
    <cellStyle name="Normal 38" xfId="20226" xr:uid="{00000000-0005-0000-0000-0000F54E0000}"/>
    <cellStyle name="Normal 38 2" xfId="20227" xr:uid="{00000000-0005-0000-0000-0000F64E0000}"/>
    <cellStyle name="Normal 38 3" xfId="20228" xr:uid="{00000000-0005-0000-0000-0000F74E0000}"/>
    <cellStyle name="Normal 38_Steps of Doneness" xfId="20229" xr:uid="{00000000-0005-0000-0000-0000F84E0000}"/>
    <cellStyle name="Normal 39" xfId="20230" xr:uid="{00000000-0005-0000-0000-0000F94E0000}"/>
    <cellStyle name="Normal 39 2" xfId="20231" xr:uid="{00000000-0005-0000-0000-0000FA4E0000}"/>
    <cellStyle name="Normal 39 3" xfId="20232" xr:uid="{00000000-0005-0000-0000-0000FB4E0000}"/>
    <cellStyle name="Normal 39_Steps of Doneness" xfId="20233" xr:uid="{00000000-0005-0000-0000-0000FC4E0000}"/>
    <cellStyle name="Normal 4" xfId="86" xr:uid="{00000000-0005-0000-0000-0000FD4E0000}"/>
    <cellStyle name="Normal 4 2" xfId="20234" xr:uid="{00000000-0005-0000-0000-0000FE4E0000}"/>
    <cellStyle name="Normal 4 2 2" xfId="20235" xr:uid="{00000000-0005-0000-0000-0000FF4E0000}"/>
    <cellStyle name="Normal 4 2 2 2" xfId="20236" xr:uid="{00000000-0005-0000-0000-0000004F0000}"/>
    <cellStyle name="Normal 4 2 2 2 2" xfId="20237" xr:uid="{00000000-0005-0000-0000-0000014F0000}"/>
    <cellStyle name="Normal 4 2 2 2 2 2" xfId="20238" xr:uid="{00000000-0005-0000-0000-0000024F0000}"/>
    <cellStyle name="Normal 4 2 2 2 2 2 2" xfId="20239" xr:uid="{00000000-0005-0000-0000-0000034F0000}"/>
    <cellStyle name="Normal 4 2 2 2 2 2 2 2" xfId="20240" xr:uid="{00000000-0005-0000-0000-0000044F0000}"/>
    <cellStyle name="Normal 4 2 2 2 2 2 3" xfId="20241" xr:uid="{00000000-0005-0000-0000-0000054F0000}"/>
    <cellStyle name="Normal 4 2 2 2 2 3" xfId="20242" xr:uid="{00000000-0005-0000-0000-0000064F0000}"/>
    <cellStyle name="Normal 4 2 2 2 2 3 2" xfId="20243" xr:uid="{00000000-0005-0000-0000-0000074F0000}"/>
    <cellStyle name="Normal 4 2 2 2 2 4" xfId="20244" xr:uid="{00000000-0005-0000-0000-0000084F0000}"/>
    <cellStyle name="Normal 4 2 2 2 3" xfId="20245" xr:uid="{00000000-0005-0000-0000-0000094F0000}"/>
    <cellStyle name="Normal 4 2 2 2 3 2" xfId="20246" xr:uid="{00000000-0005-0000-0000-00000A4F0000}"/>
    <cellStyle name="Normal 4 2 2 2 3 2 2" xfId="20247" xr:uid="{00000000-0005-0000-0000-00000B4F0000}"/>
    <cellStyle name="Normal 4 2 2 2 3 3" xfId="20248" xr:uid="{00000000-0005-0000-0000-00000C4F0000}"/>
    <cellStyle name="Normal 4 2 2 2 4" xfId="20249" xr:uid="{00000000-0005-0000-0000-00000D4F0000}"/>
    <cellStyle name="Normal 4 2 2 2 4 2" xfId="20250" xr:uid="{00000000-0005-0000-0000-00000E4F0000}"/>
    <cellStyle name="Normal 4 2 2 2 5" xfId="20251" xr:uid="{00000000-0005-0000-0000-00000F4F0000}"/>
    <cellStyle name="Normal 4 2 2 2_Steps of Doneness" xfId="20252" xr:uid="{00000000-0005-0000-0000-0000104F0000}"/>
    <cellStyle name="Normal 4 2 2 3" xfId="20253" xr:uid="{00000000-0005-0000-0000-0000114F0000}"/>
    <cellStyle name="Normal 4 2 2 3 2" xfId="20254" xr:uid="{00000000-0005-0000-0000-0000124F0000}"/>
    <cellStyle name="Normal 4 2 2 3 2 2" xfId="20255" xr:uid="{00000000-0005-0000-0000-0000134F0000}"/>
    <cellStyle name="Normal 4 2 2 3 2 2 2" xfId="20256" xr:uid="{00000000-0005-0000-0000-0000144F0000}"/>
    <cellStyle name="Normal 4 2 2 3 2 3" xfId="20257" xr:uid="{00000000-0005-0000-0000-0000154F0000}"/>
    <cellStyle name="Normal 4 2 2 3 3" xfId="20258" xr:uid="{00000000-0005-0000-0000-0000164F0000}"/>
    <cellStyle name="Normal 4 2 2 3 3 2" xfId="20259" xr:uid="{00000000-0005-0000-0000-0000174F0000}"/>
    <cellStyle name="Normal 4 2 2 3 4" xfId="20260" xr:uid="{00000000-0005-0000-0000-0000184F0000}"/>
    <cellStyle name="Normal 4 2 2 4" xfId="20261" xr:uid="{00000000-0005-0000-0000-0000194F0000}"/>
    <cellStyle name="Normal 4 2 2 4 2" xfId="20262" xr:uid="{00000000-0005-0000-0000-00001A4F0000}"/>
    <cellStyle name="Normal 4 2 2 4 2 2" xfId="20263" xr:uid="{00000000-0005-0000-0000-00001B4F0000}"/>
    <cellStyle name="Normal 4 2 2 4 3" xfId="20264" xr:uid="{00000000-0005-0000-0000-00001C4F0000}"/>
    <cellStyle name="Normal 4 2 2 5" xfId="20265" xr:uid="{00000000-0005-0000-0000-00001D4F0000}"/>
    <cellStyle name="Normal 4 2 2 5 2" xfId="20266" xr:uid="{00000000-0005-0000-0000-00001E4F0000}"/>
    <cellStyle name="Normal 4 2 2 6" xfId="20267" xr:uid="{00000000-0005-0000-0000-00001F4F0000}"/>
    <cellStyle name="Normal 4 2 2_Steps of Doneness" xfId="20268" xr:uid="{00000000-0005-0000-0000-0000204F0000}"/>
    <cellStyle name="Normal 4 2 3" xfId="20269" xr:uid="{00000000-0005-0000-0000-0000214F0000}"/>
    <cellStyle name="Normal 4 2 3 2" xfId="20270" xr:uid="{00000000-0005-0000-0000-0000224F0000}"/>
    <cellStyle name="Normal 4 2 3 2 2" xfId="20271" xr:uid="{00000000-0005-0000-0000-0000234F0000}"/>
    <cellStyle name="Normal 4 2 3 2 2 2" xfId="20272" xr:uid="{00000000-0005-0000-0000-0000244F0000}"/>
    <cellStyle name="Normal 4 2 3 2 2 2 2" xfId="20273" xr:uid="{00000000-0005-0000-0000-0000254F0000}"/>
    <cellStyle name="Normal 4 2 3 2 2 3" xfId="20274" xr:uid="{00000000-0005-0000-0000-0000264F0000}"/>
    <cellStyle name="Normal 4 2 3 2 3" xfId="20275" xr:uid="{00000000-0005-0000-0000-0000274F0000}"/>
    <cellStyle name="Normal 4 2 3 2 3 2" xfId="20276" xr:uid="{00000000-0005-0000-0000-0000284F0000}"/>
    <cellStyle name="Normal 4 2 3 2 4" xfId="20277" xr:uid="{00000000-0005-0000-0000-0000294F0000}"/>
    <cellStyle name="Normal 4 2 3 3" xfId="20278" xr:uid="{00000000-0005-0000-0000-00002A4F0000}"/>
    <cellStyle name="Normal 4 2 3 3 2" xfId="20279" xr:uid="{00000000-0005-0000-0000-00002B4F0000}"/>
    <cellStyle name="Normal 4 2 3 3 2 2" xfId="20280" xr:uid="{00000000-0005-0000-0000-00002C4F0000}"/>
    <cellStyle name="Normal 4 2 3 3 3" xfId="20281" xr:uid="{00000000-0005-0000-0000-00002D4F0000}"/>
    <cellStyle name="Normal 4 2 3 4" xfId="20282" xr:uid="{00000000-0005-0000-0000-00002E4F0000}"/>
    <cellStyle name="Normal 4 2 3 4 2" xfId="20283" xr:uid="{00000000-0005-0000-0000-00002F4F0000}"/>
    <cellStyle name="Normal 4 2 3 5" xfId="20284" xr:uid="{00000000-0005-0000-0000-0000304F0000}"/>
    <cellStyle name="Normal 4 2 3_Steps of Doneness" xfId="20285" xr:uid="{00000000-0005-0000-0000-0000314F0000}"/>
    <cellStyle name="Normal 4 2 4" xfId="20286" xr:uid="{00000000-0005-0000-0000-0000324F0000}"/>
    <cellStyle name="Normal 4 2 4 2" xfId="20287" xr:uid="{00000000-0005-0000-0000-0000334F0000}"/>
    <cellStyle name="Normal 4 2 4 2 2" xfId="20288" xr:uid="{00000000-0005-0000-0000-0000344F0000}"/>
    <cellStyle name="Normal 4 2 4 2 2 2" xfId="20289" xr:uid="{00000000-0005-0000-0000-0000354F0000}"/>
    <cellStyle name="Normal 4 2 4 2 3" xfId="20290" xr:uid="{00000000-0005-0000-0000-0000364F0000}"/>
    <cellStyle name="Normal 4 2 4 3" xfId="20291" xr:uid="{00000000-0005-0000-0000-0000374F0000}"/>
    <cellStyle name="Normal 4 2 4 3 2" xfId="20292" xr:uid="{00000000-0005-0000-0000-0000384F0000}"/>
    <cellStyle name="Normal 4 2 4 4" xfId="20293" xr:uid="{00000000-0005-0000-0000-0000394F0000}"/>
    <cellStyle name="Normal 4 2 5" xfId="20294" xr:uid="{00000000-0005-0000-0000-00003A4F0000}"/>
    <cellStyle name="Normal 4 2 5 2" xfId="20295" xr:uid="{00000000-0005-0000-0000-00003B4F0000}"/>
    <cellStyle name="Normal 4 2 5 2 2" xfId="20296" xr:uid="{00000000-0005-0000-0000-00003C4F0000}"/>
    <cellStyle name="Normal 4 2 5 3" xfId="20297" xr:uid="{00000000-0005-0000-0000-00003D4F0000}"/>
    <cellStyle name="Normal 4 2 6" xfId="20298" xr:uid="{00000000-0005-0000-0000-00003E4F0000}"/>
    <cellStyle name="Normal 4 2 6 2" xfId="20299" xr:uid="{00000000-0005-0000-0000-00003F4F0000}"/>
    <cellStyle name="Normal 4 2 7" xfId="20300" xr:uid="{00000000-0005-0000-0000-0000404F0000}"/>
    <cellStyle name="Normal 4 2_Commissioning System Implementation_Project Workbook_06_10_2011" xfId="20301" xr:uid="{00000000-0005-0000-0000-0000414F0000}"/>
    <cellStyle name="Normal 4 3" xfId="20302" xr:uid="{00000000-0005-0000-0000-0000424F0000}"/>
    <cellStyle name="Normal 4 3 2" xfId="20303" xr:uid="{00000000-0005-0000-0000-0000434F0000}"/>
    <cellStyle name="Normal 4 3 2 2" xfId="20304" xr:uid="{00000000-0005-0000-0000-0000444F0000}"/>
    <cellStyle name="Normal 4 3 2 2 2" xfId="20305" xr:uid="{00000000-0005-0000-0000-0000454F0000}"/>
    <cellStyle name="Normal 4 3 2 2 2 2" xfId="20306" xr:uid="{00000000-0005-0000-0000-0000464F0000}"/>
    <cellStyle name="Normal 4 3 2 2 2 2 2" xfId="20307" xr:uid="{00000000-0005-0000-0000-0000474F0000}"/>
    <cellStyle name="Normal 4 3 2 2 2 3" xfId="20308" xr:uid="{00000000-0005-0000-0000-0000484F0000}"/>
    <cellStyle name="Normal 4 3 2 2 3" xfId="20309" xr:uid="{00000000-0005-0000-0000-0000494F0000}"/>
    <cellStyle name="Normal 4 3 2 2 3 2" xfId="20310" xr:uid="{00000000-0005-0000-0000-00004A4F0000}"/>
    <cellStyle name="Normal 4 3 2 2 4" xfId="20311" xr:uid="{00000000-0005-0000-0000-00004B4F0000}"/>
    <cellStyle name="Normal 4 3 2 3" xfId="20312" xr:uid="{00000000-0005-0000-0000-00004C4F0000}"/>
    <cellStyle name="Normal 4 3 2 3 2" xfId="20313" xr:uid="{00000000-0005-0000-0000-00004D4F0000}"/>
    <cellStyle name="Normal 4 3 2 3 2 2" xfId="20314" xr:uid="{00000000-0005-0000-0000-00004E4F0000}"/>
    <cellStyle name="Normal 4 3 2 3 3" xfId="20315" xr:uid="{00000000-0005-0000-0000-00004F4F0000}"/>
    <cellStyle name="Normal 4 3 2 4" xfId="20316" xr:uid="{00000000-0005-0000-0000-0000504F0000}"/>
    <cellStyle name="Normal 4 3 2 4 2" xfId="20317" xr:uid="{00000000-0005-0000-0000-0000514F0000}"/>
    <cellStyle name="Normal 4 3 2 5" xfId="20318" xr:uid="{00000000-0005-0000-0000-0000524F0000}"/>
    <cellStyle name="Normal 4 3 2_Steps of Doneness" xfId="20319" xr:uid="{00000000-0005-0000-0000-0000534F0000}"/>
    <cellStyle name="Normal 4 3 3" xfId="20320" xr:uid="{00000000-0005-0000-0000-0000544F0000}"/>
    <cellStyle name="Normal 4 3 3 2" xfId="20321" xr:uid="{00000000-0005-0000-0000-0000554F0000}"/>
    <cellStyle name="Normal 4 3 3 2 2" xfId="20322" xr:uid="{00000000-0005-0000-0000-0000564F0000}"/>
    <cellStyle name="Normal 4 3 3 2 2 2" xfId="20323" xr:uid="{00000000-0005-0000-0000-0000574F0000}"/>
    <cellStyle name="Normal 4 3 3 2 3" xfId="20324" xr:uid="{00000000-0005-0000-0000-0000584F0000}"/>
    <cellStyle name="Normal 4 3 3 3" xfId="20325" xr:uid="{00000000-0005-0000-0000-0000594F0000}"/>
    <cellStyle name="Normal 4 3 3 3 2" xfId="20326" xr:uid="{00000000-0005-0000-0000-00005A4F0000}"/>
    <cellStyle name="Normal 4 3 3 4" xfId="20327" xr:uid="{00000000-0005-0000-0000-00005B4F0000}"/>
    <cellStyle name="Normal 4 3 4" xfId="20328" xr:uid="{00000000-0005-0000-0000-00005C4F0000}"/>
    <cellStyle name="Normal 4 3 4 2" xfId="20329" xr:uid="{00000000-0005-0000-0000-00005D4F0000}"/>
    <cellStyle name="Normal 4 3 4 2 2" xfId="20330" xr:uid="{00000000-0005-0000-0000-00005E4F0000}"/>
    <cellStyle name="Normal 4 3 4 3" xfId="20331" xr:uid="{00000000-0005-0000-0000-00005F4F0000}"/>
    <cellStyle name="Normal 4 3 5" xfId="20332" xr:uid="{00000000-0005-0000-0000-0000604F0000}"/>
    <cellStyle name="Normal 4 3 5 2" xfId="20333" xr:uid="{00000000-0005-0000-0000-0000614F0000}"/>
    <cellStyle name="Normal 4 3 6" xfId="20334" xr:uid="{00000000-0005-0000-0000-0000624F0000}"/>
    <cellStyle name="Normal 4 3_Steps of Doneness" xfId="20335" xr:uid="{00000000-0005-0000-0000-0000634F0000}"/>
    <cellStyle name="Normal 4 4" xfId="20336" xr:uid="{00000000-0005-0000-0000-0000644F0000}"/>
    <cellStyle name="Normal 4 4 2" xfId="20337" xr:uid="{00000000-0005-0000-0000-0000654F0000}"/>
    <cellStyle name="Normal 4 4 2 2" xfId="20338" xr:uid="{00000000-0005-0000-0000-0000664F0000}"/>
    <cellStyle name="Normal 4 4 2 2 2" xfId="20339" xr:uid="{00000000-0005-0000-0000-0000674F0000}"/>
    <cellStyle name="Normal 4 4 2 2 2 2" xfId="20340" xr:uid="{00000000-0005-0000-0000-0000684F0000}"/>
    <cellStyle name="Normal 4 4 2 2 3" xfId="20341" xr:uid="{00000000-0005-0000-0000-0000694F0000}"/>
    <cellStyle name="Normal 4 4 2 3" xfId="20342" xr:uid="{00000000-0005-0000-0000-00006A4F0000}"/>
    <cellStyle name="Normal 4 4 2 3 2" xfId="20343" xr:uid="{00000000-0005-0000-0000-00006B4F0000}"/>
    <cellStyle name="Normal 4 4 2 4" xfId="20344" xr:uid="{00000000-0005-0000-0000-00006C4F0000}"/>
    <cellStyle name="Normal 4 4 3" xfId="20345" xr:uid="{00000000-0005-0000-0000-00006D4F0000}"/>
    <cellStyle name="Normal 4 4 3 2" xfId="20346" xr:uid="{00000000-0005-0000-0000-00006E4F0000}"/>
    <cellStyle name="Normal 4 4 3 2 2" xfId="20347" xr:uid="{00000000-0005-0000-0000-00006F4F0000}"/>
    <cellStyle name="Normal 4 4 3 3" xfId="20348" xr:uid="{00000000-0005-0000-0000-0000704F0000}"/>
    <cellStyle name="Normal 4 4 4" xfId="20349" xr:uid="{00000000-0005-0000-0000-0000714F0000}"/>
    <cellStyle name="Normal 4 4 4 2" xfId="20350" xr:uid="{00000000-0005-0000-0000-0000724F0000}"/>
    <cellStyle name="Normal 4 4 5" xfId="20351" xr:uid="{00000000-0005-0000-0000-0000734F0000}"/>
    <cellStyle name="Normal 4 4_Steps of Doneness" xfId="20352" xr:uid="{00000000-0005-0000-0000-0000744F0000}"/>
    <cellStyle name="Normal 4 5" xfId="20353" xr:uid="{00000000-0005-0000-0000-0000754F0000}"/>
    <cellStyle name="Normal 4 5 2" xfId="20354" xr:uid="{00000000-0005-0000-0000-0000764F0000}"/>
    <cellStyle name="Normal 4 5 2 2" xfId="20355" xr:uid="{00000000-0005-0000-0000-0000774F0000}"/>
    <cellStyle name="Normal 4 5 2 2 2" xfId="20356" xr:uid="{00000000-0005-0000-0000-0000784F0000}"/>
    <cellStyle name="Normal 4 5 2 3" xfId="20357" xr:uid="{00000000-0005-0000-0000-0000794F0000}"/>
    <cellStyle name="Normal 4 5 3" xfId="20358" xr:uid="{00000000-0005-0000-0000-00007A4F0000}"/>
    <cellStyle name="Normal 4 5 3 2" xfId="20359" xr:uid="{00000000-0005-0000-0000-00007B4F0000}"/>
    <cellStyle name="Normal 4 5 4" xfId="20360" xr:uid="{00000000-0005-0000-0000-00007C4F0000}"/>
    <cellStyle name="Normal 4 6" xfId="20361" xr:uid="{00000000-0005-0000-0000-00007D4F0000}"/>
    <cellStyle name="Normal 4 6 2" xfId="20362" xr:uid="{00000000-0005-0000-0000-00007E4F0000}"/>
    <cellStyle name="Normal 4 6 2 2" xfId="20363" xr:uid="{00000000-0005-0000-0000-00007F4F0000}"/>
    <cellStyle name="Normal 4 6 2 2 2" xfId="20364" xr:uid="{00000000-0005-0000-0000-0000804F0000}"/>
    <cellStyle name="Normal 4 6 2 3" xfId="20365" xr:uid="{00000000-0005-0000-0000-0000814F0000}"/>
    <cellStyle name="Normal 4 6 3" xfId="20366" xr:uid="{00000000-0005-0000-0000-0000824F0000}"/>
    <cellStyle name="Normal 4 6 3 2" xfId="20367" xr:uid="{00000000-0005-0000-0000-0000834F0000}"/>
    <cellStyle name="Normal 4 6 4" xfId="20368" xr:uid="{00000000-0005-0000-0000-0000844F0000}"/>
    <cellStyle name="Normal 4 7" xfId="20369" xr:uid="{00000000-0005-0000-0000-0000854F0000}"/>
    <cellStyle name="Normal 4 7 2" xfId="20370" xr:uid="{00000000-0005-0000-0000-0000864F0000}"/>
    <cellStyle name="Normal 4 8" xfId="20371" xr:uid="{00000000-0005-0000-0000-0000874F0000}"/>
    <cellStyle name="Normal 4_Commissioning System Implementation_Project Workbook_06_10_2011" xfId="20372" xr:uid="{00000000-0005-0000-0000-0000884F0000}"/>
    <cellStyle name="Normal 40" xfId="20373" xr:uid="{00000000-0005-0000-0000-0000894F0000}"/>
    <cellStyle name="Normal 40 2" xfId="20374" xr:uid="{00000000-0005-0000-0000-00008A4F0000}"/>
    <cellStyle name="Normal 40 3" xfId="20375" xr:uid="{00000000-0005-0000-0000-00008B4F0000}"/>
    <cellStyle name="Normal 40_Steps of Doneness" xfId="20376" xr:uid="{00000000-0005-0000-0000-00008C4F0000}"/>
    <cellStyle name="Normal 41" xfId="20377" xr:uid="{00000000-0005-0000-0000-00008D4F0000}"/>
    <cellStyle name="Normal 41 2" xfId="20378" xr:uid="{00000000-0005-0000-0000-00008E4F0000}"/>
    <cellStyle name="Normal 41 3" xfId="20379" xr:uid="{00000000-0005-0000-0000-00008F4F0000}"/>
    <cellStyle name="Normal 41_Steps of Doneness" xfId="20380" xr:uid="{00000000-0005-0000-0000-0000904F0000}"/>
    <cellStyle name="Normal 42" xfId="20381" xr:uid="{00000000-0005-0000-0000-0000914F0000}"/>
    <cellStyle name="Normal 42 2" xfId="20382" xr:uid="{00000000-0005-0000-0000-0000924F0000}"/>
    <cellStyle name="Normal 42 3" xfId="20383" xr:uid="{00000000-0005-0000-0000-0000934F0000}"/>
    <cellStyle name="Normal 42_Steps of Doneness" xfId="20384" xr:uid="{00000000-0005-0000-0000-0000944F0000}"/>
    <cellStyle name="Normal 43" xfId="20385" xr:uid="{00000000-0005-0000-0000-0000954F0000}"/>
    <cellStyle name="Normal 43 2" xfId="20386" xr:uid="{00000000-0005-0000-0000-0000964F0000}"/>
    <cellStyle name="Normal 43 3" xfId="20387" xr:uid="{00000000-0005-0000-0000-0000974F0000}"/>
    <cellStyle name="Normal 43_Steps of Doneness" xfId="20388" xr:uid="{00000000-0005-0000-0000-0000984F0000}"/>
    <cellStyle name="Normal 44" xfId="20389" xr:uid="{00000000-0005-0000-0000-0000994F0000}"/>
    <cellStyle name="Normal 44 2" xfId="20390" xr:uid="{00000000-0005-0000-0000-00009A4F0000}"/>
    <cellStyle name="Normal 44 3" xfId="20391" xr:uid="{00000000-0005-0000-0000-00009B4F0000}"/>
    <cellStyle name="Normal 44_Steps of Doneness" xfId="20392" xr:uid="{00000000-0005-0000-0000-00009C4F0000}"/>
    <cellStyle name="Normal 45" xfId="20393" xr:uid="{00000000-0005-0000-0000-00009D4F0000}"/>
    <cellStyle name="Normal 45 2" xfId="20394" xr:uid="{00000000-0005-0000-0000-00009E4F0000}"/>
    <cellStyle name="Normal 45 3" xfId="20395" xr:uid="{00000000-0005-0000-0000-00009F4F0000}"/>
    <cellStyle name="Normal 45_Steps of Doneness" xfId="20396" xr:uid="{00000000-0005-0000-0000-0000A04F0000}"/>
    <cellStyle name="Normal 46" xfId="20397" xr:uid="{00000000-0005-0000-0000-0000A14F0000}"/>
    <cellStyle name="Normal 46 2" xfId="20398" xr:uid="{00000000-0005-0000-0000-0000A24F0000}"/>
    <cellStyle name="Normal 46 3" xfId="20399" xr:uid="{00000000-0005-0000-0000-0000A34F0000}"/>
    <cellStyle name="Normal 46_Steps of Doneness" xfId="20400" xr:uid="{00000000-0005-0000-0000-0000A44F0000}"/>
    <cellStyle name="Normal 47" xfId="20401" xr:uid="{00000000-0005-0000-0000-0000A54F0000}"/>
    <cellStyle name="Normal 47 2" xfId="20402" xr:uid="{00000000-0005-0000-0000-0000A64F0000}"/>
    <cellStyle name="Normal 47 3" xfId="20403" xr:uid="{00000000-0005-0000-0000-0000A74F0000}"/>
    <cellStyle name="Normal 47_Steps of Doneness" xfId="20404" xr:uid="{00000000-0005-0000-0000-0000A84F0000}"/>
    <cellStyle name="Normal 48" xfId="20405" xr:uid="{00000000-0005-0000-0000-0000A94F0000}"/>
    <cellStyle name="Normal 48 2" xfId="20406" xr:uid="{00000000-0005-0000-0000-0000AA4F0000}"/>
    <cellStyle name="Normal 48 3" xfId="20407" xr:uid="{00000000-0005-0000-0000-0000AB4F0000}"/>
    <cellStyle name="Normal 48_Steps of Doneness" xfId="20408" xr:uid="{00000000-0005-0000-0000-0000AC4F0000}"/>
    <cellStyle name="Normal 49" xfId="20409" xr:uid="{00000000-0005-0000-0000-0000AD4F0000}"/>
    <cellStyle name="Normal 49 2" xfId="20410" xr:uid="{00000000-0005-0000-0000-0000AE4F0000}"/>
    <cellStyle name="Normal 49 3" xfId="20411" xr:uid="{00000000-0005-0000-0000-0000AF4F0000}"/>
    <cellStyle name="Normal 49_Steps of Doneness" xfId="20412" xr:uid="{00000000-0005-0000-0000-0000B04F0000}"/>
    <cellStyle name="Normal 5" xfId="87" xr:uid="{00000000-0005-0000-0000-0000B14F0000}"/>
    <cellStyle name="Normal 5 2" xfId="20413" xr:uid="{00000000-0005-0000-0000-0000B24F0000}"/>
    <cellStyle name="Normal 5 2 2" xfId="20414" xr:uid="{00000000-0005-0000-0000-0000B34F0000}"/>
    <cellStyle name="Normal 5 2 2 2" xfId="20415" xr:uid="{00000000-0005-0000-0000-0000B44F0000}"/>
    <cellStyle name="Normal 5 2 2 2 2" xfId="20416" xr:uid="{00000000-0005-0000-0000-0000B54F0000}"/>
    <cellStyle name="Normal 5 2 2 2 2 2" xfId="20417" xr:uid="{00000000-0005-0000-0000-0000B64F0000}"/>
    <cellStyle name="Normal 5 2 2 2 3" xfId="20418" xr:uid="{00000000-0005-0000-0000-0000B74F0000}"/>
    <cellStyle name="Normal 5 2 2 3" xfId="20419" xr:uid="{00000000-0005-0000-0000-0000B84F0000}"/>
    <cellStyle name="Normal 5 2 2 3 2" xfId="20420" xr:uid="{00000000-0005-0000-0000-0000B94F0000}"/>
    <cellStyle name="Normal 5 2 2 4" xfId="20421" xr:uid="{00000000-0005-0000-0000-0000BA4F0000}"/>
    <cellStyle name="Normal 5 2 3" xfId="20422" xr:uid="{00000000-0005-0000-0000-0000BB4F0000}"/>
    <cellStyle name="Normal 5 2 3 2" xfId="20423" xr:uid="{00000000-0005-0000-0000-0000BC4F0000}"/>
    <cellStyle name="Normal 5 2 3 2 2" xfId="20424" xr:uid="{00000000-0005-0000-0000-0000BD4F0000}"/>
    <cellStyle name="Normal 5 2 3 3" xfId="20425" xr:uid="{00000000-0005-0000-0000-0000BE4F0000}"/>
    <cellStyle name="Normal 5 2 4" xfId="20426" xr:uid="{00000000-0005-0000-0000-0000BF4F0000}"/>
    <cellStyle name="Normal 5 2 4 2" xfId="20427" xr:uid="{00000000-0005-0000-0000-0000C04F0000}"/>
    <cellStyle name="Normal 5 2 5" xfId="20428" xr:uid="{00000000-0005-0000-0000-0000C14F0000}"/>
    <cellStyle name="Normal 5 2_Steps of Doneness" xfId="20429" xr:uid="{00000000-0005-0000-0000-0000C24F0000}"/>
    <cellStyle name="Normal 5 3" xfId="20430" xr:uid="{00000000-0005-0000-0000-0000C34F0000}"/>
    <cellStyle name="Normal 5 3 2" xfId="20431" xr:uid="{00000000-0005-0000-0000-0000C44F0000}"/>
    <cellStyle name="Normal 5 3 2 2" xfId="20432" xr:uid="{00000000-0005-0000-0000-0000C54F0000}"/>
    <cellStyle name="Normal 5 3 2 2 2" xfId="20433" xr:uid="{00000000-0005-0000-0000-0000C64F0000}"/>
    <cellStyle name="Normal 5 3 2 3" xfId="20434" xr:uid="{00000000-0005-0000-0000-0000C74F0000}"/>
    <cellStyle name="Normal 5 3 3" xfId="20435" xr:uid="{00000000-0005-0000-0000-0000C84F0000}"/>
    <cellStyle name="Normal 5 3 3 2" xfId="20436" xr:uid="{00000000-0005-0000-0000-0000C94F0000}"/>
    <cellStyle name="Normal 5 3 4" xfId="20437" xr:uid="{00000000-0005-0000-0000-0000CA4F0000}"/>
    <cellStyle name="Normal 5 4" xfId="20438" xr:uid="{00000000-0005-0000-0000-0000CB4F0000}"/>
    <cellStyle name="Normal 5 4 2" xfId="20439" xr:uid="{00000000-0005-0000-0000-0000CC4F0000}"/>
    <cellStyle name="Normal 5 4 2 2" xfId="20440" xr:uid="{00000000-0005-0000-0000-0000CD4F0000}"/>
    <cellStyle name="Normal 5 4 2 2 2" xfId="20441" xr:uid="{00000000-0005-0000-0000-0000CE4F0000}"/>
    <cellStyle name="Normal 5 4 2 3" xfId="20442" xr:uid="{00000000-0005-0000-0000-0000CF4F0000}"/>
    <cellStyle name="Normal 5 4 3" xfId="20443" xr:uid="{00000000-0005-0000-0000-0000D04F0000}"/>
    <cellStyle name="Normal 5 4 3 2" xfId="20444" xr:uid="{00000000-0005-0000-0000-0000D14F0000}"/>
    <cellStyle name="Normal 5 4 4" xfId="20445" xr:uid="{00000000-0005-0000-0000-0000D24F0000}"/>
    <cellStyle name="Normal 5 5" xfId="20446" xr:uid="{00000000-0005-0000-0000-0000D34F0000}"/>
    <cellStyle name="Normal 5 5 2" xfId="20447" xr:uid="{00000000-0005-0000-0000-0000D44F0000}"/>
    <cellStyle name="Normal 5 5 2 2" xfId="20448" xr:uid="{00000000-0005-0000-0000-0000D54F0000}"/>
    <cellStyle name="Normal 5 5 3" xfId="20449" xr:uid="{00000000-0005-0000-0000-0000D64F0000}"/>
    <cellStyle name="Normal 5 6" xfId="20450" xr:uid="{00000000-0005-0000-0000-0000D74F0000}"/>
    <cellStyle name="Normal 5 6 2" xfId="20451" xr:uid="{00000000-0005-0000-0000-0000D84F0000}"/>
    <cellStyle name="Normal 5 7" xfId="20452" xr:uid="{00000000-0005-0000-0000-0000D94F0000}"/>
    <cellStyle name="Normal 5_Steps of Doneness" xfId="20453" xr:uid="{00000000-0005-0000-0000-0000DA4F0000}"/>
    <cellStyle name="Normal 50" xfId="20454" xr:uid="{00000000-0005-0000-0000-0000DB4F0000}"/>
    <cellStyle name="Normal 50 2" xfId="20455" xr:uid="{00000000-0005-0000-0000-0000DC4F0000}"/>
    <cellStyle name="Normal 50 3" xfId="20456" xr:uid="{00000000-0005-0000-0000-0000DD4F0000}"/>
    <cellStyle name="Normal 50_Steps of Doneness" xfId="20457" xr:uid="{00000000-0005-0000-0000-0000DE4F0000}"/>
    <cellStyle name="Normal 51" xfId="20458" xr:uid="{00000000-0005-0000-0000-0000DF4F0000}"/>
    <cellStyle name="Normal 51 2" xfId="20459" xr:uid="{00000000-0005-0000-0000-0000E04F0000}"/>
    <cellStyle name="Normal 52" xfId="20460" xr:uid="{00000000-0005-0000-0000-0000E14F0000}"/>
    <cellStyle name="Normal 52 2" xfId="20461" xr:uid="{00000000-0005-0000-0000-0000E24F0000}"/>
    <cellStyle name="Normal 53" xfId="20462" xr:uid="{00000000-0005-0000-0000-0000E34F0000}"/>
    <cellStyle name="Normal 54" xfId="20463" xr:uid="{00000000-0005-0000-0000-0000E44F0000}"/>
    <cellStyle name="Normal 55" xfId="20464" xr:uid="{00000000-0005-0000-0000-0000E54F0000}"/>
    <cellStyle name="Normal 56" xfId="20465" xr:uid="{00000000-0005-0000-0000-0000E64F0000}"/>
    <cellStyle name="Normal 57" xfId="20466" xr:uid="{00000000-0005-0000-0000-0000E74F0000}"/>
    <cellStyle name="Normal 58" xfId="20467" xr:uid="{00000000-0005-0000-0000-0000E84F0000}"/>
    <cellStyle name="Normal 59" xfId="20468" xr:uid="{00000000-0005-0000-0000-0000E94F0000}"/>
    <cellStyle name="Normal 6" xfId="88" xr:uid="{00000000-0005-0000-0000-0000EA4F0000}"/>
    <cellStyle name="Normal 6 10" xfId="20469" xr:uid="{00000000-0005-0000-0000-0000EB4F0000}"/>
    <cellStyle name="Normal 6 10 2" xfId="20470" xr:uid="{00000000-0005-0000-0000-0000EC4F0000}"/>
    <cellStyle name="Normal 6 11" xfId="20471" xr:uid="{00000000-0005-0000-0000-0000ED4F0000}"/>
    <cellStyle name="Normal 6 2" xfId="20472" xr:uid="{00000000-0005-0000-0000-0000EE4F0000}"/>
    <cellStyle name="Normal 6 2 2" xfId="20473" xr:uid="{00000000-0005-0000-0000-0000EF4F0000}"/>
    <cellStyle name="Normal 6 2 3" xfId="20474" xr:uid="{00000000-0005-0000-0000-0000F04F0000}"/>
    <cellStyle name="Normal 6 2_Steps of Doneness" xfId="20475" xr:uid="{00000000-0005-0000-0000-0000F14F0000}"/>
    <cellStyle name="Normal 6 3" xfId="20476" xr:uid="{00000000-0005-0000-0000-0000F24F0000}"/>
    <cellStyle name="Normal 6 3 2" xfId="20477" xr:uid="{00000000-0005-0000-0000-0000F34F0000}"/>
    <cellStyle name="Normal 6 3 2 2" xfId="20478" xr:uid="{00000000-0005-0000-0000-0000F44F0000}"/>
    <cellStyle name="Normal 6 3 2 2 2" xfId="20479" xr:uid="{00000000-0005-0000-0000-0000F54F0000}"/>
    <cellStyle name="Normal 6 3 2 2 2 2" xfId="20480" xr:uid="{00000000-0005-0000-0000-0000F64F0000}"/>
    <cellStyle name="Normal 6 3 2 2 3" xfId="20481" xr:uid="{00000000-0005-0000-0000-0000F74F0000}"/>
    <cellStyle name="Normal 6 3 2 3" xfId="20482" xr:uid="{00000000-0005-0000-0000-0000F84F0000}"/>
    <cellStyle name="Normal 6 3 2 3 2" xfId="20483" xr:uid="{00000000-0005-0000-0000-0000F94F0000}"/>
    <cellStyle name="Normal 6 3 2 4" xfId="20484" xr:uid="{00000000-0005-0000-0000-0000FA4F0000}"/>
    <cellStyle name="Normal 6 3 3" xfId="20485" xr:uid="{00000000-0005-0000-0000-0000FB4F0000}"/>
    <cellStyle name="Normal 6 3 3 2" xfId="20486" xr:uid="{00000000-0005-0000-0000-0000FC4F0000}"/>
    <cellStyle name="Normal 6 3 3 2 2" xfId="20487" xr:uid="{00000000-0005-0000-0000-0000FD4F0000}"/>
    <cellStyle name="Normal 6 3 3 3" xfId="20488" xr:uid="{00000000-0005-0000-0000-0000FE4F0000}"/>
    <cellStyle name="Normal 6 3 4" xfId="20489" xr:uid="{00000000-0005-0000-0000-0000FF4F0000}"/>
    <cellStyle name="Normal 6 3 4 2" xfId="20490" xr:uid="{00000000-0005-0000-0000-000000500000}"/>
    <cellStyle name="Normal 6 3 5" xfId="20491" xr:uid="{00000000-0005-0000-0000-000001500000}"/>
    <cellStyle name="Normal 6 3_Steps of Doneness" xfId="20492" xr:uid="{00000000-0005-0000-0000-000002500000}"/>
    <cellStyle name="Normal 6 4" xfId="20493" xr:uid="{00000000-0005-0000-0000-000003500000}"/>
    <cellStyle name="Normal 6 4 2" xfId="20494" xr:uid="{00000000-0005-0000-0000-000004500000}"/>
    <cellStyle name="Normal 6 4 2 2" xfId="20495" xr:uid="{00000000-0005-0000-0000-000005500000}"/>
    <cellStyle name="Normal 6 4 2 2 2" xfId="20496" xr:uid="{00000000-0005-0000-0000-000006500000}"/>
    <cellStyle name="Normal 6 4 2 3" xfId="20497" xr:uid="{00000000-0005-0000-0000-000007500000}"/>
    <cellStyle name="Normal 6 4 3" xfId="20498" xr:uid="{00000000-0005-0000-0000-000008500000}"/>
    <cellStyle name="Normal 6 4 3 2" xfId="20499" xr:uid="{00000000-0005-0000-0000-000009500000}"/>
    <cellStyle name="Normal 6 4 4" xfId="20500" xr:uid="{00000000-0005-0000-0000-00000A500000}"/>
    <cellStyle name="Normal 6 5" xfId="20501" xr:uid="{00000000-0005-0000-0000-00000B500000}"/>
    <cellStyle name="Normal 6 5 2" xfId="20502" xr:uid="{00000000-0005-0000-0000-00000C500000}"/>
    <cellStyle name="Normal 6 5 2 2" xfId="20503" xr:uid="{00000000-0005-0000-0000-00000D500000}"/>
    <cellStyle name="Normal 6 5 3" xfId="20504" xr:uid="{00000000-0005-0000-0000-00000E500000}"/>
    <cellStyle name="Normal 6 6" xfId="20505" xr:uid="{00000000-0005-0000-0000-00000F500000}"/>
    <cellStyle name="Normal 6 6 2" xfId="20506" xr:uid="{00000000-0005-0000-0000-000010500000}"/>
    <cellStyle name="Normal 6 7" xfId="20507" xr:uid="{00000000-0005-0000-0000-000011500000}"/>
    <cellStyle name="Normal 6 7 2" xfId="20508" xr:uid="{00000000-0005-0000-0000-000012500000}"/>
    <cellStyle name="Normal 6 8" xfId="20509" xr:uid="{00000000-0005-0000-0000-000013500000}"/>
    <cellStyle name="Normal 6 8 2" xfId="20510" xr:uid="{00000000-0005-0000-0000-000014500000}"/>
    <cellStyle name="Normal 6 9" xfId="20511" xr:uid="{00000000-0005-0000-0000-000015500000}"/>
    <cellStyle name="Normal 6 9 2" xfId="20512" xr:uid="{00000000-0005-0000-0000-000016500000}"/>
    <cellStyle name="Normal 6_Steps of Doneness" xfId="20513" xr:uid="{00000000-0005-0000-0000-000017500000}"/>
    <cellStyle name="Normal 60" xfId="20514" xr:uid="{00000000-0005-0000-0000-000018500000}"/>
    <cellStyle name="Normal 61" xfId="20515" xr:uid="{00000000-0005-0000-0000-000019500000}"/>
    <cellStyle name="Normal 62" xfId="20516" xr:uid="{00000000-0005-0000-0000-00001A500000}"/>
    <cellStyle name="Normal 63" xfId="20517" xr:uid="{00000000-0005-0000-0000-00001B500000}"/>
    <cellStyle name="Normal 64" xfId="20518" xr:uid="{00000000-0005-0000-0000-00001C500000}"/>
    <cellStyle name="Normal 65" xfId="20519" xr:uid="{00000000-0005-0000-0000-00001D500000}"/>
    <cellStyle name="Normal 65 2" xfId="20520" xr:uid="{00000000-0005-0000-0000-00001E500000}"/>
    <cellStyle name="Normal 66" xfId="20521" xr:uid="{00000000-0005-0000-0000-00001F500000}"/>
    <cellStyle name="Normal 66 2" xfId="20522" xr:uid="{00000000-0005-0000-0000-000020500000}"/>
    <cellStyle name="Normal 66 2 2" xfId="20523" xr:uid="{00000000-0005-0000-0000-000021500000}"/>
    <cellStyle name="Normal 66 2 2 2" xfId="20524" xr:uid="{00000000-0005-0000-0000-000022500000}"/>
    <cellStyle name="Normal 66 2 2 2 2" xfId="20525" xr:uid="{00000000-0005-0000-0000-000023500000}"/>
    <cellStyle name="Normal 66 2 2 3" xfId="20526" xr:uid="{00000000-0005-0000-0000-000024500000}"/>
    <cellStyle name="Normal 66 2 3" xfId="20527" xr:uid="{00000000-0005-0000-0000-000025500000}"/>
    <cellStyle name="Normal 66 2 3 2" xfId="20528" xr:uid="{00000000-0005-0000-0000-000026500000}"/>
    <cellStyle name="Normal 66 2 4" xfId="20529" xr:uid="{00000000-0005-0000-0000-000027500000}"/>
    <cellStyle name="Normal 66 3" xfId="20530" xr:uid="{00000000-0005-0000-0000-000028500000}"/>
    <cellStyle name="Normal 66 3 2" xfId="20531" xr:uid="{00000000-0005-0000-0000-000029500000}"/>
    <cellStyle name="Normal 66 4" xfId="20532" xr:uid="{00000000-0005-0000-0000-00002A500000}"/>
    <cellStyle name="Normal 67" xfId="20533" xr:uid="{00000000-0005-0000-0000-00002B500000}"/>
    <cellStyle name="Normal 68" xfId="20534" xr:uid="{00000000-0005-0000-0000-00002C500000}"/>
    <cellStyle name="Normal 68 2" xfId="20535" xr:uid="{00000000-0005-0000-0000-00002D500000}"/>
    <cellStyle name="Normal 68 2 2" xfId="20536" xr:uid="{00000000-0005-0000-0000-00002E500000}"/>
    <cellStyle name="Normal 68 2 2 2" xfId="20537" xr:uid="{00000000-0005-0000-0000-00002F500000}"/>
    <cellStyle name="Normal 68 2 3" xfId="20538" xr:uid="{00000000-0005-0000-0000-000030500000}"/>
    <cellStyle name="Normal 69" xfId="20539" xr:uid="{00000000-0005-0000-0000-000031500000}"/>
    <cellStyle name="Normal 7" xfId="89" xr:uid="{00000000-0005-0000-0000-000032500000}"/>
    <cellStyle name="Normal 7 10" xfId="20540" xr:uid="{00000000-0005-0000-0000-000033500000}"/>
    <cellStyle name="Normal 7 10 2" xfId="20541" xr:uid="{00000000-0005-0000-0000-000034500000}"/>
    <cellStyle name="Normal 7 11" xfId="20542" xr:uid="{00000000-0005-0000-0000-000035500000}"/>
    <cellStyle name="Normal 7 2" xfId="20543" xr:uid="{00000000-0005-0000-0000-000036500000}"/>
    <cellStyle name="Normal 7 2 2" xfId="20544" xr:uid="{00000000-0005-0000-0000-000037500000}"/>
    <cellStyle name="Normal 7 2 2 2" xfId="20545" xr:uid="{00000000-0005-0000-0000-000038500000}"/>
    <cellStyle name="Normal 7 2 2 2 2" xfId="20546" xr:uid="{00000000-0005-0000-0000-000039500000}"/>
    <cellStyle name="Normal 7 2 2 2 2 2" xfId="20547" xr:uid="{00000000-0005-0000-0000-00003A500000}"/>
    <cellStyle name="Normal 7 2 2 2 2 2 2" xfId="20548" xr:uid="{00000000-0005-0000-0000-00003B500000}"/>
    <cellStyle name="Normal 7 2 2 2 2 3" xfId="20549" xr:uid="{00000000-0005-0000-0000-00003C500000}"/>
    <cellStyle name="Normal 7 2 2 2 3" xfId="20550" xr:uid="{00000000-0005-0000-0000-00003D500000}"/>
    <cellStyle name="Normal 7 2 2 2 3 2" xfId="20551" xr:uid="{00000000-0005-0000-0000-00003E500000}"/>
    <cellStyle name="Normal 7 2 2 2 4" xfId="20552" xr:uid="{00000000-0005-0000-0000-00003F500000}"/>
    <cellStyle name="Normal 7 2 2 3" xfId="20553" xr:uid="{00000000-0005-0000-0000-000040500000}"/>
    <cellStyle name="Normal 7 2 2 3 2" xfId="20554" xr:uid="{00000000-0005-0000-0000-000041500000}"/>
    <cellStyle name="Normal 7 2 2 3 2 2" xfId="20555" xr:uid="{00000000-0005-0000-0000-000042500000}"/>
    <cellStyle name="Normal 7 2 2 3 3" xfId="20556" xr:uid="{00000000-0005-0000-0000-000043500000}"/>
    <cellStyle name="Normal 7 2 2 4" xfId="20557" xr:uid="{00000000-0005-0000-0000-000044500000}"/>
    <cellStyle name="Normal 7 2 2 4 2" xfId="20558" xr:uid="{00000000-0005-0000-0000-000045500000}"/>
    <cellStyle name="Normal 7 2 2 5" xfId="20559" xr:uid="{00000000-0005-0000-0000-000046500000}"/>
    <cellStyle name="Normal 7 2 2_Steps of Doneness" xfId="20560" xr:uid="{00000000-0005-0000-0000-000047500000}"/>
    <cellStyle name="Normal 7 2 3" xfId="20561" xr:uid="{00000000-0005-0000-0000-000048500000}"/>
    <cellStyle name="Normal 7 2 3 2" xfId="20562" xr:uid="{00000000-0005-0000-0000-000049500000}"/>
    <cellStyle name="Normal 7 2 3 2 2" xfId="20563" xr:uid="{00000000-0005-0000-0000-00004A500000}"/>
    <cellStyle name="Normal 7 2 3 2 2 2" xfId="20564" xr:uid="{00000000-0005-0000-0000-00004B500000}"/>
    <cellStyle name="Normal 7 2 3 2 3" xfId="20565" xr:uid="{00000000-0005-0000-0000-00004C500000}"/>
    <cellStyle name="Normal 7 2 3 3" xfId="20566" xr:uid="{00000000-0005-0000-0000-00004D500000}"/>
    <cellStyle name="Normal 7 2 3 3 2" xfId="20567" xr:uid="{00000000-0005-0000-0000-00004E500000}"/>
    <cellStyle name="Normal 7 2 3 4" xfId="20568" xr:uid="{00000000-0005-0000-0000-00004F500000}"/>
    <cellStyle name="Normal 7 2 4" xfId="20569" xr:uid="{00000000-0005-0000-0000-000050500000}"/>
    <cellStyle name="Normal 7 2 4 2" xfId="20570" xr:uid="{00000000-0005-0000-0000-000051500000}"/>
    <cellStyle name="Normal 7 2 4 2 2" xfId="20571" xr:uid="{00000000-0005-0000-0000-000052500000}"/>
    <cellStyle name="Normal 7 2 4 3" xfId="20572" xr:uid="{00000000-0005-0000-0000-000053500000}"/>
    <cellStyle name="Normal 7 2 5" xfId="20573" xr:uid="{00000000-0005-0000-0000-000054500000}"/>
    <cellStyle name="Normal 7 2 5 2" xfId="20574" xr:uid="{00000000-0005-0000-0000-000055500000}"/>
    <cellStyle name="Normal 7 2 6" xfId="20575" xr:uid="{00000000-0005-0000-0000-000056500000}"/>
    <cellStyle name="Normal 7 2_Steps of Doneness" xfId="20576" xr:uid="{00000000-0005-0000-0000-000057500000}"/>
    <cellStyle name="Normal 7 3" xfId="20577" xr:uid="{00000000-0005-0000-0000-000058500000}"/>
    <cellStyle name="Normal 7 3 2" xfId="20578" xr:uid="{00000000-0005-0000-0000-000059500000}"/>
    <cellStyle name="Normal 7 3 2 2" xfId="20579" xr:uid="{00000000-0005-0000-0000-00005A500000}"/>
    <cellStyle name="Normal 7 3 2 2 2" xfId="20580" xr:uid="{00000000-0005-0000-0000-00005B500000}"/>
    <cellStyle name="Normal 7 3 2 2 2 2" xfId="20581" xr:uid="{00000000-0005-0000-0000-00005C500000}"/>
    <cellStyle name="Normal 7 3 2 2 3" xfId="20582" xr:uid="{00000000-0005-0000-0000-00005D500000}"/>
    <cellStyle name="Normal 7 3 2 3" xfId="20583" xr:uid="{00000000-0005-0000-0000-00005E500000}"/>
    <cellStyle name="Normal 7 3 2 3 2" xfId="20584" xr:uid="{00000000-0005-0000-0000-00005F500000}"/>
    <cellStyle name="Normal 7 3 2 4" xfId="20585" xr:uid="{00000000-0005-0000-0000-000060500000}"/>
    <cellStyle name="Normal 7 3 3" xfId="20586" xr:uid="{00000000-0005-0000-0000-000061500000}"/>
    <cellStyle name="Normal 7 3 3 2" xfId="20587" xr:uid="{00000000-0005-0000-0000-000062500000}"/>
    <cellStyle name="Normal 7 3 3 2 2" xfId="20588" xr:uid="{00000000-0005-0000-0000-000063500000}"/>
    <cellStyle name="Normal 7 3 3 3" xfId="20589" xr:uid="{00000000-0005-0000-0000-000064500000}"/>
    <cellStyle name="Normal 7 3 4" xfId="20590" xr:uid="{00000000-0005-0000-0000-000065500000}"/>
    <cellStyle name="Normal 7 3 4 2" xfId="20591" xr:uid="{00000000-0005-0000-0000-000066500000}"/>
    <cellStyle name="Normal 7 3 5" xfId="20592" xr:uid="{00000000-0005-0000-0000-000067500000}"/>
    <cellStyle name="Normal 7 3_Steps of Doneness" xfId="20593" xr:uid="{00000000-0005-0000-0000-000068500000}"/>
    <cellStyle name="Normal 7 4" xfId="20594" xr:uid="{00000000-0005-0000-0000-000069500000}"/>
    <cellStyle name="Normal 7 4 2" xfId="20595" xr:uid="{00000000-0005-0000-0000-00006A500000}"/>
    <cellStyle name="Normal 7 4 2 2" xfId="20596" xr:uid="{00000000-0005-0000-0000-00006B500000}"/>
    <cellStyle name="Normal 7 4 2 2 2" xfId="20597" xr:uid="{00000000-0005-0000-0000-00006C500000}"/>
    <cellStyle name="Normal 7 4 2 3" xfId="20598" xr:uid="{00000000-0005-0000-0000-00006D500000}"/>
    <cellStyle name="Normal 7 4 3" xfId="20599" xr:uid="{00000000-0005-0000-0000-00006E500000}"/>
    <cellStyle name="Normal 7 4 3 2" xfId="20600" xr:uid="{00000000-0005-0000-0000-00006F500000}"/>
    <cellStyle name="Normal 7 4 4" xfId="20601" xr:uid="{00000000-0005-0000-0000-000070500000}"/>
    <cellStyle name="Normal 7 5" xfId="20602" xr:uid="{00000000-0005-0000-0000-000071500000}"/>
    <cellStyle name="Normal 7 5 2" xfId="20603" xr:uid="{00000000-0005-0000-0000-000072500000}"/>
    <cellStyle name="Normal 7 5 2 2" xfId="20604" xr:uid="{00000000-0005-0000-0000-000073500000}"/>
    <cellStyle name="Normal 7 5 2 2 2" xfId="20605" xr:uid="{00000000-0005-0000-0000-000074500000}"/>
    <cellStyle name="Normal 7 5 2 3" xfId="20606" xr:uid="{00000000-0005-0000-0000-000075500000}"/>
    <cellStyle name="Normal 7 5 3" xfId="20607" xr:uid="{00000000-0005-0000-0000-000076500000}"/>
    <cellStyle name="Normal 7 5 3 2" xfId="20608" xr:uid="{00000000-0005-0000-0000-000077500000}"/>
    <cellStyle name="Normal 7 5 4" xfId="20609" xr:uid="{00000000-0005-0000-0000-000078500000}"/>
    <cellStyle name="Normal 7 6" xfId="20610" xr:uid="{00000000-0005-0000-0000-000079500000}"/>
    <cellStyle name="Normal 7 6 2" xfId="20611" xr:uid="{00000000-0005-0000-0000-00007A500000}"/>
    <cellStyle name="Normal 7 6 2 2" xfId="20612" xr:uid="{00000000-0005-0000-0000-00007B500000}"/>
    <cellStyle name="Normal 7 6 3" xfId="20613" xr:uid="{00000000-0005-0000-0000-00007C500000}"/>
    <cellStyle name="Normal 7 7" xfId="20614" xr:uid="{00000000-0005-0000-0000-00007D500000}"/>
    <cellStyle name="Normal 7 7 2" xfId="20615" xr:uid="{00000000-0005-0000-0000-00007E500000}"/>
    <cellStyle name="Normal 7 8" xfId="20616" xr:uid="{00000000-0005-0000-0000-00007F500000}"/>
    <cellStyle name="Normal 7 8 2" xfId="20617" xr:uid="{00000000-0005-0000-0000-000080500000}"/>
    <cellStyle name="Normal 7 9" xfId="20618" xr:uid="{00000000-0005-0000-0000-000081500000}"/>
    <cellStyle name="Normal 7 9 2" xfId="20619" xr:uid="{00000000-0005-0000-0000-000082500000}"/>
    <cellStyle name="Normal 7_Steps of Doneness" xfId="20620" xr:uid="{00000000-0005-0000-0000-000083500000}"/>
    <cellStyle name="Normal 70" xfId="20621" xr:uid="{00000000-0005-0000-0000-000084500000}"/>
    <cellStyle name="Normal 71" xfId="20622" xr:uid="{00000000-0005-0000-0000-000085500000}"/>
    <cellStyle name="Normal 72" xfId="20623" xr:uid="{00000000-0005-0000-0000-000086500000}"/>
    <cellStyle name="Normal 73" xfId="20624" xr:uid="{00000000-0005-0000-0000-000087500000}"/>
    <cellStyle name="Normal 74" xfId="20625" xr:uid="{00000000-0005-0000-0000-000088500000}"/>
    <cellStyle name="Normal 74 2" xfId="20626" xr:uid="{00000000-0005-0000-0000-000089500000}"/>
    <cellStyle name="Normal 74 2 2" xfId="20627" xr:uid="{00000000-0005-0000-0000-00008A500000}"/>
    <cellStyle name="Normal 74 3" xfId="20628" xr:uid="{00000000-0005-0000-0000-00008B500000}"/>
    <cellStyle name="Normal 75" xfId="20629" xr:uid="{00000000-0005-0000-0000-00008C500000}"/>
    <cellStyle name="Normal 75 2" xfId="20630" xr:uid="{00000000-0005-0000-0000-00008D500000}"/>
    <cellStyle name="Normal 75 2 2" xfId="20631" xr:uid="{00000000-0005-0000-0000-00008E500000}"/>
    <cellStyle name="Normal 75 3" xfId="20632" xr:uid="{00000000-0005-0000-0000-00008F500000}"/>
    <cellStyle name="Normal 76" xfId="20633" xr:uid="{00000000-0005-0000-0000-000090500000}"/>
    <cellStyle name="Normal 76 2" xfId="20634" xr:uid="{00000000-0005-0000-0000-000091500000}"/>
    <cellStyle name="Normal 76 2 2" xfId="20635" xr:uid="{00000000-0005-0000-0000-000092500000}"/>
    <cellStyle name="Normal 76 3" xfId="20636" xr:uid="{00000000-0005-0000-0000-000093500000}"/>
    <cellStyle name="Normal 77" xfId="20637" xr:uid="{00000000-0005-0000-0000-000094500000}"/>
    <cellStyle name="Normal 77 2" xfId="20638" xr:uid="{00000000-0005-0000-0000-000095500000}"/>
    <cellStyle name="Normal 77 2 2" xfId="20639" xr:uid="{00000000-0005-0000-0000-000096500000}"/>
    <cellStyle name="Normal 77 3" xfId="20640" xr:uid="{00000000-0005-0000-0000-000097500000}"/>
    <cellStyle name="Normal 78" xfId="20641" xr:uid="{00000000-0005-0000-0000-000098500000}"/>
    <cellStyle name="Normal 79" xfId="20642" xr:uid="{00000000-0005-0000-0000-000099500000}"/>
    <cellStyle name="Normal 79 2" xfId="20643" xr:uid="{00000000-0005-0000-0000-00009A500000}"/>
    <cellStyle name="Normal 8" xfId="20644" xr:uid="{00000000-0005-0000-0000-00009B500000}"/>
    <cellStyle name="Normal 8 2" xfId="20645" xr:uid="{00000000-0005-0000-0000-00009C500000}"/>
    <cellStyle name="Normal 8 2 2" xfId="20646" xr:uid="{00000000-0005-0000-0000-00009D500000}"/>
    <cellStyle name="Normal 8 2 3" xfId="20647" xr:uid="{00000000-0005-0000-0000-00009E500000}"/>
    <cellStyle name="Normal 8 2_Steps of Doneness" xfId="20648" xr:uid="{00000000-0005-0000-0000-00009F500000}"/>
    <cellStyle name="Normal 8 3" xfId="20649" xr:uid="{00000000-0005-0000-0000-0000A0500000}"/>
    <cellStyle name="Normal 8 3 2" xfId="20650" xr:uid="{00000000-0005-0000-0000-0000A1500000}"/>
    <cellStyle name="Normal 8 3 3" xfId="20651" xr:uid="{00000000-0005-0000-0000-0000A2500000}"/>
    <cellStyle name="Normal 8 3 4" xfId="20652" xr:uid="{00000000-0005-0000-0000-0000A3500000}"/>
    <cellStyle name="Normal 8 3_Steps of Doneness" xfId="20653" xr:uid="{00000000-0005-0000-0000-0000A4500000}"/>
    <cellStyle name="Normal 8 4" xfId="20654" xr:uid="{00000000-0005-0000-0000-0000A5500000}"/>
    <cellStyle name="Normal 8 5" xfId="20655" xr:uid="{00000000-0005-0000-0000-0000A6500000}"/>
    <cellStyle name="Normal 8_Steps of Doneness" xfId="20656" xr:uid="{00000000-0005-0000-0000-0000A7500000}"/>
    <cellStyle name="Normal 80" xfId="20657" xr:uid="{00000000-0005-0000-0000-0000A8500000}"/>
    <cellStyle name="Normal 80 2" xfId="20658" xr:uid="{00000000-0005-0000-0000-0000A9500000}"/>
    <cellStyle name="Normal 81" xfId="20659" xr:uid="{00000000-0005-0000-0000-0000AA500000}"/>
    <cellStyle name="Normal 81 2" xfId="20660" xr:uid="{00000000-0005-0000-0000-0000AB500000}"/>
    <cellStyle name="Normal 82" xfId="20661" xr:uid="{00000000-0005-0000-0000-0000AC500000}"/>
    <cellStyle name="Normal 82 2" xfId="20662" xr:uid="{00000000-0005-0000-0000-0000AD500000}"/>
    <cellStyle name="Normal 83" xfId="20663" xr:uid="{00000000-0005-0000-0000-0000AE500000}"/>
    <cellStyle name="Normal 83 2" xfId="20664" xr:uid="{00000000-0005-0000-0000-0000AF500000}"/>
    <cellStyle name="Normal 84" xfId="20665" xr:uid="{00000000-0005-0000-0000-0000B0500000}"/>
    <cellStyle name="Normal 84 2" xfId="20666" xr:uid="{00000000-0005-0000-0000-0000B1500000}"/>
    <cellStyle name="Normal 85" xfId="20667" xr:uid="{00000000-0005-0000-0000-0000B2500000}"/>
    <cellStyle name="Normal 85 2" xfId="20668" xr:uid="{00000000-0005-0000-0000-0000B3500000}"/>
    <cellStyle name="Normal 86" xfId="20669" xr:uid="{00000000-0005-0000-0000-0000B4500000}"/>
    <cellStyle name="Normal 86 2" xfId="20670" xr:uid="{00000000-0005-0000-0000-0000B5500000}"/>
    <cellStyle name="Normal 87" xfId="20671" xr:uid="{00000000-0005-0000-0000-0000B6500000}"/>
    <cellStyle name="Normal 87 2" xfId="20672" xr:uid="{00000000-0005-0000-0000-0000B7500000}"/>
    <cellStyle name="Normal 88" xfId="20673" xr:uid="{00000000-0005-0000-0000-0000B8500000}"/>
    <cellStyle name="Normal 88 2" xfId="20674" xr:uid="{00000000-0005-0000-0000-0000B9500000}"/>
    <cellStyle name="Normal 89" xfId="20675" xr:uid="{00000000-0005-0000-0000-0000BA500000}"/>
    <cellStyle name="Normal 89 2" xfId="20676" xr:uid="{00000000-0005-0000-0000-0000BB500000}"/>
    <cellStyle name="Normal 9" xfId="20677" xr:uid="{00000000-0005-0000-0000-0000BC500000}"/>
    <cellStyle name="Normal 9 10" xfId="20678" xr:uid="{00000000-0005-0000-0000-0000BD500000}"/>
    <cellStyle name="Normal 9 10 2" xfId="20679" xr:uid="{00000000-0005-0000-0000-0000BE500000}"/>
    <cellStyle name="Normal 9 11" xfId="20680" xr:uid="{00000000-0005-0000-0000-0000BF500000}"/>
    <cellStyle name="Normal 9 2" xfId="20681" xr:uid="{00000000-0005-0000-0000-0000C0500000}"/>
    <cellStyle name="Normal 9 2 2" xfId="20682" xr:uid="{00000000-0005-0000-0000-0000C1500000}"/>
    <cellStyle name="Normal 9 2 2 2" xfId="20683" xr:uid="{00000000-0005-0000-0000-0000C2500000}"/>
    <cellStyle name="Normal 9 2 2 2 2" xfId="20684" xr:uid="{00000000-0005-0000-0000-0000C3500000}"/>
    <cellStyle name="Normal 9 2 2 2 2 2" xfId="20685" xr:uid="{00000000-0005-0000-0000-0000C4500000}"/>
    <cellStyle name="Normal 9 2 2 2 2 2 2" xfId="20686" xr:uid="{00000000-0005-0000-0000-0000C5500000}"/>
    <cellStyle name="Normal 9 2 2 2 2 3" xfId="20687" xr:uid="{00000000-0005-0000-0000-0000C6500000}"/>
    <cellStyle name="Normal 9 2 2 2 3" xfId="20688" xr:uid="{00000000-0005-0000-0000-0000C7500000}"/>
    <cellStyle name="Normal 9 2 2 2 3 2" xfId="20689" xr:uid="{00000000-0005-0000-0000-0000C8500000}"/>
    <cellStyle name="Normal 9 2 2 2 4" xfId="20690" xr:uid="{00000000-0005-0000-0000-0000C9500000}"/>
    <cellStyle name="Normal 9 2 2 3" xfId="20691" xr:uid="{00000000-0005-0000-0000-0000CA500000}"/>
    <cellStyle name="Normal 9 2 2 3 2" xfId="20692" xr:uid="{00000000-0005-0000-0000-0000CB500000}"/>
    <cellStyle name="Normal 9 2 2 3 2 2" xfId="20693" xr:uid="{00000000-0005-0000-0000-0000CC500000}"/>
    <cellStyle name="Normal 9 2 2 3 3" xfId="20694" xr:uid="{00000000-0005-0000-0000-0000CD500000}"/>
    <cellStyle name="Normal 9 2 2 4" xfId="20695" xr:uid="{00000000-0005-0000-0000-0000CE500000}"/>
    <cellStyle name="Normal 9 2 2 4 2" xfId="20696" xr:uid="{00000000-0005-0000-0000-0000CF500000}"/>
    <cellStyle name="Normal 9 2 2 5" xfId="20697" xr:uid="{00000000-0005-0000-0000-0000D0500000}"/>
    <cellStyle name="Normal 9 2 2_Steps of Doneness" xfId="20698" xr:uid="{00000000-0005-0000-0000-0000D1500000}"/>
    <cellStyle name="Normal 9 2 3" xfId="20699" xr:uid="{00000000-0005-0000-0000-0000D2500000}"/>
    <cellStyle name="Normal 9 2 3 2" xfId="20700" xr:uid="{00000000-0005-0000-0000-0000D3500000}"/>
    <cellStyle name="Normal 9 2 3 2 2" xfId="20701" xr:uid="{00000000-0005-0000-0000-0000D4500000}"/>
    <cellStyle name="Normal 9 2 3 2 2 2" xfId="20702" xr:uid="{00000000-0005-0000-0000-0000D5500000}"/>
    <cellStyle name="Normal 9 2 3 2 3" xfId="20703" xr:uid="{00000000-0005-0000-0000-0000D6500000}"/>
    <cellStyle name="Normal 9 2 3 3" xfId="20704" xr:uid="{00000000-0005-0000-0000-0000D7500000}"/>
    <cellStyle name="Normal 9 2 3 3 2" xfId="20705" xr:uid="{00000000-0005-0000-0000-0000D8500000}"/>
    <cellStyle name="Normal 9 2 3 4" xfId="20706" xr:uid="{00000000-0005-0000-0000-0000D9500000}"/>
    <cellStyle name="Normal 9 2 4" xfId="20707" xr:uid="{00000000-0005-0000-0000-0000DA500000}"/>
    <cellStyle name="Normal 9 2 4 2" xfId="20708" xr:uid="{00000000-0005-0000-0000-0000DB500000}"/>
    <cellStyle name="Normal 9 2 4 2 2" xfId="20709" xr:uid="{00000000-0005-0000-0000-0000DC500000}"/>
    <cellStyle name="Normal 9 2 4 3" xfId="20710" xr:uid="{00000000-0005-0000-0000-0000DD500000}"/>
    <cellStyle name="Normal 9 2 5" xfId="20711" xr:uid="{00000000-0005-0000-0000-0000DE500000}"/>
    <cellStyle name="Normal 9 2 5 2" xfId="20712" xr:uid="{00000000-0005-0000-0000-0000DF500000}"/>
    <cellStyle name="Normal 9 2 6" xfId="20713" xr:uid="{00000000-0005-0000-0000-0000E0500000}"/>
    <cellStyle name="Normal 9 2_Steps of Doneness" xfId="20714" xr:uid="{00000000-0005-0000-0000-0000E1500000}"/>
    <cellStyle name="Normal 9 3" xfId="20715" xr:uid="{00000000-0005-0000-0000-0000E2500000}"/>
    <cellStyle name="Normal 9 3 2" xfId="20716" xr:uid="{00000000-0005-0000-0000-0000E3500000}"/>
    <cellStyle name="Normal 9 3 2 2" xfId="20717" xr:uid="{00000000-0005-0000-0000-0000E4500000}"/>
    <cellStyle name="Normal 9 3 2 2 2" xfId="20718" xr:uid="{00000000-0005-0000-0000-0000E5500000}"/>
    <cellStyle name="Normal 9 3 2 2 2 2" xfId="20719" xr:uid="{00000000-0005-0000-0000-0000E6500000}"/>
    <cellStyle name="Normal 9 3 2 2 3" xfId="20720" xr:uid="{00000000-0005-0000-0000-0000E7500000}"/>
    <cellStyle name="Normal 9 3 2 3" xfId="20721" xr:uid="{00000000-0005-0000-0000-0000E8500000}"/>
    <cellStyle name="Normal 9 3 2 3 2" xfId="20722" xr:uid="{00000000-0005-0000-0000-0000E9500000}"/>
    <cellStyle name="Normal 9 3 2 4" xfId="20723" xr:uid="{00000000-0005-0000-0000-0000EA500000}"/>
    <cellStyle name="Normal 9 3 3" xfId="20724" xr:uid="{00000000-0005-0000-0000-0000EB500000}"/>
    <cellStyle name="Normal 9 3 3 2" xfId="20725" xr:uid="{00000000-0005-0000-0000-0000EC500000}"/>
    <cellStyle name="Normal 9 3 3 2 2" xfId="20726" xr:uid="{00000000-0005-0000-0000-0000ED500000}"/>
    <cellStyle name="Normal 9 3 3 3" xfId="20727" xr:uid="{00000000-0005-0000-0000-0000EE500000}"/>
    <cellStyle name="Normal 9 3 4" xfId="20728" xr:uid="{00000000-0005-0000-0000-0000EF500000}"/>
    <cellStyle name="Normal 9 3 4 2" xfId="20729" xr:uid="{00000000-0005-0000-0000-0000F0500000}"/>
    <cellStyle name="Normal 9 3 5" xfId="20730" xr:uid="{00000000-0005-0000-0000-0000F1500000}"/>
    <cellStyle name="Normal 9 3_Steps of Doneness" xfId="20731" xr:uid="{00000000-0005-0000-0000-0000F2500000}"/>
    <cellStyle name="Normal 9 4" xfId="20732" xr:uid="{00000000-0005-0000-0000-0000F3500000}"/>
    <cellStyle name="Normal 9 4 2" xfId="20733" xr:uid="{00000000-0005-0000-0000-0000F4500000}"/>
    <cellStyle name="Normal 9 4 2 2" xfId="20734" xr:uid="{00000000-0005-0000-0000-0000F5500000}"/>
    <cellStyle name="Normal 9 4 2 2 2" xfId="20735" xr:uid="{00000000-0005-0000-0000-0000F6500000}"/>
    <cellStyle name="Normal 9 4 2 3" xfId="20736" xr:uid="{00000000-0005-0000-0000-0000F7500000}"/>
    <cellStyle name="Normal 9 4 3" xfId="20737" xr:uid="{00000000-0005-0000-0000-0000F8500000}"/>
    <cellStyle name="Normal 9 4 3 2" xfId="20738" xr:uid="{00000000-0005-0000-0000-0000F9500000}"/>
    <cellStyle name="Normal 9 4 4" xfId="20739" xr:uid="{00000000-0005-0000-0000-0000FA500000}"/>
    <cellStyle name="Normal 9 5" xfId="20740" xr:uid="{00000000-0005-0000-0000-0000FB500000}"/>
    <cellStyle name="Normal 9 5 2" xfId="20741" xr:uid="{00000000-0005-0000-0000-0000FC500000}"/>
    <cellStyle name="Normal 9 5 2 2" xfId="20742" xr:uid="{00000000-0005-0000-0000-0000FD500000}"/>
    <cellStyle name="Normal 9 5 3" xfId="20743" xr:uid="{00000000-0005-0000-0000-0000FE500000}"/>
    <cellStyle name="Normal 9 6" xfId="20744" xr:uid="{00000000-0005-0000-0000-0000FF500000}"/>
    <cellStyle name="Normal 9 6 2" xfId="20745" xr:uid="{00000000-0005-0000-0000-000000510000}"/>
    <cellStyle name="Normal 9 7" xfId="20746" xr:uid="{00000000-0005-0000-0000-000001510000}"/>
    <cellStyle name="Normal 9 7 2" xfId="20747" xr:uid="{00000000-0005-0000-0000-000002510000}"/>
    <cellStyle name="Normal 9 8" xfId="20748" xr:uid="{00000000-0005-0000-0000-000003510000}"/>
    <cellStyle name="Normal 9 8 2" xfId="20749" xr:uid="{00000000-0005-0000-0000-000004510000}"/>
    <cellStyle name="Normal 9 9" xfId="20750" xr:uid="{00000000-0005-0000-0000-000005510000}"/>
    <cellStyle name="Normal 9 9 2" xfId="20751" xr:uid="{00000000-0005-0000-0000-000006510000}"/>
    <cellStyle name="Normal 9_Steps of Doneness" xfId="20752" xr:uid="{00000000-0005-0000-0000-000007510000}"/>
    <cellStyle name="Normal 90" xfId="20753" xr:uid="{00000000-0005-0000-0000-000008510000}"/>
    <cellStyle name="Normal 90 2" xfId="20754" xr:uid="{00000000-0005-0000-0000-000009510000}"/>
    <cellStyle name="Normal 91" xfId="20755" xr:uid="{00000000-0005-0000-0000-00000A510000}"/>
    <cellStyle name="Normal 91 2" xfId="20756" xr:uid="{00000000-0005-0000-0000-00000B510000}"/>
    <cellStyle name="Normal 92" xfId="20757" xr:uid="{00000000-0005-0000-0000-00000C510000}"/>
    <cellStyle name="Normal 93" xfId="20758" xr:uid="{00000000-0005-0000-0000-00000D510000}"/>
    <cellStyle name="Normal 94" xfId="20759" xr:uid="{00000000-0005-0000-0000-00000E510000}"/>
    <cellStyle name="Normal 95" xfId="20760" xr:uid="{00000000-0005-0000-0000-00000F510000}"/>
    <cellStyle name="Note" xfId="37" builtinId="10" customBuiltin="1"/>
    <cellStyle name="Note 10" xfId="20761" xr:uid="{00000000-0005-0000-0000-000011510000}"/>
    <cellStyle name="Note 10 2" xfId="20762" xr:uid="{00000000-0005-0000-0000-000012510000}"/>
    <cellStyle name="Note 11" xfId="20763" xr:uid="{00000000-0005-0000-0000-000013510000}"/>
    <cellStyle name="Note 2" xfId="59" xr:uid="{00000000-0005-0000-0000-000014510000}"/>
    <cellStyle name="Note 2 2" xfId="20764" xr:uid="{00000000-0005-0000-0000-000015510000}"/>
    <cellStyle name="Note 2 2 2" xfId="20765" xr:uid="{00000000-0005-0000-0000-000016510000}"/>
    <cellStyle name="Note 2 2 2 2" xfId="20766" xr:uid="{00000000-0005-0000-0000-000017510000}"/>
    <cellStyle name="Note 2 2 2 3" xfId="20767" xr:uid="{00000000-0005-0000-0000-000018510000}"/>
    <cellStyle name="Note 2 2 3" xfId="20768" xr:uid="{00000000-0005-0000-0000-000019510000}"/>
    <cellStyle name="Note 2 2 3 2" xfId="20769" xr:uid="{00000000-0005-0000-0000-00001A510000}"/>
    <cellStyle name="Note 2 2 4" xfId="20770" xr:uid="{00000000-0005-0000-0000-00001B510000}"/>
    <cellStyle name="Note 2 3" xfId="20771" xr:uid="{00000000-0005-0000-0000-00001C510000}"/>
    <cellStyle name="Note 2 3 2" xfId="20772" xr:uid="{00000000-0005-0000-0000-00001D510000}"/>
    <cellStyle name="Note 2 3 2 2" xfId="20773" xr:uid="{00000000-0005-0000-0000-00001E510000}"/>
    <cellStyle name="Note 2 3 2 3" xfId="20774" xr:uid="{00000000-0005-0000-0000-00001F510000}"/>
    <cellStyle name="Note 2 3 3" xfId="20775" xr:uid="{00000000-0005-0000-0000-000020510000}"/>
    <cellStyle name="Note 2 3 3 2" xfId="20776" xr:uid="{00000000-0005-0000-0000-000021510000}"/>
    <cellStyle name="Note 2 3 4" xfId="20777" xr:uid="{00000000-0005-0000-0000-000022510000}"/>
    <cellStyle name="Note 2 4" xfId="20778" xr:uid="{00000000-0005-0000-0000-000023510000}"/>
    <cellStyle name="Note 2 4 2" xfId="20779" xr:uid="{00000000-0005-0000-0000-000024510000}"/>
    <cellStyle name="Note 2 4 3" xfId="20780" xr:uid="{00000000-0005-0000-0000-000025510000}"/>
    <cellStyle name="Note 2 5" xfId="20781" xr:uid="{00000000-0005-0000-0000-000026510000}"/>
    <cellStyle name="Note 2 5 2" xfId="20782" xr:uid="{00000000-0005-0000-0000-000027510000}"/>
    <cellStyle name="Note 2 6" xfId="20783" xr:uid="{00000000-0005-0000-0000-000028510000}"/>
    <cellStyle name="Note 2_Steps of Doneness" xfId="20784" xr:uid="{00000000-0005-0000-0000-000029510000}"/>
    <cellStyle name="Note 3" xfId="20785" xr:uid="{00000000-0005-0000-0000-00002A510000}"/>
    <cellStyle name="Note 3 2" xfId="20786" xr:uid="{00000000-0005-0000-0000-00002B510000}"/>
    <cellStyle name="Note 3 2 2" xfId="20787" xr:uid="{00000000-0005-0000-0000-00002C510000}"/>
    <cellStyle name="Note 3 2 3" xfId="20788" xr:uid="{00000000-0005-0000-0000-00002D510000}"/>
    <cellStyle name="Note 3 3" xfId="20789" xr:uid="{00000000-0005-0000-0000-00002E510000}"/>
    <cellStyle name="Note 3 3 2" xfId="20790" xr:uid="{00000000-0005-0000-0000-00002F510000}"/>
    <cellStyle name="Note 3 4" xfId="20791" xr:uid="{00000000-0005-0000-0000-000030510000}"/>
    <cellStyle name="Note 4" xfId="20792" xr:uid="{00000000-0005-0000-0000-000031510000}"/>
    <cellStyle name="Note 4 2" xfId="20793" xr:uid="{00000000-0005-0000-0000-000032510000}"/>
    <cellStyle name="Note 5" xfId="20794" xr:uid="{00000000-0005-0000-0000-000033510000}"/>
    <cellStyle name="Note 5 2" xfId="20795" xr:uid="{00000000-0005-0000-0000-000034510000}"/>
    <cellStyle name="Note 6" xfId="20796" xr:uid="{00000000-0005-0000-0000-000035510000}"/>
    <cellStyle name="Note 6 2" xfId="20797" xr:uid="{00000000-0005-0000-0000-000036510000}"/>
    <cellStyle name="Note 7" xfId="20798" xr:uid="{00000000-0005-0000-0000-000037510000}"/>
    <cellStyle name="Note 7 2" xfId="20799" xr:uid="{00000000-0005-0000-0000-000038510000}"/>
    <cellStyle name="Note 8" xfId="20800" xr:uid="{00000000-0005-0000-0000-000039510000}"/>
    <cellStyle name="Note 8 2" xfId="20801" xr:uid="{00000000-0005-0000-0000-00003A510000}"/>
    <cellStyle name="Note 9" xfId="20802" xr:uid="{00000000-0005-0000-0000-00003B510000}"/>
    <cellStyle name="Note 9 2" xfId="20803" xr:uid="{00000000-0005-0000-0000-00003C510000}"/>
    <cellStyle name="Obs" xfId="20804" xr:uid="{00000000-0005-0000-0000-00003D510000}"/>
    <cellStyle name="Obs 2" xfId="20805" xr:uid="{00000000-0005-0000-0000-00003E510000}"/>
    <cellStyle name="Obs 2 2" xfId="20806" xr:uid="{00000000-0005-0000-0000-00003F510000}"/>
    <cellStyle name="Obs 2 2 2" xfId="20807" xr:uid="{00000000-0005-0000-0000-000040510000}"/>
    <cellStyle name="Obs 2 2 2 2" xfId="20808" xr:uid="{00000000-0005-0000-0000-000041510000}"/>
    <cellStyle name="Obs 2 2 3" xfId="20809" xr:uid="{00000000-0005-0000-0000-000042510000}"/>
    <cellStyle name="Obs 2 2 3 2" xfId="20810" xr:uid="{00000000-0005-0000-0000-000043510000}"/>
    <cellStyle name="Obs 2 2 3 3" xfId="20811" xr:uid="{00000000-0005-0000-0000-000044510000}"/>
    <cellStyle name="Obs 2 2 3 4" xfId="20812" xr:uid="{00000000-0005-0000-0000-000045510000}"/>
    <cellStyle name="Obs 2 2 4" xfId="20813" xr:uid="{00000000-0005-0000-0000-000046510000}"/>
    <cellStyle name="Obs 2 2 4 2" xfId="20814" xr:uid="{00000000-0005-0000-0000-000047510000}"/>
    <cellStyle name="Obs 2 2 4 3" xfId="20815" xr:uid="{00000000-0005-0000-0000-000048510000}"/>
    <cellStyle name="Obs 2 2 4 4" xfId="20816" xr:uid="{00000000-0005-0000-0000-000049510000}"/>
    <cellStyle name="Obs 2 3" xfId="20817" xr:uid="{00000000-0005-0000-0000-00004A510000}"/>
    <cellStyle name="Obs 2 3 2" xfId="20818" xr:uid="{00000000-0005-0000-0000-00004B510000}"/>
    <cellStyle name="Obs 2 3 2 2" xfId="20819" xr:uid="{00000000-0005-0000-0000-00004C510000}"/>
    <cellStyle name="Obs 2 3 3" xfId="20820" xr:uid="{00000000-0005-0000-0000-00004D510000}"/>
    <cellStyle name="Obs 2 3 3 2" xfId="20821" xr:uid="{00000000-0005-0000-0000-00004E510000}"/>
    <cellStyle name="Obs 2 3 3 3" xfId="20822" xr:uid="{00000000-0005-0000-0000-00004F510000}"/>
    <cellStyle name="Obs 2 3 3 4" xfId="20823" xr:uid="{00000000-0005-0000-0000-000050510000}"/>
    <cellStyle name="Obs 2 3 4" xfId="20824" xr:uid="{00000000-0005-0000-0000-000051510000}"/>
    <cellStyle name="Obs 2 3 4 2" xfId="20825" xr:uid="{00000000-0005-0000-0000-000052510000}"/>
    <cellStyle name="Obs 2 3 4 3" xfId="20826" xr:uid="{00000000-0005-0000-0000-000053510000}"/>
    <cellStyle name="Obs 2 3 4 4" xfId="20827" xr:uid="{00000000-0005-0000-0000-000054510000}"/>
    <cellStyle name="Obs 2 4" xfId="20828" xr:uid="{00000000-0005-0000-0000-000055510000}"/>
    <cellStyle name="Obs 2 4 2" xfId="20829" xr:uid="{00000000-0005-0000-0000-000056510000}"/>
    <cellStyle name="Obs 2 5" xfId="20830" xr:uid="{00000000-0005-0000-0000-000057510000}"/>
    <cellStyle name="Obs 2 5 2" xfId="20831" xr:uid="{00000000-0005-0000-0000-000058510000}"/>
    <cellStyle name="Obs 2 5 3" xfId="20832" xr:uid="{00000000-0005-0000-0000-000059510000}"/>
    <cellStyle name="Obs 2 5 4" xfId="20833" xr:uid="{00000000-0005-0000-0000-00005A510000}"/>
    <cellStyle name="Obs 2 6" xfId="20834" xr:uid="{00000000-0005-0000-0000-00005B510000}"/>
    <cellStyle name="Obs 2 6 2" xfId="20835" xr:uid="{00000000-0005-0000-0000-00005C510000}"/>
    <cellStyle name="Obs 2 6 3" xfId="20836" xr:uid="{00000000-0005-0000-0000-00005D510000}"/>
    <cellStyle name="Obs 2 6 4" xfId="20837" xr:uid="{00000000-0005-0000-0000-00005E510000}"/>
    <cellStyle name="Obs 2_Steps of Doneness" xfId="20838" xr:uid="{00000000-0005-0000-0000-00005F510000}"/>
    <cellStyle name="Obs 3" xfId="20839" xr:uid="{00000000-0005-0000-0000-000060510000}"/>
    <cellStyle name="Obs 3 2" xfId="20840" xr:uid="{00000000-0005-0000-0000-000061510000}"/>
    <cellStyle name="Obs 3 2 2" xfId="20841" xr:uid="{00000000-0005-0000-0000-000062510000}"/>
    <cellStyle name="Obs 3 3" xfId="20842" xr:uid="{00000000-0005-0000-0000-000063510000}"/>
    <cellStyle name="Obs 3 3 2" xfId="20843" xr:uid="{00000000-0005-0000-0000-000064510000}"/>
    <cellStyle name="Obs 3 3 3" xfId="20844" xr:uid="{00000000-0005-0000-0000-000065510000}"/>
    <cellStyle name="Obs 3 3 4" xfId="20845" xr:uid="{00000000-0005-0000-0000-000066510000}"/>
    <cellStyle name="Obs 3 4" xfId="20846" xr:uid="{00000000-0005-0000-0000-000067510000}"/>
    <cellStyle name="Obs 3 4 2" xfId="20847" xr:uid="{00000000-0005-0000-0000-000068510000}"/>
    <cellStyle name="Obs 3 4 3" xfId="20848" xr:uid="{00000000-0005-0000-0000-000069510000}"/>
    <cellStyle name="Obs 3 4 4" xfId="20849" xr:uid="{00000000-0005-0000-0000-00006A510000}"/>
    <cellStyle name="Obs 4" xfId="20850" xr:uid="{00000000-0005-0000-0000-00006B510000}"/>
    <cellStyle name="Obs 4 2" xfId="20851" xr:uid="{00000000-0005-0000-0000-00006C510000}"/>
    <cellStyle name="Obs 4 2 2" xfId="20852" xr:uid="{00000000-0005-0000-0000-00006D510000}"/>
    <cellStyle name="Obs 4 3" xfId="20853" xr:uid="{00000000-0005-0000-0000-00006E510000}"/>
    <cellStyle name="Obs 4 3 2" xfId="20854" xr:uid="{00000000-0005-0000-0000-00006F510000}"/>
    <cellStyle name="Obs 4 3 3" xfId="20855" xr:uid="{00000000-0005-0000-0000-000070510000}"/>
    <cellStyle name="Obs 4 3 4" xfId="20856" xr:uid="{00000000-0005-0000-0000-000071510000}"/>
    <cellStyle name="Obs 4 4" xfId="20857" xr:uid="{00000000-0005-0000-0000-000072510000}"/>
    <cellStyle name="Obs 4 4 2" xfId="20858" xr:uid="{00000000-0005-0000-0000-000073510000}"/>
    <cellStyle name="Obs 4 4 3" xfId="20859" xr:uid="{00000000-0005-0000-0000-000074510000}"/>
    <cellStyle name="Obs 4 4 4" xfId="20860" xr:uid="{00000000-0005-0000-0000-000075510000}"/>
    <cellStyle name="Obs 5" xfId="20861" xr:uid="{00000000-0005-0000-0000-000076510000}"/>
    <cellStyle name="Obs 5 2" xfId="20862" xr:uid="{00000000-0005-0000-0000-000077510000}"/>
    <cellStyle name="Obs 6" xfId="20863" xr:uid="{00000000-0005-0000-0000-000078510000}"/>
    <cellStyle name="Obs 6 2" xfId="20864" xr:uid="{00000000-0005-0000-0000-000079510000}"/>
    <cellStyle name="Obs 6 3" xfId="20865" xr:uid="{00000000-0005-0000-0000-00007A510000}"/>
    <cellStyle name="Obs 6 4" xfId="20866" xr:uid="{00000000-0005-0000-0000-00007B510000}"/>
    <cellStyle name="Obs 7" xfId="20867" xr:uid="{00000000-0005-0000-0000-00007C510000}"/>
    <cellStyle name="Obs 7 2" xfId="20868" xr:uid="{00000000-0005-0000-0000-00007D510000}"/>
    <cellStyle name="Obs 7 3" xfId="20869" xr:uid="{00000000-0005-0000-0000-00007E510000}"/>
    <cellStyle name="Obs 7 4" xfId="20870" xr:uid="{00000000-0005-0000-0000-00007F510000}"/>
    <cellStyle name="Obs_Commissioning System Implementation_Project Workbook_06_10_2011" xfId="20871" xr:uid="{00000000-0005-0000-0000-000080510000}"/>
    <cellStyle name="Observation" xfId="20872" xr:uid="{00000000-0005-0000-0000-000081510000}"/>
    <cellStyle name="Observation 2" xfId="20873" xr:uid="{00000000-0005-0000-0000-000082510000}"/>
    <cellStyle name="Observation_Steps of Doneness" xfId="20874" xr:uid="{00000000-0005-0000-0000-000083510000}"/>
    <cellStyle name="Observations" xfId="20875" xr:uid="{00000000-0005-0000-0000-000084510000}"/>
    <cellStyle name="Observations 2" xfId="20876" xr:uid="{00000000-0005-0000-0000-000085510000}"/>
    <cellStyle name="Observations_Steps of Doneness" xfId="20877" xr:uid="{00000000-0005-0000-0000-000086510000}"/>
    <cellStyle name="Output" xfId="38" builtinId="21" customBuiltin="1"/>
    <cellStyle name="Output 2" xfId="54" xr:uid="{00000000-0005-0000-0000-000088510000}"/>
    <cellStyle name="Output 2 2" xfId="20878" xr:uid="{00000000-0005-0000-0000-000089510000}"/>
    <cellStyle name="Output 2 2 2" xfId="20879" xr:uid="{00000000-0005-0000-0000-00008A510000}"/>
    <cellStyle name="Output 2 2 2 2" xfId="20880" xr:uid="{00000000-0005-0000-0000-00008B510000}"/>
    <cellStyle name="Output 2 2 2 3" xfId="20881" xr:uid="{00000000-0005-0000-0000-00008C510000}"/>
    <cellStyle name="Output 2 2 3" xfId="20882" xr:uid="{00000000-0005-0000-0000-00008D510000}"/>
    <cellStyle name="Output 2 2 3 2" xfId="20883" xr:uid="{00000000-0005-0000-0000-00008E510000}"/>
    <cellStyle name="Output 2 2 4" xfId="20884" xr:uid="{00000000-0005-0000-0000-00008F510000}"/>
    <cellStyle name="Output 2 3" xfId="20885" xr:uid="{00000000-0005-0000-0000-000090510000}"/>
    <cellStyle name="Output 2 3 2" xfId="20886" xr:uid="{00000000-0005-0000-0000-000091510000}"/>
    <cellStyle name="Output 2 3 3" xfId="20887" xr:uid="{00000000-0005-0000-0000-000092510000}"/>
    <cellStyle name="Output 2 4" xfId="20888" xr:uid="{00000000-0005-0000-0000-000093510000}"/>
    <cellStyle name="Output 2 4 2" xfId="20889" xr:uid="{00000000-0005-0000-0000-000094510000}"/>
    <cellStyle name="Output 2 5" xfId="20890" xr:uid="{00000000-0005-0000-0000-000095510000}"/>
    <cellStyle name="Output 3" xfId="20891" xr:uid="{00000000-0005-0000-0000-000096510000}"/>
    <cellStyle name="Output 3 2" xfId="20892" xr:uid="{00000000-0005-0000-0000-000097510000}"/>
    <cellStyle name="Output 3 2 2" xfId="20893" xr:uid="{00000000-0005-0000-0000-000098510000}"/>
    <cellStyle name="Output 3 2 3" xfId="20894" xr:uid="{00000000-0005-0000-0000-000099510000}"/>
    <cellStyle name="Output 3 3" xfId="20895" xr:uid="{00000000-0005-0000-0000-00009A510000}"/>
    <cellStyle name="Output 3 3 2" xfId="20896" xr:uid="{00000000-0005-0000-0000-00009B510000}"/>
    <cellStyle name="Output 3 4" xfId="20897" xr:uid="{00000000-0005-0000-0000-00009C510000}"/>
    <cellStyle name="Percent 2" xfId="20898" xr:uid="{00000000-0005-0000-0000-00009D510000}"/>
    <cellStyle name="Percent 2 2" xfId="20899" xr:uid="{00000000-0005-0000-0000-00009E510000}"/>
    <cellStyle name="Percent 2 2 2" xfId="20900" xr:uid="{00000000-0005-0000-0000-00009F510000}"/>
    <cellStyle name="Percent 2 2_Steps of Doneness" xfId="20901" xr:uid="{00000000-0005-0000-0000-0000A0510000}"/>
    <cellStyle name="Percent 2 3" xfId="20902" xr:uid="{00000000-0005-0000-0000-0000A1510000}"/>
    <cellStyle name="Percent 2_Steps of Doneness" xfId="20903" xr:uid="{00000000-0005-0000-0000-0000A2510000}"/>
    <cellStyle name="Percent 3" xfId="20904" xr:uid="{00000000-0005-0000-0000-0000A3510000}"/>
    <cellStyle name="Percent 3 2" xfId="20905" xr:uid="{00000000-0005-0000-0000-0000A4510000}"/>
    <cellStyle name="Percent 3_Steps of Doneness" xfId="20906" xr:uid="{00000000-0005-0000-0000-0000A5510000}"/>
    <cellStyle name="Percent 4" xfId="20907" xr:uid="{00000000-0005-0000-0000-0000A6510000}"/>
    <cellStyle name="Percent 4 2" xfId="20908" xr:uid="{00000000-0005-0000-0000-0000A7510000}"/>
    <cellStyle name="Percent 4_Steps of Doneness" xfId="20909" xr:uid="{00000000-0005-0000-0000-0000A8510000}"/>
    <cellStyle name="Percent 5" xfId="20910" xr:uid="{00000000-0005-0000-0000-0000A9510000}"/>
    <cellStyle name="Percent 5 2" xfId="20911" xr:uid="{00000000-0005-0000-0000-0000AA510000}"/>
    <cellStyle name="Percent 5_Steps of Doneness" xfId="20912" xr:uid="{00000000-0005-0000-0000-0000AB510000}"/>
    <cellStyle name="Performance" xfId="20913" xr:uid="{00000000-0005-0000-0000-0000AC510000}"/>
    <cellStyle name="Performance 2" xfId="20914" xr:uid="{00000000-0005-0000-0000-0000AD510000}"/>
    <cellStyle name="Performance_Steps of Doneness" xfId="20915" xr:uid="{00000000-0005-0000-0000-0000AE510000}"/>
    <cellStyle name="PriceNormal" xfId="20916" xr:uid="{00000000-0005-0000-0000-0000AF510000}"/>
    <cellStyle name="PriceNormal 2" xfId="20917" xr:uid="{00000000-0005-0000-0000-0000B0510000}"/>
    <cellStyle name="PriceNormal 2 2" xfId="20918" xr:uid="{00000000-0005-0000-0000-0000B1510000}"/>
    <cellStyle name="PriceNormal 2 2 2" xfId="20919" xr:uid="{00000000-0005-0000-0000-0000B2510000}"/>
    <cellStyle name="PriceNormal 2 3" xfId="20920" xr:uid="{00000000-0005-0000-0000-0000B3510000}"/>
    <cellStyle name="PriceNormal 2 3 2" xfId="20921" xr:uid="{00000000-0005-0000-0000-0000B4510000}"/>
    <cellStyle name="PriceNormal 2 3 3" xfId="20922" xr:uid="{00000000-0005-0000-0000-0000B5510000}"/>
    <cellStyle name="PriceNormal 2 3 4" xfId="20923" xr:uid="{00000000-0005-0000-0000-0000B6510000}"/>
    <cellStyle name="PriceNormal 2 4" xfId="20924" xr:uid="{00000000-0005-0000-0000-0000B7510000}"/>
    <cellStyle name="PriceNormal 2 4 2" xfId="20925" xr:uid="{00000000-0005-0000-0000-0000B8510000}"/>
    <cellStyle name="PriceNormal 2 4 3" xfId="20926" xr:uid="{00000000-0005-0000-0000-0000B9510000}"/>
    <cellStyle name="PriceNormal 2 4 4" xfId="20927" xr:uid="{00000000-0005-0000-0000-0000BA510000}"/>
    <cellStyle name="PriceNormal 3" xfId="20928" xr:uid="{00000000-0005-0000-0000-0000BB510000}"/>
    <cellStyle name="PriceNormal 3 2" xfId="20929" xr:uid="{00000000-0005-0000-0000-0000BC510000}"/>
    <cellStyle name="PriceNormal 4" xfId="20930" xr:uid="{00000000-0005-0000-0000-0000BD510000}"/>
    <cellStyle name="PriceNormal 4 2" xfId="20931" xr:uid="{00000000-0005-0000-0000-0000BE510000}"/>
    <cellStyle name="PriceNormal 4 3" xfId="20932" xr:uid="{00000000-0005-0000-0000-0000BF510000}"/>
    <cellStyle name="PriceNormal 4 4" xfId="20933" xr:uid="{00000000-0005-0000-0000-0000C0510000}"/>
    <cellStyle name="PriceNormal 5" xfId="20934" xr:uid="{00000000-0005-0000-0000-0000C1510000}"/>
    <cellStyle name="PriceNormal 5 2" xfId="20935" xr:uid="{00000000-0005-0000-0000-0000C2510000}"/>
    <cellStyle name="PriceNormal 5 3" xfId="20936" xr:uid="{00000000-0005-0000-0000-0000C3510000}"/>
    <cellStyle name="PriceNormal 5 4" xfId="20937" xr:uid="{00000000-0005-0000-0000-0000C4510000}"/>
    <cellStyle name="Standard" xfId="20938" xr:uid="{00000000-0005-0000-0000-0000C5510000}"/>
    <cellStyle name="Standard 2" xfId="20939" xr:uid="{00000000-0005-0000-0000-0000C6510000}"/>
    <cellStyle name="Standard 2 2" xfId="20940" xr:uid="{00000000-0005-0000-0000-0000C7510000}"/>
    <cellStyle name="Standard 2 3" xfId="20941" xr:uid="{00000000-0005-0000-0000-0000C8510000}"/>
    <cellStyle name="Standard 2_Steps of Doneness" xfId="20942" xr:uid="{00000000-0005-0000-0000-0000C9510000}"/>
    <cellStyle name="Standard 3" xfId="20943" xr:uid="{00000000-0005-0000-0000-0000CA510000}"/>
    <cellStyle name="Standard 4" xfId="20944" xr:uid="{00000000-0005-0000-0000-0000CB510000}"/>
    <cellStyle name="Standard_Steps of Doneness" xfId="20945" xr:uid="{00000000-0005-0000-0000-0000CC510000}"/>
    <cellStyle name="Style 1" xfId="20946" xr:uid="{00000000-0005-0000-0000-0000CD510000}"/>
    <cellStyle name="Style 1 2" xfId="20947" xr:uid="{00000000-0005-0000-0000-0000CE510000}"/>
    <cellStyle name="Style 1 2 2" xfId="20948" xr:uid="{00000000-0005-0000-0000-0000CF510000}"/>
    <cellStyle name="Style 1 2 2 2" xfId="20949" xr:uid="{00000000-0005-0000-0000-0000D0510000}"/>
    <cellStyle name="Style 1 2 2 3" xfId="20950" xr:uid="{00000000-0005-0000-0000-0000D1510000}"/>
    <cellStyle name="Style 1 2 2_Steps of Doneness" xfId="20951" xr:uid="{00000000-0005-0000-0000-0000D2510000}"/>
    <cellStyle name="Style 1 2 3" xfId="20952" xr:uid="{00000000-0005-0000-0000-0000D3510000}"/>
    <cellStyle name="Style 1 2 4" xfId="20953" xr:uid="{00000000-0005-0000-0000-0000D4510000}"/>
    <cellStyle name="Style 1 2_Steps of Doneness" xfId="20954" xr:uid="{00000000-0005-0000-0000-0000D5510000}"/>
    <cellStyle name="Style 1 3" xfId="20955" xr:uid="{00000000-0005-0000-0000-0000D6510000}"/>
    <cellStyle name="Style 1 4" xfId="20956" xr:uid="{00000000-0005-0000-0000-0000D7510000}"/>
    <cellStyle name="Style 1_Steps of Doneness" xfId="20957" xr:uid="{00000000-0005-0000-0000-0000D8510000}"/>
    <cellStyle name="Style 2" xfId="20958" xr:uid="{00000000-0005-0000-0000-0000D9510000}"/>
    <cellStyle name="Style 2 2" xfId="20959" xr:uid="{00000000-0005-0000-0000-0000DA510000}"/>
    <cellStyle name="Style 2 2 2" xfId="20960" xr:uid="{00000000-0005-0000-0000-0000DB510000}"/>
    <cellStyle name="Style 2 3" xfId="20961" xr:uid="{00000000-0005-0000-0000-0000DC510000}"/>
    <cellStyle name="Style 2 3 2" xfId="20962" xr:uid="{00000000-0005-0000-0000-0000DD510000}"/>
    <cellStyle name="Style 2 4" xfId="20963" xr:uid="{00000000-0005-0000-0000-0000DE510000}"/>
    <cellStyle name="Style 2_Commissioning System Implementation_Project Workbook_06_10_2011" xfId="20964" xr:uid="{00000000-0005-0000-0000-0000DF510000}"/>
    <cellStyle name="Style 22" xfId="20965" xr:uid="{00000000-0005-0000-0000-0000E0510000}"/>
    <cellStyle name="Style 22 2" xfId="20966" xr:uid="{00000000-0005-0000-0000-0000E1510000}"/>
    <cellStyle name="Style 22 2 2" xfId="20967" xr:uid="{00000000-0005-0000-0000-0000E2510000}"/>
    <cellStyle name="Style 22 3" xfId="20968" xr:uid="{00000000-0005-0000-0000-0000E3510000}"/>
    <cellStyle name="Style 22 3 2" xfId="20969" xr:uid="{00000000-0005-0000-0000-0000E4510000}"/>
    <cellStyle name="Style 22 4" xfId="20970" xr:uid="{00000000-0005-0000-0000-0000E5510000}"/>
    <cellStyle name="Style 22_Commissioning System Implementation_Project Workbook_06_10_2011" xfId="20971" xr:uid="{00000000-0005-0000-0000-0000E6510000}"/>
    <cellStyle name="Style 23" xfId="20972" xr:uid="{00000000-0005-0000-0000-0000E7510000}"/>
    <cellStyle name="Style 23 2" xfId="20973" xr:uid="{00000000-0005-0000-0000-0000E8510000}"/>
    <cellStyle name="Style 23 2 2" xfId="20974" xr:uid="{00000000-0005-0000-0000-0000E9510000}"/>
    <cellStyle name="Style 23 2 2 2" xfId="20975" xr:uid="{00000000-0005-0000-0000-0000EA510000}"/>
    <cellStyle name="Style 23 2 3" xfId="20976" xr:uid="{00000000-0005-0000-0000-0000EB510000}"/>
    <cellStyle name="Style 23 2 3 2" xfId="20977" xr:uid="{00000000-0005-0000-0000-0000EC510000}"/>
    <cellStyle name="Style 23 2 3 3" xfId="20978" xr:uid="{00000000-0005-0000-0000-0000ED510000}"/>
    <cellStyle name="Style 23 2 3 4" xfId="20979" xr:uid="{00000000-0005-0000-0000-0000EE510000}"/>
    <cellStyle name="Style 23 2 4" xfId="20980" xr:uid="{00000000-0005-0000-0000-0000EF510000}"/>
    <cellStyle name="Style 23 2 4 2" xfId="20981" xr:uid="{00000000-0005-0000-0000-0000F0510000}"/>
    <cellStyle name="Style 23 2 4 3" xfId="20982" xr:uid="{00000000-0005-0000-0000-0000F1510000}"/>
    <cellStyle name="Style 23 2 4 4" xfId="20983" xr:uid="{00000000-0005-0000-0000-0000F2510000}"/>
    <cellStyle name="Style 23 3" xfId="20984" xr:uid="{00000000-0005-0000-0000-0000F3510000}"/>
    <cellStyle name="Style 23 3 2" xfId="20985" xr:uid="{00000000-0005-0000-0000-0000F4510000}"/>
    <cellStyle name="Style 23 4" xfId="20986" xr:uid="{00000000-0005-0000-0000-0000F5510000}"/>
    <cellStyle name="Style 23 4 2" xfId="20987" xr:uid="{00000000-0005-0000-0000-0000F6510000}"/>
    <cellStyle name="Style 23 4 3" xfId="20988" xr:uid="{00000000-0005-0000-0000-0000F7510000}"/>
    <cellStyle name="Style 23 4 4" xfId="20989" xr:uid="{00000000-0005-0000-0000-0000F8510000}"/>
    <cellStyle name="Style 23 5" xfId="20990" xr:uid="{00000000-0005-0000-0000-0000F9510000}"/>
    <cellStyle name="Style 23 5 2" xfId="20991" xr:uid="{00000000-0005-0000-0000-0000FA510000}"/>
    <cellStyle name="Style 23 5 3" xfId="20992" xr:uid="{00000000-0005-0000-0000-0000FB510000}"/>
    <cellStyle name="Style 23 5 4" xfId="20993" xr:uid="{00000000-0005-0000-0000-0000FC510000}"/>
    <cellStyle name="Style 24" xfId="20994" xr:uid="{00000000-0005-0000-0000-0000FD510000}"/>
    <cellStyle name="Style 24 2" xfId="20995" xr:uid="{00000000-0005-0000-0000-0000FE510000}"/>
    <cellStyle name="Style 24 2 2" xfId="20996" xr:uid="{00000000-0005-0000-0000-0000FF510000}"/>
    <cellStyle name="Style 24 2 2 2" xfId="20997" xr:uid="{00000000-0005-0000-0000-000000520000}"/>
    <cellStyle name="Style 24 2 3" xfId="20998" xr:uid="{00000000-0005-0000-0000-000001520000}"/>
    <cellStyle name="Style 24 2 3 2" xfId="20999" xr:uid="{00000000-0005-0000-0000-000002520000}"/>
    <cellStyle name="Style 24 2 3 3" xfId="21000" xr:uid="{00000000-0005-0000-0000-000003520000}"/>
    <cellStyle name="Style 24 2 3 4" xfId="21001" xr:uid="{00000000-0005-0000-0000-000004520000}"/>
    <cellStyle name="Style 24 2 4" xfId="21002" xr:uid="{00000000-0005-0000-0000-000005520000}"/>
    <cellStyle name="Style 24 2 4 2" xfId="21003" xr:uid="{00000000-0005-0000-0000-000006520000}"/>
    <cellStyle name="Style 24 2 4 3" xfId="21004" xr:uid="{00000000-0005-0000-0000-000007520000}"/>
    <cellStyle name="Style 24 2 4 4" xfId="21005" xr:uid="{00000000-0005-0000-0000-000008520000}"/>
    <cellStyle name="Style 24 3" xfId="21006" xr:uid="{00000000-0005-0000-0000-000009520000}"/>
    <cellStyle name="Style 24 3 2" xfId="21007" xr:uid="{00000000-0005-0000-0000-00000A520000}"/>
    <cellStyle name="Style 24 4" xfId="21008" xr:uid="{00000000-0005-0000-0000-00000B520000}"/>
    <cellStyle name="Style 24 4 2" xfId="21009" xr:uid="{00000000-0005-0000-0000-00000C520000}"/>
    <cellStyle name="Style 24 4 3" xfId="21010" xr:uid="{00000000-0005-0000-0000-00000D520000}"/>
    <cellStyle name="Style 24 4 4" xfId="21011" xr:uid="{00000000-0005-0000-0000-00000E520000}"/>
    <cellStyle name="Style 24 5" xfId="21012" xr:uid="{00000000-0005-0000-0000-00000F520000}"/>
    <cellStyle name="Style 24 5 2" xfId="21013" xr:uid="{00000000-0005-0000-0000-000010520000}"/>
    <cellStyle name="Style 24 5 3" xfId="21014" xr:uid="{00000000-0005-0000-0000-000011520000}"/>
    <cellStyle name="Style 24 5 4" xfId="21015" xr:uid="{00000000-0005-0000-0000-000012520000}"/>
    <cellStyle name="Style 25" xfId="21016" xr:uid="{00000000-0005-0000-0000-000013520000}"/>
    <cellStyle name="Style 25 2" xfId="21017" xr:uid="{00000000-0005-0000-0000-000014520000}"/>
    <cellStyle name="Style 25 2 2" xfId="21018" xr:uid="{00000000-0005-0000-0000-000015520000}"/>
    <cellStyle name="Style 25 2 2 2" xfId="21019" xr:uid="{00000000-0005-0000-0000-000016520000}"/>
    <cellStyle name="Style 25 2 3" xfId="21020" xr:uid="{00000000-0005-0000-0000-000017520000}"/>
    <cellStyle name="Style 25 2 3 2" xfId="21021" xr:uid="{00000000-0005-0000-0000-000018520000}"/>
    <cellStyle name="Style 25 2 3 3" xfId="21022" xr:uid="{00000000-0005-0000-0000-000019520000}"/>
    <cellStyle name="Style 25 2 3 4" xfId="21023" xr:uid="{00000000-0005-0000-0000-00001A520000}"/>
    <cellStyle name="Style 25 2 4" xfId="21024" xr:uid="{00000000-0005-0000-0000-00001B520000}"/>
    <cellStyle name="Style 25 2 4 2" xfId="21025" xr:uid="{00000000-0005-0000-0000-00001C520000}"/>
    <cellStyle name="Style 25 2 4 3" xfId="21026" xr:uid="{00000000-0005-0000-0000-00001D520000}"/>
    <cellStyle name="Style 25 2 4 4" xfId="21027" xr:uid="{00000000-0005-0000-0000-00001E520000}"/>
    <cellStyle name="Style 25 3" xfId="21028" xr:uid="{00000000-0005-0000-0000-00001F520000}"/>
    <cellStyle name="Style 25 3 2" xfId="21029" xr:uid="{00000000-0005-0000-0000-000020520000}"/>
    <cellStyle name="Style 25 4" xfId="21030" xr:uid="{00000000-0005-0000-0000-000021520000}"/>
    <cellStyle name="Style 25 4 2" xfId="21031" xr:uid="{00000000-0005-0000-0000-000022520000}"/>
    <cellStyle name="Style 25 4 3" xfId="21032" xr:uid="{00000000-0005-0000-0000-000023520000}"/>
    <cellStyle name="Style 25 4 4" xfId="21033" xr:uid="{00000000-0005-0000-0000-000024520000}"/>
    <cellStyle name="Style 25 5" xfId="21034" xr:uid="{00000000-0005-0000-0000-000025520000}"/>
    <cellStyle name="Style 25 5 2" xfId="21035" xr:uid="{00000000-0005-0000-0000-000026520000}"/>
    <cellStyle name="Style 25 5 3" xfId="21036" xr:uid="{00000000-0005-0000-0000-000027520000}"/>
    <cellStyle name="Style 25 5 4" xfId="21037" xr:uid="{00000000-0005-0000-0000-000028520000}"/>
    <cellStyle name="Style 26" xfId="21038" xr:uid="{00000000-0005-0000-0000-000029520000}"/>
    <cellStyle name="Style 26 2" xfId="21039" xr:uid="{00000000-0005-0000-0000-00002A520000}"/>
    <cellStyle name="Style 26 2 2" xfId="21040" xr:uid="{00000000-0005-0000-0000-00002B520000}"/>
    <cellStyle name="Style 26 2 2 2" xfId="21041" xr:uid="{00000000-0005-0000-0000-00002C520000}"/>
    <cellStyle name="Style 26 2 3" xfId="21042" xr:uid="{00000000-0005-0000-0000-00002D520000}"/>
    <cellStyle name="Style 26 2 3 2" xfId="21043" xr:uid="{00000000-0005-0000-0000-00002E520000}"/>
    <cellStyle name="Style 26 2 3 3" xfId="21044" xr:uid="{00000000-0005-0000-0000-00002F520000}"/>
    <cellStyle name="Style 26 2 3 4" xfId="21045" xr:uid="{00000000-0005-0000-0000-000030520000}"/>
    <cellStyle name="Style 26 2 4" xfId="21046" xr:uid="{00000000-0005-0000-0000-000031520000}"/>
    <cellStyle name="Style 26 2 4 2" xfId="21047" xr:uid="{00000000-0005-0000-0000-000032520000}"/>
    <cellStyle name="Style 26 2 4 3" xfId="21048" xr:uid="{00000000-0005-0000-0000-000033520000}"/>
    <cellStyle name="Style 26 2 4 4" xfId="21049" xr:uid="{00000000-0005-0000-0000-000034520000}"/>
    <cellStyle name="Style 26 3" xfId="21050" xr:uid="{00000000-0005-0000-0000-000035520000}"/>
    <cellStyle name="Style 26 3 2" xfId="21051" xr:uid="{00000000-0005-0000-0000-000036520000}"/>
    <cellStyle name="Style 26 4" xfId="21052" xr:uid="{00000000-0005-0000-0000-000037520000}"/>
    <cellStyle name="Style 26 4 2" xfId="21053" xr:uid="{00000000-0005-0000-0000-000038520000}"/>
    <cellStyle name="Style 26 4 3" xfId="21054" xr:uid="{00000000-0005-0000-0000-000039520000}"/>
    <cellStyle name="Style 26 4 4" xfId="21055" xr:uid="{00000000-0005-0000-0000-00003A520000}"/>
    <cellStyle name="Style 26 5" xfId="21056" xr:uid="{00000000-0005-0000-0000-00003B520000}"/>
    <cellStyle name="Style 26 5 2" xfId="21057" xr:uid="{00000000-0005-0000-0000-00003C520000}"/>
    <cellStyle name="Style 26 5 3" xfId="21058" xr:uid="{00000000-0005-0000-0000-00003D520000}"/>
    <cellStyle name="Style 26 5 4" xfId="21059" xr:uid="{00000000-0005-0000-0000-00003E520000}"/>
    <cellStyle name="Style 27" xfId="21060" xr:uid="{00000000-0005-0000-0000-00003F520000}"/>
    <cellStyle name="Style 27 2" xfId="21061" xr:uid="{00000000-0005-0000-0000-000040520000}"/>
    <cellStyle name="Style 27 2 2" xfId="21062" xr:uid="{00000000-0005-0000-0000-000041520000}"/>
    <cellStyle name="Style 27 2 2 2" xfId="21063" xr:uid="{00000000-0005-0000-0000-000042520000}"/>
    <cellStyle name="Style 27 2 3" xfId="21064" xr:uid="{00000000-0005-0000-0000-000043520000}"/>
    <cellStyle name="Style 27 2 3 2" xfId="21065" xr:uid="{00000000-0005-0000-0000-000044520000}"/>
    <cellStyle name="Style 27 2 3 3" xfId="21066" xr:uid="{00000000-0005-0000-0000-000045520000}"/>
    <cellStyle name="Style 27 2 3 4" xfId="21067" xr:uid="{00000000-0005-0000-0000-000046520000}"/>
    <cellStyle name="Style 27 2 4" xfId="21068" xr:uid="{00000000-0005-0000-0000-000047520000}"/>
    <cellStyle name="Style 27 2 4 2" xfId="21069" xr:uid="{00000000-0005-0000-0000-000048520000}"/>
    <cellStyle name="Style 27 2 4 3" xfId="21070" xr:uid="{00000000-0005-0000-0000-000049520000}"/>
    <cellStyle name="Style 27 2 4 4" xfId="21071" xr:uid="{00000000-0005-0000-0000-00004A520000}"/>
    <cellStyle name="Style 27 3" xfId="21072" xr:uid="{00000000-0005-0000-0000-00004B520000}"/>
    <cellStyle name="Style 27 3 2" xfId="21073" xr:uid="{00000000-0005-0000-0000-00004C520000}"/>
    <cellStyle name="Style 27 4" xfId="21074" xr:uid="{00000000-0005-0000-0000-00004D520000}"/>
    <cellStyle name="Style 27 4 2" xfId="21075" xr:uid="{00000000-0005-0000-0000-00004E520000}"/>
    <cellStyle name="Style 27 4 3" xfId="21076" xr:uid="{00000000-0005-0000-0000-00004F520000}"/>
    <cellStyle name="Style 27 4 4" xfId="21077" xr:uid="{00000000-0005-0000-0000-000050520000}"/>
    <cellStyle name="Style 27 5" xfId="21078" xr:uid="{00000000-0005-0000-0000-000051520000}"/>
    <cellStyle name="Style 27 5 2" xfId="21079" xr:uid="{00000000-0005-0000-0000-000052520000}"/>
    <cellStyle name="Style 27 5 3" xfId="21080" xr:uid="{00000000-0005-0000-0000-000053520000}"/>
    <cellStyle name="Style 27 5 4" xfId="21081" xr:uid="{00000000-0005-0000-0000-000054520000}"/>
    <cellStyle name="Style 28" xfId="21082" xr:uid="{00000000-0005-0000-0000-000055520000}"/>
    <cellStyle name="Style 28 2" xfId="21083" xr:uid="{00000000-0005-0000-0000-000056520000}"/>
    <cellStyle name="Style 28 2 2" xfId="21084" xr:uid="{00000000-0005-0000-0000-000057520000}"/>
    <cellStyle name="Style 28 2 2 2" xfId="21085" xr:uid="{00000000-0005-0000-0000-000058520000}"/>
    <cellStyle name="Style 28 2 2 2 2" xfId="21086" xr:uid="{00000000-0005-0000-0000-000059520000}"/>
    <cellStyle name="Style 28 2 2 3" xfId="21087" xr:uid="{00000000-0005-0000-0000-00005A520000}"/>
    <cellStyle name="Style 28 2 2 3 2" xfId="21088" xr:uid="{00000000-0005-0000-0000-00005B520000}"/>
    <cellStyle name="Style 28 2 2 3 3" xfId="21089" xr:uid="{00000000-0005-0000-0000-00005C520000}"/>
    <cellStyle name="Style 28 2 2 3 4" xfId="21090" xr:uid="{00000000-0005-0000-0000-00005D520000}"/>
    <cellStyle name="Style 28 2 2 4" xfId="21091" xr:uid="{00000000-0005-0000-0000-00005E520000}"/>
    <cellStyle name="Style 28 2 2 4 2" xfId="21092" xr:uid="{00000000-0005-0000-0000-00005F520000}"/>
    <cellStyle name="Style 28 2 2 4 3" xfId="21093" xr:uid="{00000000-0005-0000-0000-000060520000}"/>
    <cellStyle name="Style 28 2 2 4 4" xfId="21094" xr:uid="{00000000-0005-0000-0000-000061520000}"/>
    <cellStyle name="Style 28 2 3" xfId="21095" xr:uid="{00000000-0005-0000-0000-000062520000}"/>
    <cellStyle name="Style 28 2 3 2" xfId="21096" xr:uid="{00000000-0005-0000-0000-000063520000}"/>
    <cellStyle name="Style 28 2 4" xfId="21097" xr:uid="{00000000-0005-0000-0000-000064520000}"/>
    <cellStyle name="Style 28 2 4 2" xfId="21098" xr:uid="{00000000-0005-0000-0000-000065520000}"/>
    <cellStyle name="Style 28 2 4 3" xfId="21099" xr:uid="{00000000-0005-0000-0000-000066520000}"/>
    <cellStyle name="Style 28 2 4 4" xfId="21100" xr:uid="{00000000-0005-0000-0000-000067520000}"/>
    <cellStyle name="Style 28 2 5" xfId="21101" xr:uid="{00000000-0005-0000-0000-000068520000}"/>
    <cellStyle name="Style 28 2 5 2" xfId="21102" xr:uid="{00000000-0005-0000-0000-000069520000}"/>
    <cellStyle name="Style 28 2 5 3" xfId="21103" xr:uid="{00000000-0005-0000-0000-00006A520000}"/>
    <cellStyle name="Style 28 2 5 4" xfId="21104" xr:uid="{00000000-0005-0000-0000-00006B520000}"/>
    <cellStyle name="Style 28 3" xfId="21105" xr:uid="{00000000-0005-0000-0000-00006C520000}"/>
    <cellStyle name="Style 28 3 2" xfId="21106" xr:uid="{00000000-0005-0000-0000-00006D520000}"/>
    <cellStyle name="Style 28 3 2 2" xfId="21107" xr:uid="{00000000-0005-0000-0000-00006E520000}"/>
    <cellStyle name="Style 28 3 3" xfId="21108" xr:uid="{00000000-0005-0000-0000-00006F520000}"/>
    <cellStyle name="Style 28 3 3 2" xfId="21109" xr:uid="{00000000-0005-0000-0000-000070520000}"/>
    <cellStyle name="Style 28 3 3 3" xfId="21110" xr:uid="{00000000-0005-0000-0000-000071520000}"/>
    <cellStyle name="Style 28 3 3 4" xfId="21111" xr:uid="{00000000-0005-0000-0000-000072520000}"/>
    <cellStyle name="Style 28 3 4" xfId="21112" xr:uid="{00000000-0005-0000-0000-000073520000}"/>
    <cellStyle name="Style 28 3 4 2" xfId="21113" xr:uid="{00000000-0005-0000-0000-000074520000}"/>
    <cellStyle name="Style 28 3 4 3" xfId="21114" xr:uid="{00000000-0005-0000-0000-000075520000}"/>
    <cellStyle name="Style 28 3 4 4" xfId="21115" xr:uid="{00000000-0005-0000-0000-000076520000}"/>
    <cellStyle name="Style 28 4" xfId="21116" xr:uid="{00000000-0005-0000-0000-000077520000}"/>
    <cellStyle name="Style 28 4 2" xfId="21117" xr:uid="{00000000-0005-0000-0000-000078520000}"/>
    <cellStyle name="Style 28 5" xfId="21118" xr:uid="{00000000-0005-0000-0000-000079520000}"/>
    <cellStyle name="Style 28 5 2" xfId="21119" xr:uid="{00000000-0005-0000-0000-00007A520000}"/>
    <cellStyle name="Style 28 5 3" xfId="21120" xr:uid="{00000000-0005-0000-0000-00007B520000}"/>
    <cellStyle name="Style 28 5 4" xfId="21121" xr:uid="{00000000-0005-0000-0000-00007C520000}"/>
    <cellStyle name="Style 28 6" xfId="21122" xr:uid="{00000000-0005-0000-0000-00007D520000}"/>
    <cellStyle name="Style 28 6 2" xfId="21123" xr:uid="{00000000-0005-0000-0000-00007E520000}"/>
    <cellStyle name="Style 28 6 3" xfId="21124" xr:uid="{00000000-0005-0000-0000-00007F520000}"/>
    <cellStyle name="Style 28 6 4" xfId="21125" xr:uid="{00000000-0005-0000-0000-000080520000}"/>
    <cellStyle name="Style 28_Steps of Doneness" xfId="21126" xr:uid="{00000000-0005-0000-0000-000081520000}"/>
    <cellStyle name="Style 29" xfId="21127" xr:uid="{00000000-0005-0000-0000-000082520000}"/>
    <cellStyle name="Style 29 2" xfId="21128" xr:uid="{00000000-0005-0000-0000-000083520000}"/>
    <cellStyle name="Style 29 2 2" xfId="21129" xr:uid="{00000000-0005-0000-0000-000084520000}"/>
    <cellStyle name="Style 29 2 2 2" xfId="21130" xr:uid="{00000000-0005-0000-0000-000085520000}"/>
    <cellStyle name="Style 29 2 2 2 2" xfId="21131" xr:uid="{00000000-0005-0000-0000-000086520000}"/>
    <cellStyle name="Style 29 2 2 3" xfId="21132" xr:uid="{00000000-0005-0000-0000-000087520000}"/>
    <cellStyle name="Style 29 2 2 3 2" xfId="21133" xr:uid="{00000000-0005-0000-0000-000088520000}"/>
    <cellStyle name="Style 29 2 2 3 3" xfId="21134" xr:uid="{00000000-0005-0000-0000-000089520000}"/>
    <cellStyle name="Style 29 2 2 3 4" xfId="21135" xr:uid="{00000000-0005-0000-0000-00008A520000}"/>
    <cellStyle name="Style 29 2 2 4" xfId="21136" xr:uid="{00000000-0005-0000-0000-00008B520000}"/>
    <cellStyle name="Style 29 2 2 4 2" xfId="21137" xr:uid="{00000000-0005-0000-0000-00008C520000}"/>
    <cellStyle name="Style 29 2 2 4 3" xfId="21138" xr:uid="{00000000-0005-0000-0000-00008D520000}"/>
    <cellStyle name="Style 29 2 2 4 4" xfId="21139" xr:uid="{00000000-0005-0000-0000-00008E520000}"/>
    <cellStyle name="Style 29 2 3" xfId="21140" xr:uid="{00000000-0005-0000-0000-00008F520000}"/>
    <cellStyle name="Style 29 2 3 2" xfId="21141" xr:uid="{00000000-0005-0000-0000-000090520000}"/>
    <cellStyle name="Style 29 2 4" xfId="21142" xr:uid="{00000000-0005-0000-0000-000091520000}"/>
    <cellStyle name="Style 29 2 4 2" xfId="21143" xr:uid="{00000000-0005-0000-0000-000092520000}"/>
    <cellStyle name="Style 29 2 4 3" xfId="21144" xr:uid="{00000000-0005-0000-0000-000093520000}"/>
    <cellStyle name="Style 29 2 4 4" xfId="21145" xr:uid="{00000000-0005-0000-0000-000094520000}"/>
    <cellStyle name="Style 29 2 5" xfId="21146" xr:uid="{00000000-0005-0000-0000-000095520000}"/>
    <cellStyle name="Style 29 2 5 2" xfId="21147" xr:uid="{00000000-0005-0000-0000-000096520000}"/>
    <cellStyle name="Style 29 2 5 3" xfId="21148" xr:uid="{00000000-0005-0000-0000-000097520000}"/>
    <cellStyle name="Style 29 2 5 4" xfId="21149" xr:uid="{00000000-0005-0000-0000-000098520000}"/>
    <cellStyle name="Style 29 3" xfId="21150" xr:uid="{00000000-0005-0000-0000-000099520000}"/>
    <cellStyle name="Style 29 3 2" xfId="21151" xr:uid="{00000000-0005-0000-0000-00009A520000}"/>
    <cellStyle name="Style 29 3 2 2" xfId="21152" xr:uid="{00000000-0005-0000-0000-00009B520000}"/>
    <cellStyle name="Style 29 3 3" xfId="21153" xr:uid="{00000000-0005-0000-0000-00009C520000}"/>
    <cellStyle name="Style 29 3 3 2" xfId="21154" xr:uid="{00000000-0005-0000-0000-00009D520000}"/>
    <cellStyle name="Style 29 3 3 3" xfId="21155" xr:uid="{00000000-0005-0000-0000-00009E520000}"/>
    <cellStyle name="Style 29 3 3 4" xfId="21156" xr:uid="{00000000-0005-0000-0000-00009F520000}"/>
    <cellStyle name="Style 29 3 4" xfId="21157" xr:uid="{00000000-0005-0000-0000-0000A0520000}"/>
    <cellStyle name="Style 29 3 4 2" xfId="21158" xr:uid="{00000000-0005-0000-0000-0000A1520000}"/>
    <cellStyle name="Style 29 3 4 3" xfId="21159" xr:uid="{00000000-0005-0000-0000-0000A2520000}"/>
    <cellStyle name="Style 29 3 4 4" xfId="21160" xr:uid="{00000000-0005-0000-0000-0000A3520000}"/>
    <cellStyle name="Style 29 4" xfId="21161" xr:uid="{00000000-0005-0000-0000-0000A4520000}"/>
    <cellStyle name="Style 29 4 2" xfId="21162" xr:uid="{00000000-0005-0000-0000-0000A5520000}"/>
    <cellStyle name="Style 29 5" xfId="21163" xr:uid="{00000000-0005-0000-0000-0000A6520000}"/>
    <cellStyle name="Style 29 5 2" xfId="21164" xr:uid="{00000000-0005-0000-0000-0000A7520000}"/>
    <cellStyle name="Style 29 5 3" xfId="21165" xr:uid="{00000000-0005-0000-0000-0000A8520000}"/>
    <cellStyle name="Style 29 5 4" xfId="21166" xr:uid="{00000000-0005-0000-0000-0000A9520000}"/>
    <cellStyle name="Style 29 6" xfId="21167" xr:uid="{00000000-0005-0000-0000-0000AA520000}"/>
    <cellStyle name="Style 29 6 2" xfId="21168" xr:uid="{00000000-0005-0000-0000-0000AB520000}"/>
    <cellStyle name="Style 29 6 3" xfId="21169" xr:uid="{00000000-0005-0000-0000-0000AC520000}"/>
    <cellStyle name="Style 29 6 4" xfId="21170" xr:uid="{00000000-0005-0000-0000-0000AD520000}"/>
    <cellStyle name="Style 29_Steps of Doneness" xfId="21171" xr:uid="{00000000-0005-0000-0000-0000AE520000}"/>
    <cellStyle name="Style 3" xfId="21172" xr:uid="{00000000-0005-0000-0000-0000AF520000}"/>
    <cellStyle name="Style 3 2" xfId="21173" xr:uid="{00000000-0005-0000-0000-0000B0520000}"/>
    <cellStyle name="Style 3 2 2" xfId="21174" xr:uid="{00000000-0005-0000-0000-0000B1520000}"/>
    <cellStyle name="Style 3 3" xfId="21175" xr:uid="{00000000-0005-0000-0000-0000B2520000}"/>
    <cellStyle name="Style 3 3 2" xfId="21176" xr:uid="{00000000-0005-0000-0000-0000B3520000}"/>
    <cellStyle name="Style 3 4" xfId="21177" xr:uid="{00000000-0005-0000-0000-0000B4520000}"/>
    <cellStyle name="Style 3_Commissioning System Implementation_Project Workbook_06_10_2011" xfId="21178" xr:uid="{00000000-0005-0000-0000-0000B5520000}"/>
    <cellStyle name="Style 30" xfId="21179" xr:uid="{00000000-0005-0000-0000-0000B6520000}"/>
    <cellStyle name="Style 30 2" xfId="21180" xr:uid="{00000000-0005-0000-0000-0000B7520000}"/>
    <cellStyle name="Style 30 2 2" xfId="21181" xr:uid="{00000000-0005-0000-0000-0000B8520000}"/>
    <cellStyle name="Style 30 2 2 2" xfId="21182" xr:uid="{00000000-0005-0000-0000-0000B9520000}"/>
    <cellStyle name="Style 30 2 3" xfId="21183" xr:uid="{00000000-0005-0000-0000-0000BA520000}"/>
    <cellStyle name="Style 30 2 3 2" xfId="21184" xr:uid="{00000000-0005-0000-0000-0000BB520000}"/>
    <cellStyle name="Style 30 2 3 3" xfId="21185" xr:uid="{00000000-0005-0000-0000-0000BC520000}"/>
    <cellStyle name="Style 30 2 3 4" xfId="21186" xr:uid="{00000000-0005-0000-0000-0000BD520000}"/>
    <cellStyle name="Style 30 2 4" xfId="21187" xr:uid="{00000000-0005-0000-0000-0000BE520000}"/>
    <cellStyle name="Style 30 2 4 2" xfId="21188" xr:uid="{00000000-0005-0000-0000-0000BF520000}"/>
    <cellStyle name="Style 30 2 4 3" xfId="21189" xr:uid="{00000000-0005-0000-0000-0000C0520000}"/>
    <cellStyle name="Style 30 2 4 4" xfId="21190" xr:uid="{00000000-0005-0000-0000-0000C1520000}"/>
    <cellStyle name="Style 30 3" xfId="21191" xr:uid="{00000000-0005-0000-0000-0000C2520000}"/>
    <cellStyle name="Style 30 3 2" xfId="21192" xr:uid="{00000000-0005-0000-0000-0000C3520000}"/>
    <cellStyle name="Style 30 4" xfId="21193" xr:uid="{00000000-0005-0000-0000-0000C4520000}"/>
    <cellStyle name="Style 30 4 2" xfId="21194" xr:uid="{00000000-0005-0000-0000-0000C5520000}"/>
    <cellStyle name="Style 30 4 3" xfId="21195" xr:uid="{00000000-0005-0000-0000-0000C6520000}"/>
    <cellStyle name="Style 30 4 4" xfId="21196" xr:uid="{00000000-0005-0000-0000-0000C7520000}"/>
    <cellStyle name="Style 30 5" xfId="21197" xr:uid="{00000000-0005-0000-0000-0000C8520000}"/>
    <cellStyle name="Style 30 5 2" xfId="21198" xr:uid="{00000000-0005-0000-0000-0000C9520000}"/>
    <cellStyle name="Style 30 5 3" xfId="21199" xr:uid="{00000000-0005-0000-0000-0000CA520000}"/>
    <cellStyle name="Style 30 5 4" xfId="21200" xr:uid="{00000000-0005-0000-0000-0000CB520000}"/>
    <cellStyle name="Style 31" xfId="21201" xr:uid="{00000000-0005-0000-0000-0000CC520000}"/>
    <cellStyle name="Style 31 2" xfId="21202" xr:uid="{00000000-0005-0000-0000-0000CD520000}"/>
    <cellStyle name="Style 31 2 2" xfId="21203" xr:uid="{00000000-0005-0000-0000-0000CE520000}"/>
    <cellStyle name="Style 31 2 2 2" xfId="21204" xr:uid="{00000000-0005-0000-0000-0000CF520000}"/>
    <cellStyle name="Style 31 2 3" xfId="21205" xr:uid="{00000000-0005-0000-0000-0000D0520000}"/>
    <cellStyle name="Style 31 2 3 2" xfId="21206" xr:uid="{00000000-0005-0000-0000-0000D1520000}"/>
    <cellStyle name="Style 31 2 3 3" xfId="21207" xr:uid="{00000000-0005-0000-0000-0000D2520000}"/>
    <cellStyle name="Style 31 2 3 4" xfId="21208" xr:uid="{00000000-0005-0000-0000-0000D3520000}"/>
    <cellStyle name="Style 31 2 4" xfId="21209" xr:uid="{00000000-0005-0000-0000-0000D4520000}"/>
    <cellStyle name="Style 31 2 4 2" xfId="21210" xr:uid="{00000000-0005-0000-0000-0000D5520000}"/>
    <cellStyle name="Style 31 2 4 3" xfId="21211" xr:uid="{00000000-0005-0000-0000-0000D6520000}"/>
    <cellStyle name="Style 31 2 4 4" xfId="21212" xr:uid="{00000000-0005-0000-0000-0000D7520000}"/>
    <cellStyle name="Style 31 3" xfId="21213" xr:uid="{00000000-0005-0000-0000-0000D8520000}"/>
    <cellStyle name="Style 31 3 2" xfId="21214" xr:uid="{00000000-0005-0000-0000-0000D9520000}"/>
    <cellStyle name="Style 31 4" xfId="21215" xr:uid="{00000000-0005-0000-0000-0000DA520000}"/>
    <cellStyle name="Style 31 4 2" xfId="21216" xr:uid="{00000000-0005-0000-0000-0000DB520000}"/>
    <cellStyle name="Style 31 4 3" xfId="21217" xr:uid="{00000000-0005-0000-0000-0000DC520000}"/>
    <cellStyle name="Style 31 4 4" xfId="21218" xr:uid="{00000000-0005-0000-0000-0000DD520000}"/>
    <cellStyle name="Style 31 5" xfId="21219" xr:uid="{00000000-0005-0000-0000-0000DE520000}"/>
    <cellStyle name="Style 31 5 2" xfId="21220" xr:uid="{00000000-0005-0000-0000-0000DF520000}"/>
    <cellStyle name="Style 31 5 3" xfId="21221" xr:uid="{00000000-0005-0000-0000-0000E0520000}"/>
    <cellStyle name="Style 31 5 4" xfId="21222" xr:uid="{00000000-0005-0000-0000-0000E1520000}"/>
    <cellStyle name="Style 32" xfId="21223" xr:uid="{00000000-0005-0000-0000-0000E2520000}"/>
    <cellStyle name="Style 32 2" xfId="21224" xr:uid="{00000000-0005-0000-0000-0000E3520000}"/>
    <cellStyle name="Style 32 2 2" xfId="21225" xr:uid="{00000000-0005-0000-0000-0000E4520000}"/>
    <cellStyle name="Style 32 2 2 2" xfId="21226" xr:uid="{00000000-0005-0000-0000-0000E5520000}"/>
    <cellStyle name="Style 32 2 3" xfId="21227" xr:uid="{00000000-0005-0000-0000-0000E6520000}"/>
    <cellStyle name="Style 32 2 3 2" xfId="21228" xr:uid="{00000000-0005-0000-0000-0000E7520000}"/>
    <cellStyle name="Style 32 2 3 3" xfId="21229" xr:uid="{00000000-0005-0000-0000-0000E8520000}"/>
    <cellStyle name="Style 32 2 3 4" xfId="21230" xr:uid="{00000000-0005-0000-0000-0000E9520000}"/>
    <cellStyle name="Style 32 2 4" xfId="21231" xr:uid="{00000000-0005-0000-0000-0000EA520000}"/>
    <cellStyle name="Style 32 2 4 2" xfId="21232" xr:uid="{00000000-0005-0000-0000-0000EB520000}"/>
    <cellStyle name="Style 32 2 4 3" xfId="21233" xr:uid="{00000000-0005-0000-0000-0000EC520000}"/>
    <cellStyle name="Style 32 2 4 4" xfId="21234" xr:uid="{00000000-0005-0000-0000-0000ED520000}"/>
    <cellStyle name="Style 32 3" xfId="21235" xr:uid="{00000000-0005-0000-0000-0000EE520000}"/>
    <cellStyle name="Style 32 3 2" xfId="21236" xr:uid="{00000000-0005-0000-0000-0000EF520000}"/>
    <cellStyle name="Style 32 4" xfId="21237" xr:uid="{00000000-0005-0000-0000-0000F0520000}"/>
    <cellStyle name="Style 32 4 2" xfId="21238" xr:uid="{00000000-0005-0000-0000-0000F1520000}"/>
    <cellStyle name="Style 32 4 3" xfId="21239" xr:uid="{00000000-0005-0000-0000-0000F2520000}"/>
    <cellStyle name="Style 32 4 4" xfId="21240" xr:uid="{00000000-0005-0000-0000-0000F3520000}"/>
    <cellStyle name="Style 32 5" xfId="21241" xr:uid="{00000000-0005-0000-0000-0000F4520000}"/>
    <cellStyle name="Style 32 5 2" xfId="21242" xr:uid="{00000000-0005-0000-0000-0000F5520000}"/>
    <cellStyle name="Style 32 5 3" xfId="21243" xr:uid="{00000000-0005-0000-0000-0000F6520000}"/>
    <cellStyle name="Style 32 5 4" xfId="21244" xr:uid="{00000000-0005-0000-0000-0000F7520000}"/>
    <cellStyle name="Style 33" xfId="21245" xr:uid="{00000000-0005-0000-0000-0000F8520000}"/>
    <cellStyle name="Style 33 2" xfId="21246" xr:uid="{00000000-0005-0000-0000-0000F9520000}"/>
    <cellStyle name="Style 33 2 2" xfId="21247" xr:uid="{00000000-0005-0000-0000-0000FA520000}"/>
    <cellStyle name="Style 33 2 2 2" xfId="21248" xr:uid="{00000000-0005-0000-0000-0000FB520000}"/>
    <cellStyle name="Style 33 2 3" xfId="21249" xr:uid="{00000000-0005-0000-0000-0000FC520000}"/>
    <cellStyle name="Style 33 2 3 2" xfId="21250" xr:uid="{00000000-0005-0000-0000-0000FD520000}"/>
    <cellStyle name="Style 33 2 3 3" xfId="21251" xr:uid="{00000000-0005-0000-0000-0000FE520000}"/>
    <cellStyle name="Style 33 2 3 4" xfId="21252" xr:uid="{00000000-0005-0000-0000-0000FF520000}"/>
    <cellStyle name="Style 33 2 4" xfId="21253" xr:uid="{00000000-0005-0000-0000-000000530000}"/>
    <cellStyle name="Style 33 2 4 2" xfId="21254" xr:uid="{00000000-0005-0000-0000-000001530000}"/>
    <cellStyle name="Style 33 2 4 3" xfId="21255" xr:uid="{00000000-0005-0000-0000-000002530000}"/>
    <cellStyle name="Style 33 2 4 4" xfId="21256" xr:uid="{00000000-0005-0000-0000-000003530000}"/>
    <cellStyle name="Style 33 3" xfId="21257" xr:uid="{00000000-0005-0000-0000-000004530000}"/>
    <cellStyle name="Style 33 3 2" xfId="21258" xr:uid="{00000000-0005-0000-0000-000005530000}"/>
    <cellStyle name="Style 33 4" xfId="21259" xr:uid="{00000000-0005-0000-0000-000006530000}"/>
    <cellStyle name="Style 33 4 2" xfId="21260" xr:uid="{00000000-0005-0000-0000-000007530000}"/>
    <cellStyle name="Style 33 4 3" xfId="21261" xr:uid="{00000000-0005-0000-0000-000008530000}"/>
    <cellStyle name="Style 33 4 4" xfId="21262" xr:uid="{00000000-0005-0000-0000-000009530000}"/>
    <cellStyle name="Style 33 5" xfId="21263" xr:uid="{00000000-0005-0000-0000-00000A530000}"/>
    <cellStyle name="Style 33 5 2" xfId="21264" xr:uid="{00000000-0005-0000-0000-00000B530000}"/>
    <cellStyle name="Style 33 5 3" xfId="21265" xr:uid="{00000000-0005-0000-0000-00000C530000}"/>
    <cellStyle name="Style 33 5 4" xfId="21266" xr:uid="{00000000-0005-0000-0000-00000D530000}"/>
    <cellStyle name="Style 34" xfId="21267" xr:uid="{00000000-0005-0000-0000-00000E530000}"/>
    <cellStyle name="Style 34 2" xfId="21268" xr:uid="{00000000-0005-0000-0000-00000F530000}"/>
    <cellStyle name="Style 34 2 2" xfId="21269" xr:uid="{00000000-0005-0000-0000-000010530000}"/>
    <cellStyle name="Style 34 2 2 2" xfId="21270" xr:uid="{00000000-0005-0000-0000-000011530000}"/>
    <cellStyle name="Style 34 2 3" xfId="21271" xr:uid="{00000000-0005-0000-0000-000012530000}"/>
    <cellStyle name="Style 34 2 3 2" xfId="21272" xr:uid="{00000000-0005-0000-0000-000013530000}"/>
    <cellStyle name="Style 34 2 3 3" xfId="21273" xr:uid="{00000000-0005-0000-0000-000014530000}"/>
    <cellStyle name="Style 34 2 3 4" xfId="21274" xr:uid="{00000000-0005-0000-0000-000015530000}"/>
    <cellStyle name="Style 34 2 4" xfId="21275" xr:uid="{00000000-0005-0000-0000-000016530000}"/>
    <cellStyle name="Style 34 2 4 2" xfId="21276" xr:uid="{00000000-0005-0000-0000-000017530000}"/>
    <cellStyle name="Style 34 2 4 3" xfId="21277" xr:uid="{00000000-0005-0000-0000-000018530000}"/>
    <cellStyle name="Style 34 2 4 4" xfId="21278" xr:uid="{00000000-0005-0000-0000-000019530000}"/>
    <cellStyle name="Style 34 3" xfId="21279" xr:uid="{00000000-0005-0000-0000-00001A530000}"/>
    <cellStyle name="Style 34 3 2" xfId="21280" xr:uid="{00000000-0005-0000-0000-00001B530000}"/>
    <cellStyle name="Style 34 4" xfId="21281" xr:uid="{00000000-0005-0000-0000-00001C530000}"/>
    <cellStyle name="Style 34 4 2" xfId="21282" xr:uid="{00000000-0005-0000-0000-00001D530000}"/>
    <cellStyle name="Style 34 4 3" xfId="21283" xr:uid="{00000000-0005-0000-0000-00001E530000}"/>
    <cellStyle name="Style 34 4 4" xfId="21284" xr:uid="{00000000-0005-0000-0000-00001F530000}"/>
    <cellStyle name="Style 34 5" xfId="21285" xr:uid="{00000000-0005-0000-0000-000020530000}"/>
    <cellStyle name="Style 34 5 2" xfId="21286" xr:uid="{00000000-0005-0000-0000-000021530000}"/>
    <cellStyle name="Style 34 5 3" xfId="21287" xr:uid="{00000000-0005-0000-0000-000022530000}"/>
    <cellStyle name="Style 34 5 4" xfId="21288" xr:uid="{00000000-0005-0000-0000-000023530000}"/>
    <cellStyle name="Style 35" xfId="21289" xr:uid="{00000000-0005-0000-0000-000024530000}"/>
    <cellStyle name="Style 35 2" xfId="21290" xr:uid="{00000000-0005-0000-0000-000025530000}"/>
    <cellStyle name="Style 35 2 2" xfId="21291" xr:uid="{00000000-0005-0000-0000-000026530000}"/>
    <cellStyle name="Style 35 2 2 2" xfId="21292" xr:uid="{00000000-0005-0000-0000-000027530000}"/>
    <cellStyle name="Style 35 2 3" xfId="21293" xr:uid="{00000000-0005-0000-0000-000028530000}"/>
    <cellStyle name="Style 35 2 3 2" xfId="21294" xr:uid="{00000000-0005-0000-0000-000029530000}"/>
    <cellStyle name="Style 35 2 3 3" xfId="21295" xr:uid="{00000000-0005-0000-0000-00002A530000}"/>
    <cellStyle name="Style 35 2 3 4" xfId="21296" xr:uid="{00000000-0005-0000-0000-00002B530000}"/>
    <cellStyle name="Style 35 2 4" xfId="21297" xr:uid="{00000000-0005-0000-0000-00002C530000}"/>
    <cellStyle name="Style 35 2 4 2" xfId="21298" xr:uid="{00000000-0005-0000-0000-00002D530000}"/>
    <cellStyle name="Style 35 2 4 3" xfId="21299" xr:uid="{00000000-0005-0000-0000-00002E530000}"/>
    <cellStyle name="Style 35 2 4 4" xfId="21300" xr:uid="{00000000-0005-0000-0000-00002F530000}"/>
    <cellStyle name="Style 35 3" xfId="21301" xr:uid="{00000000-0005-0000-0000-000030530000}"/>
    <cellStyle name="Style 35 3 2" xfId="21302" xr:uid="{00000000-0005-0000-0000-000031530000}"/>
    <cellStyle name="Style 35 4" xfId="21303" xr:uid="{00000000-0005-0000-0000-000032530000}"/>
    <cellStyle name="Style 35 4 2" xfId="21304" xr:uid="{00000000-0005-0000-0000-000033530000}"/>
    <cellStyle name="Style 35 4 3" xfId="21305" xr:uid="{00000000-0005-0000-0000-000034530000}"/>
    <cellStyle name="Style 35 4 4" xfId="21306" xr:uid="{00000000-0005-0000-0000-000035530000}"/>
    <cellStyle name="Style 35 5" xfId="21307" xr:uid="{00000000-0005-0000-0000-000036530000}"/>
    <cellStyle name="Style 35 5 2" xfId="21308" xr:uid="{00000000-0005-0000-0000-000037530000}"/>
    <cellStyle name="Style 35 5 3" xfId="21309" xr:uid="{00000000-0005-0000-0000-000038530000}"/>
    <cellStyle name="Style 35 5 4" xfId="21310" xr:uid="{00000000-0005-0000-0000-000039530000}"/>
    <cellStyle name="Style 36" xfId="21311" xr:uid="{00000000-0005-0000-0000-00003A530000}"/>
    <cellStyle name="Style 36 2" xfId="21312" xr:uid="{00000000-0005-0000-0000-00003B530000}"/>
    <cellStyle name="Style 36 2 2" xfId="21313" xr:uid="{00000000-0005-0000-0000-00003C530000}"/>
    <cellStyle name="Style 36 2 2 2" xfId="21314" xr:uid="{00000000-0005-0000-0000-00003D530000}"/>
    <cellStyle name="Style 36 2 3" xfId="21315" xr:uid="{00000000-0005-0000-0000-00003E530000}"/>
    <cellStyle name="Style 36 2 3 2" xfId="21316" xr:uid="{00000000-0005-0000-0000-00003F530000}"/>
    <cellStyle name="Style 36 2 3 3" xfId="21317" xr:uid="{00000000-0005-0000-0000-000040530000}"/>
    <cellStyle name="Style 36 2 3 4" xfId="21318" xr:uid="{00000000-0005-0000-0000-000041530000}"/>
    <cellStyle name="Style 36 2 4" xfId="21319" xr:uid="{00000000-0005-0000-0000-000042530000}"/>
    <cellStyle name="Style 36 2 4 2" xfId="21320" xr:uid="{00000000-0005-0000-0000-000043530000}"/>
    <cellStyle name="Style 36 2 4 3" xfId="21321" xr:uid="{00000000-0005-0000-0000-000044530000}"/>
    <cellStyle name="Style 36 2 4 4" xfId="21322" xr:uid="{00000000-0005-0000-0000-000045530000}"/>
    <cellStyle name="Style 36 3" xfId="21323" xr:uid="{00000000-0005-0000-0000-000046530000}"/>
    <cellStyle name="Style 36 3 2" xfId="21324" xr:uid="{00000000-0005-0000-0000-000047530000}"/>
    <cellStyle name="Style 36 4" xfId="21325" xr:uid="{00000000-0005-0000-0000-000048530000}"/>
    <cellStyle name="Style 36 4 2" xfId="21326" xr:uid="{00000000-0005-0000-0000-000049530000}"/>
    <cellStyle name="Style 36 4 3" xfId="21327" xr:uid="{00000000-0005-0000-0000-00004A530000}"/>
    <cellStyle name="Style 36 4 4" xfId="21328" xr:uid="{00000000-0005-0000-0000-00004B530000}"/>
    <cellStyle name="Style 36 5" xfId="21329" xr:uid="{00000000-0005-0000-0000-00004C530000}"/>
    <cellStyle name="Style 36 5 2" xfId="21330" xr:uid="{00000000-0005-0000-0000-00004D530000}"/>
    <cellStyle name="Style 36 5 3" xfId="21331" xr:uid="{00000000-0005-0000-0000-00004E530000}"/>
    <cellStyle name="Style 36 5 4" xfId="21332" xr:uid="{00000000-0005-0000-0000-00004F530000}"/>
    <cellStyle name="Style 37" xfId="21333" xr:uid="{00000000-0005-0000-0000-000050530000}"/>
    <cellStyle name="Style 37 2" xfId="21334" xr:uid="{00000000-0005-0000-0000-000051530000}"/>
    <cellStyle name="Style 37 2 2" xfId="21335" xr:uid="{00000000-0005-0000-0000-000052530000}"/>
    <cellStyle name="Style 37 2 2 2" xfId="21336" xr:uid="{00000000-0005-0000-0000-000053530000}"/>
    <cellStyle name="Style 37 2 2 2 2" xfId="21337" xr:uid="{00000000-0005-0000-0000-000054530000}"/>
    <cellStyle name="Style 37 2 2 3" xfId="21338" xr:uid="{00000000-0005-0000-0000-000055530000}"/>
    <cellStyle name="Style 37 2 2 3 2" xfId="21339" xr:uid="{00000000-0005-0000-0000-000056530000}"/>
    <cellStyle name="Style 37 2 2 3 3" xfId="21340" xr:uid="{00000000-0005-0000-0000-000057530000}"/>
    <cellStyle name="Style 37 2 2 3 4" xfId="21341" xr:uid="{00000000-0005-0000-0000-000058530000}"/>
    <cellStyle name="Style 37 2 2 4" xfId="21342" xr:uid="{00000000-0005-0000-0000-000059530000}"/>
    <cellStyle name="Style 37 2 2 4 2" xfId="21343" xr:uid="{00000000-0005-0000-0000-00005A530000}"/>
    <cellStyle name="Style 37 2 2 4 3" xfId="21344" xr:uid="{00000000-0005-0000-0000-00005B530000}"/>
    <cellStyle name="Style 37 2 2 4 4" xfId="21345" xr:uid="{00000000-0005-0000-0000-00005C530000}"/>
    <cellStyle name="Style 37 2 3" xfId="21346" xr:uid="{00000000-0005-0000-0000-00005D530000}"/>
    <cellStyle name="Style 37 2 3 2" xfId="21347" xr:uid="{00000000-0005-0000-0000-00005E530000}"/>
    <cellStyle name="Style 37 2 4" xfId="21348" xr:uid="{00000000-0005-0000-0000-00005F530000}"/>
    <cellStyle name="Style 37 2 4 2" xfId="21349" xr:uid="{00000000-0005-0000-0000-000060530000}"/>
    <cellStyle name="Style 37 2 4 3" xfId="21350" xr:uid="{00000000-0005-0000-0000-000061530000}"/>
    <cellStyle name="Style 37 2 4 4" xfId="21351" xr:uid="{00000000-0005-0000-0000-000062530000}"/>
    <cellStyle name="Style 37 2 5" xfId="21352" xr:uid="{00000000-0005-0000-0000-000063530000}"/>
    <cellStyle name="Style 37 2 5 2" xfId="21353" xr:uid="{00000000-0005-0000-0000-000064530000}"/>
    <cellStyle name="Style 37 2 5 3" xfId="21354" xr:uid="{00000000-0005-0000-0000-000065530000}"/>
    <cellStyle name="Style 37 2 5 4" xfId="21355" xr:uid="{00000000-0005-0000-0000-000066530000}"/>
    <cellStyle name="Style 37 3" xfId="21356" xr:uid="{00000000-0005-0000-0000-000067530000}"/>
    <cellStyle name="Style 37 3 2" xfId="21357" xr:uid="{00000000-0005-0000-0000-000068530000}"/>
    <cellStyle name="Style 37 3 2 2" xfId="21358" xr:uid="{00000000-0005-0000-0000-000069530000}"/>
    <cellStyle name="Style 37 3 3" xfId="21359" xr:uid="{00000000-0005-0000-0000-00006A530000}"/>
    <cellStyle name="Style 37 3 3 2" xfId="21360" xr:uid="{00000000-0005-0000-0000-00006B530000}"/>
    <cellStyle name="Style 37 3 3 3" xfId="21361" xr:uid="{00000000-0005-0000-0000-00006C530000}"/>
    <cellStyle name="Style 37 3 3 4" xfId="21362" xr:uid="{00000000-0005-0000-0000-00006D530000}"/>
    <cellStyle name="Style 37 3 4" xfId="21363" xr:uid="{00000000-0005-0000-0000-00006E530000}"/>
    <cellStyle name="Style 37 3 4 2" xfId="21364" xr:uid="{00000000-0005-0000-0000-00006F530000}"/>
    <cellStyle name="Style 37 3 4 3" xfId="21365" xr:uid="{00000000-0005-0000-0000-000070530000}"/>
    <cellStyle name="Style 37 3 4 4" xfId="21366" xr:uid="{00000000-0005-0000-0000-000071530000}"/>
    <cellStyle name="Style 37 4" xfId="21367" xr:uid="{00000000-0005-0000-0000-000072530000}"/>
    <cellStyle name="Style 37 4 2" xfId="21368" xr:uid="{00000000-0005-0000-0000-000073530000}"/>
    <cellStyle name="Style 37 5" xfId="21369" xr:uid="{00000000-0005-0000-0000-000074530000}"/>
    <cellStyle name="Style 37 5 2" xfId="21370" xr:uid="{00000000-0005-0000-0000-000075530000}"/>
    <cellStyle name="Style 37 5 3" xfId="21371" xr:uid="{00000000-0005-0000-0000-000076530000}"/>
    <cellStyle name="Style 37 5 4" xfId="21372" xr:uid="{00000000-0005-0000-0000-000077530000}"/>
    <cellStyle name="Style 37 6" xfId="21373" xr:uid="{00000000-0005-0000-0000-000078530000}"/>
    <cellStyle name="Style 37 6 2" xfId="21374" xr:uid="{00000000-0005-0000-0000-000079530000}"/>
    <cellStyle name="Style 37 6 3" xfId="21375" xr:uid="{00000000-0005-0000-0000-00007A530000}"/>
    <cellStyle name="Style 37 6 4" xfId="21376" xr:uid="{00000000-0005-0000-0000-00007B530000}"/>
    <cellStyle name="Style 37_Steps of Doneness" xfId="21377" xr:uid="{00000000-0005-0000-0000-00007C530000}"/>
    <cellStyle name="Style 38" xfId="21378" xr:uid="{00000000-0005-0000-0000-00007D530000}"/>
    <cellStyle name="Style 38 2" xfId="21379" xr:uid="{00000000-0005-0000-0000-00007E530000}"/>
    <cellStyle name="Style 38 2 2" xfId="21380" xr:uid="{00000000-0005-0000-0000-00007F530000}"/>
    <cellStyle name="Style 38 3" xfId="21381" xr:uid="{00000000-0005-0000-0000-000080530000}"/>
    <cellStyle name="Style 38_Steps of Doneness" xfId="21382" xr:uid="{00000000-0005-0000-0000-000081530000}"/>
    <cellStyle name="Style 4" xfId="21383" xr:uid="{00000000-0005-0000-0000-000082530000}"/>
    <cellStyle name="Style 4 2" xfId="21384" xr:uid="{00000000-0005-0000-0000-000083530000}"/>
    <cellStyle name="Style 4 2 2" xfId="21385" xr:uid="{00000000-0005-0000-0000-000084530000}"/>
    <cellStyle name="Style 4 3" xfId="21386" xr:uid="{00000000-0005-0000-0000-000085530000}"/>
    <cellStyle name="Style 4 3 2" xfId="21387" xr:uid="{00000000-0005-0000-0000-000086530000}"/>
    <cellStyle name="Style 4 4" xfId="21388" xr:uid="{00000000-0005-0000-0000-000087530000}"/>
    <cellStyle name="Style 4_Commissioning System Implementation_Project Workbook_06_10_2011" xfId="21389" xr:uid="{00000000-0005-0000-0000-000088530000}"/>
    <cellStyle name="Style 5" xfId="21390" xr:uid="{00000000-0005-0000-0000-000089530000}"/>
    <cellStyle name="Style 5 2" xfId="21391" xr:uid="{00000000-0005-0000-0000-00008A530000}"/>
    <cellStyle name="Style 5 2 2" xfId="21392" xr:uid="{00000000-0005-0000-0000-00008B530000}"/>
    <cellStyle name="Style 5 3" xfId="21393" xr:uid="{00000000-0005-0000-0000-00008C530000}"/>
    <cellStyle name="Style 5 3 2" xfId="21394" xr:uid="{00000000-0005-0000-0000-00008D530000}"/>
    <cellStyle name="Style 5 4" xfId="21395" xr:uid="{00000000-0005-0000-0000-00008E530000}"/>
    <cellStyle name="Style 5_Commissioning System Implementation_Project Workbook_06_10_2011" xfId="21396" xr:uid="{00000000-0005-0000-0000-00008F530000}"/>
    <cellStyle name="Style 6" xfId="21397" xr:uid="{00000000-0005-0000-0000-000090530000}"/>
    <cellStyle name="Style 6 2" xfId="21398" xr:uid="{00000000-0005-0000-0000-000091530000}"/>
    <cellStyle name="Style 6 2 2" xfId="21399" xr:uid="{00000000-0005-0000-0000-000092530000}"/>
    <cellStyle name="Style 6 2 3" xfId="21400" xr:uid="{00000000-0005-0000-0000-000093530000}"/>
    <cellStyle name="Style 6 2 4" xfId="21401" xr:uid="{00000000-0005-0000-0000-000094530000}"/>
    <cellStyle name="Style 6 3" xfId="21402" xr:uid="{00000000-0005-0000-0000-000095530000}"/>
    <cellStyle name="Style 6 3 2" xfId="21403" xr:uid="{00000000-0005-0000-0000-000096530000}"/>
    <cellStyle name="Style 6 4" xfId="21404" xr:uid="{00000000-0005-0000-0000-000097530000}"/>
    <cellStyle name="Style 7" xfId="21405" xr:uid="{00000000-0005-0000-0000-000098530000}"/>
    <cellStyle name="sub" xfId="21406" xr:uid="{00000000-0005-0000-0000-000099530000}"/>
    <cellStyle name="sub 2" xfId="21407" xr:uid="{00000000-0005-0000-0000-00009A530000}"/>
    <cellStyle name="sub 2 2" xfId="21408" xr:uid="{00000000-0005-0000-0000-00009B530000}"/>
    <cellStyle name="sub 2 2 2" xfId="21409" xr:uid="{00000000-0005-0000-0000-00009C530000}"/>
    <cellStyle name="sub 2 3" xfId="21410" xr:uid="{00000000-0005-0000-0000-00009D530000}"/>
    <cellStyle name="sub 2_Steps of Doneness" xfId="21411" xr:uid="{00000000-0005-0000-0000-00009E530000}"/>
    <cellStyle name="sub 3" xfId="21412" xr:uid="{00000000-0005-0000-0000-00009F530000}"/>
    <cellStyle name="sub 3 2" xfId="21413" xr:uid="{00000000-0005-0000-0000-0000A0530000}"/>
    <cellStyle name="sub 3 2 2" xfId="21414" xr:uid="{00000000-0005-0000-0000-0000A1530000}"/>
    <cellStyle name="sub 3 3" xfId="21415" xr:uid="{00000000-0005-0000-0000-0000A2530000}"/>
    <cellStyle name="sub 3_Steps of Doneness" xfId="21416" xr:uid="{00000000-0005-0000-0000-0000A3530000}"/>
    <cellStyle name="sub 4" xfId="21417" xr:uid="{00000000-0005-0000-0000-0000A4530000}"/>
    <cellStyle name="sub 4 2" xfId="21418" xr:uid="{00000000-0005-0000-0000-0000A5530000}"/>
    <cellStyle name="sub 5" xfId="21419" xr:uid="{00000000-0005-0000-0000-0000A6530000}"/>
    <cellStyle name="sub_Commissioning System Implementation_Project Workbook_06_10_2011" xfId="21420" xr:uid="{00000000-0005-0000-0000-0000A7530000}"/>
    <cellStyle name="SubTitle" xfId="21421" xr:uid="{00000000-0005-0000-0000-0000A8530000}"/>
    <cellStyle name="Table Cell" xfId="21422" xr:uid="{00000000-0005-0000-0000-0000A9530000}"/>
    <cellStyle name="Table Cell 10" xfId="21423" xr:uid="{00000000-0005-0000-0000-0000AA530000}"/>
    <cellStyle name="Table Cell 10 2" xfId="21424" xr:uid="{00000000-0005-0000-0000-0000AB530000}"/>
    <cellStyle name="Table Cell 10 2 2" xfId="21425" xr:uid="{00000000-0005-0000-0000-0000AC530000}"/>
    <cellStyle name="Table Cell 10 2 3" xfId="21426" xr:uid="{00000000-0005-0000-0000-0000AD530000}"/>
    <cellStyle name="Table Cell 10 3" xfId="21427" xr:uid="{00000000-0005-0000-0000-0000AE530000}"/>
    <cellStyle name="Table Cell 10 3 2" xfId="21428" xr:uid="{00000000-0005-0000-0000-0000AF530000}"/>
    <cellStyle name="Table Cell 10 4" xfId="21429" xr:uid="{00000000-0005-0000-0000-0000B0530000}"/>
    <cellStyle name="Table Cell 11" xfId="21430" xr:uid="{00000000-0005-0000-0000-0000B1530000}"/>
    <cellStyle name="Table Cell 11 2" xfId="21431" xr:uid="{00000000-0005-0000-0000-0000B2530000}"/>
    <cellStyle name="Table Cell 11 3" xfId="21432" xr:uid="{00000000-0005-0000-0000-0000B3530000}"/>
    <cellStyle name="Table Cell 12" xfId="21433" xr:uid="{00000000-0005-0000-0000-0000B4530000}"/>
    <cellStyle name="Table Cell 12 2" xfId="21434" xr:uid="{00000000-0005-0000-0000-0000B5530000}"/>
    <cellStyle name="Table Cell 13" xfId="21435" xr:uid="{00000000-0005-0000-0000-0000B6530000}"/>
    <cellStyle name="Table Cell 2" xfId="21436" xr:uid="{00000000-0005-0000-0000-0000B7530000}"/>
    <cellStyle name="Table Cell 2 2" xfId="21437" xr:uid="{00000000-0005-0000-0000-0000B8530000}"/>
    <cellStyle name="Table Cell 2 2 2" xfId="21438" xr:uid="{00000000-0005-0000-0000-0000B9530000}"/>
    <cellStyle name="Table Cell 2 2 2 2" xfId="21439" xr:uid="{00000000-0005-0000-0000-0000BA530000}"/>
    <cellStyle name="Table Cell 2 2 2 3" xfId="21440" xr:uid="{00000000-0005-0000-0000-0000BB530000}"/>
    <cellStyle name="Table Cell 2 2 3" xfId="21441" xr:uid="{00000000-0005-0000-0000-0000BC530000}"/>
    <cellStyle name="Table Cell 2 2 3 2" xfId="21442" xr:uid="{00000000-0005-0000-0000-0000BD530000}"/>
    <cellStyle name="Table Cell 2 2 4" xfId="21443" xr:uid="{00000000-0005-0000-0000-0000BE530000}"/>
    <cellStyle name="Table Cell 2 3" xfId="21444" xr:uid="{00000000-0005-0000-0000-0000BF530000}"/>
    <cellStyle name="Table Cell 2 3 2" xfId="21445" xr:uid="{00000000-0005-0000-0000-0000C0530000}"/>
    <cellStyle name="Table Cell 2 3 2 2" xfId="21446" xr:uid="{00000000-0005-0000-0000-0000C1530000}"/>
    <cellStyle name="Table Cell 2 3 2 3" xfId="21447" xr:uid="{00000000-0005-0000-0000-0000C2530000}"/>
    <cellStyle name="Table Cell 2 3 3" xfId="21448" xr:uid="{00000000-0005-0000-0000-0000C3530000}"/>
    <cellStyle name="Table Cell 2 3 3 2" xfId="21449" xr:uid="{00000000-0005-0000-0000-0000C4530000}"/>
    <cellStyle name="Table Cell 2 3 4" xfId="21450" xr:uid="{00000000-0005-0000-0000-0000C5530000}"/>
    <cellStyle name="Table Cell 2 4" xfId="21451" xr:uid="{00000000-0005-0000-0000-0000C6530000}"/>
    <cellStyle name="Table Cell 2 4 2" xfId="21452" xr:uid="{00000000-0005-0000-0000-0000C7530000}"/>
    <cellStyle name="Table Cell 2 4 3" xfId="21453" xr:uid="{00000000-0005-0000-0000-0000C8530000}"/>
    <cellStyle name="Table Cell 2 5" xfId="21454" xr:uid="{00000000-0005-0000-0000-0000C9530000}"/>
    <cellStyle name="Table Cell 2 5 2" xfId="21455" xr:uid="{00000000-0005-0000-0000-0000CA530000}"/>
    <cellStyle name="Table Cell 2 6" xfId="21456" xr:uid="{00000000-0005-0000-0000-0000CB530000}"/>
    <cellStyle name="Table Cell 2_Steps of Doneness" xfId="21457" xr:uid="{00000000-0005-0000-0000-0000CC530000}"/>
    <cellStyle name="Table Cell 3" xfId="21458" xr:uid="{00000000-0005-0000-0000-0000CD530000}"/>
    <cellStyle name="Table Cell 3 2" xfId="21459" xr:uid="{00000000-0005-0000-0000-0000CE530000}"/>
    <cellStyle name="Table Cell 3 2 2" xfId="21460" xr:uid="{00000000-0005-0000-0000-0000CF530000}"/>
    <cellStyle name="Table Cell 3 2 3" xfId="21461" xr:uid="{00000000-0005-0000-0000-0000D0530000}"/>
    <cellStyle name="Table Cell 3 3" xfId="21462" xr:uid="{00000000-0005-0000-0000-0000D1530000}"/>
    <cellStyle name="Table Cell 3 3 2" xfId="21463" xr:uid="{00000000-0005-0000-0000-0000D2530000}"/>
    <cellStyle name="Table Cell 3 4" xfId="21464" xr:uid="{00000000-0005-0000-0000-0000D3530000}"/>
    <cellStyle name="Table Cell 4" xfId="21465" xr:uid="{00000000-0005-0000-0000-0000D4530000}"/>
    <cellStyle name="Table Cell 4 2" xfId="21466" xr:uid="{00000000-0005-0000-0000-0000D5530000}"/>
    <cellStyle name="Table Cell 4 2 2" xfId="21467" xr:uid="{00000000-0005-0000-0000-0000D6530000}"/>
    <cellStyle name="Table Cell 4 2 3" xfId="21468" xr:uid="{00000000-0005-0000-0000-0000D7530000}"/>
    <cellStyle name="Table Cell 4 3" xfId="21469" xr:uid="{00000000-0005-0000-0000-0000D8530000}"/>
    <cellStyle name="Table Cell 4 3 2" xfId="21470" xr:uid="{00000000-0005-0000-0000-0000D9530000}"/>
    <cellStyle name="Table Cell 4 4" xfId="21471" xr:uid="{00000000-0005-0000-0000-0000DA530000}"/>
    <cellStyle name="Table Cell 5" xfId="21472" xr:uid="{00000000-0005-0000-0000-0000DB530000}"/>
    <cellStyle name="Table Cell 5 2" xfId="21473" xr:uid="{00000000-0005-0000-0000-0000DC530000}"/>
    <cellStyle name="Table Cell 5 2 2" xfId="21474" xr:uid="{00000000-0005-0000-0000-0000DD530000}"/>
    <cellStyle name="Table Cell 5 2 3" xfId="21475" xr:uid="{00000000-0005-0000-0000-0000DE530000}"/>
    <cellStyle name="Table Cell 5 3" xfId="21476" xr:uid="{00000000-0005-0000-0000-0000DF530000}"/>
    <cellStyle name="Table Cell 5 3 2" xfId="21477" xr:uid="{00000000-0005-0000-0000-0000E0530000}"/>
    <cellStyle name="Table Cell 5 4" xfId="21478" xr:uid="{00000000-0005-0000-0000-0000E1530000}"/>
    <cellStyle name="Table Cell 6" xfId="21479" xr:uid="{00000000-0005-0000-0000-0000E2530000}"/>
    <cellStyle name="Table Cell 6 2" xfId="21480" xr:uid="{00000000-0005-0000-0000-0000E3530000}"/>
    <cellStyle name="Table Cell 6 2 2" xfId="21481" xr:uid="{00000000-0005-0000-0000-0000E4530000}"/>
    <cellStyle name="Table Cell 6 2 3" xfId="21482" xr:uid="{00000000-0005-0000-0000-0000E5530000}"/>
    <cellStyle name="Table Cell 6 3" xfId="21483" xr:uid="{00000000-0005-0000-0000-0000E6530000}"/>
    <cellStyle name="Table Cell 6 3 2" xfId="21484" xr:uid="{00000000-0005-0000-0000-0000E7530000}"/>
    <cellStyle name="Table Cell 6 4" xfId="21485" xr:uid="{00000000-0005-0000-0000-0000E8530000}"/>
    <cellStyle name="Table Cell 7" xfId="21486" xr:uid="{00000000-0005-0000-0000-0000E9530000}"/>
    <cellStyle name="Table Cell 7 2" xfId="21487" xr:uid="{00000000-0005-0000-0000-0000EA530000}"/>
    <cellStyle name="Table Cell 7 2 2" xfId="21488" xr:uid="{00000000-0005-0000-0000-0000EB530000}"/>
    <cellStyle name="Table Cell 7 2 3" xfId="21489" xr:uid="{00000000-0005-0000-0000-0000EC530000}"/>
    <cellStyle name="Table Cell 7 3" xfId="21490" xr:uid="{00000000-0005-0000-0000-0000ED530000}"/>
    <cellStyle name="Table Cell 7 3 2" xfId="21491" xr:uid="{00000000-0005-0000-0000-0000EE530000}"/>
    <cellStyle name="Table Cell 7 4" xfId="21492" xr:uid="{00000000-0005-0000-0000-0000EF530000}"/>
    <cellStyle name="Table Cell 8" xfId="21493" xr:uid="{00000000-0005-0000-0000-0000F0530000}"/>
    <cellStyle name="Table Cell 8 2" xfId="21494" xr:uid="{00000000-0005-0000-0000-0000F1530000}"/>
    <cellStyle name="Table Cell 8 2 2" xfId="21495" xr:uid="{00000000-0005-0000-0000-0000F2530000}"/>
    <cellStyle name="Table Cell 8 2 3" xfId="21496" xr:uid="{00000000-0005-0000-0000-0000F3530000}"/>
    <cellStyle name="Table Cell 8 3" xfId="21497" xr:uid="{00000000-0005-0000-0000-0000F4530000}"/>
    <cellStyle name="Table Cell 8 3 2" xfId="21498" xr:uid="{00000000-0005-0000-0000-0000F5530000}"/>
    <cellStyle name="Table Cell 8 4" xfId="21499" xr:uid="{00000000-0005-0000-0000-0000F6530000}"/>
    <cellStyle name="Table Cell 9" xfId="21500" xr:uid="{00000000-0005-0000-0000-0000F7530000}"/>
    <cellStyle name="Table Cell 9 2" xfId="21501" xr:uid="{00000000-0005-0000-0000-0000F8530000}"/>
    <cellStyle name="Table Cell 9 2 2" xfId="21502" xr:uid="{00000000-0005-0000-0000-0000F9530000}"/>
    <cellStyle name="Table Cell 9 2 3" xfId="21503" xr:uid="{00000000-0005-0000-0000-0000FA530000}"/>
    <cellStyle name="Table Cell 9 3" xfId="21504" xr:uid="{00000000-0005-0000-0000-0000FB530000}"/>
    <cellStyle name="Table Cell 9 3 2" xfId="21505" xr:uid="{00000000-0005-0000-0000-0000FC530000}"/>
    <cellStyle name="Table Cell 9 4" xfId="21506" xr:uid="{00000000-0005-0000-0000-0000FD530000}"/>
    <cellStyle name="Table Cell Date" xfId="21507" xr:uid="{00000000-0005-0000-0000-0000FE530000}"/>
    <cellStyle name="Table Cell Date 10" xfId="21508" xr:uid="{00000000-0005-0000-0000-0000FF530000}"/>
    <cellStyle name="Table Cell Date 10 2" xfId="21509" xr:uid="{00000000-0005-0000-0000-000000540000}"/>
    <cellStyle name="Table Cell Date 10 2 2" xfId="21510" xr:uid="{00000000-0005-0000-0000-000001540000}"/>
    <cellStyle name="Table Cell Date 10 2 3" xfId="21511" xr:uid="{00000000-0005-0000-0000-000002540000}"/>
    <cellStyle name="Table Cell Date 10 3" xfId="21512" xr:uid="{00000000-0005-0000-0000-000003540000}"/>
    <cellStyle name="Table Cell Date 10 3 2" xfId="21513" xr:uid="{00000000-0005-0000-0000-000004540000}"/>
    <cellStyle name="Table Cell Date 10 4" xfId="21514" xr:uid="{00000000-0005-0000-0000-000005540000}"/>
    <cellStyle name="Table Cell Date 11" xfId="21515" xr:uid="{00000000-0005-0000-0000-000006540000}"/>
    <cellStyle name="Table Cell Date 11 2" xfId="21516" xr:uid="{00000000-0005-0000-0000-000007540000}"/>
    <cellStyle name="Table Cell Date 11 3" xfId="21517" xr:uid="{00000000-0005-0000-0000-000008540000}"/>
    <cellStyle name="Table Cell Date 12" xfId="21518" xr:uid="{00000000-0005-0000-0000-000009540000}"/>
    <cellStyle name="Table Cell Date 12 2" xfId="21519" xr:uid="{00000000-0005-0000-0000-00000A540000}"/>
    <cellStyle name="Table Cell Date 13" xfId="21520" xr:uid="{00000000-0005-0000-0000-00000B540000}"/>
    <cellStyle name="Table Cell Date 2" xfId="21521" xr:uid="{00000000-0005-0000-0000-00000C540000}"/>
    <cellStyle name="Table Cell Date 2 2" xfId="21522" xr:uid="{00000000-0005-0000-0000-00000D540000}"/>
    <cellStyle name="Table Cell Date 2 2 2" xfId="21523" xr:uid="{00000000-0005-0000-0000-00000E540000}"/>
    <cellStyle name="Table Cell Date 2 2 2 2" xfId="21524" xr:uid="{00000000-0005-0000-0000-00000F540000}"/>
    <cellStyle name="Table Cell Date 2 2 2 3" xfId="21525" xr:uid="{00000000-0005-0000-0000-000010540000}"/>
    <cellStyle name="Table Cell Date 2 2 3" xfId="21526" xr:uid="{00000000-0005-0000-0000-000011540000}"/>
    <cellStyle name="Table Cell Date 2 2 3 2" xfId="21527" xr:uid="{00000000-0005-0000-0000-000012540000}"/>
    <cellStyle name="Table Cell Date 2 2 4" xfId="21528" xr:uid="{00000000-0005-0000-0000-000013540000}"/>
    <cellStyle name="Table Cell Date 2 3" xfId="21529" xr:uid="{00000000-0005-0000-0000-000014540000}"/>
    <cellStyle name="Table Cell Date 2 3 2" xfId="21530" xr:uid="{00000000-0005-0000-0000-000015540000}"/>
    <cellStyle name="Table Cell Date 2 3 3" xfId="21531" xr:uid="{00000000-0005-0000-0000-000016540000}"/>
    <cellStyle name="Table Cell Date 2 4" xfId="21532" xr:uid="{00000000-0005-0000-0000-000017540000}"/>
    <cellStyle name="Table Cell Date 2 4 2" xfId="21533" xr:uid="{00000000-0005-0000-0000-000018540000}"/>
    <cellStyle name="Table Cell Date 2 5" xfId="21534" xr:uid="{00000000-0005-0000-0000-000019540000}"/>
    <cellStyle name="Table Cell Date 2_Steps of Doneness" xfId="21535" xr:uid="{00000000-0005-0000-0000-00001A540000}"/>
    <cellStyle name="Table Cell Date 3" xfId="21536" xr:uid="{00000000-0005-0000-0000-00001B540000}"/>
    <cellStyle name="Table Cell Date 3 2" xfId="21537" xr:uid="{00000000-0005-0000-0000-00001C540000}"/>
    <cellStyle name="Table Cell Date 3 2 2" xfId="21538" xr:uid="{00000000-0005-0000-0000-00001D540000}"/>
    <cellStyle name="Table Cell Date 3 2 3" xfId="21539" xr:uid="{00000000-0005-0000-0000-00001E540000}"/>
    <cellStyle name="Table Cell Date 3 3" xfId="21540" xr:uid="{00000000-0005-0000-0000-00001F540000}"/>
    <cellStyle name="Table Cell Date 3 3 2" xfId="21541" xr:uid="{00000000-0005-0000-0000-000020540000}"/>
    <cellStyle name="Table Cell Date 3 4" xfId="21542" xr:uid="{00000000-0005-0000-0000-000021540000}"/>
    <cellStyle name="Table Cell Date 4" xfId="21543" xr:uid="{00000000-0005-0000-0000-000022540000}"/>
    <cellStyle name="Table Cell Date 4 2" xfId="21544" xr:uid="{00000000-0005-0000-0000-000023540000}"/>
    <cellStyle name="Table Cell Date 4 2 2" xfId="21545" xr:uid="{00000000-0005-0000-0000-000024540000}"/>
    <cellStyle name="Table Cell Date 4 2 3" xfId="21546" xr:uid="{00000000-0005-0000-0000-000025540000}"/>
    <cellStyle name="Table Cell Date 4 3" xfId="21547" xr:uid="{00000000-0005-0000-0000-000026540000}"/>
    <cellStyle name="Table Cell Date 4 3 2" xfId="21548" xr:uid="{00000000-0005-0000-0000-000027540000}"/>
    <cellStyle name="Table Cell Date 4 4" xfId="21549" xr:uid="{00000000-0005-0000-0000-000028540000}"/>
    <cellStyle name="Table Cell Date 5" xfId="21550" xr:uid="{00000000-0005-0000-0000-000029540000}"/>
    <cellStyle name="Table Cell Date 5 2" xfId="21551" xr:uid="{00000000-0005-0000-0000-00002A540000}"/>
    <cellStyle name="Table Cell Date 5 2 2" xfId="21552" xr:uid="{00000000-0005-0000-0000-00002B540000}"/>
    <cellStyle name="Table Cell Date 5 2 3" xfId="21553" xr:uid="{00000000-0005-0000-0000-00002C540000}"/>
    <cellStyle name="Table Cell Date 5 3" xfId="21554" xr:uid="{00000000-0005-0000-0000-00002D540000}"/>
    <cellStyle name="Table Cell Date 5 3 2" xfId="21555" xr:uid="{00000000-0005-0000-0000-00002E540000}"/>
    <cellStyle name="Table Cell Date 5 4" xfId="21556" xr:uid="{00000000-0005-0000-0000-00002F540000}"/>
    <cellStyle name="Table Cell Date 6" xfId="21557" xr:uid="{00000000-0005-0000-0000-000030540000}"/>
    <cellStyle name="Table Cell Date 6 2" xfId="21558" xr:uid="{00000000-0005-0000-0000-000031540000}"/>
    <cellStyle name="Table Cell Date 6 2 2" xfId="21559" xr:uid="{00000000-0005-0000-0000-000032540000}"/>
    <cellStyle name="Table Cell Date 6 2 3" xfId="21560" xr:uid="{00000000-0005-0000-0000-000033540000}"/>
    <cellStyle name="Table Cell Date 6 3" xfId="21561" xr:uid="{00000000-0005-0000-0000-000034540000}"/>
    <cellStyle name="Table Cell Date 6 3 2" xfId="21562" xr:uid="{00000000-0005-0000-0000-000035540000}"/>
    <cellStyle name="Table Cell Date 6 4" xfId="21563" xr:uid="{00000000-0005-0000-0000-000036540000}"/>
    <cellStyle name="Table Cell Date 7" xfId="21564" xr:uid="{00000000-0005-0000-0000-000037540000}"/>
    <cellStyle name="Table Cell Date 7 2" xfId="21565" xr:uid="{00000000-0005-0000-0000-000038540000}"/>
    <cellStyle name="Table Cell Date 7 2 2" xfId="21566" xr:uid="{00000000-0005-0000-0000-000039540000}"/>
    <cellStyle name="Table Cell Date 7 2 3" xfId="21567" xr:uid="{00000000-0005-0000-0000-00003A540000}"/>
    <cellStyle name="Table Cell Date 7 3" xfId="21568" xr:uid="{00000000-0005-0000-0000-00003B540000}"/>
    <cellStyle name="Table Cell Date 7 3 2" xfId="21569" xr:uid="{00000000-0005-0000-0000-00003C540000}"/>
    <cellStyle name="Table Cell Date 7 4" xfId="21570" xr:uid="{00000000-0005-0000-0000-00003D540000}"/>
    <cellStyle name="Table Cell Date 8" xfId="21571" xr:uid="{00000000-0005-0000-0000-00003E540000}"/>
    <cellStyle name="Table Cell Date 8 2" xfId="21572" xr:uid="{00000000-0005-0000-0000-00003F540000}"/>
    <cellStyle name="Table Cell Date 8 2 2" xfId="21573" xr:uid="{00000000-0005-0000-0000-000040540000}"/>
    <cellStyle name="Table Cell Date 8 2 3" xfId="21574" xr:uid="{00000000-0005-0000-0000-000041540000}"/>
    <cellStyle name="Table Cell Date 8 3" xfId="21575" xr:uid="{00000000-0005-0000-0000-000042540000}"/>
    <cellStyle name="Table Cell Date 8 3 2" xfId="21576" xr:uid="{00000000-0005-0000-0000-000043540000}"/>
    <cellStyle name="Table Cell Date 8 4" xfId="21577" xr:uid="{00000000-0005-0000-0000-000044540000}"/>
    <cellStyle name="Table Cell Date 9" xfId="21578" xr:uid="{00000000-0005-0000-0000-000045540000}"/>
    <cellStyle name="Table Cell Date 9 2" xfId="21579" xr:uid="{00000000-0005-0000-0000-000046540000}"/>
    <cellStyle name="Table Cell Date 9 2 2" xfId="21580" xr:uid="{00000000-0005-0000-0000-000047540000}"/>
    <cellStyle name="Table Cell Date 9 2 3" xfId="21581" xr:uid="{00000000-0005-0000-0000-000048540000}"/>
    <cellStyle name="Table Cell Date 9 3" xfId="21582" xr:uid="{00000000-0005-0000-0000-000049540000}"/>
    <cellStyle name="Table Cell Date 9 3 2" xfId="21583" xr:uid="{00000000-0005-0000-0000-00004A540000}"/>
    <cellStyle name="Table Cell Date 9 4" xfId="21584" xr:uid="{00000000-0005-0000-0000-00004B540000}"/>
    <cellStyle name="Table Cell Date_Commissioning System Implementation_Project Workbook_06_10_2011" xfId="21585" xr:uid="{00000000-0005-0000-0000-00004C540000}"/>
    <cellStyle name="Table Cell_Detailed_Requirements_Plan" xfId="21586" xr:uid="{00000000-0005-0000-0000-00004D540000}"/>
    <cellStyle name="Table Heading" xfId="21587" xr:uid="{00000000-0005-0000-0000-00004E540000}"/>
    <cellStyle name="Table Heading 2" xfId="21588" xr:uid="{00000000-0005-0000-0000-00004F540000}"/>
    <cellStyle name="Table Heading 2 2" xfId="21589" xr:uid="{00000000-0005-0000-0000-000050540000}"/>
    <cellStyle name="Table Heading 2 2 2" xfId="21590" xr:uid="{00000000-0005-0000-0000-000051540000}"/>
    <cellStyle name="Table Heading 2 2 3" xfId="21591" xr:uid="{00000000-0005-0000-0000-000052540000}"/>
    <cellStyle name="Table Heading 2 3" xfId="21592" xr:uid="{00000000-0005-0000-0000-000053540000}"/>
    <cellStyle name="Table Heading 3" xfId="21593" xr:uid="{00000000-0005-0000-0000-000054540000}"/>
    <cellStyle name="Table Heading 3 2" xfId="21594" xr:uid="{00000000-0005-0000-0000-000055540000}"/>
    <cellStyle name="Table Heading 3 3" xfId="21595" xr:uid="{00000000-0005-0000-0000-000056540000}"/>
    <cellStyle name="Table Heading 4" xfId="21596" xr:uid="{00000000-0005-0000-0000-000057540000}"/>
    <cellStyle name="Title" xfId="39" builtinId="15" customBuiltin="1"/>
    <cellStyle name="Title 2" xfId="45" xr:uid="{00000000-0005-0000-0000-000059540000}"/>
    <cellStyle name="Title 2 2" xfId="21597" xr:uid="{00000000-0005-0000-0000-00005A540000}"/>
    <cellStyle name="Title 3" xfId="21598" xr:uid="{00000000-0005-0000-0000-00005B540000}"/>
    <cellStyle name="ToolPop" xfId="21599" xr:uid="{00000000-0005-0000-0000-00005C540000}"/>
    <cellStyle name="ToolPop 2" xfId="21600" xr:uid="{00000000-0005-0000-0000-00005D540000}"/>
    <cellStyle name="ToolPop 2 2" xfId="21601" xr:uid="{00000000-0005-0000-0000-00005E540000}"/>
    <cellStyle name="ToolPop 2 2 2" xfId="21602" xr:uid="{00000000-0005-0000-0000-00005F540000}"/>
    <cellStyle name="ToolPop 2 2 2 2" xfId="21603" xr:uid="{00000000-0005-0000-0000-000060540000}"/>
    <cellStyle name="ToolPop 2 2 3" xfId="21604" xr:uid="{00000000-0005-0000-0000-000061540000}"/>
    <cellStyle name="ToolPop 2 2 3 2" xfId="21605" xr:uid="{00000000-0005-0000-0000-000062540000}"/>
    <cellStyle name="ToolPop 2 2 3 3" xfId="21606" xr:uid="{00000000-0005-0000-0000-000063540000}"/>
    <cellStyle name="ToolPop 2 2 3 4" xfId="21607" xr:uid="{00000000-0005-0000-0000-000064540000}"/>
    <cellStyle name="ToolPop 2 2 4" xfId="21608" xr:uid="{00000000-0005-0000-0000-000065540000}"/>
    <cellStyle name="ToolPop 2 2 4 2" xfId="21609" xr:uid="{00000000-0005-0000-0000-000066540000}"/>
    <cellStyle name="ToolPop 2 2 4 3" xfId="21610" xr:uid="{00000000-0005-0000-0000-000067540000}"/>
    <cellStyle name="ToolPop 2 2 4 4" xfId="21611" xr:uid="{00000000-0005-0000-0000-000068540000}"/>
    <cellStyle name="ToolPop 2 3" xfId="21612" xr:uid="{00000000-0005-0000-0000-000069540000}"/>
    <cellStyle name="ToolPop 2 3 2" xfId="21613" xr:uid="{00000000-0005-0000-0000-00006A540000}"/>
    <cellStyle name="ToolPop 2 3 2 2" xfId="21614" xr:uid="{00000000-0005-0000-0000-00006B540000}"/>
    <cellStyle name="ToolPop 2 3 3" xfId="21615" xr:uid="{00000000-0005-0000-0000-00006C540000}"/>
    <cellStyle name="ToolPop 2 3 3 2" xfId="21616" xr:uid="{00000000-0005-0000-0000-00006D540000}"/>
    <cellStyle name="ToolPop 2 3 3 3" xfId="21617" xr:uid="{00000000-0005-0000-0000-00006E540000}"/>
    <cellStyle name="ToolPop 2 3 3 4" xfId="21618" xr:uid="{00000000-0005-0000-0000-00006F540000}"/>
    <cellStyle name="ToolPop 2 3 4" xfId="21619" xr:uid="{00000000-0005-0000-0000-000070540000}"/>
    <cellStyle name="ToolPop 2 3 4 2" xfId="21620" xr:uid="{00000000-0005-0000-0000-000071540000}"/>
    <cellStyle name="ToolPop 2 3 4 3" xfId="21621" xr:uid="{00000000-0005-0000-0000-000072540000}"/>
    <cellStyle name="ToolPop 2 3 4 4" xfId="21622" xr:uid="{00000000-0005-0000-0000-000073540000}"/>
    <cellStyle name="ToolPop 2 4" xfId="21623" xr:uid="{00000000-0005-0000-0000-000074540000}"/>
    <cellStyle name="ToolPop 2 4 2" xfId="21624" xr:uid="{00000000-0005-0000-0000-000075540000}"/>
    <cellStyle name="ToolPop 2 5" xfId="21625" xr:uid="{00000000-0005-0000-0000-000076540000}"/>
    <cellStyle name="ToolPop 2 5 2" xfId="21626" xr:uid="{00000000-0005-0000-0000-000077540000}"/>
    <cellStyle name="ToolPop 2 5 3" xfId="21627" xr:uid="{00000000-0005-0000-0000-000078540000}"/>
    <cellStyle name="ToolPop 2 5 4" xfId="21628" xr:uid="{00000000-0005-0000-0000-000079540000}"/>
    <cellStyle name="ToolPop 2 6" xfId="21629" xr:uid="{00000000-0005-0000-0000-00007A540000}"/>
    <cellStyle name="ToolPop 2 6 2" xfId="21630" xr:uid="{00000000-0005-0000-0000-00007B540000}"/>
    <cellStyle name="ToolPop 2 6 3" xfId="21631" xr:uid="{00000000-0005-0000-0000-00007C540000}"/>
    <cellStyle name="ToolPop 2 6 4" xfId="21632" xr:uid="{00000000-0005-0000-0000-00007D540000}"/>
    <cellStyle name="ToolPop 2_Steps of Doneness" xfId="21633" xr:uid="{00000000-0005-0000-0000-00007E540000}"/>
    <cellStyle name="ToolPop 3" xfId="21634" xr:uid="{00000000-0005-0000-0000-00007F540000}"/>
    <cellStyle name="ToolPop 3 2" xfId="21635" xr:uid="{00000000-0005-0000-0000-000080540000}"/>
    <cellStyle name="ToolPop 3 2 2" xfId="21636" xr:uid="{00000000-0005-0000-0000-000081540000}"/>
    <cellStyle name="ToolPop 3 3" xfId="21637" xr:uid="{00000000-0005-0000-0000-000082540000}"/>
    <cellStyle name="ToolPop 3 3 2" xfId="21638" xr:uid="{00000000-0005-0000-0000-000083540000}"/>
    <cellStyle name="ToolPop 3 3 3" xfId="21639" xr:uid="{00000000-0005-0000-0000-000084540000}"/>
    <cellStyle name="ToolPop 3 3 4" xfId="21640" xr:uid="{00000000-0005-0000-0000-000085540000}"/>
    <cellStyle name="ToolPop 3 4" xfId="21641" xr:uid="{00000000-0005-0000-0000-000086540000}"/>
    <cellStyle name="ToolPop 3 4 2" xfId="21642" xr:uid="{00000000-0005-0000-0000-000087540000}"/>
    <cellStyle name="ToolPop 3 4 3" xfId="21643" xr:uid="{00000000-0005-0000-0000-000088540000}"/>
    <cellStyle name="ToolPop 3 4 4" xfId="21644" xr:uid="{00000000-0005-0000-0000-000089540000}"/>
    <cellStyle name="ToolPop 4" xfId="21645" xr:uid="{00000000-0005-0000-0000-00008A540000}"/>
    <cellStyle name="ToolPop 4 2" xfId="21646" xr:uid="{00000000-0005-0000-0000-00008B540000}"/>
    <cellStyle name="ToolPop 4 2 2" xfId="21647" xr:uid="{00000000-0005-0000-0000-00008C540000}"/>
    <cellStyle name="ToolPop 4 3" xfId="21648" xr:uid="{00000000-0005-0000-0000-00008D540000}"/>
    <cellStyle name="ToolPop 4 3 2" xfId="21649" xr:uid="{00000000-0005-0000-0000-00008E540000}"/>
    <cellStyle name="ToolPop 4 3 3" xfId="21650" xr:uid="{00000000-0005-0000-0000-00008F540000}"/>
    <cellStyle name="ToolPop 4 3 4" xfId="21651" xr:uid="{00000000-0005-0000-0000-000090540000}"/>
    <cellStyle name="ToolPop 4 4" xfId="21652" xr:uid="{00000000-0005-0000-0000-000091540000}"/>
    <cellStyle name="ToolPop 4 4 2" xfId="21653" xr:uid="{00000000-0005-0000-0000-000092540000}"/>
    <cellStyle name="ToolPop 4 4 3" xfId="21654" xr:uid="{00000000-0005-0000-0000-000093540000}"/>
    <cellStyle name="ToolPop 4 4 4" xfId="21655" xr:uid="{00000000-0005-0000-0000-000094540000}"/>
    <cellStyle name="ToolPop 5" xfId="21656" xr:uid="{00000000-0005-0000-0000-000095540000}"/>
    <cellStyle name="ToolPop 5 2" xfId="21657" xr:uid="{00000000-0005-0000-0000-000096540000}"/>
    <cellStyle name="ToolPop 6" xfId="21658" xr:uid="{00000000-0005-0000-0000-000097540000}"/>
    <cellStyle name="ToolPop 6 2" xfId="21659" xr:uid="{00000000-0005-0000-0000-000098540000}"/>
    <cellStyle name="ToolPop 6 3" xfId="21660" xr:uid="{00000000-0005-0000-0000-000099540000}"/>
    <cellStyle name="ToolPop 6 4" xfId="21661" xr:uid="{00000000-0005-0000-0000-00009A540000}"/>
    <cellStyle name="ToolPop 7" xfId="21662" xr:uid="{00000000-0005-0000-0000-00009B540000}"/>
    <cellStyle name="ToolPop 7 2" xfId="21663" xr:uid="{00000000-0005-0000-0000-00009C540000}"/>
    <cellStyle name="ToolPop 7 3" xfId="21664" xr:uid="{00000000-0005-0000-0000-00009D540000}"/>
    <cellStyle name="ToolPop 7 4" xfId="21665" xr:uid="{00000000-0005-0000-0000-00009E540000}"/>
    <cellStyle name="ToolPop_Steps of Doneness" xfId="21666" xr:uid="{00000000-0005-0000-0000-00009F540000}"/>
    <cellStyle name="Total" xfId="40" builtinId="25" customBuiltin="1"/>
    <cellStyle name="Total 2" xfId="61" xr:uid="{00000000-0005-0000-0000-0000A1540000}"/>
    <cellStyle name="Total 2 2" xfId="21667" xr:uid="{00000000-0005-0000-0000-0000A2540000}"/>
    <cellStyle name="Total 2 2 2" xfId="21668" xr:uid="{00000000-0005-0000-0000-0000A3540000}"/>
    <cellStyle name="Total 2 2 2 2" xfId="21669" xr:uid="{00000000-0005-0000-0000-0000A4540000}"/>
    <cellStyle name="Total 2 2 2 3" xfId="21670" xr:uid="{00000000-0005-0000-0000-0000A5540000}"/>
    <cellStyle name="Total 2 2 3" xfId="21671" xr:uid="{00000000-0005-0000-0000-0000A6540000}"/>
    <cellStyle name="Total 2 2 3 2" xfId="21672" xr:uid="{00000000-0005-0000-0000-0000A7540000}"/>
    <cellStyle name="Total 2 2 4" xfId="21673" xr:uid="{00000000-0005-0000-0000-0000A8540000}"/>
    <cellStyle name="Total 2 3" xfId="21674" xr:uid="{00000000-0005-0000-0000-0000A9540000}"/>
    <cellStyle name="Total 2 3 2" xfId="21675" xr:uid="{00000000-0005-0000-0000-0000AA540000}"/>
    <cellStyle name="Total 2 3 3" xfId="21676" xr:uid="{00000000-0005-0000-0000-0000AB540000}"/>
    <cellStyle name="Total 2 4" xfId="21677" xr:uid="{00000000-0005-0000-0000-0000AC540000}"/>
    <cellStyle name="Total 2 4 2" xfId="21678" xr:uid="{00000000-0005-0000-0000-0000AD540000}"/>
    <cellStyle name="Total 2 5" xfId="21679" xr:uid="{00000000-0005-0000-0000-0000AE540000}"/>
    <cellStyle name="Total 3" xfId="21680" xr:uid="{00000000-0005-0000-0000-0000AF540000}"/>
    <cellStyle name="Total 3 2" xfId="21681" xr:uid="{00000000-0005-0000-0000-0000B0540000}"/>
    <cellStyle name="Total 3 2 2" xfId="21682" xr:uid="{00000000-0005-0000-0000-0000B1540000}"/>
    <cellStyle name="Total 3 2 3" xfId="21683" xr:uid="{00000000-0005-0000-0000-0000B2540000}"/>
    <cellStyle name="Total 3 3" xfId="21684" xr:uid="{00000000-0005-0000-0000-0000B3540000}"/>
    <cellStyle name="Total 3 3 2" xfId="21685" xr:uid="{00000000-0005-0000-0000-0000B4540000}"/>
    <cellStyle name="Total 3 4" xfId="21686" xr:uid="{00000000-0005-0000-0000-0000B5540000}"/>
    <cellStyle name="TotalDollars" xfId="21687" xr:uid="{00000000-0005-0000-0000-0000B6540000}"/>
    <cellStyle name="TotalDollars 2" xfId="21688" xr:uid="{00000000-0005-0000-0000-0000B7540000}"/>
    <cellStyle name="TotalDollars 2 2" xfId="21689" xr:uid="{00000000-0005-0000-0000-0000B8540000}"/>
    <cellStyle name="TotalDollars 2 2 2" xfId="21690" xr:uid="{00000000-0005-0000-0000-0000B9540000}"/>
    <cellStyle name="TotalDollars 2 3" xfId="21691" xr:uid="{00000000-0005-0000-0000-0000BA540000}"/>
    <cellStyle name="TotalDollars 2 3 2" xfId="21692" xr:uid="{00000000-0005-0000-0000-0000BB540000}"/>
    <cellStyle name="TotalDollars 2 3 3" xfId="21693" xr:uid="{00000000-0005-0000-0000-0000BC540000}"/>
    <cellStyle name="TotalDollars 2 3 4" xfId="21694" xr:uid="{00000000-0005-0000-0000-0000BD540000}"/>
    <cellStyle name="TotalDollars 2 4" xfId="21695" xr:uid="{00000000-0005-0000-0000-0000BE540000}"/>
    <cellStyle name="TotalDollars 2 4 2" xfId="21696" xr:uid="{00000000-0005-0000-0000-0000BF540000}"/>
    <cellStyle name="TotalDollars 2 4 3" xfId="21697" xr:uid="{00000000-0005-0000-0000-0000C0540000}"/>
    <cellStyle name="TotalDollars 2 4 4" xfId="21698" xr:uid="{00000000-0005-0000-0000-0000C1540000}"/>
    <cellStyle name="TotalDollars 3" xfId="21699" xr:uid="{00000000-0005-0000-0000-0000C2540000}"/>
    <cellStyle name="TotalDollars 3 2" xfId="21700" xr:uid="{00000000-0005-0000-0000-0000C3540000}"/>
    <cellStyle name="TotalDollars 4" xfId="21701" xr:uid="{00000000-0005-0000-0000-0000C4540000}"/>
    <cellStyle name="TotalDollars 4 2" xfId="21702" xr:uid="{00000000-0005-0000-0000-0000C5540000}"/>
    <cellStyle name="TotalDollars 4 3" xfId="21703" xr:uid="{00000000-0005-0000-0000-0000C6540000}"/>
    <cellStyle name="TotalDollars 4 4" xfId="21704" xr:uid="{00000000-0005-0000-0000-0000C7540000}"/>
    <cellStyle name="TotalDollars 5" xfId="21705" xr:uid="{00000000-0005-0000-0000-0000C8540000}"/>
    <cellStyle name="TotalDollars 5 2" xfId="21706" xr:uid="{00000000-0005-0000-0000-0000C9540000}"/>
    <cellStyle name="TotalDollars 5 3" xfId="21707" xr:uid="{00000000-0005-0000-0000-0000CA540000}"/>
    <cellStyle name="TotalDollars 5 4" xfId="21708" xr:uid="{00000000-0005-0000-0000-0000CB540000}"/>
    <cellStyle name="TotDollars" xfId="21709" xr:uid="{00000000-0005-0000-0000-0000CC540000}"/>
    <cellStyle name="VZ_template" xfId="21710" xr:uid="{00000000-0005-0000-0000-0000CD540000}"/>
    <cellStyle name="Warning Text" xfId="41" builtinId="11" customBuiltin="1"/>
    <cellStyle name="Warning Text 2" xfId="58" xr:uid="{00000000-0005-0000-0000-0000CF540000}"/>
    <cellStyle name="Warning Text 2 2" xfId="21711" xr:uid="{00000000-0005-0000-0000-0000D0540000}"/>
    <cellStyle name="Warning Text 3" xfId="21712" xr:uid="{00000000-0005-0000-0000-0000D1540000}"/>
    <cellStyle name="WhiteFont" xfId="21713" xr:uid="{00000000-0005-0000-0000-0000D2540000}"/>
    <cellStyle name="WhiteFont 2" xfId="21714" xr:uid="{00000000-0005-0000-0000-0000D3540000}"/>
    <cellStyle name="WhiteFont_Steps of Doneness" xfId="21715" xr:uid="{00000000-0005-0000-0000-0000D4540000}"/>
    <cellStyle name="WinCalendar_BlankCells_1" xfId="21716" xr:uid="{00000000-0005-0000-0000-0000D5540000}"/>
    <cellStyle name="zscore" xfId="21717" xr:uid="{00000000-0005-0000-0000-0000D6540000}"/>
    <cellStyle name="zscore 2" xfId="21718" xr:uid="{00000000-0005-0000-0000-0000D7540000}"/>
    <cellStyle name="zscore_Steps of Doneness" xfId="21719" xr:uid="{00000000-0005-0000-0000-0000D8540000}"/>
  </cellStyles>
  <dxfs count="45"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3300"/>
      </font>
    </dxf>
    <dxf>
      <font>
        <b val="0"/>
        <i val="0"/>
      </font>
    </dxf>
    <dxf>
      <font>
        <color rgb="FF9C0006"/>
      </font>
    </dxf>
    <dxf>
      <font>
        <color rgb="FFFF0000"/>
      </font>
    </dxf>
    <dxf>
      <fill>
        <patternFill>
          <bgColor theme="0" tint="-4.9989318521683403E-2"/>
        </patternFill>
      </fill>
    </dxf>
    <dxf>
      <fill>
        <patternFill>
          <bgColor theme="9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border>
        <left/>
        <right/>
        <top/>
        <bottom/>
        <vertical/>
        <horizontal/>
      </border>
    </dxf>
    <dxf>
      <font>
        <strike val="0"/>
      </font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strike val="0"/>
      </font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 val="0"/>
        <i val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0000"/>
      <color rgb="FFF54E0B"/>
      <color rgb="FFFF3300"/>
      <color rgb="FFFFFF99"/>
      <color rgb="FFFFFF66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>
        <c:manualLayout>
          <c:layoutTarget val="inner"/>
          <c:xMode val="edge"/>
          <c:yMode val="edge"/>
          <c:x val="2.8659591173041083E-2"/>
          <c:y val="0.12866143120878878"/>
          <c:w val="0.96381906557113017"/>
          <c:h val="0.578973011861345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'Defect-Category-Data'!$C$3</c:f>
              <c:strCache>
                <c:ptCount val="1"/>
                <c:pt idx="0">
                  <c:v>Blocker</c:v>
                </c:pt>
              </c:strCache>
            </c:strRef>
          </c:tx>
          <c:invertIfNegative val="0"/>
          <c:dLbls>
            <c:delete val="1"/>
          </c:dLbls>
          <c:cat>
            <c:strRef>
              <c:f>'Defect-Category-Data'!$B$4:$B$6</c:f>
              <c:strCache>
                <c:ptCount val="3"/>
                <c:pt idx="0">
                  <c:v>Label3</c:v>
                </c:pt>
                <c:pt idx="1">
                  <c:v>Portal</c:v>
                </c:pt>
                <c:pt idx="2">
                  <c:v>Data</c:v>
                </c:pt>
              </c:strCache>
            </c:strRef>
          </c:cat>
          <c:val>
            <c:numRef>
              <c:f>'Defect-Category-Data'!$C$4:$C$6</c:f>
              <c:numCache>
                <c:formatCode>General</c:formatCode>
                <c:ptCount val="3"/>
                <c:pt idx="0">
                  <c:v>49</c:v>
                </c:pt>
                <c:pt idx="1">
                  <c:v>24</c:v>
                </c:pt>
                <c:pt idx="2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55-4AC3-AE32-6C33F0D3B17F}"/>
            </c:ext>
          </c:extLst>
        </c:ser>
        <c:ser>
          <c:idx val="1"/>
          <c:order val="1"/>
          <c:tx>
            <c:strRef>
              <c:f>'Defect-Category-Data'!$D$3</c:f>
              <c:strCache>
                <c:ptCount val="1"/>
                <c:pt idx="0">
                  <c:v>Critical</c:v>
                </c:pt>
              </c:strCache>
            </c:strRef>
          </c:tx>
          <c:invertIfNegative val="0"/>
          <c:dLbls>
            <c:delete val="1"/>
          </c:dLbls>
          <c:cat>
            <c:strRef>
              <c:f>'Defect-Category-Data'!$B$4:$B$6</c:f>
              <c:strCache>
                <c:ptCount val="3"/>
                <c:pt idx="0">
                  <c:v>Label3</c:v>
                </c:pt>
                <c:pt idx="1">
                  <c:v>Portal</c:v>
                </c:pt>
                <c:pt idx="2">
                  <c:v>Data</c:v>
                </c:pt>
              </c:strCache>
            </c:strRef>
          </c:cat>
          <c:val>
            <c:numRef>
              <c:f>'Defect-Category-Data'!$D$4:$D$6</c:f>
              <c:numCache>
                <c:formatCode>General</c:formatCode>
                <c:ptCount val="3"/>
                <c:pt idx="0">
                  <c:v>134</c:v>
                </c:pt>
                <c:pt idx="1">
                  <c:v>107</c:v>
                </c:pt>
                <c:pt idx="2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55-4AC3-AE32-6C33F0D3B17F}"/>
            </c:ext>
          </c:extLst>
        </c:ser>
        <c:ser>
          <c:idx val="2"/>
          <c:order val="2"/>
          <c:tx>
            <c:strRef>
              <c:f>'Defect-Category-Data'!$E$3</c:f>
              <c:strCache>
                <c:ptCount val="1"/>
                <c:pt idx="0">
                  <c:v>Major</c:v>
                </c:pt>
              </c:strCache>
            </c:strRef>
          </c:tx>
          <c:invertIfNegative val="0"/>
          <c:dLbls>
            <c:delete val="1"/>
          </c:dLbls>
          <c:cat>
            <c:strRef>
              <c:f>'Defect-Category-Data'!$B$4:$B$6</c:f>
              <c:strCache>
                <c:ptCount val="3"/>
                <c:pt idx="0">
                  <c:v>Label3</c:v>
                </c:pt>
                <c:pt idx="1">
                  <c:v>Portal</c:v>
                </c:pt>
                <c:pt idx="2">
                  <c:v>Data</c:v>
                </c:pt>
              </c:strCache>
            </c:strRef>
          </c:cat>
          <c:val>
            <c:numRef>
              <c:f>'Defect-Category-Data'!$E$4:$E$6</c:f>
              <c:numCache>
                <c:formatCode>General</c:formatCode>
                <c:ptCount val="3"/>
                <c:pt idx="0">
                  <c:v>203</c:v>
                </c:pt>
                <c:pt idx="1">
                  <c:v>180</c:v>
                </c:pt>
                <c:pt idx="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55-4AC3-AE32-6C33F0D3B17F}"/>
            </c:ext>
          </c:extLst>
        </c:ser>
        <c:ser>
          <c:idx val="3"/>
          <c:order val="3"/>
          <c:tx>
            <c:strRef>
              <c:f>'Defect-Category-Data'!$F$3</c:f>
              <c:strCache>
                <c:ptCount val="1"/>
                <c:pt idx="0">
                  <c:v>Minor</c:v>
                </c:pt>
              </c:strCache>
            </c:strRef>
          </c:tx>
          <c:invertIfNegative val="0"/>
          <c:dLbls>
            <c:delete val="1"/>
          </c:dLbls>
          <c:cat>
            <c:strRef>
              <c:f>'Defect-Category-Data'!$B$4:$B$6</c:f>
              <c:strCache>
                <c:ptCount val="3"/>
                <c:pt idx="0">
                  <c:v>Label3</c:v>
                </c:pt>
                <c:pt idx="1">
                  <c:v>Portal</c:v>
                </c:pt>
                <c:pt idx="2">
                  <c:v>Data</c:v>
                </c:pt>
              </c:strCache>
            </c:strRef>
          </c:cat>
          <c:val>
            <c:numRef>
              <c:f>'Defect-Category-Data'!$F$4:$F$6</c:f>
              <c:numCache>
                <c:formatCode>General</c:formatCode>
                <c:ptCount val="3"/>
                <c:pt idx="0">
                  <c:v>97</c:v>
                </c:pt>
                <c:pt idx="1">
                  <c:v>84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755-4AC3-AE32-6C33F0D3B17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24"/>
        <c:overlap val="43"/>
        <c:axId val="188054144"/>
        <c:axId val="188060032"/>
      </c:barChart>
      <c:catAx>
        <c:axId val="1880541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2280000"/>
          <a:lstStyle/>
          <a:p>
            <a:pPr>
              <a:defRPr sz="900"/>
            </a:pPr>
            <a:endParaRPr lang="en-US"/>
          </a:p>
        </c:txPr>
        <c:crossAx val="188060032"/>
        <c:crosses val="autoZero"/>
        <c:auto val="1"/>
        <c:lblAlgn val="ctr"/>
        <c:lblOffset val="100"/>
        <c:noMultiLvlLbl val="0"/>
      </c:catAx>
      <c:valAx>
        <c:axId val="188060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0541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6.3088206549469353E-2"/>
          <c:y val="0.94034169751686847"/>
          <c:w val="0.79479113458304063"/>
          <c:h val="5.9370410048275299E-2"/>
        </c:manualLayout>
      </c:layout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>
        <c:manualLayout>
          <c:layoutTarget val="inner"/>
          <c:xMode val="edge"/>
          <c:yMode val="edge"/>
          <c:x val="2.8659591173041083E-2"/>
          <c:y val="0.12866143120878878"/>
          <c:w val="0.95006106608842467"/>
          <c:h val="0.579856438980712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'Heat-Map-Data'!$C$3</c:f>
              <c:strCache>
                <c:ptCount val="1"/>
                <c:pt idx="0">
                  <c:v>Blocker</c:v>
                </c:pt>
              </c:strCache>
            </c:strRef>
          </c:tx>
          <c:invertIfNegative val="0"/>
          <c:dLbls>
            <c:delete val="1"/>
          </c:dLbls>
          <c:cat>
            <c:strRef>
              <c:f>'Heat-Map-Data'!$B$4:$B$16</c:f>
              <c:strCache>
                <c:ptCount val="13"/>
                <c:pt idx="0">
                  <c:v>Portal</c:v>
                </c:pt>
                <c:pt idx="1">
                  <c:v>Login</c:v>
                </c:pt>
                <c:pt idx="2">
                  <c:v>User-Mgmt</c:v>
                </c:pt>
                <c:pt idx="3">
                  <c:v>User_Preference</c:v>
                </c:pt>
                <c:pt idx="4">
                  <c:v>Search</c:v>
                </c:pt>
                <c:pt idx="5">
                  <c:v>Notifications</c:v>
                </c:pt>
                <c:pt idx="6">
                  <c:v>Forgot-PWD</c:v>
                </c:pt>
                <c:pt idx="7">
                  <c:v>Dashboard</c:v>
                </c:pt>
                <c:pt idx="8">
                  <c:v>Authorization</c:v>
                </c:pt>
                <c:pt idx="9">
                  <c:v>Requirements</c:v>
                </c:pt>
                <c:pt idx="10">
                  <c:v>Personalization</c:v>
                </c:pt>
                <c:pt idx="11">
                  <c:v>Registration</c:v>
                </c:pt>
                <c:pt idx="12">
                  <c:v>Reports</c:v>
                </c:pt>
              </c:strCache>
            </c:strRef>
          </c:cat>
          <c:val>
            <c:numRef>
              <c:f>'Heat-Map-Data'!$C$4:$C$16</c:f>
              <c:numCache>
                <c:formatCode>General</c:formatCode>
                <c:ptCount val="13"/>
                <c:pt idx="0">
                  <c:v>11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10</c:v>
                </c:pt>
                <c:pt idx="5">
                  <c:v>9</c:v>
                </c:pt>
                <c:pt idx="6">
                  <c:v>3</c:v>
                </c:pt>
                <c:pt idx="7">
                  <c:v>18</c:v>
                </c:pt>
                <c:pt idx="8">
                  <c:v>0</c:v>
                </c:pt>
                <c:pt idx="9">
                  <c:v>3</c:v>
                </c:pt>
                <c:pt idx="10">
                  <c:v>17</c:v>
                </c:pt>
                <c:pt idx="11">
                  <c:v>3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C1-47A2-925B-7D2DAF7534B3}"/>
            </c:ext>
          </c:extLst>
        </c:ser>
        <c:ser>
          <c:idx val="1"/>
          <c:order val="1"/>
          <c:tx>
            <c:strRef>
              <c:f>'Heat-Map-Data'!$D$3</c:f>
              <c:strCache>
                <c:ptCount val="1"/>
                <c:pt idx="0">
                  <c:v>Critical</c:v>
                </c:pt>
              </c:strCache>
            </c:strRef>
          </c:tx>
          <c:invertIfNegative val="0"/>
          <c:dLbls>
            <c:delete val="1"/>
          </c:dLbls>
          <c:cat>
            <c:strRef>
              <c:f>'Heat-Map-Data'!$B$4:$B$16</c:f>
              <c:strCache>
                <c:ptCount val="13"/>
                <c:pt idx="0">
                  <c:v>Portal</c:v>
                </c:pt>
                <c:pt idx="1">
                  <c:v>Login</c:v>
                </c:pt>
                <c:pt idx="2">
                  <c:v>User-Mgmt</c:v>
                </c:pt>
                <c:pt idx="3">
                  <c:v>User_Preference</c:v>
                </c:pt>
                <c:pt idx="4">
                  <c:v>Search</c:v>
                </c:pt>
                <c:pt idx="5">
                  <c:v>Notifications</c:v>
                </c:pt>
                <c:pt idx="6">
                  <c:v>Forgot-PWD</c:v>
                </c:pt>
                <c:pt idx="7">
                  <c:v>Dashboard</c:v>
                </c:pt>
                <c:pt idx="8">
                  <c:v>Authorization</c:v>
                </c:pt>
                <c:pt idx="9">
                  <c:v>Requirements</c:v>
                </c:pt>
                <c:pt idx="10">
                  <c:v>Personalization</c:v>
                </c:pt>
                <c:pt idx="11">
                  <c:v>Registration</c:v>
                </c:pt>
                <c:pt idx="12">
                  <c:v>Reports</c:v>
                </c:pt>
              </c:strCache>
            </c:strRef>
          </c:cat>
          <c:val>
            <c:numRef>
              <c:f>'Heat-Map-Data'!$D$4:$D$16</c:f>
              <c:numCache>
                <c:formatCode>General</c:formatCode>
                <c:ptCount val="13"/>
                <c:pt idx="0">
                  <c:v>35</c:v>
                </c:pt>
                <c:pt idx="1">
                  <c:v>8</c:v>
                </c:pt>
                <c:pt idx="2">
                  <c:v>4</c:v>
                </c:pt>
                <c:pt idx="3">
                  <c:v>3</c:v>
                </c:pt>
                <c:pt idx="4">
                  <c:v>26</c:v>
                </c:pt>
                <c:pt idx="5">
                  <c:v>57</c:v>
                </c:pt>
                <c:pt idx="6">
                  <c:v>6</c:v>
                </c:pt>
                <c:pt idx="7">
                  <c:v>37</c:v>
                </c:pt>
                <c:pt idx="8">
                  <c:v>5</c:v>
                </c:pt>
                <c:pt idx="9">
                  <c:v>11</c:v>
                </c:pt>
                <c:pt idx="10">
                  <c:v>37</c:v>
                </c:pt>
                <c:pt idx="11">
                  <c:v>28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C1-47A2-925B-7D2DAF7534B3}"/>
            </c:ext>
          </c:extLst>
        </c:ser>
        <c:ser>
          <c:idx val="2"/>
          <c:order val="2"/>
          <c:tx>
            <c:strRef>
              <c:f>'Heat-Map-Data'!$E$3</c:f>
              <c:strCache>
                <c:ptCount val="1"/>
                <c:pt idx="0">
                  <c:v>Major</c:v>
                </c:pt>
              </c:strCache>
            </c:strRef>
          </c:tx>
          <c:invertIfNegative val="0"/>
          <c:dLbls>
            <c:delete val="1"/>
          </c:dLbls>
          <c:cat>
            <c:strRef>
              <c:f>'Heat-Map-Data'!$B$4:$B$16</c:f>
              <c:strCache>
                <c:ptCount val="13"/>
                <c:pt idx="0">
                  <c:v>Portal</c:v>
                </c:pt>
                <c:pt idx="1">
                  <c:v>Login</c:v>
                </c:pt>
                <c:pt idx="2">
                  <c:v>User-Mgmt</c:v>
                </c:pt>
                <c:pt idx="3">
                  <c:v>User_Preference</c:v>
                </c:pt>
                <c:pt idx="4">
                  <c:v>Search</c:v>
                </c:pt>
                <c:pt idx="5">
                  <c:v>Notifications</c:v>
                </c:pt>
                <c:pt idx="6">
                  <c:v>Forgot-PWD</c:v>
                </c:pt>
                <c:pt idx="7">
                  <c:v>Dashboard</c:v>
                </c:pt>
                <c:pt idx="8">
                  <c:v>Authorization</c:v>
                </c:pt>
                <c:pt idx="9">
                  <c:v>Requirements</c:v>
                </c:pt>
                <c:pt idx="10">
                  <c:v>Personalization</c:v>
                </c:pt>
                <c:pt idx="11">
                  <c:v>Registration</c:v>
                </c:pt>
                <c:pt idx="12">
                  <c:v>Reports</c:v>
                </c:pt>
              </c:strCache>
            </c:strRef>
          </c:cat>
          <c:val>
            <c:numRef>
              <c:f>'Heat-Map-Data'!$E$4:$E$16</c:f>
              <c:numCache>
                <c:formatCode>General</c:formatCode>
                <c:ptCount val="13"/>
                <c:pt idx="0">
                  <c:v>93</c:v>
                </c:pt>
                <c:pt idx="1">
                  <c:v>26</c:v>
                </c:pt>
                <c:pt idx="2">
                  <c:v>17</c:v>
                </c:pt>
                <c:pt idx="3">
                  <c:v>13</c:v>
                </c:pt>
                <c:pt idx="4">
                  <c:v>24</c:v>
                </c:pt>
                <c:pt idx="5">
                  <c:v>70</c:v>
                </c:pt>
                <c:pt idx="6">
                  <c:v>20</c:v>
                </c:pt>
                <c:pt idx="7">
                  <c:v>23</c:v>
                </c:pt>
                <c:pt idx="8">
                  <c:v>26</c:v>
                </c:pt>
                <c:pt idx="9">
                  <c:v>48</c:v>
                </c:pt>
                <c:pt idx="10">
                  <c:v>34</c:v>
                </c:pt>
                <c:pt idx="11">
                  <c:v>17</c:v>
                </c:pt>
                <c:pt idx="12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C1-47A2-925B-7D2DAF7534B3}"/>
            </c:ext>
          </c:extLst>
        </c:ser>
        <c:ser>
          <c:idx val="3"/>
          <c:order val="3"/>
          <c:tx>
            <c:strRef>
              <c:f>'Heat-Map-Data'!$F$3</c:f>
              <c:strCache>
                <c:ptCount val="1"/>
                <c:pt idx="0">
                  <c:v>Minor</c:v>
                </c:pt>
              </c:strCache>
            </c:strRef>
          </c:tx>
          <c:invertIfNegative val="0"/>
          <c:dLbls>
            <c:delete val="1"/>
          </c:dLbls>
          <c:cat>
            <c:strRef>
              <c:f>'Heat-Map-Data'!$B$4:$B$16</c:f>
              <c:strCache>
                <c:ptCount val="13"/>
                <c:pt idx="0">
                  <c:v>Portal</c:v>
                </c:pt>
                <c:pt idx="1">
                  <c:v>Login</c:v>
                </c:pt>
                <c:pt idx="2">
                  <c:v>User-Mgmt</c:v>
                </c:pt>
                <c:pt idx="3">
                  <c:v>User_Preference</c:v>
                </c:pt>
                <c:pt idx="4">
                  <c:v>Search</c:v>
                </c:pt>
                <c:pt idx="5">
                  <c:v>Notifications</c:v>
                </c:pt>
                <c:pt idx="6">
                  <c:v>Forgot-PWD</c:v>
                </c:pt>
                <c:pt idx="7">
                  <c:v>Dashboard</c:v>
                </c:pt>
                <c:pt idx="8">
                  <c:v>Authorization</c:v>
                </c:pt>
                <c:pt idx="9">
                  <c:v>Requirements</c:v>
                </c:pt>
                <c:pt idx="10">
                  <c:v>Personalization</c:v>
                </c:pt>
                <c:pt idx="11">
                  <c:v>Registration</c:v>
                </c:pt>
                <c:pt idx="12">
                  <c:v>Reports</c:v>
                </c:pt>
              </c:strCache>
            </c:strRef>
          </c:cat>
          <c:val>
            <c:numRef>
              <c:f>'Heat-Map-Data'!$F$4:$F$16</c:f>
              <c:numCache>
                <c:formatCode>General</c:formatCode>
                <c:ptCount val="13"/>
                <c:pt idx="0">
                  <c:v>80</c:v>
                </c:pt>
                <c:pt idx="1">
                  <c:v>8</c:v>
                </c:pt>
                <c:pt idx="2">
                  <c:v>18</c:v>
                </c:pt>
                <c:pt idx="3">
                  <c:v>3</c:v>
                </c:pt>
                <c:pt idx="4">
                  <c:v>5</c:v>
                </c:pt>
                <c:pt idx="5">
                  <c:v>25</c:v>
                </c:pt>
                <c:pt idx="6">
                  <c:v>5</c:v>
                </c:pt>
                <c:pt idx="7">
                  <c:v>8</c:v>
                </c:pt>
                <c:pt idx="8">
                  <c:v>19</c:v>
                </c:pt>
                <c:pt idx="9">
                  <c:v>13</c:v>
                </c:pt>
                <c:pt idx="10">
                  <c:v>5</c:v>
                </c:pt>
                <c:pt idx="11">
                  <c:v>12</c:v>
                </c:pt>
                <c:pt idx="12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C1-47A2-925B-7D2DAF7534B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24"/>
        <c:overlap val="43"/>
        <c:axId val="188169216"/>
        <c:axId val="188175104"/>
      </c:barChart>
      <c:catAx>
        <c:axId val="188169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2400000" anchor="ctr" anchorCtr="0"/>
          <a:lstStyle/>
          <a:p>
            <a:pPr>
              <a:defRPr sz="900"/>
            </a:pPr>
            <a:endParaRPr lang="en-US"/>
          </a:p>
        </c:txPr>
        <c:crossAx val="188175104"/>
        <c:crosses val="autoZero"/>
        <c:auto val="1"/>
        <c:lblAlgn val="ctr"/>
        <c:lblOffset val="100"/>
        <c:noMultiLvlLbl val="0"/>
      </c:catAx>
      <c:valAx>
        <c:axId val="188175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1692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6669726743200255"/>
          <c:y val="0.94249187811568191"/>
          <c:w val="0.64187876119103049"/>
          <c:h val="5.4379377980304927E-2"/>
        </c:manualLayout>
      </c:layout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 sz="1100"/>
            </a:pPr>
            <a:r>
              <a:rPr lang="en-US" sz="1100" b="0">
                <a:latin typeface="+mn-lt"/>
              </a:rPr>
              <a:t>Defect - Quality Trend</a:t>
            </a:r>
          </a:p>
        </c:rich>
      </c:tx>
      <c:layout>
        <c:manualLayout>
          <c:xMode val="edge"/>
          <c:yMode val="edge"/>
          <c:x val="0.522228010693117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4046007398999251E-2"/>
          <c:y val="0.11789554342488878"/>
          <c:w val="0.86062577999017953"/>
          <c:h val="0.78123837037839083"/>
        </c:manualLayout>
      </c:layout>
      <c:lineChart>
        <c:grouping val="standard"/>
        <c:varyColors val="0"/>
        <c:ser>
          <c:idx val="0"/>
          <c:order val="0"/>
          <c:tx>
            <c:strRef>
              <c:f>'Defect-Quality-Trend-Data'!$AB$6</c:f>
              <c:strCache>
                <c:ptCount val="1"/>
                <c:pt idx="0">
                  <c:v>Found
(Daily)</c:v>
                </c:pt>
              </c:strCache>
            </c:strRef>
          </c:tx>
          <c:spPr>
            <a:ln w="31750">
              <a:solidFill>
                <a:schemeClr val="accent2">
                  <a:lumMod val="60000"/>
                  <a:lumOff val="4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'Defect-Quality-Trend-Data'!$AA$7:$AA$87</c:f>
              <c:numCache>
                <c:formatCode>m/d/yyyy</c:formatCode>
                <c:ptCount val="81"/>
                <c:pt idx="0">
                  <c:v>41796</c:v>
                </c:pt>
                <c:pt idx="1">
                  <c:v>41797</c:v>
                </c:pt>
                <c:pt idx="2">
                  <c:v>41798</c:v>
                </c:pt>
                <c:pt idx="3">
                  <c:v>41799</c:v>
                </c:pt>
                <c:pt idx="4">
                  <c:v>41800</c:v>
                </c:pt>
                <c:pt idx="5">
                  <c:v>41801</c:v>
                </c:pt>
                <c:pt idx="6">
                  <c:v>41802</c:v>
                </c:pt>
                <c:pt idx="7">
                  <c:v>41803</c:v>
                </c:pt>
                <c:pt idx="8">
                  <c:v>41804</c:v>
                </c:pt>
                <c:pt idx="9">
                  <c:v>41805</c:v>
                </c:pt>
                <c:pt idx="10">
                  <c:v>41806</c:v>
                </c:pt>
                <c:pt idx="11">
                  <c:v>41807</c:v>
                </c:pt>
                <c:pt idx="12">
                  <c:v>41808</c:v>
                </c:pt>
                <c:pt idx="13">
                  <c:v>41809</c:v>
                </c:pt>
                <c:pt idx="14">
                  <c:v>41810</c:v>
                </c:pt>
                <c:pt idx="15">
                  <c:v>41811</c:v>
                </c:pt>
                <c:pt idx="16">
                  <c:v>41812</c:v>
                </c:pt>
                <c:pt idx="17">
                  <c:v>41813</c:v>
                </c:pt>
                <c:pt idx="18">
                  <c:v>41814</c:v>
                </c:pt>
                <c:pt idx="19">
                  <c:v>41815</c:v>
                </c:pt>
                <c:pt idx="20">
                  <c:v>41816</c:v>
                </c:pt>
                <c:pt idx="21">
                  <c:v>41817</c:v>
                </c:pt>
                <c:pt idx="22">
                  <c:v>41818</c:v>
                </c:pt>
                <c:pt idx="23">
                  <c:v>41819</c:v>
                </c:pt>
                <c:pt idx="24">
                  <c:v>41820</c:v>
                </c:pt>
                <c:pt idx="25">
                  <c:v>41821</c:v>
                </c:pt>
                <c:pt idx="26">
                  <c:v>41822</c:v>
                </c:pt>
                <c:pt idx="27">
                  <c:v>41823</c:v>
                </c:pt>
                <c:pt idx="28">
                  <c:v>41824</c:v>
                </c:pt>
                <c:pt idx="29">
                  <c:v>41825</c:v>
                </c:pt>
                <c:pt idx="30">
                  <c:v>41826</c:v>
                </c:pt>
                <c:pt idx="31">
                  <c:v>41827</c:v>
                </c:pt>
                <c:pt idx="32">
                  <c:v>41828</c:v>
                </c:pt>
                <c:pt idx="33">
                  <c:v>41829</c:v>
                </c:pt>
                <c:pt idx="34">
                  <c:v>41830</c:v>
                </c:pt>
                <c:pt idx="35">
                  <c:v>41831</c:v>
                </c:pt>
                <c:pt idx="36">
                  <c:v>41832</c:v>
                </c:pt>
                <c:pt idx="37">
                  <c:v>41833</c:v>
                </c:pt>
                <c:pt idx="38">
                  <c:v>41834</c:v>
                </c:pt>
                <c:pt idx="39">
                  <c:v>41835</c:v>
                </c:pt>
                <c:pt idx="40">
                  <c:v>41836</c:v>
                </c:pt>
                <c:pt idx="41">
                  <c:v>41837</c:v>
                </c:pt>
                <c:pt idx="42">
                  <c:v>41838</c:v>
                </c:pt>
                <c:pt idx="43">
                  <c:v>41839</c:v>
                </c:pt>
                <c:pt idx="44">
                  <c:v>41840</c:v>
                </c:pt>
                <c:pt idx="45">
                  <c:v>41841</c:v>
                </c:pt>
                <c:pt idx="46">
                  <c:v>41842</c:v>
                </c:pt>
                <c:pt idx="47">
                  <c:v>41843</c:v>
                </c:pt>
                <c:pt idx="48">
                  <c:v>41844</c:v>
                </c:pt>
                <c:pt idx="49">
                  <c:v>41845</c:v>
                </c:pt>
                <c:pt idx="50">
                  <c:v>41846</c:v>
                </c:pt>
                <c:pt idx="51">
                  <c:v>41847</c:v>
                </c:pt>
                <c:pt idx="52">
                  <c:v>41848</c:v>
                </c:pt>
                <c:pt idx="53">
                  <c:v>41849</c:v>
                </c:pt>
                <c:pt idx="54">
                  <c:v>41850</c:v>
                </c:pt>
                <c:pt idx="55">
                  <c:v>41851</c:v>
                </c:pt>
                <c:pt idx="56">
                  <c:v>41852</c:v>
                </c:pt>
                <c:pt idx="57">
                  <c:v>41853</c:v>
                </c:pt>
                <c:pt idx="58">
                  <c:v>41854</c:v>
                </c:pt>
                <c:pt idx="59">
                  <c:v>41855</c:v>
                </c:pt>
                <c:pt idx="60">
                  <c:v>41856</c:v>
                </c:pt>
                <c:pt idx="61">
                  <c:v>41857</c:v>
                </c:pt>
                <c:pt idx="62">
                  <c:v>41858</c:v>
                </c:pt>
                <c:pt idx="63">
                  <c:v>41859</c:v>
                </c:pt>
                <c:pt idx="64">
                  <c:v>41860</c:v>
                </c:pt>
                <c:pt idx="65">
                  <c:v>41861</c:v>
                </c:pt>
                <c:pt idx="66">
                  <c:v>41862</c:v>
                </c:pt>
                <c:pt idx="67">
                  <c:v>41863</c:v>
                </c:pt>
                <c:pt idx="68">
                  <c:v>41864</c:v>
                </c:pt>
                <c:pt idx="69">
                  <c:v>41865</c:v>
                </c:pt>
                <c:pt idx="70">
                  <c:v>41866</c:v>
                </c:pt>
                <c:pt idx="71">
                  <c:v>41867</c:v>
                </c:pt>
                <c:pt idx="72">
                  <c:v>41868</c:v>
                </c:pt>
                <c:pt idx="73">
                  <c:v>41869</c:v>
                </c:pt>
                <c:pt idx="74">
                  <c:v>41870</c:v>
                </c:pt>
                <c:pt idx="75">
                  <c:v>41871</c:v>
                </c:pt>
                <c:pt idx="76">
                  <c:v>41872</c:v>
                </c:pt>
                <c:pt idx="77">
                  <c:v>41873</c:v>
                </c:pt>
                <c:pt idx="78">
                  <c:v>41874</c:v>
                </c:pt>
                <c:pt idx="79">
                  <c:v>41875</c:v>
                </c:pt>
                <c:pt idx="80">
                  <c:v>41876</c:v>
                </c:pt>
              </c:numCache>
            </c:numRef>
          </c:cat>
          <c:val>
            <c:numRef>
              <c:f>'Defect-Quality-Trend-Data'!$AB$7:$AB$87</c:f>
              <c:numCache>
                <c:formatCode>0</c:formatCode>
                <c:ptCount val="81"/>
                <c:pt idx="0">
                  <c:v>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0</c:v>
                </c:pt>
                <c:pt idx="10">
                  <c:v>35</c:v>
                </c:pt>
                <c:pt idx="11">
                  <c:v>36</c:v>
                </c:pt>
                <c:pt idx="12">
                  <c:v>11</c:v>
                </c:pt>
                <c:pt idx="13">
                  <c:v>34</c:v>
                </c:pt>
                <c:pt idx="14">
                  <c:v>41</c:v>
                </c:pt>
                <c:pt idx="15">
                  <c:v>0</c:v>
                </c:pt>
                <c:pt idx="16">
                  <c:v>0</c:v>
                </c:pt>
                <c:pt idx="17">
                  <c:v>24</c:v>
                </c:pt>
                <c:pt idx="18">
                  <c:v>27</c:v>
                </c:pt>
                <c:pt idx="19">
                  <c:v>0</c:v>
                </c:pt>
                <c:pt idx="20">
                  <c:v>15</c:v>
                </c:pt>
                <c:pt idx="21">
                  <c:v>23</c:v>
                </c:pt>
                <c:pt idx="22">
                  <c:v>4</c:v>
                </c:pt>
                <c:pt idx="23">
                  <c:v>0</c:v>
                </c:pt>
                <c:pt idx="24">
                  <c:v>19</c:v>
                </c:pt>
                <c:pt idx="25">
                  <c:v>0</c:v>
                </c:pt>
                <c:pt idx="26">
                  <c:v>0</c:v>
                </c:pt>
                <c:pt idx="27">
                  <c:v>87</c:v>
                </c:pt>
                <c:pt idx="28">
                  <c:v>0</c:v>
                </c:pt>
                <c:pt idx="29">
                  <c:v>0</c:v>
                </c:pt>
                <c:pt idx="30">
                  <c:v>23</c:v>
                </c:pt>
                <c:pt idx="31">
                  <c:v>19</c:v>
                </c:pt>
                <c:pt idx="32">
                  <c:v>41</c:v>
                </c:pt>
                <c:pt idx="33">
                  <c:v>17</c:v>
                </c:pt>
                <c:pt idx="34">
                  <c:v>46</c:v>
                </c:pt>
                <c:pt idx="35">
                  <c:v>0</c:v>
                </c:pt>
                <c:pt idx="36">
                  <c:v>0</c:v>
                </c:pt>
                <c:pt idx="37">
                  <c:v>36</c:v>
                </c:pt>
                <c:pt idx="38">
                  <c:v>23</c:v>
                </c:pt>
                <c:pt idx="39">
                  <c:v>50</c:v>
                </c:pt>
                <c:pt idx="40">
                  <c:v>42</c:v>
                </c:pt>
                <c:pt idx="41">
                  <c:v>69</c:v>
                </c:pt>
                <c:pt idx="42">
                  <c:v>0</c:v>
                </c:pt>
                <c:pt idx="43">
                  <c:v>0</c:v>
                </c:pt>
                <c:pt idx="44">
                  <c:v>9</c:v>
                </c:pt>
                <c:pt idx="45">
                  <c:v>0</c:v>
                </c:pt>
                <c:pt idx="46">
                  <c:v>0</c:v>
                </c:pt>
                <c:pt idx="47">
                  <c:v>19</c:v>
                </c:pt>
                <c:pt idx="48">
                  <c:v>6</c:v>
                </c:pt>
                <c:pt idx="49">
                  <c:v>0</c:v>
                </c:pt>
                <c:pt idx="50">
                  <c:v>0</c:v>
                </c:pt>
                <c:pt idx="51">
                  <c:v>34</c:v>
                </c:pt>
                <c:pt idx="52">
                  <c:v>39</c:v>
                </c:pt>
                <c:pt idx="53">
                  <c:v>20</c:v>
                </c:pt>
                <c:pt idx="54">
                  <c:v>32</c:v>
                </c:pt>
                <c:pt idx="55">
                  <c:v>18</c:v>
                </c:pt>
                <c:pt idx="56">
                  <c:v>0</c:v>
                </c:pt>
                <c:pt idx="57">
                  <c:v>0</c:v>
                </c:pt>
                <c:pt idx="58">
                  <c:v>20</c:v>
                </c:pt>
                <c:pt idx="59">
                  <c:v>26</c:v>
                </c:pt>
                <c:pt idx="60">
                  <c:v>34</c:v>
                </c:pt>
                <c:pt idx="61">
                  <c:v>16</c:v>
                </c:pt>
                <c:pt idx="62">
                  <c:v>0</c:v>
                </c:pt>
                <c:pt idx="63">
                  <c:v>38</c:v>
                </c:pt>
                <c:pt idx="64">
                  <c:v>17</c:v>
                </c:pt>
                <c:pt idx="65">
                  <c:v>9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3</c:v>
                </c:pt>
                <c:pt idx="79">
                  <c:v>4</c:v>
                </c:pt>
                <c:pt idx="8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E9-4D92-A31D-428D166EC54C}"/>
            </c:ext>
          </c:extLst>
        </c:ser>
        <c:ser>
          <c:idx val="1"/>
          <c:order val="1"/>
          <c:tx>
            <c:strRef>
              <c:f>'Defect-Quality-Trend-Data'!$AC$6</c:f>
              <c:strCache>
                <c:ptCount val="1"/>
                <c:pt idx="0">
                  <c:v>Found
(Cumulative )</c:v>
                </c:pt>
              </c:strCache>
            </c:strRef>
          </c:tx>
          <c:spPr>
            <a:ln w="31750"/>
          </c:spPr>
          <c:marker>
            <c:symbol val="none"/>
          </c:marker>
          <c:cat>
            <c:numRef>
              <c:f>'Defect-Quality-Trend-Data'!$AA$7:$AA$87</c:f>
              <c:numCache>
                <c:formatCode>m/d/yyyy</c:formatCode>
                <c:ptCount val="81"/>
                <c:pt idx="0">
                  <c:v>41796</c:v>
                </c:pt>
                <c:pt idx="1">
                  <c:v>41797</c:v>
                </c:pt>
                <c:pt idx="2">
                  <c:v>41798</c:v>
                </c:pt>
                <c:pt idx="3">
                  <c:v>41799</c:v>
                </c:pt>
                <c:pt idx="4">
                  <c:v>41800</c:v>
                </c:pt>
                <c:pt idx="5">
                  <c:v>41801</c:v>
                </c:pt>
                <c:pt idx="6">
                  <c:v>41802</c:v>
                </c:pt>
                <c:pt idx="7">
                  <c:v>41803</c:v>
                </c:pt>
                <c:pt idx="8">
                  <c:v>41804</c:v>
                </c:pt>
                <c:pt idx="9">
                  <c:v>41805</c:v>
                </c:pt>
                <c:pt idx="10">
                  <c:v>41806</c:v>
                </c:pt>
                <c:pt idx="11">
                  <c:v>41807</c:v>
                </c:pt>
                <c:pt idx="12">
                  <c:v>41808</c:v>
                </c:pt>
                <c:pt idx="13">
                  <c:v>41809</c:v>
                </c:pt>
                <c:pt idx="14">
                  <c:v>41810</c:v>
                </c:pt>
                <c:pt idx="15">
                  <c:v>41811</c:v>
                </c:pt>
                <c:pt idx="16">
                  <c:v>41812</c:v>
                </c:pt>
                <c:pt idx="17">
                  <c:v>41813</c:v>
                </c:pt>
                <c:pt idx="18">
                  <c:v>41814</c:v>
                </c:pt>
                <c:pt idx="19">
                  <c:v>41815</c:v>
                </c:pt>
                <c:pt idx="20">
                  <c:v>41816</c:v>
                </c:pt>
                <c:pt idx="21">
                  <c:v>41817</c:v>
                </c:pt>
                <c:pt idx="22">
                  <c:v>41818</c:v>
                </c:pt>
                <c:pt idx="23">
                  <c:v>41819</c:v>
                </c:pt>
                <c:pt idx="24">
                  <c:v>41820</c:v>
                </c:pt>
                <c:pt idx="25">
                  <c:v>41821</c:v>
                </c:pt>
                <c:pt idx="26">
                  <c:v>41822</c:v>
                </c:pt>
                <c:pt idx="27">
                  <c:v>41823</c:v>
                </c:pt>
                <c:pt idx="28">
                  <c:v>41824</c:v>
                </c:pt>
                <c:pt idx="29">
                  <c:v>41825</c:v>
                </c:pt>
                <c:pt idx="30">
                  <c:v>41826</c:v>
                </c:pt>
                <c:pt idx="31">
                  <c:v>41827</c:v>
                </c:pt>
                <c:pt idx="32">
                  <c:v>41828</c:v>
                </c:pt>
                <c:pt idx="33">
                  <c:v>41829</c:v>
                </c:pt>
                <c:pt idx="34">
                  <c:v>41830</c:v>
                </c:pt>
                <c:pt idx="35">
                  <c:v>41831</c:v>
                </c:pt>
                <c:pt idx="36">
                  <c:v>41832</c:v>
                </c:pt>
                <c:pt idx="37">
                  <c:v>41833</c:v>
                </c:pt>
                <c:pt idx="38">
                  <c:v>41834</c:v>
                </c:pt>
                <c:pt idx="39">
                  <c:v>41835</c:v>
                </c:pt>
                <c:pt idx="40">
                  <c:v>41836</c:v>
                </c:pt>
                <c:pt idx="41">
                  <c:v>41837</c:v>
                </c:pt>
                <c:pt idx="42">
                  <c:v>41838</c:v>
                </c:pt>
                <c:pt idx="43">
                  <c:v>41839</c:v>
                </c:pt>
                <c:pt idx="44">
                  <c:v>41840</c:v>
                </c:pt>
                <c:pt idx="45">
                  <c:v>41841</c:v>
                </c:pt>
                <c:pt idx="46">
                  <c:v>41842</c:v>
                </c:pt>
                <c:pt idx="47">
                  <c:v>41843</c:v>
                </c:pt>
                <c:pt idx="48">
                  <c:v>41844</c:v>
                </c:pt>
                <c:pt idx="49">
                  <c:v>41845</c:v>
                </c:pt>
                <c:pt idx="50">
                  <c:v>41846</c:v>
                </c:pt>
                <c:pt idx="51">
                  <c:v>41847</c:v>
                </c:pt>
                <c:pt idx="52">
                  <c:v>41848</c:v>
                </c:pt>
                <c:pt idx="53">
                  <c:v>41849</c:v>
                </c:pt>
                <c:pt idx="54">
                  <c:v>41850</c:v>
                </c:pt>
                <c:pt idx="55">
                  <c:v>41851</c:v>
                </c:pt>
                <c:pt idx="56">
                  <c:v>41852</c:v>
                </c:pt>
                <c:pt idx="57">
                  <c:v>41853</c:v>
                </c:pt>
                <c:pt idx="58">
                  <c:v>41854</c:v>
                </c:pt>
                <c:pt idx="59">
                  <c:v>41855</c:v>
                </c:pt>
                <c:pt idx="60">
                  <c:v>41856</c:v>
                </c:pt>
                <c:pt idx="61">
                  <c:v>41857</c:v>
                </c:pt>
                <c:pt idx="62">
                  <c:v>41858</c:v>
                </c:pt>
                <c:pt idx="63">
                  <c:v>41859</c:v>
                </c:pt>
                <c:pt idx="64">
                  <c:v>41860</c:v>
                </c:pt>
                <c:pt idx="65">
                  <c:v>41861</c:v>
                </c:pt>
                <c:pt idx="66">
                  <c:v>41862</c:v>
                </c:pt>
                <c:pt idx="67">
                  <c:v>41863</c:v>
                </c:pt>
                <c:pt idx="68">
                  <c:v>41864</c:v>
                </c:pt>
                <c:pt idx="69">
                  <c:v>41865</c:v>
                </c:pt>
                <c:pt idx="70">
                  <c:v>41866</c:v>
                </c:pt>
                <c:pt idx="71">
                  <c:v>41867</c:v>
                </c:pt>
                <c:pt idx="72">
                  <c:v>41868</c:v>
                </c:pt>
                <c:pt idx="73">
                  <c:v>41869</c:v>
                </c:pt>
                <c:pt idx="74">
                  <c:v>41870</c:v>
                </c:pt>
                <c:pt idx="75">
                  <c:v>41871</c:v>
                </c:pt>
                <c:pt idx="76">
                  <c:v>41872</c:v>
                </c:pt>
                <c:pt idx="77">
                  <c:v>41873</c:v>
                </c:pt>
                <c:pt idx="78">
                  <c:v>41874</c:v>
                </c:pt>
                <c:pt idx="79">
                  <c:v>41875</c:v>
                </c:pt>
                <c:pt idx="80">
                  <c:v>41876</c:v>
                </c:pt>
              </c:numCache>
            </c:numRef>
          </c:cat>
          <c:val>
            <c:numRef>
              <c:f>'Defect-Quality-Trend-Data'!$AC$7:$AC$87</c:f>
              <c:numCache>
                <c:formatCode>0</c:formatCode>
                <c:ptCount val="81"/>
                <c:pt idx="0">
                  <c:v>13</c:v>
                </c:pt>
                <c:pt idx="1">
                  <c:v>13</c:v>
                </c:pt>
                <c:pt idx="2">
                  <c:v>13</c:v>
                </c:pt>
                <c:pt idx="3">
                  <c:v>13</c:v>
                </c:pt>
                <c:pt idx="4">
                  <c:v>13</c:v>
                </c:pt>
                <c:pt idx="5">
                  <c:v>13</c:v>
                </c:pt>
                <c:pt idx="6">
                  <c:v>13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54</c:v>
                </c:pt>
                <c:pt idx="11">
                  <c:v>90</c:v>
                </c:pt>
                <c:pt idx="12">
                  <c:v>101</c:v>
                </c:pt>
                <c:pt idx="13">
                  <c:v>135</c:v>
                </c:pt>
                <c:pt idx="14">
                  <c:v>176</c:v>
                </c:pt>
                <c:pt idx="15">
                  <c:v>176</c:v>
                </c:pt>
                <c:pt idx="16">
                  <c:v>176</c:v>
                </c:pt>
                <c:pt idx="17">
                  <c:v>200</c:v>
                </c:pt>
                <c:pt idx="18">
                  <c:v>227</c:v>
                </c:pt>
                <c:pt idx="19">
                  <c:v>227</c:v>
                </c:pt>
                <c:pt idx="20">
                  <c:v>242</c:v>
                </c:pt>
                <c:pt idx="21">
                  <c:v>265</c:v>
                </c:pt>
                <c:pt idx="22">
                  <c:v>269</c:v>
                </c:pt>
                <c:pt idx="23">
                  <c:v>269</c:v>
                </c:pt>
                <c:pt idx="24">
                  <c:v>288</c:v>
                </c:pt>
                <c:pt idx="25">
                  <c:v>288</c:v>
                </c:pt>
                <c:pt idx="26">
                  <c:v>288</c:v>
                </c:pt>
                <c:pt idx="27">
                  <c:v>375</c:v>
                </c:pt>
                <c:pt idx="28">
                  <c:v>375</c:v>
                </c:pt>
                <c:pt idx="29">
                  <c:v>375</c:v>
                </c:pt>
                <c:pt idx="30">
                  <c:v>398</c:v>
                </c:pt>
                <c:pt idx="31">
                  <c:v>417</c:v>
                </c:pt>
                <c:pt idx="32">
                  <c:v>458</c:v>
                </c:pt>
                <c:pt idx="33">
                  <c:v>475</c:v>
                </c:pt>
                <c:pt idx="34">
                  <c:v>521</c:v>
                </c:pt>
                <c:pt idx="35">
                  <c:v>521</c:v>
                </c:pt>
                <c:pt idx="36">
                  <c:v>521</c:v>
                </c:pt>
                <c:pt idx="37">
                  <c:v>557</c:v>
                </c:pt>
                <c:pt idx="38">
                  <c:v>580</c:v>
                </c:pt>
                <c:pt idx="39">
                  <c:v>630</c:v>
                </c:pt>
                <c:pt idx="40">
                  <c:v>672</c:v>
                </c:pt>
                <c:pt idx="41">
                  <c:v>741</c:v>
                </c:pt>
                <c:pt idx="42">
                  <c:v>741</c:v>
                </c:pt>
                <c:pt idx="43">
                  <c:v>741</c:v>
                </c:pt>
                <c:pt idx="44">
                  <c:v>750</c:v>
                </c:pt>
                <c:pt idx="45">
                  <c:v>750</c:v>
                </c:pt>
                <c:pt idx="46">
                  <c:v>750</c:v>
                </c:pt>
                <c:pt idx="47">
                  <c:v>769</c:v>
                </c:pt>
                <c:pt idx="48">
                  <c:v>775</c:v>
                </c:pt>
                <c:pt idx="49">
                  <c:v>775</c:v>
                </c:pt>
                <c:pt idx="50">
                  <c:v>775</c:v>
                </c:pt>
                <c:pt idx="51">
                  <c:v>809</c:v>
                </c:pt>
                <c:pt idx="52">
                  <c:v>848</c:v>
                </c:pt>
                <c:pt idx="53">
                  <c:v>868</c:v>
                </c:pt>
                <c:pt idx="54">
                  <c:v>900</c:v>
                </c:pt>
                <c:pt idx="55">
                  <c:v>918</c:v>
                </c:pt>
                <c:pt idx="56">
                  <c:v>918</c:v>
                </c:pt>
                <c:pt idx="57">
                  <c:v>918</c:v>
                </c:pt>
                <c:pt idx="58">
                  <c:v>938</c:v>
                </c:pt>
                <c:pt idx="59">
                  <c:v>964</c:v>
                </c:pt>
                <c:pt idx="60">
                  <c:v>998</c:v>
                </c:pt>
                <c:pt idx="61">
                  <c:v>1014</c:v>
                </c:pt>
                <c:pt idx="62">
                  <c:v>1014</c:v>
                </c:pt>
                <c:pt idx="63">
                  <c:v>1052</c:v>
                </c:pt>
                <c:pt idx="64">
                  <c:v>1069</c:v>
                </c:pt>
                <c:pt idx="65">
                  <c:v>1078</c:v>
                </c:pt>
                <c:pt idx="66">
                  <c:v>1078</c:v>
                </c:pt>
                <c:pt idx="67">
                  <c:v>1078</c:v>
                </c:pt>
                <c:pt idx="68">
                  <c:v>1078</c:v>
                </c:pt>
                <c:pt idx="69">
                  <c:v>1078</c:v>
                </c:pt>
                <c:pt idx="70">
                  <c:v>1078</c:v>
                </c:pt>
                <c:pt idx="71">
                  <c:v>1078</c:v>
                </c:pt>
                <c:pt idx="72">
                  <c:v>1078</c:v>
                </c:pt>
                <c:pt idx="73">
                  <c:v>1078</c:v>
                </c:pt>
                <c:pt idx="74">
                  <c:v>1078</c:v>
                </c:pt>
                <c:pt idx="75">
                  <c:v>1078</c:v>
                </c:pt>
                <c:pt idx="76">
                  <c:v>1078</c:v>
                </c:pt>
                <c:pt idx="77">
                  <c:v>1078</c:v>
                </c:pt>
                <c:pt idx="78">
                  <c:v>1081</c:v>
                </c:pt>
                <c:pt idx="79">
                  <c:v>1085</c:v>
                </c:pt>
                <c:pt idx="80">
                  <c:v>1087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E9-4D92-A31D-428D166EC54C}"/>
            </c:ext>
          </c:extLst>
        </c:ser>
        <c:ser>
          <c:idx val="2"/>
          <c:order val="2"/>
          <c:tx>
            <c:strRef>
              <c:f>'Defect-Quality-Trend-Data'!$AD$6</c:f>
              <c:strCache>
                <c:ptCount val="1"/>
                <c:pt idx="0">
                  <c:v>Closed
(Daily)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'Defect-Quality-Trend-Data'!$AA$7:$AA$87</c:f>
              <c:numCache>
                <c:formatCode>m/d/yyyy</c:formatCode>
                <c:ptCount val="81"/>
                <c:pt idx="0">
                  <c:v>41796</c:v>
                </c:pt>
                <c:pt idx="1">
                  <c:v>41797</c:v>
                </c:pt>
                <c:pt idx="2">
                  <c:v>41798</c:v>
                </c:pt>
                <c:pt idx="3">
                  <c:v>41799</c:v>
                </c:pt>
                <c:pt idx="4">
                  <c:v>41800</c:v>
                </c:pt>
                <c:pt idx="5">
                  <c:v>41801</c:v>
                </c:pt>
                <c:pt idx="6">
                  <c:v>41802</c:v>
                </c:pt>
                <c:pt idx="7">
                  <c:v>41803</c:v>
                </c:pt>
                <c:pt idx="8">
                  <c:v>41804</c:v>
                </c:pt>
                <c:pt idx="9">
                  <c:v>41805</c:v>
                </c:pt>
                <c:pt idx="10">
                  <c:v>41806</c:v>
                </c:pt>
                <c:pt idx="11">
                  <c:v>41807</c:v>
                </c:pt>
                <c:pt idx="12">
                  <c:v>41808</c:v>
                </c:pt>
                <c:pt idx="13">
                  <c:v>41809</c:v>
                </c:pt>
                <c:pt idx="14">
                  <c:v>41810</c:v>
                </c:pt>
                <c:pt idx="15">
                  <c:v>41811</c:v>
                </c:pt>
                <c:pt idx="16">
                  <c:v>41812</c:v>
                </c:pt>
                <c:pt idx="17">
                  <c:v>41813</c:v>
                </c:pt>
                <c:pt idx="18">
                  <c:v>41814</c:v>
                </c:pt>
                <c:pt idx="19">
                  <c:v>41815</c:v>
                </c:pt>
                <c:pt idx="20">
                  <c:v>41816</c:v>
                </c:pt>
                <c:pt idx="21">
                  <c:v>41817</c:v>
                </c:pt>
                <c:pt idx="22">
                  <c:v>41818</c:v>
                </c:pt>
                <c:pt idx="23">
                  <c:v>41819</c:v>
                </c:pt>
                <c:pt idx="24">
                  <c:v>41820</c:v>
                </c:pt>
                <c:pt idx="25">
                  <c:v>41821</c:v>
                </c:pt>
                <c:pt idx="26">
                  <c:v>41822</c:v>
                </c:pt>
                <c:pt idx="27">
                  <c:v>41823</c:v>
                </c:pt>
                <c:pt idx="28">
                  <c:v>41824</c:v>
                </c:pt>
                <c:pt idx="29">
                  <c:v>41825</c:v>
                </c:pt>
                <c:pt idx="30">
                  <c:v>41826</c:v>
                </c:pt>
                <c:pt idx="31">
                  <c:v>41827</c:v>
                </c:pt>
                <c:pt idx="32">
                  <c:v>41828</c:v>
                </c:pt>
                <c:pt idx="33">
                  <c:v>41829</c:v>
                </c:pt>
                <c:pt idx="34">
                  <c:v>41830</c:v>
                </c:pt>
                <c:pt idx="35">
                  <c:v>41831</c:v>
                </c:pt>
                <c:pt idx="36">
                  <c:v>41832</c:v>
                </c:pt>
                <c:pt idx="37">
                  <c:v>41833</c:v>
                </c:pt>
                <c:pt idx="38">
                  <c:v>41834</c:v>
                </c:pt>
                <c:pt idx="39">
                  <c:v>41835</c:v>
                </c:pt>
                <c:pt idx="40">
                  <c:v>41836</c:v>
                </c:pt>
                <c:pt idx="41">
                  <c:v>41837</c:v>
                </c:pt>
                <c:pt idx="42">
                  <c:v>41838</c:v>
                </c:pt>
                <c:pt idx="43">
                  <c:v>41839</c:v>
                </c:pt>
                <c:pt idx="44">
                  <c:v>41840</c:v>
                </c:pt>
                <c:pt idx="45">
                  <c:v>41841</c:v>
                </c:pt>
                <c:pt idx="46">
                  <c:v>41842</c:v>
                </c:pt>
                <c:pt idx="47">
                  <c:v>41843</c:v>
                </c:pt>
                <c:pt idx="48">
                  <c:v>41844</c:v>
                </c:pt>
                <c:pt idx="49">
                  <c:v>41845</c:v>
                </c:pt>
                <c:pt idx="50">
                  <c:v>41846</c:v>
                </c:pt>
                <c:pt idx="51">
                  <c:v>41847</c:v>
                </c:pt>
                <c:pt idx="52">
                  <c:v>41848</c:v>
                </c:pt>
                <c:pt idx="53">
                  <c:v>41849</c:v>
                </c:pt>
                <c:pt idx="54">
                  <c:v>41850</c:v>
                </c:pt>
                <c:pt idx="55">
                  <c:v>41851</c:v>
                </c:pt>
                <c:pt idx="56">
                  <c:v>41852</c:v>
                </c:pt>
                <c:pt idx="57">
                  <c:v>41853</c:v>
                </c:pt>
                <c:pt idx="58">
                  <c:v>41854</c:v>
                </c:pt>
                <c:pt idx="59">
                  <c:v>41855</c:v>
                </c:pt>
                <c:pt idx="60">
                  <c:v>41856</c:v>
                </c:pt>
                <c:pt idx="61">
                  <c:v>41857</c:v>
                </c:pt>
                <c:pt idx="62">
                  <c:v>41858</c:v>
                </c:pt>
                <c:pt idx="63">
                  <c:v>41859</c:v>
                </c:pt>
                <c:pt idx="64">
                  <c:v>41860</c:v>
                </c:pt>
                <c:pt idx="65">
                  <c:v>41861</c:v>
                </c:pt>
                <c:pt idx="66">
                  <c:v>41862</c:v>
                </c:pt>
                <c:pt idx="67">
                  <c:v>41863</c:v>
                </c:pt>
                <c:pt idx="68">
                  <c:v>41864</c:v>
                </c:pt>
                <c:pt idx="69">
                  <c:v>41865</c:v>
                </c:pt>
                <c:pt idx="70">
                  <c:v>41866</c:v>
                </c:pt>
                <c:pt idx="71">
                  <c:v>41867</c:v>
                </c:pt>
                <c:pt idx="72">
                  <c:v>41868</c:v>
                </c:pt>
                <c:pt idx="73">
                  <c:v>41869</c:v>
                </c:pt>
                <c:pt idx="74">
                  <c:v>41870</c:v>
                </c:pt>
                <c:pt idx="75">
                  <c:v>41871</c:v>
                </c:pt>
                <c:pt idx="76">
                  <c:v>41872</c:v>
                </c:pt>
                <c:pt idx="77">
                  <c:v>41873</c:v>
                </c:pt>
                <c:pt idx="78">
                  <c:v>41874</c:v>
                </c:pt>
                <c:pt idx="79">
                  <c:v>41875</c:v>
                </c:pt>
                <c:pt idx="80">
                  <c:v>41876</c:v>
                </c:pt>
              </c:numCache>
            </c:numRef>
          </c:cat>
          <c:val>
            <c:numRef>
              <c:f>'Defect-Quality-Trend-Data'!$AD$7:$AD$87</c:f>
              <c:numCache>
                <c:formatCode>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4</c:v>
                </c:pt>
                <c:pt idx="13">
                  <c:v>2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8</c:v>
                </c:pt>
                <c:pt idx="18">
                  <c:v>5</c:v>
                </c:pt>
                <c:pt idx="19">
                  <c:v>7</c:v>
                </c:pt>
                <c:pt idx="20">
                  <c:v>9</c:v>
                </c:pt>
                <c:pt idx="21">
                  <c:v>10</c:v>
                </c:pt>
                <c:pt idx="22">
                  <c:v>6</c:v>
                </c:pt>
                <c:pt idx="23">
                  <c:v>3</c:v>
                </c:pt>
                <c:pt idx="24">
                  <c:v>10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2</c:v>
                </c:pt>
                <c:pt idx="29">
                  <c:v>2</c:v>
                </c:pt>
                <c:pt idx="30">
                  <c:v>14</c:v>
                </c:pt>
                <c:pt idx="31">
                  <c:v>9</c:v>
                </c:pt>
                <c:pt idx="32">
                  <c:v>6</c:v>
                </c:pt>
                <c:pt idx="33">
                  <c:v>4</c:v>
                </c:pt>
                <c:pt idx="34">
                  <c:v>3</c:v>
                </c:pt>
                <c:pt idx="35">
                  <c:v>0</c:v>
                </c:pt>
                <c:pt idx="36">
                  <c:v>0</c:v>
                </c:pt>
                <c:pt idx="37">
                  <c:v>2</c:v>
                </c:pt>
                <c:pt idx="38">
                  <c:v>1</c:v>
                </c:pt>
                <c:pt idx="39">
                  <c:v>2</c:v>
                </c:pt>
                <c:pt idx="40">
                  <c:v>2</c:v>
                </c:pt>
                <c:pt idx="41">
                  <c:v>9</c:v>
                </c:pt>
                <c:pt idx="42">
                  <c:v>6</c:v>
                </c:pt>
                <c:pt idx="43">
                  <c:v>5</c:v>
                </c:pt>
                <c:pt idx="44">
                  <c:v>9</c:v>
                </c:pt>
                <c:pt idx="45">
                  <c:v>0</c:v>
                </c:pt>
                <c:pt idx="46">
                  <c:v>0</c:v>
                </c:pt>
                <c:pt idx="47">
                  <c:v>9</c:v>
                </c:pt>
                <c:pt idx="48">
                  <c:v>11</c:v>
                </c:pt>
                <c:pt idx="49">
                  <c:v>9</c:v>
                </c:pt>
                <c:pt idx="50">
                  <c:v>4</c:v>
                </c:pt>
                <c:pt idx="51">
                  <c:v>21</c:v>
                </c:pt>
                <c:pt idx="52">
                  <c:v>5</c:v>
                </c:pt>
                <c:pt idx="53">
                  <c:v>7</c:v>
                </c:pt>
                <c:pt idx="54">
                  <c:v>4</c:v>
                </c:pt>
                <c:pt idx="55">
                  <c:v>3</c:v>
                </c:pt>
                <c:pt idx="56">
                  <c:v>0</c:v>
                </c:pt>
                <c:pt idx="57">
                  <c:v>0</c:v>
                </c:pt>
                <c:pt idx="58">
                  <c:v>6</c:v>
                </c:pt>
                <c:pt idx="59">
                  <c:v>3</c:v>
                </c:pt>
                <c:pt idx="60">
                  <c:v>6</c:v>
                </c:pt>
                <c:pt idx="61">
                  <c:v>16</c:v>
                </c:pt>
                <c:pt idx="62">
                  <c:v>22</c:v>
                </c:pt>
                <c:pt idx="63">
                  <c:v>13</c:v>
                </c:pt>
                <c:pt idx="64">
                  <c:v>9</c:v>
                </c:pt>
                <c:pt idx="65">
                  <c:v>4</c:v>
                </c:pt>
                <c:pt idx="66">
                  <c:v>0</c:v>
                </c:pt>
                <c:pt idx="67">
                  <c:v>0</c:v>
                </c:pt>
                <c:pt idx="68">
                  <c:v>9</c:v>
                </c:pt>
                <c:pt idx="69">
                  <c:v>4</c:v>
                </c:pt>
                <c:pt idx="70">
                  <c:v>2</c:v>
                </c:pt>
                <c:pt idx="71">
                  <c:v>5</c:v>
                </c:pt>
                <c:pt idx="72">
                  <c:v>14</c:v>
                </c:pt>
                <c:pt idx="73">
                  <c:v>3</c:v>
                </c:pt>
                <c:pt idx="74">
                  <c:v>2</c:v>
                </c:pt>
                <c:pt idx="75">
                  <c:v>1</c:v>
                </c:pt>
                <c:pt idx="76">
                  <c:v>0</c:v>
                </c:pt>
                <c:pt idx="77">
                  <c:v>0</c:v>
                </c:pt>
                <c:pt idx="78">
                  <c:v>1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E9-4D92-A31D-428D166EC54C}"/>
            </c:ext>
          </c:extLst>
        </c:ser>
        <c:ser>
          <c:idx val="3"/>
          <c:order val="3"/>
          <c:tx>
            <c:strRef>
              <c:f>'Defect-Quality-Trend-Data'!$AE$6</c:f>
              <c:strCache>
                <c:ptCount val="1"/>
                <c:pt idx="0">
                  <c:v>Closed
(Cumulative)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'Defect-Quality-Trend-Data'!$AA$7:$AA$87</c:f>
              <c:numCache>
                <c:formatCode>m/d/yyyy</c:formatCode>
                <c:ptCount val="81"/>
                <c:pt idx="0">
                  <c:v>41796</c:v>
                </c:pt>
                <c:pt idx="1">
                  <c:v>41797</c:v>
                </c:pt>
                <c:pt idx="2">
                  <c:v>41798</c:v>
                </c:pt>
                <c:pt idx="3">
                  <c:v>41799</c:v>
                </c:pt>
                <c:pt idx="4">
                  <c:v>41800</c:v>
                </c:pt>
                <c:pt idx="5">
                  <c:v>41801</c:v>
                </c:pt>
                <c:pt idx="6">
                  <c:v>41802</c:v>
                </c:pt>
                <c:pt idx="7">
                  <c:v>41803</c:v>
                </c:pt>
                <c:pt idx="8">
                  <c:v>41804</c:v>
                </c:pt>
                <c:pt idx="9">
                  <c:v>41805</c:v>
                </c:pt>
                <c:pt idx="10">
                  <c:v>41806</c:v>
                </c:pt>
                <c:pt idx="11">
                  <c:v>41807</c:v>
                </c:pt>
                <c:pt idx="12">
                  <c:v>41808</c:v>
                </c:pt>
                <c:pt idx="13">
                  <c:v>41809</c:v>
                </c:pt>
                <c:pt idx="14">
                  <c:v>41810</c:v>
                </c:pt>
                <c:pt idx="15">
                  <c:v>41811</c:v>
                </c:pt>
                <c:pt idx="16">
                  <c:v>41812</c:v>
                </c:pt>
                <c:pt idx="17">
                  <c:v>41813</c:v>
                </c:pt>
                <c:pt idx="18">
                  <c:v>41814</c:v>
                </c:pt>
                <c:pt idx="19">
                  <c:v>41815</c:v>
                </c:pt>
                <c:pt idx="20">
                  <c:v>41816</c:v>
                </c:pt>
                <c:pt idx="21">
                  <c:v>41817</c:v>
                </c:pt>
                <c:pt idx="22">
                  <c:v>41818</c:v>
                </c:pt>
                <c:pt idx="23">
                  <c:v>41819</c:v>
                </c:pt>
                <c:pt idx="24">
                  <c:v>41820</c:v>
                </c:pt>
                <c:pt idx="25">
                  <c:v>41821</c:v>
                </c:pt>
                <c:pt idx="26">
                  <c:v>41822</c:v>
                </c:pt>
                <c:pt idx="27">
                  <c:v>41823</c:v>
                </c:pt>
                <c:pt idx="28">
                  <c:v>41824</c:v>
                </c:pt>
                <c:pt idx="29">
                  <c:v>41825</c:v>
                </c:pt>
                <c:pt idx="30">
                  <c:v>41826</c:v>
                </c:pt>
                <c:pt idx="31">
                  <c:v>41827</c:v>
                </c:pt>
                <c:pt idx="32">
                  <c:v>41828</c:v>
                </c:pt>
                <c:pt idx="33">
                  <c:v>41829</c:v>
                </c:pt>
                <c:pt idx="34">
                  <c:v>41830</c:v>
                </c:pt>
                <c:pt idx="35">
                  <c:v>41831</c:v>
                </c:pt>
                <c:pt idx="36">
                  <c:v>41832</c:v>
                </c:pt>
                <c:pt idx="37">
                  <c:v>41833</c:v>
                </c:pt>
                <c:pt idx="38">
                  <c:v>41834</c:v>
                </c:pt>
                <c:pt idx="39">
                  <c:v>41835</c:v>
                </c:pt>
                <c:pt idx="40">
                  <c:v>41836</c:v>
                </c:pt>
                <c:pt idx="41">
                  <c:v>41837</c:v>
                </c:pt>
                <c:pt idx="42">
                  <c:v>41838</c:v>
                </c:pt>
                <c:pt idx="43">
                  <c:v>41839</c:v>
                </c:pt>
                <c:pt idx="44">
                  <c:v>41840</c:v>
                </c:pt>
                <c:pt idx="45">
                  <c:v>41841</c:v>
                </c:pt>
                <c:pt idx="46">
                  <c:v>41842</c:v>
                </c:pt>
                <c:pt idx="47">
                  <c:v>41843</c:v>
                </c:pt>
                <c:pt idx="48">
                  <c:v>41844</c:v>
                </c:pt>
                <c:pt idx="49">
                  <c:v>41845</c:v>
                </c:pt>
                <c:pt idx="50">
                  <c:v>41846</c:v>
                </c:pt>
                <c:pt idx="51">
                  <c:v>41847</c:v>
                </c:pt>
                <c:pt idx="52">
                  <c:v>41848</c:v>
                </c:pt>
                <c:pt idx="53">
                  <c:v>41849</c:v>
                </c:pt>
                <c:pt idx="54">
                  <c:v>41850</c:v>
                </c:pt>
                <c:pt idx="55">
                  <c:v>41851</c:v>
                </c:pt>
                <c:pt idx="56">
                  <c:v>41852</c:v>
                </c:pt>
                <c:pt idx="57">
                  <c:v>41853</c:v>
                </c:pt>
                <c:pt idx="58">
                  <c:v>41854</c:v>
                </c:pt>
                <c:pt idx="59">
                  <c:v>41855</c:v>
                </c:pt>
                <c:pt idx="60">
                  <c:v>41856</c:v>
                </c:pt>
                <c:pt idx="61">
                  <c:v>41857</c:v>
                </c:pt>
                <c:pt idx="62">
                  <c:v>41858</c:v>
                </c:pt>
                <c:pt idx="63">
                  <c:v>41859</c:v>
                </c:pt>
                <c:pt idx="64">
                  <c:v>41860</c:v>
                </c:pt>
                <c:pt idx="65">
                  <c:v>41861</c:v>
                </c:pt>
                <c:pt idx="66">
                  <c:v>41862</c:v>
                </c:pt>
                <c:pt idx="67">
                  <c:v>41863</c:v>
                </c:pt>
                <c:pt idx="68">
                  <c:v>41864</c:v>
                </c:pt>
                <c:pt idx="69">
                  <c:v>41865</c:v>
                </c:pt>
                <c:pt idx="70">
                  <c:v>41866</c:v>
                </c:pt>
                <c:pt idx="71">
                  <c:v>41867</c:v>
                </c:pt>
                <c:pt idx="72">
                  <c:v>41868</c:v>
                </c:pt>
                <c:pt idx="73">
                  <c:v>41869</c:v>
                </c:pt>
                <c:pt idx="74">
                  <c:v>41870</c:v>
                </c:pt>
                <c:pt idx="75">
                  <c:v>41871</c:v>
                </c:pt>
                <c:pt idx="76">
                  <c:v>41872</c:v>
                </c:pt>
                <c:pt idx="77">
                  <c:v>41873</c:v>
                </c:pt>
                <c:pt idx="78">
                  <c:v>41874</c:v>
                </c:pt>
                <c:pt idx="79">
                  <c:v>41875</c:v>
                </c:pt>
                <c:pt idx="80">
                  <c:v>41876</c:v>
                </c:pt>
              </c:numCache>
            </c:numRef>
          </c:cat>
          <c:val>
            <c:numRef>
              <c:f>'Defect-Quality-Trend-Data'!$AE$7:$AE$87</c:f>
              <c:numCache>
                <c:formatCode>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4</c:v>
                </c:pt>
                <c:pt idx="11">
                  <c:v>6</c:v>
                </c:pt>
                <c:pt idx="12">
                  <c:v>10</c:v>
                </c:pt>
                <c:pt idx="13">
                  <c:v>12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22</c:v>
                </c:pt>
                <c:pt idx="18">
                  <c:v>27</c:v>
                </c:pt>
                <c:pt idx="19">
                  <c:v>34</c:v>
                </c:pt>
                <c:pt idx="20">
                  <c:v>43</c:v>
                </c:pt>
                <c:pt idx="21">
                  <c:v>53</c:v>
                </c:pt>
                <c:pt idx="22">
                  <c:v>59</c:v>
                </c:pt>
                <c:pt idx="23">
                  <c:v>62</c:v>
                </c:pt>
                <c:pt idx="24">
                  <c:v>72</c:v>
                </c:pt>
                <c:pt idx="25">
                  <c:v>72</c:v>
                </c:pt>
                <c:pt idx="26">
                  <c:v>72</c:v>
                </c:pt>
                <c:pt idx="27">
                  <c:v>73</c:v>
                </c:pt>
                <c:pt idx="28">
                  <c:v>75</c:v>
                </c:pt>
                <c:pt idx="29">
                  <c:v>77</c:v>
                </c:pt>
                <c:pt idx="30">
                  <c:v>91</c:v>
                </c:pt>
                <c:pt idx="31">
                  <c:v>100</c:v>
                </c:pt>
                <c:pt idx="32">
                  <c:v>106</c:v>
                </c:pt>
                <c:pt idx="33">
                  <c:v>110</c:v>
                </c:pt>
                <c:pt idx="34">
                  <c:v>113</c:v>
                </c:pt>
                <c:pt idx="35">
                  <c:v>113</c:v>
                </c:pt>
                <c:pt idx="36">
                  <c:v>113</c:v>
                </c:pt>
                <c:pt idx="37">
                  <c:v>115</c:v>
                </c:pt>
                <c:pt idx="38">
                  <c:v>116</c:v>
                </c:pt>
                <c:pt idx="39">
                  <c:v>118</c:v>
                </c:pt>
                <c:pt idx="40">
                  <c:v>120</c:v>
                </c:pt>
                <c:pt idx="41">
                  <c:v>129</c:v>
                </c:pt>
                <c:pt idx="42">
                  <c:v>135</c:v>
                </c:pt>
                <c:pt idx="43">
                  <c:v>140</c:v>
                </c:pt>
                <c:pt idx="44">
                  <c:v>149</c:v>
                </c:pt>
                <c:pt idx="45">
                  <c:v>149</c:v>
                </c:pt>
                <c:pt idx="46">
                  <c:v>149</c:v>
                </c:pt>
                <c:pt idx="47">
                  <c:v>158</c:v>
                </c:pt>
                <c:pt idx="48">
                  <c:v>169</c:v>
                </c:pt>
                <c:pt idx="49">
                  <c:v>178</c:v>
                </c:pt>
                <c:pt idx="50">
                  <c:v>182</c:v>
                </c:pt>
                <c:pt idx="51">
                  <c:v>203</c:v>
                </c:pt>
                <c:pt idx="52">
                  <c:v>208</c:v>
                </c:pt>
                <c:pt idx="53">
                  <c:v>215</c:v>
                </c:pt>
                <c:pt idx="54">
                  <c:v>219</c:v>
                </c:pt>
                <c:pt idx="55">
                  <c:v>222</c:v>
                </c:pt>
                <c:pt idx="56">
                  <c:v>222</c:v>
                </c:pt>
                <c:pt idx="57">
                  <c:v>222</c:v>
                </c:pt>
                <c:pt idx="58">
                  <c:v>228</c:v>
                </c:pt>
                <c:pt idx="59">
                  <c:v>231</c:v>
                </c:pt>
                <c:pt idx="60">
                  <c:v>237</c:v>
                </c:pt>
                <c:pt idx="61">
                  <c:v>253</c:v>
                </c:pt>
                <c:pt idx="62">
                  <c:v>275</c:v>
                </c:pt>
                <c:pt idx="63">
                  <c:v>288</c:v>
                </c:pt>
                <c:pt idx="64">
                  <c:v>297</c:v>
                </c:pt>
                <c:pt idx="65">
                  <c:v>301</c:v>
                </c:pt>
                <c:pt idx="66">
                  <c:v>301</c:v>
                </c:pt>
                <c:pt idx="67">
                  <c:v>301</c:v>
                </c:pt>
                <c:pt idx="68">
                  <c:v>310</c:v>
                </c:pt>
                <c:pt idx="69">
                  <c:v>314</c:v>
                </c:pt>
                <c:pt idx="70">
                  <c:v>316</c:v>
                </c:pt>
                <c:pt idx="71">
                  <c:v>321</c:v>
                </c:pt>
                <c:pt idx="72">
                  <c:v>335</c:v>
                </c:pt>
                <c:pt idx="73">
                  <c:v>338</c:v>
                </c:pt>
                <c:pt idx="74">
                  <c:v>340</c:v>
                </c:pt>
                <c:pt idx="75">
                  <c:v>341</c:v>
                </c:pt>
                <c:pt idx="76">
                  <c:v>341</c:v>
                </c:pt>
                <c:pt idx="77">
                  <c:v>341</c:v>
                </c:pt>
                <c:pt idx="78">
                  <c:v>342</c:v>
                </c:pt>
                <c:pt idx="79">
                  <c:v>342</c:v>
                </c:pt>
                <c:pt idx="80">
                  <c:v>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E9-4D92-A31D-428D166EC54C}"/>
            </c:ext>
          </c:extLst>
        </c:ser>
        <c:ser>
          <c:idx val="4"/>
          <c:order val="4"/>
          <c:tx>
            <c:strRef>
              <c:f>'Defect-Quality-Trend-Data'!$AF$6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'Defect-Quality-Trend-Data'!$AA$7:$AA$87</c:f>
              <c:numCache>
                <c:formatCode>m/d/yyyy</c:formatCode>
                <c:ptCount val="81"/>
                <c:pt idx="0">
                  <c:v>41796</c:v>
                </c:pt>
                <c:pt idx="1">
                  <c:v>41797</c:v>
                </c:pt>
                <c:pt idx="2">
                  <c:v>41798</c:v>
                </c:pt>
                <c:pt idx="3">
                  <c:v>41799</c:v>
                </c:pt>
                <c:pt idx="4">
                  <c:v>41800</c:v>
                </c:pt>
                <c:pt idx="5">
                  <c:v>41801</c:v>
                </c:pt>
                <c:pt idx="6">
                  <c:v>41802</c:v>
                </c:pt>
                <c:pt idx="7">
                  <c:v>41803</c:v>
                </c:pt>
                <c:pt idx="8">
                  <c:v>41804</c:v>
                </c:pt>
                <c:pt idx="9">
                  <c:v>41805</c:v>
                </c:pt>
                <c:pt idx="10">
                  <c:v>41806</c:v>
                </c:pt>
                <c:pt idx="11">
                  <c:v>41807</c:v>
                </c:pt>
                <c:pt idx="12">
                  <c:v>41808</c:v>
                </c:pt>
                <c:pt idx="13">
                  <c:v>41809</c:v>
                </c:pt>
                <c:pt idx="14">
                  <c:v>41810</c:v>
                </c:pt>
                <c:pt idx="15">
                  <c:v>41811</c:v>
                </c:pt>
                <c:pt idx="16">
                  <c:v>41812</c:v>
                </c:pt>
                <c:pt idx="17">
                  <c:v>41813</c:v>
                </c:pt>
                <c:pt idx="18">
                  <c:v>41814</c:v>
                </c:pt>
                <c:pt idx="19">
                  <c:v>41815</c:v>
                </c:pt>
                <c:pt idx="20">
                  <c:v>41816</c:v>
                </c:pt>
                <c:pt idx="21">
                  <c:v>41817</c:v>
                </c:pt>
                <c:pt idx="22">
                  <c:v>41818</c:v>
                </c:pt>
                <c:pt idx="23">
                  <c:v>41819</c:v>
                </c:pt>
                <c:pt idx="24">
                  <c:v>41820</c:v>
                </c:pt>
                <c:pt idx="25">
                  <c:v>41821</c:v>
                </c:pt>
                <c:pt idx="26">
                  <c:v>41822</c:v>
                </c:pt>
                <c:pt idx="27">
                  <c:v>41823</c:v>
                </c:pt>
                <c:pt idx="28">
                  <c:v>41824</c:v>
                </c:pt>
                <c:pt idx="29">
                  <c:v>41825</c:v>
                </c:pt>
                <c:pt idx="30">
                  <c:v>41826</c:v>
                </c:pt>
                <c:pt idx="31">
                  <c:v>41827</c:v>
                </c:pt>
                <c:pt idx="32">
                  <c:v>41828</c:v>
                </c:pt>
                <c:pt idx="33">
                  <c:v>41829</c:v>
                </c:pt>
                <c:pt idx="34">
                  <c:v>41830</c:v>
                </c:pt>
                <c:pt idx="35">
                  <c:v>41831</c:v>
                </c:pt>
                <c:pt idx="36">
                  <c:v>41832</c:v>
                </c:pt>
                <c:pt idx="37">
                  <c:v>41833</c:v>
                </c:pt>
                <c:pt idx="38">
                  <c:v>41834</c:v>
                </c:pt>
                <c:pt idx="39">
                  <c:v>41835</c:v>
                </c:pt>
                <c:pt idx="40">
                  <c:v>41836</c:v>
                </c:pt>
                <c:pt idx="41">
                  <c:v>41837</c:v>
                </c:pt>
                <c:pt idx="42">
                  <c:v>41838</c:v>
                </c:pt>
                <c:pt idx="43">
                  <c:v>41839</c:v>
                </c:pt>
                <c:pt idx="44">
                  <c:v>41840</c:v>
                </c:pt>
                <c:pt idx="45">
                  <c:v>41841</c:v>
                </c:pt>
                <c:pt idx="46">
                  <c:v>41842</c:v>
                </c:pt>
                <c:pt idx="47">
                  <c:v>41843</c:v>
                </c:pt>
                <c:pt idx="48">
                  <c:v>41844</c:v>
                </c:pt>
                <c:pt idx="49">
                  <c:v>41845</c:v>
                </c:pt>
                <c:pt idx="50">
                  <c:v>41846</c:v>
                </c:pt>
                <c:pt idx="51">
                  <c:v>41847</c:v>
                </c:pt>
                <c:pt idx="52">
                  <c:v>41848</c:v>
                </c:pt>
                <c:pt idx="53">
                  <c:v>41849</c:v>
                </c:pt>
                <c:pt idx="54">
                  <c:v>41850</c:v>
                </c:pt>
                <c:pt idx="55">
                  <c:v>41851</c:v>
                </c:pt>
                <c:pt idx="56">
                  <c:v>41852</c:v>
                </c:pt>
                <c:pt idx="57">
                  <c:v>41853</c:v>
                </c:pt>
                <c:pt idx="58">
                  <c:v>41854</c:v>
                </c:pt>
                <c:pt idx="59">
                  <c:v>41855</c:v>
                </c:pt>
                <c:pt idx="60">
                  <c:v>41856</c:v>
                </c:pt>
                <c:pt idx="61">
                  <c:v>41857</c:v>
                </c:pt>
                <c:pt idx="62">
                  <c:v>41858</c:v>
                </c:pt>
                <c:pt idx="63">
                  <c:v>41859</c:v>
                </c:pt>
                <c:pt idx="64">
                  <c:v>41860</c:v>
                </c:pt>
                <c:pt idx="65">
                  <c:v>41861</c:v>
                </c:pt>
                <c:pt idx="66">
                  <c:v>41862</c:v>
                </c:pt>
                <c:pt idx="67">
                  <c:v>41863</c:v>
                </c:pt>
                <c:pt idx="68">
                  <c:v>41864</c:v>
                </c:pt>
                <c:pt idx="69">
                  <c:v>41865</c:v>
                </c:pt>
                <c:pt idx="70">
                  <c:v>41866</c:v>
                </c:pt>
                <c:pt idx="71">
                  <c:v>41867</c:v>
                </c:pt>
                <c:pt idx="72">
                  <c:v>41868</c:v>
                </c:pt>
                <c:pt idx="73">
                  <c:v>41869</c:v>
                </c:pt>
                <c:pt idx="74">
                  <c:v>41870</c:v>
                </c:pt>
                <c:pt idx="75">
                  <c:v>41871</c:v>
                </c:pt>
                <c:pt idx="76">
                  <c:v>41872</c:v>
                </c:pt>
                <c:pt idx="77">
                  <c:v>41873</c:v>
                </c:pt>
                <c:pt idx="78">
                  <c:v>41874</c:v>
                </c:pt>
                <c:pt idx="79">
                  <c:v>41875</c:v>
                </c:pt>
                <c:pt idx="80">
                  <c:v>41876</c:v>
                </c:pt>
              </c:numCache>
            </c:numRef>
          </c:cat>
          <c:val>
            <c:numRef>
              <c:f>'Defect-Quality-Trend-Data'!$AF$7:$AF$87</c:f>
              <c:numCache>
                <c:formatCode>0</c:formatCode>
                <c:ptCount val="81"/>
                <c:pt idx="0">
                  <c:v>13</c:v>
                </c:pt>
                <c:pt idx="1">
                  <c:v>13</c:v>
                </c:pt>
                <c:pt idx="2">
                  <c:v>13</c:v>
                </c:pt>
                <c:pt idx="3">
                  <c:v>13</c:v>
                </c:pt>
                <c:pt idx="4">
                  <c:v>13</c:v>
                </c:pt>
                <c:pt idx="5">
                  <c:v>13</c:v>
                </c:pt>
                <c:pt idx="6">
                  <c:v>13</c:v>
                </c:pt>
                <c:pt idx="7">
                  <c:v>18</c:v>
                </c:pt>
                <c:pt idx="8">
                  <c:v>18</c:v>
                </c:pt>
                <c:pt idx="9">
                  <c:v>17</c:v>
                </c:pt>
                <c:pt idx="10">
                  <c:v>50</c:v>
                </c:pt>
                <c:pt idx="11">
                  <c:v>84</c:v>
                </c:pt>
                <c:pt idx="12">
                  <c:v>91</c:v>
                </c:pt>
                <c:pt idx="13">
                  <c:v>123</c:v>
                </c:pt>
                <c:pt idx="14">
                  <c:v>162</c:v>
                </c:pt>
                <c:pt idx="15">
                  <c:v>162</c:v>
                </c:pt>
                <c:pt idx="16">
                  <c:v>162</c:v>
                </c:pt>
                <c:pt idx="17">
                  <c:v>178</c:v>
                </c:pt>
                <c:pt idx="18">
                  <c:v>200</c:v>
                </c:pt>
                <c:pt idx="19">
                  <c:v>193</c:v>
                </c:pt>
                <c:pt idx="20">
                  <c:v>199</c:v>
                </c:pt>
                <c:pt idx="21">
                  <c:v>212</c:v>
                </c:pt>
                <c:pt idx="22">
                  <c:v>210</c:v>
                </c:pt>
                <c:pt idx="23">
                  <c:v>207</c:v>
                </c:pt>
                <c:pt idx="24">
                  <c:v>216</c:v>
                </c:pt>
                <c:pt idx="25">
                  <c:v>216</c:v>
                </c:pt>
                <c:pt idx="26">
                  <c:v>216</c:v>
                </c:pt>
                <c:pt idx="27">
                  <c:v>302</c:v>
                </c:pt>
                <c:pt idx="28">
                  <c:v>300</c:v>
                </c:pt>
                <c:pt idx="29">
                  <c:v>298</c:v>
                </c:pt>
                <c:pt idx="30">
                  <c:v>307</c:v>
                </c:pt>
                <c:pt idx="31">
                  <c:v>317</c:v>
                </c:pt>
                <c:pt idx="32">
                  <c:v>352</c:v>
                </c:pt>
                <c:pt idx="33">
                  <c:v>365</c:v>
                </c:pt>
                <c:pt idx="34">
                  <c:v>408</c:v>
                </c:pt>
                <c:pt idx="35">
                  <c:v>408</c:v>
                </c:pt>
                <c:pt idx="36">
                  <c:v>408</c:v>
                </c:pt>
                <c:pt idx="37">
                  <c:v>442</c:v>
                </c:pt>
                <c:pt idx="38">
                  <c:v>464</c:v>
                </c:pt>
                <c:pt idx="39">
                  <c:v>512</c:v>
                </c:pt>
                <c:pt idx="40">
                  <c:v>552</c:v>
                </c:pt>
                <c:pt idx="41">
                  <c:v>612</c:v>
                </c:pt>
                <c:pt idx="42">
                  <c:v>606</c:v>
                </c:pt>
                <c:pt idx="43">
                  <c:v>601</c:v>
                </c:pt>
                <c:pt idx="44">
                  <c:v>601</c:v>
                </c:pt>
                <c:pt idx="45">
                  <c:v>601</c:v>
                </c:pt>
                <c:pt idx="46">
                  <c:v>601</c:v>
                </c:pt>
                <c:pt idx="47">
                  <c:v>611</c:v>
                </c:pt>
                <c:pt idx="48">
                  <c:v>606</c:v>
                </c:pt>
                <c:pt idx="49">
                  <c:v>597</c:v>
                </c:pt>
                <c:pt idx="50">
                  <c:v>593</c:v>
                </c:pt>
                <c:pt idx="51">
                  <c:v>606</c:v>
                </c:pt>
                <c:pt idx="52">
                  <c:v>640</c:v>
                </c:pt>
                <c:pt idx="53">
                  <c:v>653</c:v>
                </c:pt>
                <c:pt idx="54">
                  <c:v>681</c:v>
                </c:pt>
                <c:pt idx="55">
                  <c:v>696</c:v>
                </c:pt>
                <c:pt idx="56">
                  <c:v>696</c:v>
                </c:pt>
                <c:pt idx="57">
                  <c:v>696</c:v>
                </c:pt>
                <c:pt idx="58">
                  <c:v>710</c:v>
                </c:pt>
                <c:pt idx="59">
                  <c:v>733</c:v>
                </c:pt>
                <c:pt idx="60">
                  <c:v>761</c:v>
                </c:pt>
                <c:pt idx="61">
                  <c:v>761</c:v>
                </c:pt>
                <c:pt idx="62">
                  <c:v>739</c:v>
                </c:pt>
                <c:pt idx="63">
                  <c:v>764</c:v>
                </c:pt>
                <c:pt idx="64">
                  <c:v>772</c:v>
                </c:pt>
                <c:pt idx="65">
                  <c:v>777</c:v>
                </c:pt>
                <c:pt idx="66">
                  <c:v>777</c:v>
                </c:pt>
                <c:pt idx="67">
                  <c:v>777</c:v>
                </c:pt>
                <c:pt idx="68">
                  <c:v>768</c:v>
                </c:pt>
                <c:pt idx="69">
                  <c:v>764</c:v>
                </c:pt>
                <c:pt idx="70">
                  <c:v>762</c:v>
                </c:pt>
                <c:pt idx="71">
                  <c:v>757</c:v>
                </c:pt>
                <c:pt idx="72">
                  <c:v>743</c:v>
                </c:pt>
                <c:pt idx="73">
                  <c:v>740</c:v>
                </c:pt>
                <c:pt idx="74">
                  <c:v>738</c:v>
                </c:pt>
                <c:pt idx="75">
                  <c:v>737</c:v>
                </c:pt>
                <c:pt idx="76">
                  <c:v>737</c:v>
                </c:pt>
                <c:pt idx="77">
                  <c:v>737</c:v>
                </c:pt>
                <c:pt idx="78">
                  <c:v>739</c:v>
                </c:pt>
                <c:pt idx="79">
                  <c:v>743</c:v>
                </c:pt>
                <c:pt idx="80">
                  <c:v>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DE9-4D92-A31D-428D166EC5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8231680"/>
        <c:axId val="188233216"/>
      </c:lineChart>
      <c:dateAx>
        <c:axId val="188231680"/>
        <c:scaling>
          <c:orientation val="minMax"/>
        </c:scaling>
        <c:delete val="0"/>
        <c:axPos val="b"/>
        <c:numFmt formatCode="[$-41D]dd/mmm;@" sourceLinked="0"/>
        <c:majorTickMark val="out"/>
        <c:minorTickMark val="none"/>
        <c:tickLblPos val="nextTo"/>
        <c:spPr>
          <a:ln w="1905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188233216"/>
        <c:crosses val="autoZero"/>
        <c:auto val="1"/>
        <c:lblOffset val="100"/>
        <c:baseTimeUnit val="days"/>
        <c:majorUnit val="7"/>
      </c:dateAx>
      <c:valAx>
        <c:axId val="1882332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188231680"/>
        <c:crosses val="autoZero"/>
        <c:crossBetween val="between"/>
      </c:valAx>
      <c:spPr>
        <a:solidFill>
          <a:schemeClr val="bg1">
            <a:lumMod val="95000"/>
          </a:schemeClr>
        </a:solidFill>
        <a:ln w="25400">
          <a:noFill/>
        </a:ln>
        <a:effectLst/>
        <a:scene3d>
          <a:camera prst="orthographicFront"/>
          <a:lightRig rig="threePt" dir="t"/>
        </a:scene3d>
        <a:sp3d prstMaterial="matte"/>
      </c:spPr>
    </c:plotArea>
    <c:legend>
      <c:legendPos val="r"/>
      <c:layout>
        <c:manualLayout>
          <c:xMode val="edge"/>
          <c:yMode val="edge"/>
          <c:x val="0.89596536068261501"/>
          <c:y val="0.22371842752940366"/>
          <c:w val="9.7005062244146026E-2"/>
          <c:h val="0.69392899206223313"/>
        </c:manualLayout>
      </c:layout>
      <c:overlay val="0"/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w="3175">
          <a:noFill/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  <a:effectLst/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 sz="800" b="0"/>
            </a:pPr>
            <a:r>
              <a:rPr lang="en-US" sz="900" b="0"/>
              <a:t>DEFECT</a:t>
            </a:r>
            <a:r>
              <a:rPr lang="en-US" sz="900" b="0" baseline="0"/>
              <a:t>S / STATUS</a:t>
            </a:r>
            <a:endParaRPr lang="en-US" sz="900" b="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0986571442679794E-2"/>
          <c:y val="9.6377735634841491E-2"/>
          <c:w val="0.60358462443148497"/>
          <c:h val="0.8749906864964766"/>
        </c:manualLayout>
      </c:layout>
      <c:pieChart>
        <c:varyColors val="1"/>
        <c:ser>
          <c:idx val="0"/>
          <c:order val="0"/>
          <c:explosion val="5"/>
          <c:dPt>
            <c:idx val="2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137D-4A35-8C4D-0B0A685C302F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3-137D-4A35-8C4D-0B0A685C302F}"/>
              </c:ext>
            </c:extLst>
          </c:dPt>
          <c:dPt>
            <c:idx val="4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5-137D-4A35-8C4D-0B0A685C302F}"/>
              </c:ext>
            </c:extLst>
          </c:dPt>
          <c:dPt>
            <c:idx val="5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7-137D-4A35-8C4D-0B0A685C302F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Calculations!$W$13:$W$18</c:f>
              <c:strCache>
                <c:ptCount val="6"/>
                <c:pt idx="0">
                  <c:v>Open</c:v>
                </c:pt>
                <c:pt idx="1">
                  <c:v>Reopened</c:v>
                </c:pt>
                <c:pt idx="2">
                  <c:v>Dropped</c:v>
                </c:pt>
                <c:pt idx="3">
                  <c:v>On Hold</c:v>
                </c:pt>
                <c:pt idx="4">
                  <c:v>Ready for Testing</c:v>
                </c:pt>
                <c:pt idx="5">
                  <c:v>Closed</c:v>
                </c:pt>
              </c:strCache>
            </c:strRef>
          </c:cat>
          <c:val>
            <c:numRef>
              <c:f>Calculations!$X$13:$X$18</c:f>
              <c:numCache>
                <c:formatCode>#,##0_);\(#,##0\);</c:formatCode>
                <c:ptCount val="6"/>
                <c:pt idx="0">
                  <c:v>629</c:v>
                </c:pt>
                <c:pt idx="1">
                  <c:v>24</c:v>
                </c:pt>
                <c:pt idx="2">
                  <c:v>5</c:v>
                </c:pt>
                <c:pt idx="3">
                  <c:v>8</c:v>
                </c:pt>
                <c:pt idx="4">
                  <c:v>41</c:v>
                </c:pt>
                <c:pt idx="5">
                  <c:v>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37D-4A35-8C4D-0B0A685C3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layout>
        <c:manualLayout>
          <c:xMode val="edge"/>
          <c:yMode val="edge"/>
          <c:x val="0.79899647716978939"/>
          <c:y val="1.5063431096832903E-2"/>
          <c:w val="0.20100352283021067"/>
          <c:h val="0.97058192477934202"/>
        </c:manualLayout>
      </c:layout>
      <c:overlay val="0"/>
      <c:txPr>
        <a:bodyPr/>
        <a:lstStyle/>
        <a:p>
          <a:pPr>
            <a:defRPr sz="1050"/>
          </a:pPr>
          <a:endParaRPr lang="en-US"/>
        </a:p>
      </c:txPr>
    </c:legend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 sz="800" b="0"/>
            </a:pPr>
            <a:r>
              <a:rPr lang="en-US" sz="800" b="0"/>
              <a:t>RECENT DEFECTS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3992940311903282E-2"/>
          <c:y val="0.17030439554885848"/>
          <c:w val="0.88998354214776176"/>
          <c:h val="0.53859975378194347"/>
        </c:manualLayout>
      </c:layout>
      <c:barChart>
        <c:barDir val="col"/>
        <c:grouping val="clustered"/>
        <c:varyColors val="0"/>
        <c:ser>
          <c:idx val="0"/>
          <c:order val="0"/>
          <c:tx>
            <c:v>PRIORITY NO of DEF</c:v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Calculations!$W$42:$W$45</c:f>
              <c:strCache>
                <c:ptCount val="4"/>
                <c:pt idx="0">
                  <c:v>Opened Today</c:v>
                </c:pt>
                <c:pt idx="1">
                  <c:v>Closed Today</c:v>
                </c:pt>
                <c:pt idx="2">
                  <c:v>Opened Yesterday</c:v>
                </c:pt>
                <c:pt idx="3">
                  <c:v>Closed Yesterday</c:v>
                </c:pt>
              </c:strCache>
            </c:strRef>
          </c:cat>
          <c:val>
            <c:numRef>
              <c:f>Calculations!$X$42:$X$45</c:f>
              <c:numCache>
                <c:formatCode>#,##0_);\(#,##0\);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E-4BF3-84DF-D4D3B943F6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4582784"/>
        <c:axId val="194600960"/>
      </c:barChart>
      <c:catAx>
        <c:axId val="19458278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94600960"/>
        <c:crosses val="autoZero"/>
        <c:auto val="1"/>
        <c:lblAlgn val="ctr"/>
        <c:lblOffset val="100"/>
        <c:noMultiLvlLbl val="0"/>
      </c:catAx>
      <c:valAx>
        <c:axId val="194600960"/>
        <c:scaling>
          <c:orientation val="minMax"/>
        </c:scaling>
        <c:delete val="1"/>
        <c:axPos val="l"/>
        <c:numFmt formatCode="#,##0_);\(#,##0\);" sourceLinked="1"/>
        <c:majorTickMark val="out"/>
        <c:minorTickMark val="none"/>
        <c:tickLblPos val="nextTo"/>
        <c:crossAx val="194582784"/>
        <c:crosses val="autoZero"/>
        <c:crossBetween val="between"/>
      </c:valAx>
    </c:plotArea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557024646777118E-2"/>
          <c:y val="0.12866147371312528"/>
          <c:w val="0.86394060211695334"/>
          <c:h val="0.6542041021632474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Calculations!$Z$46:$Z$49</c:f>
              <c:strCache>
                <c:ptCount val="4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</c:strCache>
            </c:strRef>
          </c:cat>
          <c:val>
            <c:numRef>
              <c:f>Calculations!$X$46:$X$49</c:f>
              <c:numCache>
                <c:formatCode>#,##0_);\(#,##0\);</c:formatCode>
                <c:ptCount val="4"/>
                <c:pt idx="0">
                  <c:v>87</c:v>
                </c:pt>
                <c:pt idx="1">
                  <c:v>300</c:v>
                </c:pt>
                <c:pt idx="2">
                  <c:v>483</c:v>
                </c:pt>
                <c:pt idx="3">
                  <c:v>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C3-477B-86A7-372A725FB074}"/>
            </c:ext>
          </c:extLst>
        </c:ser>
        <c:ser>
          <c:idx val="1"/>
          <c:order val="1"/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Calculations!$Z$46:$Z$49</c:f>
              <c:strCache>
                <c:ptCount val="4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</c:strCache>
            </c:strRef>
          </c:cat>
          <c:val>
            <c:numRef>
              <c:f>Calculations!$Y$46:$Y$49</c:f>
              <c:numCache>
                <c:formatCode>#,##0_);\(#,##0\);</c:formatCode>
                <c:ptCount val="4"/>
                <c:pt idx="0">
                  <c:v>53</c:v>
                </c:pt>
                <c:pt idx="1">
                  <c:v>192</c:v>
                </c:pt>
                <c:pt idx="2">
                  <c:v>312</c:v>
                </c:pt>
                <c:pt idx="3">
                  <c:v>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C3-477B-86A7-372A725FB07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14"/>
        <c:axId val="194618496"/>
        <c:axId val="194620032"/>
      </c:barChart>
      <c:catAx>
        <c:axId val="194618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94620032"/>
        <c:crosses val="autoZero"/>
        <c:auto val="1"/>
        <c:lblAlgn val="ctr"/>
        <c:lblOffset val="100"/>
        <c:noMultiLvlLbl val="0"/>
      </c:catAx>
      <c:valAx>
        <c:axId val="194620032"/>
        <c:scaling>
          <c:orientation val="minMax"/>
        </c:scaling>
        <c:delete val="1"/>
        <c:axPos val="l"/>
        <c:numFmt formatCode="#,##0_);\(#,##0\);" sourceLinked="1"/>
        <c:majorTickMark val="out"/>
        <c:minorTickMark val="none"/>
        <c:tickLblPos val="nextTo"/>
        <c:crossAx val="1946184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002745054185918"/>
          <c:y val="0.94902269191444577"/>
          <c:w val="0.89972549458140816"/>
          <c:h val="5.0977308085554209E-2"/>
        </c:manualLayout>
      </c:layout>
      <c:overlay val="0"/>
    </c:legend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 sz="800" b="0"/>
            </a:pPr>
            <a:r>
              <a:rPr lang="en-GB" sz="800" b="0"/>
              <a:t>TIME TO</a:t>
            </a:r>
            <a:r>
              <a:rPr lang="en-GB" sz="800" b="0" baseline="0"/>
              <a:t> CLOSE DEFECTS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7618841422511001E-2"/>
          <c:y val="0.18553688322027351"/>
          <c:w val="0.84699652860349606"/>
          <c:h val="0.66371930733865481"/>
        </c:manualLayout>
      </c:layout>
      <c:barChart>
        <c:barDir val="col"/>
        <c:grouping val="clustered"/>
        <c:varyColors val="0"/>
        <c:ser>
          <c:idx val="0"/>
          <c:order val="0"/>
          <c:tx>
            <c:v>Defects</c:v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Calculations!$AB$13:$AB$19</c:f>
              <c:strCache>
                <c:ptCount val="7"/>
                <c:pt idx="0">
                  <c:v> &lt;1 D</c:v>
                </c:pt>
                <c:pt idx="1">
                  <c:v>1 D</c:v>
                </c:pt>
                <c:pt idx="2">
                  <c:v> 2 D</c:v>
                </c:pt>
                <c:pt idx="3">
                  <c:v>3 D</c:v>
                </c:pt>
                <c:pt idx="4">
                  <c:v>4 D</c:v>
                </c:pt>
                <c:pt idx="5">
                  <c:v>5 D</c:v>
                </c:pt>
                <c:pt idx="6">
                  <c:v>&gt; 5 D</c:v>
                </c:pt>
              </c:strCache>
            </c:strRef>
          </c:cat>
          <c:val>
            <c:numRef>
              <c:f>Calculations!$AC$13:$AC$19</c:f>
              <c:numCache>
                <c:formatCode>#,##0_);\(#,##0\);</c:formatCode>
                <c:ptCount val="7"/>
                <c:pt idx="0">
                  <c:v>2</c:v>
                </c:pt>
                <c:pt idx="1">
                  <c:v>8</c:v>
                </c:pt>
                <c:pt idx="2">
                  <c:v>36</c:v>
                </c:pt>
                <c:pt idx="3">
                  <c:v>26</c:v>
                </c:pt>
                <c:pt idx="4">
                  <c:v>29</c:v>
                </c:pt>
                <c:pt idx="5">
                  <c:v>20</c:v>
                </c:pt>
                <c:pt idx="6">
                  <c:v>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51-4D29-8822-9C1F2091D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589952"/>
        <c:axId val="190591744"/>
      </c:barChart>
      <c:catAx>
        <c:axId val="1905899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90591744"/>
        <c:crosses val="autoZero"/>
        <c:auto val="1"/>
        <c:lblAlgn val="ctr"/>
        <c:lblOffset val="100"/>
        <c:noMultiLvlLbl val="0"/>
      </c:catAx>
      <c:valAx>
        <c:axId val="190591744"/>
        <c:scaling>
          <c:orientation val="minMax"/>
          <c:min val="0"/>
        </c:scaling>
        <c:delete val="1"/>
        <c:axPos val="l"/>
        <c:numFmt formatCode="#,##0" sourceLinked="0"/>
        <c:majorTickMark val="out"/>
        <c:minorTickMark val="none"/>
        <c:tickLblPos val="nextTo"/>
        <c:crossAx val="190589952"/>
        <c:crosses val="autoZero"/>
        <c:crossBetween val="between"/>
        <c:majorUnit val="1"/>
      </c:valAx>
    </c:plotArea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 sz="800" b="0"/>
            </a:pPr>
            <a:r>
              <a:rPr lang="en-GB" sz="800" b="0"/>
              <a:t>DEFECTS - TODAY</a:t>
            </a:r>
            <a:endParaRPr lang="en-GB" sz="800" b="0" baseline="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5384683789934034E-2"/>
          <c:y val="0.18553688322027351"/>
          <c:w val="0.86923063242013188"/>
          <c:h val="0.66371930733865481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Calculations!$Z$46:$Z$49</c:f>
              <c:strCache>
                <c:ptCount val="4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</c:strCache>
            </c:strRef>
          </c:cat>
          <c:val>
            <c:numRef>
              <c:f>Calculations!$AA$46:$AA$49</c:f>
              <c:numCache>
                <c:formatCode>#,##0_);\(#,##0\);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EB-440E-8862-69D8700BC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633088"/>
        <c:axId val="190634624"/>
      </c:barChart>
      <c:catAx>
        <c:axId val="1906330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90634624"/>
        <c:crosses val="autoZero"/>
        <c:auto val="1"/>
        <c:lblAlgn val="ctr"/>
        <c:lblOffset val="100"/>
        <c:noMultiLvlLbl val="0"/>
      </c:catAx>
      <c:valAx>
        <c:axId val="190634624"/>
        <c:scaling>
          <c:orientation val="minMax"/>
          <c:min val="0"/>
        </c:scaling>
        <c:delete val="1"/>
        <c:axPos val="l"/>
        <c:numFmt formatCode="#,##0" sourceLinked="0"/>
        <c:majorTickMark val="out"/>
        <c:minorTickMark val="none"/>
        <c:tickLblPos val="nextTo"/>
        <c:crossAx val="190633088"/>
        <c:crosses val="autoZero"/>
        <c:crossBetween val="between"/>
        <c:majorUnit val="1"/>
      </c:valAx>
    </c:plotArea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 sz="800" b="0"/>
            </a:pPr>
            <a:r>
              <a:rPr lang="en-GB" sz="1050" b="0"/>
              <a:t>Latest 1-week</a:t>
            </a:r>
            <a:r>
              <a:rPr lang="en-GB" sz="1050" b="0" baseline="0"/>
              <a:t> Trend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0663937038005717E-2"/>
          <c:y val="0.12501922316327277"/>
          <c:w val="0.89108874224914303"/>
          <c:h val="0.72423695413255773"/>
        </c:manualLayout>
      </c:layout>
      <c:barChart>
        <c:barDir val="col"/>
        <c:grouping val="clustered"/>
        <c:varyColors val="0"/>
        <c:ser>
          <c:idx val="0"/>
          <c:order val="0"/>
          <c:tx>
            <c:v>Open</c:v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Calculations!$W$56:$W$62</c:f>
              <c:numCache>
                <c:formatCode>[$-409]mmmm\ d\,\ yyyy;@</c:formatCode>
                <c:ptCount val="7"/>
                <c:pt idx="0">
                  <c:v>44105</c:v>
                </c:pt>
                <c:pt idx="1">
                  <c:v>44104</c:v>
                </c:pt>
                <c:pt idx="2">
                  <c:v>44103</c:v>
                </c:pt>
                <c:pt idx="3">
                  <c:v>44102</c:v>
                </c:pt>
                <c:pt idx="4">
                  <c:v>44101</c:v>
                </c:pt>
                <c:pt idx="5">
                  <c:v>44100</c:v>
                </c:pt>
                <c:pt idx="6">
                  <c:v>44099</c:v>
                </c:pt>
              </c:numCache>
            </c:numRef>
          </c:cat>
          <c:val>
            <c:numRef>
              <c:f>Calculations!$X$56:$X$62</c:f>
              <c:numCache>
                <c:formatCode>#,##0_);\(#,##0\);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3A-487A-8919-02A978C2A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536320"/>
        <c:axId val="190538112"/>
      </c:barChart>
      <c:dateAx>
        <c:axId val="190536320"/>
        <c:scaling>
          <c:orientation val="minMax"/>
        </c:scaling>
        <c:delete val="0"/>
        <c:axPos val="b"/>
        <c:numFmt formatCode="[$-409]mmmm\ d\,\ yyyy;@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90538112"/>
        <c:crosses val="autoZero"/>
        <c:auto val="1"/>
        <c:lblOffset val="100"/>
        <c:baseTimeUnit val="days"/>
      </c:dateAx>
      <c:valAx>
        <c:axId val="190538112"/>
        <c:scaling>
          <c:orientation val="minMax"/>
          <c:min val="0"/>
        </c:scaling>
        <c:delete val="1"/>
        <c:axPos val="l"/>
        <c:numFmt formatCode="#,##0" sourceLinked="0"/>
        <c:majorTickMark val="out"/>
        <c:minorTickMark val="none"/>
        <c:tickLblPos val="nextTo"/>
        <c:crossAx val="190536320"/>
        <c:crosses val="autoZero"/>
        <c:crossBetween val="between"/>
        <c:majorUnit val="1"/>
      </c:valAx>
    </c:plotArea>
    <c:legend>
      <c:legendPos val="r"/>
      <c:overlay val="1"/>
    </c:legend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>
        <c:manualLayout>
          <c:layoutTarget val="inner"/>
          <c:xMode val="edge"/>
          <c:yMode val="edge"/>
          <c:x val="6.4042476009883956E-2"/>
          <c:y val="0.1286613714322718"/>
          <c:w val="0.90634428982954929"/>
          <c:h val="0.57722294024902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Calculations!$W$22</c:f>
              <c:strCache>
                <c:ptCount val="1"/>
                <c:pt idx="0">
                  <c:v>All Issues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Calculations!$V$23:$V$24</c:f>
              <c:strCache>
                <c:ptCount val="2"/>
                <c:pt idx="0">
                  <c:v>Prakash</c:v>
                </c:pt>
                <c:pt idx="1">
                  <c:v>Ramesh</c:v>
                </c:pt>
              </c:strCache>
            </c:strRef>
          </c:cat>
          <c:val>
            <c:numRef>
              <c:f>Calculations!$W$23:$W$24</c:f>
              <c:numCache>
                <c:formatCode>#,##0_);\(#,##0\);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ED-494A-AD71-57A6CFCDC9E5}"/>
            </c:ext>
          </c:extLst>
        </c:ser>
        <c:ser>
          <c:idx val="1"/>
          <c:order val="1"/>
          <c:tx>
            <c:strRef>
              <c:f>Calculations!$X$22</c:f>
              <c:strCache>
                <c:ptCount val="1"/>
                <c:pt idx="0">
                  <c:v>RFT  + In Testing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Calculations!$V$23:$V$24</c:f>
              <c:strCache>
                <c:ptCount val="2"/>
                <c:pt idx="0">
                  <c:v>Prakash</c:v>
                </c:pt>
                <c:pt idx="1">
                  <c:v>Ramesh</c:v>
                </c:pt>
              </c:strCache>
            </c:strRef>
          </c:cat>
          <c:val>
            <c:numRef>
              <c:f>Calculations!$X$23:$X$24</c:f>
              <c:numCache>
                <c:formatCode>#,##0_);\(#,##0\);</c:formatCode>
                <c:ptCount val="2"/>
                <c:pt idx="0">
                  <c:v>4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ED-494A-AD71-57A6CFCDC9E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24"/>
        <c:overlap val="17"/>
        <c:axId val="190560512"/>
        <c:axId val="190574592"/>
      </c:barChart>
      <c:catAx>
        <c:axId val="190560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100000"/>
          <a:lstStyle/>
          <a:p>
            <a:pPr>
              <a:defRPr sz="900"/>
            </a:pPr>
            <a:endParaRPr lang="en-US"/>
          </a:p>
        </c:txPr>
        <c:crossAx val="190574592"/>
        <c:crosses val="autoZero"/>
        <c:auto val="1"/>
        <c:lblAlgn val="ctr"/>
        <c:lblOffset val="100"/>
        <c:noMultiLvlLbl val="1"/>
      </c:catAx>
      <c:valAx>
        <c:axId val="190574592"/>
        <c:scaling>
          <c:orientation val="minMax"/>
        </c:scaling>
        <c:delete val="1"/>
        <c:axPos val="l"/>
        <c:numFmt formatCode="#,##0_);\(#,##0\);" sourceLinked="1"/>
        <c:majorTickMark val="out"/>
        <c:minorTickMark val="none"/>
        <c:tickLblPos val="nextTo"/>
        <c:crossAx val="1905605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0236005565266044"/>
          <c:y val="0.94930281812196726"/>
          <c:w val="0.61073562631941736"/>
          <c:h val="5.0697181878032682E-2"/>
        </c:manualLayout>
      </c:layout>
      <c:overlay val="0"/>
    </c:legend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852073023130365E-2"/>
          <c:y val="0.12238892848181125"/>
          <c:w val="0.45759969900226943"/>
          <c:h val="0.78491505201083767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EAEC-4E51-A0A4-25BC6A27F8DF}"/>
              </c:ext>
            </c:extLst>
          </c:dPt>
          <c:dPt>
            <c:idx val="1"/>
            <c:bubble3D val="0"/>
            <c:spPr>
              <a:solidFill>
                <a:schemeClr val="accent4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EAEC-4E51-A0A4-25BC6A27F8DF}"/>
              </c:ext>
            </c:extLst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EAEC-4E51-A0A4-25BC6A27F8DF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7-EAEC-4E51-A0A4-25BC6A27F8DF}"/>
              </c:ext>
            </c:extLst>
          </c:dPt>
          <c:dPt>
            <c:idx val="4"/>
            <c:bubble3D val="0"/>
            <c:spPr>
              <a:solidFill>
                <a:schemeClr val="accent3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EAEC-4E51-A0A4-25BC6A27F8DF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Calculations!$P$7:$T$7</c:f>
              <c:strCache>
                <c:ptCount val="5"/>
                <c:pt idx="0">
                  <c:v>Not Executed</c:v>
                </c:pt>
                <c:pt idx="1">
                  <c:v>In Progress</c:v>
                </c:pt>
                <c:pt idx="2">
                  <c:v>Blocked</c:v>
                </c:pt>
                <c:pt idx="3">
                  <c:v>Failed</c:v>
                </c:pt>
                <c:pt idx="4">
                  <c:v>Completed</c:v>
                </c:pt>
              </c:strCache>
            </c:strRef>
          </c:cat>
          <c:val>
            <c:numRef>
              <c:f>Calculations!$P$8:$T$8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12</c:v>
                </c:pt>
                <c:pt idx="3">
                  <c:v>10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AEC-4E51-A0A4-25BC6A27F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63338663501478742"/>
          <c:y val="0.22274517564326612"/>
          <c:w val="0.31387873928098337"/>
          <c:h val="0.58832765736710346"/>
        </c:manualLayout>
      </c:layout>
      <c:overlay val="0"/>
      <c:txPr>
        <a:bodyPr/>
        <a:lstStyle/>
        <a:p>
          <a:pPr>
            <a:defRPr sz="1050"/>
          </a:pPr>
          <a:endParaRPr lang="en-US"/>
        </a:p>
      </c:txPr>
    </c:legend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>
        <c:manualLayout>
          <c:layoutTarget val="inner"/>
          <c:xMode val="edge"/>
          <c:yMode val="edge"/>
          <c:x val="2.7040928680145359E-2"/>
          <c:y val="0.10419014942948306"/>
          <c:w val="0.78835150776961938"/>
          <c:h val="0.7778545423757514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Calculations!$X$1</c:f>
              <c:strCache>
                <c:ptCount val="1"/>
                <c:pt idx="0">
                  <c:v>Not Executed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strRef>
              <c:f>Calculations!$W$2:$W$7</c:f>
              <c:strCache>
                <c:ptCount val="6"/>
                <c:pt idx="0">
                  <c:v>DEFAULT</c:v>
                </c:pt>
                <c:pt idx="1">
                  <c:v>Config</c:v>
                </c:pt>
                <c:pt idx="2">
                  <c:v>UI</c:v>
                </c:pt>
                <c:pt idx="3">
                  <c:v>FUNCTIONAL</c:v>
                </c:pt>
                <c:pt idx="4">
                  <c:v>CONTENT</c:v>
                </c:pt>
                <c:pt idx="5">
                  <c:v>DATA</c:v>
                </c:pt>
              </c:strCache>
            </c:strRef>
          </c:cat>
          <c:val>
            <c:numRef>
              <c:f>Calculations!$X$2:$X$7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52-4008-A46C-588232F0CA98}"/>
            </c:ext>
          </c:extLst>
        </c:ser>
        <c:ser>
          <c:idx val="1"/>
          <c:order val="1"/>
          <c:tx>
            <c:strRef>
              <c:f>Calculations!$Y$1</c:f>
              <c:strCache>
                <c:ptCount val="1"/>
                <c:pt idx="0">
                  <c:v>In Progress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</c:spPr>
          <c:invertIfNegative val="0"/>
          <c:cat>
            <c:strRef>
              <c:f>Calculations!$W$2:$W$7</c:f>
              <c:strCache>
                <c:ptCount val="6"/>
                <c:pt idx="0">
                  <c:v>DEFAULT</c:v>
                </c:pt>
                <c:pt idx="1">
                  <c:v>Config</c:v>
                </c:pt>
                <c:pt idx="2">
                  <c:v>UI</c:v>
                </c:pt>
                <c:pt idx="3">
                  <c:v>FUNCTIONAL</c:v>
                </c:pt>
                <c:pt idx="4">
                  <c:v>CONTENT</c:v>
                </c:pt>
                <c:pt idx="5">
                  <c:v>DATA</c:v>
                </c:pt>
              </c:strCache>
            </c:strRef>
          </c:cat>
          <c:val>
            <c:numRef>
              <c:f>Calculations!$Y$2:$Y$7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52-4008-A46C-588232F0CA98}"/>
            </c:ext>
          </c:extLst>
        </c:ser>
        <c:ser>
          <c:idx val="4"/>
          <c:order val="2"/>
          <c:tx>
            <c:strRef>
              <c:f>Calculations!$Z$1</c:f>
              <c:strCache>
                <c:ptCount val="1"/>
                <c:pt idx="0">
                  <c:v>Blocked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strRef>
              <c:f>Calculations!$W$2:$W$7</c:f>
              <c:strCache>
                <c:ptCount val="6"/>
                <c:pt idx="0">
                  <c:v>DEFAULT</c:v>
                </c:pt>
                <c:pt idx="1">
                  <c:v>Config</c:v>
                </c:pt>
                <c:pt idx="2">
                  <c:v>UI</c:v>
                </c:pt>
                <c:pt idx="3">
                  <c:v>FUNCTIONAL</c:v>
                </c:pt>
                <c:pt idx="4">
                  <c:v>CONTENT</c:v>
                </c:pt>
                <c:pt idx="5">
                  <c:v>DATA</c:v>
                </c:pt>
              </c:strCache>
            </c:strRef>
          </c:cat>
          <c:val>
            <c:numRef>
              <c:f>Calculations!$Z$2:$Z$7</c:f>
              <c:numCache>
                <c:formatCode>0</c:formatCode>
                <c:ptCount val="6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10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52-4008-A46C-588232F0CA98}"/>
            </c:ext>
          </c:extLst>
        </c:ser>
        <c:ser>
          <c:idx val="2"/>
          <c:order val="3"/>
          <c:tx>
            <c:strRef>
              <c:f>Calculations!$AA$1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</c:spPr>
          <c:invertIfNegative val="0"/>
          <c:cat>
            <c:strRef>
              <c:f>Calculations!$W$2:$W$7</c:f>
              <c:strCache>
                <c:ptCount val="6"/>
                <c:pt idx="0">
                  <c:v>DEFAULT</c:v>
                </c:pt>
                <c:pt idx="1">
                  <c:v>Config</c:v>
                </c:pt>
                <c:pt idx="2">
                  <c:v>UI</c:v>
                </c:pt>
                <c:pt idx="3">
                  <c:v>FUNCTIONAL</c:v>
                </c:pt>
                <c:pt idx="4">
                  <c:v>CONTENT</c:v>
                </c:pt>
                <c:pt idx="5">
                  <c:v>DATA</c:v>
                </c:pt>
              </c:strCache>
            </c:strRef>
          </c:cat>
          <c:val>
            <c:numRef>
              <c:f>Calculations!$AA$2:$AA$7</c:f>
              <c:numCache>
                <c:formatCode>0</c:formatCode>
                <c:ptCount val="6"/>
                <c:pt idx="0">
                  <c:v>1</c:v>
                </c:pt>
                <c:pt idx="1">
                  <c:v>0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52-4008-A46C-588232F0CA98}"/>
            </c:ext>
          </c:extLst>
        </c:ser>
        <c:ser>
          <c:idx val="3"/>
          <c:order val="4"/>
          <c:tx>
            <c:strRef>
              <c:f>Calculations!$AB$1</c:f>
              <c:strCache>
                <c:ptCount val="1"/>
                <c:pt idx="0">
                  <c:v>Completed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cat>
            <c:strRef>
              <c:f>Calculations!$W$2:$W$7</c:f>
              <c:strCache>
                <c:ptCount val="6"/>
                <c:pt idx="0">
                  <c:v>DEFAULT</c:v>
                </c:pt>
                <c:pt idx="1">
                  <c:v>Config</c:v>
                </c:pt>
                <c:pt idx="2">
                  <c:v>UI</c:v>
                </c:pt>
                <c:pt idx="3">
                  <c:v>FUNCTIONAL</c:v>
                </c:pt>
                <c:pt idx="4">
                  <c:v>CONTENT</c:v>
                </c:pt>
                <c:pt idx="5">
                  <c:v>DATA</c:v>
                </c:pt>
              </c:strCache>
            </c:strRef>
          </c:cat>
          <c:val>
            <c:numRef>
              <c:f>Calculations!$AB$2:$AB$7</c:f>
              <c:numCache>
                <c:formatCode>0</c:formatCode>
                <c:ptCount val="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52-4008-A46C-588232F0C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4708224"/>
        <c:axId val="194709760"/>
      </c:barChart>
      <c:catAx>
        <c:axId val="1947082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94709760"/>
        <c:crosses val="autoZero"/>
        <c:auto val="1"/>
        <c:lblAlgn val="ctr"/>
        <c:lblOffset val="100"/>
        <c:noMultiLvlLbl val="0"/>
      </c:catAx>
      <c:valAx>
        <c:axId val="19470976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947082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4337408696917815"/>
          <c:y val="8.8096892305475072E-2"/>
          <c:w val="0.152423385845772"/>
          <c:h val="0.76451025633007341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>
        <c:manualLayout>
          <c:layoutTarget val="inner"/>
          <c:xMode val="edge"/>
          <c:yMode val="edge"/>
          <c:x val="1.4937392825896763E-2"/>
          <c:y val="0.10883878151594686"/>
          <c:w val="0.8688426946631671"/>
          <c:h val="0.7764372067127971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Calculations!$M$22</c:f>
              <c:strCache>
                <c:ptCount val="1"/>
                <c:pt idx="0">
                  <c:v>Planned</c:v>
                </c:pt>
              </c:strCache>
            </c:strRef>
          </c:tx>
          <c:spPr>
            <a:effectLst>
              <a:outerShdw blurRad="40005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/>
              <a:lightRig rig="threePt" dir="t">
                <a:rot lat="0" lon="0" rev="1200000"/>
              </a:lightRig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[0]!dynTester</c:f>
              <c:strCache>
                <c:ptCount val="2"/>
                <c:pt idx="0">
                  <c:v>Prakash</c:v>
                </c:pt>
                <c:pt idx="1">
                  <c:v>Ramesh</c:v>
                </c:pt>
              </c:strCache>
            </c:strRef>
          </c:cat>
          <c:val>
            <c:numRef>
              <c:f>[0]!dynTplan</c:f>
              <c:numCache>
                <c:formatCode>0</c:formatCode>
                <c:ptCount val="2"/>
                <c:pt idx="0">
                  <c:v>79</c:v>
                </c:pt>
                <c:pt idx="1">
                  <c:v>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8F-4FD4-AA48-7B4178075A72}"/>
            </c:ext>
          </c:extLst>
        </c:ser>
        <c:ser>
          <c:idx val="1"/>
          <c:order val="1"/>
          <c:tx>
            <c:strRef>
              <c:f>Calculations!$Q$22</c:f>
              <c:strCache>
                <c:ptCount val="1"/>
                <c:pt idx="0">
                  <c:v>Not Executed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[0]!dynTester</c:f>
              <c:strCache>
                <c:ptCount val="2"/>
                <c:pt idx="0">
                  <c:v>Prakash</c:v>
                </c:pt>
                <c:pt idx="1">
                  <c:v>Ramesh</c:v>
                </c:pt>
              </c:strCache>
            </c:strRef>
          </c:cat>
          <c:val>
            <c:numRef>
              <c:f>[0]!dynTnotexe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8F-4FD4-AA48-7B4178075A72}"/>
            </c:ext>
          </c:extLst>
        </c:ser>
        <c:ser>
          <c:idx val="3"/>
          <c:order val="2"/>
          <c:tx>
            <c:strRef>
              <c:f>Calculations!$O$22</c:f>
              <c:strCache>
                <c:ptCount val="1"/>
                <c:pt idx="0">
                  <c:v>In Progress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[0]!dynTester</c:f>
              <c:strCache>
                <c:ptCount val="2"/>
                <c:pt idx="0">
                  <c:v>Prakash</c:v>
                </c:pt>
                <c:pt idx="1">
                  <c:v>Ramesh</c:v>
                </c:pt>
              </c:strCache>
            </c:strRef>
          </c:cat>
          <c:val>
            <c:numRef>
              <c:f>[0]!dynTinprog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8F-4FD4-AA48-7B4178075A72}"/>
            </c:ext>
          </c:extLst>
        </c:ser>
        <c:ser>
          <c:idx val="5"/>
          <c:order val="3"/>
          <c:tx>
            <c:strRef>
              <c:f>Calculations!$R$22</c:f>
              <c:strCache>
                <c:ptCount val="1"/>
                <c:pt idx="0">
                  <c:v>Blocked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[0]!dynTester</c:f>
              <c:strCache>
                <c:ptCount val="2"/>
                <c:pt idx="0">
                  <c:v>Prakash</c:v>
                </c:pt>
                <c:pt idx="1">
                  <c:v>Ramesh</c:v>
                </c:pt>
              </c:strCache>
            </c:strRef>
          </c:cat>
          <c:val>
            <c:numRef>
              <c:f>[0]!dynTBlocked</c:f>
              <c:numCache>
                <c:formatCode>0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8F-4FD4-AA48-7B4178075A72}"/>
            </c:ext>
          </c:extLst>
        </c:ser>
        <c:ser>
          <c:idx val="4"/>
          <c:order val="4"/>
          <c:tx>
            <c:strRef>
              <c:f>Calculations!$P$22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[0]!dynTester</c:f>
              <c:strCache>
                <c:ptCount val="2"/>
                <c:pt idx="0">
                  <c:v>Prakash</c:v>
                </c:pt>
                <c:pt idx="1">
                  <c:v>Ramesh</c:v>
                </c:pt>
              </c:strCache>
            </c:strRef>
          </c:cat>
          <c:val>
            <c:numRef>
              <c:f>[0]!dynTfailed</c:f>
              <c:numCache>
                <c:formatCode>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8F-4FD4-AA48-7B4178075A72}"/>
            </c:ext>
          </c:extLst>
        </c:ser>
        <c:ser>
          <c:idx val="2"/>
          <c:order val="5"/>
          <c:tx>
            <c:strRef>
              <c:f>Calculations!$N$22</c:f>
              <c:strCache>
                <c:ptCount val="1"/>
                <c:pt idx="0">
                  <c:v>Completed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[0]!dynTester</c:f>
              <c:strCache>
                <c:ptCount val="2"/>
                <c:pt idx="0">
                  <c:v>Prakash</c:v>
                </c:pt>
                <c:pt idx="1">
                  <c:v>Ramesh</c:v>
                </c:pt>
              </c:strCache>
            </c:strRef>
          </c:cat>
          <c:val>
            <c:numRef>
              <c:f>[0]!dynTcompleted</c:f>
              <c:numCache>
                <c:formatCode>0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78F-4FD4-AA48-7B4178075A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100"/>
        <c:axId val="194998656"/>
        <c:axId val="195000192"/>
      </c:barChart>
      <c:catAx>
        <c:axId val="194998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5000192"/>
        <c:crosses val="autoZero"/>
        <c:auto val="1"/>
        <c:lblAlgn val="ctr"/>
        <c:lblOffset val="100"/>
        <c:noMultiLvlLbl val="0"/>
      </c:catAx>
      <c:valAx>
        <c:axId val="195000192"/>
        <c:scaling>
          <c:orientation val="minMax"/>
        </c:scaling>
        <c:delete val="1"/>
        <c:axPos val="l"/>
        <c:majorGridlines/>
        <c:numFmt formatCode="0" sourceLinked="1"/>
        <c:majorTickMark val="out"/>
        <c:minorTickMark val="none"/>
        <c:tickLblPos val="nextTo"/>
        <c:crossAx val="1949986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228365653765539"/>
          <c:y val="0.24540208165553637"/>
          <c:w val="0.11771634346234459"/>
          <c:h val="0.61870592198440266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97235302162912E-2"/>
          <c:y val="7.9431527335246971E-2"/>
          <c:w val="0.89230698320313462"/>
          <c:h val="0.83943254571273185"/>
        </c:manualLayout>
      </c:layout>
      <c:lineChart>
        <c:grouping val="standard"/>
        <c:varyColors val="0"/>
        <c:ser>
          <c:idx val="0"/>
          <c:order val="0"/>
          <c:tx>
            <c:v>Plan</c:v>
          </c:tx>
          <c:spPr>
            <a:ln w="3175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[0]!dynDate</c:f>
              <c:numCache>
                <c:formatCode>m/d/yyyy</c:formatCode>
                <c:ptCount val="81"/>
                <c:pt idx="0">
                  <c:v>41796</c:v>
                </c:pt>
                <c:pt idx="1">
                  <c:v>41797</c:v>
                </c:pt>
                <c:pt idx="2">
                  <c:v>41798</c:v>
                </c:pt>
                <c:pt idx="3">
                  <c:v>41799</c:v>
                </c:pt>
                <c:pt idx="4">
                  <c:v>41800</c:v>
                </c:pt>
                <c:pt idx="5">
                  <c:v>41801</c:v>
                </c:pt>
                <c:pt idx="6">
                  <c:v>41802</c:v>
                </c:pt>
                <c:pt idx="7">
                  <c:v>41803</c:v>
                </c:pt>
                <c:pt idx="8">
                  <c:v>41804</c:v>
                </c:pt>
                <c:pt idx="9">
                  <c:v>41805</c:v>
                </c:pt>
                <c:pt idx="10">
                  <c:v>41806</c:v>
                </c:pt>
                <c:pt idx="11">
                  <c:v>41807</c:v>
                </c:pt>
                <c:pt idx="12">
                  <c:v>41808</c:v>
                </c:pt>
                <c:pt idx="13">
                  <c:v>41809</c:v>
                </c:pt>
                <c:pt idx="14">
                  <c:v>41810</c:v>
                </c:pt>
                <c:pt idx="15">
                  <c:v>41811</c:v>
                </c:pt>
                <c:pt idx="16">
                  <c:v>41812</c:v>
                </c:pt>
                <c:pt idx="17">
                  <c:v>41813</c:v>
                </c:pt>
                <c:pt idx="18">
                  <c:v>41814</c:v>
                </c:pt>
                <c:pt idx="19">
                  <c:v>41815</c:v>
                </c:pt>
                <c:pt idx="20">
                  <c:v>41816</c:v>
                </c:pt>
                <c:pt idx="21">
                  <c:v>41817</c:v>
                </c:pt>
                <c:pt idx="22">
                  <c:v>41818</c:v>
                </c:pt>
                <c:pt idx="23">
                  <c:v>41819</c:v>
                </c:pt>
                <c:pt idx="24">
                  <c:v>41820</c:v>
                </c:pt>
                <c:pt idx="25">
                  <c:v>41821</c:v>
                </c:pt>
                <c:pt idx="26">
                  <c:v>41822</c:v>
                </c:pt>
                <c:pt idx="27">
                  <c:v>41823</c:v>
                </c:pt>
                <c:pt idx="28">
                  <c:v>41824</c:v>
                </c:pt>
                <c:pt idx="29">
                  <c:v>41825</c:v>
                </c:pt>
                <c:pt idx="30">
                  <c:v>41826</c:v>
                </c:pt>
                <c:pt idx="31">
                  <c:v>41827</c:v>
                </c:pt>
                <c:pt idx="32">
                  <c:v>41828</c:v>
                </c:pt>
                <c:pt idx="33">
                  <c:v>41829</c:v>
                </c:pt>
                <c:pt idx="34">
                  <c:v>41830</c:v>
                </c:pt>
                <c:pt idx="35">
                  <c:v>41831</c:v>
                </c:pt>
                <c:pt idx="36">
                  <c:v>41832</c:v>
                </c:pt>
                <c:pt idx="37">
                  <c:v>41833</c:v>
                </c:pt>
                <c:pt idx="38">
                  <c:v>41834</c:v>
                </c:pt>
                <c:pt idx="39">
                  <c:v>41835</c:v>
                </c:pt>
                <c:pt idx="40">
                  <c:v>41836</c:v>
                </c:pt>
                <c:pt idx="41">
                  <c:v>41837</c:v>
                </c:pt>
                <c:pt idx="42">
                  <c:v>41838</c:v>
                </c:pt>
                <c:pt idx="43">
                  <c:v>41839</c:v>
                </c:pt>
                <c:pt idx="44">
                  <c:v>41840</c:v>
                </c:pt>
                <c:pt idx="45">
                  <c:v>41841</c:v>
                </c:pt>
                <c:pt idx="46">
                  <c:v>41842</c:v>
                </c:pt>
                <c:pt idx="47">
                  <c:v>41843</c:v>
                </c:pt>
                <c:pt idx="48">
                  <c:v>41844</c:v>
                </c:pt>
                <c:pt idx="49">
                  <c:v>41845</c:v>
                </c:pt>
                <c:pt idx="50">
                  <c:v>41846</c:v>
                </c:pt>
                <c:pt idx="51">
                  <c:v>41847</c:v>
                </c:pt>
                <c:pt idx="52">
                  <c:v>41848</c:v>
                </c:pt>
                <c:pt idx="53">
                  <c:v>41849</c:v>
                </c:pt>
                <c:pt idx="54">
                  <c:v>41850</c:v>
                </c:pt>
                <c:pt idx="55">
                  <c:v>41851</c:v>
                </c:pt>
                <c:pt idx="56">
                  <c:v>41852</c:v>
                </c:pt>
                <c:pt idx="57">
                  <c:v>41853</c:v>
                </c:pt>
                <c:pt idx="58">
                  <c:v>41854</c:v>
                </c:pt>
                <c:pt idx="59">
                  <c:v>41855</c:v>
                </c:pt>
                <c:pt idx="60">
                  <c:v>41856</c:v>
                </c:pt>
                <c:pt idx="61">
                  <c:v>41857</c:v>
                </c:pt>
                <c:pt idx="62">
                  <c:v>41858</c:v>
                </c:pt>
                <c:pt idx="63">
                  <c:v>41859</c:v>
                </c:pt>
                <c:pt idx="64">
                  <c:v>41860</c:v>
                </c:pt>
                <c:pt idx="65">
                  <c:v>41861</c:v>
                </c:pt>
                <c:pt idx="66">
                  <c:v>41862</c:v>
                </c:pt>
                <c:pt idx="67">
                  <c:v>41863</c:v>
                </c:pt>
                <c:pt idx="68">
                  <c:v>41864</c:v>
                </c:pt>
                <c:pt idx="69">
                  <c:v>41865</c:v>
                </c:pt>
                <c:pt idx="70">
                  <c:v>41866</c:v>
                </c:pt>
                <c:pt idx="71">
                  <c:v>41867</c:v>
                </c:pt>
                <c:pt idx="72">
                  <c:v>41868</c:v>
                </c:pt>
                <c:pt idx="73">
                  <c:v>41869</c:v>
                </c:pt>
                <c:pt idx="74">
                  <c:v>41870</c:v>
                </c:pt>
                <c:pt idx="75">
                  <c:v>41871</c:v>
                </c:pt>
                <c:pt idx="76">
                  <c:v>41872</c:v>
                </c:pt>
                <c:pt idx="77">
                  <c:v>41873</c:v>
                </c:pt>
                <c:pt idx="78">
                  <c:v>41874</c:v>
                </c:pt>
                <c:pt idx="79">
                  <c:v>41875</c:v>
                </c:pt>
                <c:pt idx="80">
                  <c:v>41876</c:v>
                </c:pt>
              </c:numCache>
            </c:numRef>
          </c:cat>
          <c:val>
            <c:numRef>
              <c:f>[0]!dynPlan</c:f>
              <c:numCache>
                <c:formatCode>0.0</c:formatCode>
                <c:ptCount val="8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19-4937-9FDC-7DA52ED25677}"/>
            </c:ext>
          </c:extLst>
        </c:ser>
        <c:ser>
          <c:idx val="1"/>
          <c:order val="1"/>
          <c:tx>
            <c:v>Exe</c:v>
          </c:tx>
          <c:spPr>
            <a:ln w="31750"/>
          </c:spPr>
          <c:marker>
            <c:symbol val="none"/>
          </c:marker>
          <c:cat>
            <c:numRef>
              <c:f>[0]!dynDate</c:f>
              <c:numCache>
                <c:formatCode>m/d/yyyy</c:formatCode>
                <c:ptCount val="81"/>
                <c:pt idx="0">
                  <c:v>41796</c:v>
                </c:pt>
                <c:pt idx="1">
                  <c:v>41797</c:v>
                </c:pt>
                <c:pt idx="2">
                  <c:v>41798</c:v>
                </c:pt>
                <c:pt idx="3">
                  <c:v>41799</c:v>
                </c:pt>
                <c:pt idx="4">
                  <c:v>41800</c:v>
                </c:pt>
                <c:pt idx="5">
                  <c:v>41801</c:v>
                </c:pt>
                <c:pt idx="6">
                  <c:v>41802</c:v>
                </c:pt>
                <c:pt idx="7">
                  <c:v>41803</c:v>
                </c:pt>
                <c:pt idx="8">
                  <c:v>41804</c:v>
                </c:pt>
                <c:pt idx="9">
                  <c:v>41805</c:v>
                </c:pt>
                <c:pt idx="10">
                  <c:v>41806</c:v>
                </c:pt>
                <c:pt idx="11">
                  <c:v>41807</c:v>
                </c:pt>
                <c:pt idx="12">
                  <c:v>41808</c:v>
                </c:pt>
                <c:pt idx="13">
                  <c:v>41809</c:v>
                </c:pt>
                <c:pt idx="14">
                  <c:v>41810</c:v>
                </c:pt>
                <c:pt idx="15">
                  <c:v>41811</c:v>
                </c:pt>
                <c:pt idx="16">
                  <c:v>41812</c:v>
                </c:pt>
                <c:pt idx="17">
                  <c:v>41813</c:v>
                </c:pt>
                <c:pt idx="18">
                  <c:v>41814</c:v>
                </c:pt>
                <c:pt idx="19">
                  <c:v>41815</c:v>
                </c:pt>
                <c:pt idx="20">
                  <c:v>41816</c:v>
                </c:pt>
                <c:pt idx="21">
                  <c:v>41817</c:v>
                </c:pt>
                <c:pt idx="22">
                  <c:v>41818</c:v>
                </c:pt>
                <c:pt idx="23">
                  <c:v>41819</c:v>
                </c:pt>
                <c:pt idx="24">
                  <c:v>41820</c:v>
                </c:pt>
                <c:pt idx="25">
                  <c:v>41821</c:v>
                </c:pt>
                <c:pt idx="26">
                  <c:v>41822</c:v>
                </c:pt>
                <c:pt idx="27">
                  <c:v>41823</c:v>
                </c:pt>
                <c:pt idx="28">
                  <c:v>41824</c:v>
                </c:pt>
                <c:pt idx="29">
                  <c:v>41825</c:v>
                </c:pt>
                <c:pt idx="30">
                  <c:v>41826</c:v>
                </c:pt>
                <c:pt idx="31">
                  <c:v>41827</c:v>
                </c:pt>
                <c:pt idx="32">
                  <c:v>41828</c:v>
                </c:pt>
                <c:pt idx="33">
                  <c:v>41829</c:v>
                </c:pt>
                <c:pt idx="34">
                  <c:v>41830</c:v>
                </c:pt>
                <c:pt idx="35">
                  <c:v>41831</c:v>
                </c:pt>
                <c:pt idx="36">
                  <c:v>41832</c:v>
                </c:pt>
                <c:pt idx="37">
                  <c:v>41833</c:v>
                </c:pt>
                <c:pt idx="38">
                  <c:v>41834</c:v>
                </c:pt>
                <c:pt idx="39">
                  <c:v>41835</c:v>
                </c:pt>
                <c:pt idx="40">
                  <c:v>41836</c:v>
                </c:pt>
                <c:pt idx="41">
                  <c:v>41837</c:v>
                </c:pt>
                <c:pt idx="42">
                  <c:v>41838</c:v>
                </c:pt>
                <c:pt idx="43">
                  <c:v>41839</c:v>
                </c:pt>
                <c:pt idx="44">
                  <c:v>41840</c:v>
                </c:pt>
                <c:pt idx="45">
                  <c:v>41841</c:v>
                </c:pt>
                <c:pt idx="46">
                  <c:v>41842</c:v>
                </c:pt>
                <c:pt idx="47">
                  <c:v>41843</c:v>
                </c:pt>
                <c:pt idx="48">
                  <c:v>41844</c:v>
                </c:pt>
                <c:pt idx="49">
                  <c:v>41845</c:v>
                </c:pt>
                <c:pt idx="50">
                  <c:v>41846</c:v>
                </c:pt>
                <c:pt idx="51">
                  <c:v>41847</c:v>
                </c:pt>
                <c:pt idx="52">
                  <c:v>41848</c:v>
                </c:pt>
                <c:pt idx="53">
                  <c:v>41849</c:v>
                </c:pt>
                <c:pt idx="54">
                  <c:v>41850</c:v>
                </c:pt>
                <c:pt idx="55">
                  <c:v>41851</c:v>
                </c:pt>
                <c:pt idx="56">
                  <c:v>41852</c:v>
                </c:pt>
                <c:pt idx="57">
                  <c:v>41853</c:v>
                </c:pt>
                <c:pt idx="58">
                  <c:v>41854</c:v>
                </c:pt>
                <c:pt idx="59">
                  <c:v>41855</c:v>
                </c:pt>
                <c:pt idx="60">
                  <c:v>41856</c:v>
                </c:pt>
                <c:pt idx="61">
                  <c:v>41857</c:v>
                </c:pt>
                <c:pt idx="62">
                  <c:v>41858</c:v>
                </c:pt>
                <c:pt idx="63">
                  <c:v>41859</c:v>
                </c:pt>
                <c:pt idx="64">
                  <c:v>41860</c:v>
                </c:pt>
                <c:pt idx="65">
                  <c:v>41861</c:v>
                </c:pt>
                <c:pt idx="66">
                  <c:v>41862</c:v>
                </c:pt>
                <c:pt idx="67">
                  <c:v>41863</c:v>
                </c:pt>
                <c:pt idx="68">
                  <c:v>41864</c:v>
                </c:pt>
                <c:pt idx="69">
                  <c:v>41865</c:v>
                </c:pt>
                <c:pt idx="70">
                  <c:v>41866</c:v>
                </c:pt>
                <c:pt idx="71">
                  <c:v>41867</c:v>
                </c:pt>
                <c:pt idx="72">
                  <c:v>41868</c:v>
                </c:pt>
                <c:pt idx="73">
                  <c:v>41869</c:v>
                </c:pt>
                <c:pt idx="74">
                  <c:v>41870</c:v>
                </c:pt>
                <c:pt idx="75">
                  <c:v>41871</c:v>
                </c:pt>
                <c:pt idx="76">
                  <c:v>41872</c:v>
                </c:pt>
                <c:pt idx="77">
                  <c:v>41873</c:v>
                </c:pt>
                <c:pt idx="78">
                  <c:v>41874</c:v>
                </c:pt>
                <c:pt idx="79">
                  <c:v>41875</c:v>
                </c:pt>
                <c:pt idx="80">
                  <c:v>41876</c:v>
                </c:pt>
              </c:numCache>
            </c:numRef>
          </c:cat>
          <c:val>
            <c:numRef>
              <c:f>[0]!dynExe</c:f>
              <c:numCache>
                <c:formatCode>0.0</c:formatCode>
                <c:ptCount val="8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19-4937-9FDC-7DA52ED25677}"/>
            </c:ext>
          </c:extLst>
        </c:ser>
        <c:ser>
          <c:idx val="2"/>
          <c:order val="2"/>
          <c:tx>
            <c:v>Trend</c:v>
          </c:tx>
          <c:marker>
            <c:symbol val="none"/>
          </c:marker>
          <c:cat>
            <c:numRef>
              <c:f>[0]!dynDate</c:f>
              <c:numCache>
                <c:formatCode>m/d/yyyy</c:formatCode>
                <c:ptCount val="81"/>
                <c:pt idx="0">
                  <c:v>41796</c:v>
                </c:pt>
                <c:pt idx="1">
                  <c:v>41797</c:v>
                </c:pt>
                <c:pt idx="2">
                  <c:v>41798</c:v>
                </c:pt>
                <c:pt idx="3">
                  <c:v>41799</c:v>
                </c:pt>
                <c:pt idx="4">
                  <c:v>41800</c:v>
                </c:pt>
                <c:pt idx="5">
                  <c:v>41801</c:v>
                </c:pt>
                <c:pt idx="6">
                  <c:v>41802</c:v>
                </c:pt>
                <c:pt idx="7">
                  <c:v>41803</c:v>
                </c:pt>
                <c:pt idx="8">
                  <c:v>41804</c:v>
                </c:pt>
                <c:pt idx="9">
                  <c:v>41805</c:v>
                </c:pt>
                <c:pt idx="10">
                  <c:v>41806</c:v>
                </c:pt>
                <c:pt idx="11">
                  <c:v>41807</c:v>
                </c:pt>
                <c:pt idx="12">
                  <c:v>41808</c:v>
                </c:pt>
                <c:pt idx="13">
                  <c:v>41809</c:v>
                </c:pt>
                <c:pt idx="14">
                  <c:v>41810</c:v>
                </c:pt>
                <c:pt idx="15">
                  <c:v>41811</c:v>
                </c:pt>
                <c:pt idx="16">
                  <c:v>41812</c:v>
                </c:pt>
                <c:pt idx="17">
                  <c:v>41813</c:v>
                </c:pt>
                <c:pt idx="18">
                  <c:v>41814</c:v>
                </c:pt>
                <c:pt idx="19">
                  <c:v>41815</c:v>
                </c:pt>
                <c:pt idx="20">
                  <c:v>41816</c:v>
                </c:pt>
                <c:pt idx="21">
                  <c:v>41817</c:v>
                </c:pt>
                <c:pt idx="22">
                  <c:v>41818</c:v>
                </c:pt>
                <c:pt idx="23">
                  <c:v>41819</c:v>
                </c:pt>
                <c:pt idx="24">
                  <c:v>41820</c:v>
                </c:pt>
                <c:pt idx="25">
                  <c:v>41821</c:v>
                </c:pt>
                <c:pt idx="26">
                  <c:v>41822</c:v>
                </c:pt>
                <c:pt idx="27">
                  <c:v>41823</c:v>
                </c:pt>
                <c:pt idx="28">
                  <c:v>41824</c:v>
                </c:pt>
                <c:pt idx="29">
                  <c:v>41825</c:v>
                </c:pt>
                <c:pt idx="30">
                  <c:v>41826</c:v>
                </c:pt>
                <c:pt idx="31">
                  <c:v>41827</c:v>
                </c:pt>
                <c:pt idx="32">
                  <c:v>41828</c:v>
                </c:pt>
                <c:pt idx="33">
                  <c:v>41829</c:v>
                </c:pt>
                <c:pt idx="34">
                  <c:v>41830</c:v>
                </c:pt>
                <c:pt idx="35">
                  <c:v>41831</c:v>
                </c:pt>
                <c:pt idx="36">
                  <c:v>41832</c:v>
                </c:pt>
                <c:pt idx="37">
                  <c:v>41833</c:v>
                </c:pt>
                <c:pt idx="38">
                  <c:v>41834</c:v>
                </c:pt>
                <c:pt idx="39">
                  <c:v>41835</c:v>
                </c:pt>
                <c:pt idx="40">
                  <c:v>41836</c:v>
                </c:pt>
                <c:pt idx="41">
                  <c:v>41837</c:v>
                </c:pt>
                <c:pt idx="42">
                  <c:v>41838</c:v>
                </c:pt>
                <c:pt idx="43">
                  <c:v>41839</c:v>
                </c:pt>
                <c:pt idx="44">
                  <c:v>41840</c:v>
                </c:pt>
                <c:pt idx="45">
                  <c:v>41841</c:v>
                </c:pt>
                <c:pt idx="46">
                  <c:v>41842</c:v>
                </c:pt>
                <c:pt idx="47">
                  <c:v>41843</c:v>
                </c:pt>
                <c:pt idx="48">
                  <c:v>41844</c:v>
                </c:pt>
                <c:pt idx="49">
                  <c:v>41845</c:v>
                </c:pt>
                <c:pt idx="50">
                  <c:v>41846</c:v>
                </c:pt>
                <c:pt idx="51">
                  <c:v>41847</c:v>
                </c:pt>
                <c:pt idx="52">
                  <c:v>41848</c:v>
                </c:pt>
                <c:pt idx="53">
                  <c:v>41849</c:v>
                </c:pt>
                <c:pt idx="54">
                  <c:v>41850</c:v>
                </c:pt>
                <c:pt idx="55">
                  <c:v>41851</c:v>
                </c:pt>
                <c:pt idx="56">
                  <c:v>41852</c:v>
                </c:pt>
                <c:pt idx="57">
                  <c:v>41853</c:v>
                </c:pt>
                <c:pt idx="58">
                  <c:v>41854</c:v>
                </c:pt>
                <c:pt idx="59">
                  <c:v>41855</c:v>
                </c:pt>
                <c:pt idx="60">
                  <c:v>41856</c:v>
                </c:pt>
                <c:pt idx="61">
                  <c:v>41857</c:v>
                </c:pt>
                <c:pt idx="62">
                  <c:v>41858</c:v>
                </c:pt>
                <c:pt idx="63">
                  <c:v>41859</c:v>
                </c:pt>
                <c:pt idx="64">
                  <c:v>41860</c:v>
                </c:pt>
                <c:pt idx="65">
                  <c:v>41861</c:v>
                </c:pt>
                <c:pt idx="66">
                  <c:v>41862</c:v>
                </c:pt>
                <c:pt idx="67">
                  <c:v>41863</c:v>
                </c:pt>
                <c:pt idx="68">
                  <c:v>41864</c:v>
                </c:pt>
                <c:pt idx="69">
                  <c:v>41865</c:v>
                </c:pt>
                <c:pt idx="70">
                  <c:v>41866</c:v>
                </c:pt>
                <c:pt idx="71">
                  <c:v>41867</c:v>
                </c:pt>
                <c:pt idx="72">
                  <c:v>41868</c:v>
                </c:pt>
                <c:pt idx="73">
                  <c:v>41869</c:v>
                </c:pt>
                <c:pt idx="74">
                  <c:v>41870</c:v>
                </c:pt>
                <c:pt idx="75">
                  <c:v>41871</c:v>
                </c:pt>
                <c:pt idx="76">
                  <c:v>41872</c:v>
                </c:pt>
                <c:pt idx="77">
                  <c:v>41873</c:v>
                </c:pt>
                <c:pt idx="78">
                  <c:v>41874</c:v>
                </c:pt>
                <c:pt idx="79">
                  <c:v>41875</c:v>
                </c:pt>
                <c:pt idx="80">
                  <c:v>41876</c:v>
                </c:pt>
              </c:numCache>
            </c:numRef>
          </c:cat>
          <c:val>
            <c:numRef>
              <c:f>[0]!dynDiff</c:f>
              <c:numCache>
                <c:formatCode>0.0</c:formatCode>
                <c:ptCount val="8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19-4937-9FDC-7DA52ED25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34112"/>
        <c:axId val="189596416"/>
      </c:lineChart>
      <c:dateAx>
        <c:axId val="195034112"/>
        <c:scaling>
          <c:orientation val="minMax"/>
        </c:scaling>
        <c:delete val="0"/>
        <c:axPos val="b"/>
        <c:numFmt formatCode="[$-41D]dd/mmm;@" sourceLinked="0"/>
        <c:majorTickMark val="out"/>
        <c:minorTickMark val="none"/>
        <c:tickLblPos val="nextTo"/>
        <c:spPr>
          <a:ln w="1905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189596416"/>
        <c:crosses val="autoZero"/>
        <c:auto val="1"/>
        <c:lblOffset val="100"/>
        <c:baseTimeUnit val="days"/>
        <c:majorUnit val="1"/>
      </c:dateAx>
      <c:valAx>
        <c:axId val="1895964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195034112"/>
        <c:crosses val="autoZero"/>
        <c:crossBetween val="between"/>
      </c:valAx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w="25400">
          <a:noFill/>
        </a:ln>
        <a:effectLst/>
        <a:scene3d>
          <a:camera prst="orthographicFront"/>
          <a:lightRig rig="threePt" dir="t"/>
        </a:scene3d>
        <a:sp3d prstMaterial="matte"/>
      </c:spPr>
    </c:plotArea>
    <c:legend>
      <c:legendPos val="r"/>
      <c:layout>
        <c:manualLayout>
          <c:xMode val="edge"/>
          <c:yMode val="edge"/>
          <c:x val="0.93673752963195067"/>
          <c:y val="8.370987547632891E-2"/>
          <c:w val="5.1705936977198205E-2"/>
          <c:h val="0.35901116496502555"/>
        </c:manualLayout>
      </c:layout>
      <c:overlay val="0"/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w="3175">
          <a:noFill/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  <a:effectLst/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7169998841971574"/>
          <c:y val="0.11046307420871038"/>
          <c:w val="0.61411678037358597"/>
          <c:h val="0.72033994394739964"/>
        </c:manualLayout>
      </c:layout>
      <c:barChart>
        <c:barDir val="col"/>
        <c:grouping val="clustered"/>
        <c:varyColors val="0"/>
        <c:ser>
          <c:idx val="0"/>
          <c:order val="0"/>
          <c:tx>
            <c:v>Test Cases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Calculations!$L$4:$L$7</c:f>
              <c:strCache>
                <c:ptCount val="4"/>
                <c:pt idx="0">
                  <c:v>Executed Today</c:v>
                </c:pt>
                <c:pt idx="1">
                  <c:v>Planned Today</c:v>
                </c:pt>
                <c:pt idx="2">
                  <c:v>Executed Yesterday</c:v>
                </c:pt>
                <c:pt idx="3">
                  <c:v>Planned Yesterday</c:v>
                </c:pt>
              </c:strCache>
            </c:strRef>
          </c:cat>
          <c:val>
            <c:numRef>
              <c:f>Calculations!$M$4:$M$7</c:f>
              <c:numCache>
                <c:formatCode>0.0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DC-48B6-AF58-562EE89205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9608704"/>
        <c:axId val="189610240"/>
      </c:barChart>
      <c:catAx>
        <c:axId val="189608704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89610240"/>
        <c:crosses val="autoZero"/>
        <c:auto val="1"/>
        <c:lblAlgn val="ctr"/>
        <c:lblOffset val="100"/>
        <c:noMultiLvlLbl val="0"/>
      </c:catAx>
      <c:valAx>
        <c:axId val="189610240"/>
        <c:scaling>
          <c:orientation val="minMax"/>
        </c:scaling>
        <c:delete val="1"/>
        <c:axPos val="r"/>
        <c:majorGridlines/>
        <c:numFmt formatCode="0.0" sourceLinked="1"/>
        <c:majorTickMark val="out"/>
        <c:minorTickMark val="none"/>
        <c:tickLblPos val="nextTo"/>
        <c:crossAx val="189608704"/>
        <c:crosses val="autoZero"/>
        <c:crossBetween val="between"/>
      </c:valAx>
    </c:plotArea>
    <c:plotVisOnly val="1"/>
    <c:dispBlanksAs val="gap"/>
    <c:showDLblsOverMax val="0"/>
  </c:chart>
  <c:spPr>
    <a:ln>
      <a:solidFill>
        <a:srgbClr val="000000"/>
      </a:solidFill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>
        <c:manualLayout>
          <c:layoutTarget val="inner"/>
          <c:xMode val="edge"/>
          <c:yMode val="edge"/>
          <c:x val="3.6405980404400809E-2"/>
          <c:y val="0.17470636977549026"/>
          <c:w val="0.92667600171448816"/>
          <c:h val="0.7132480390398942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94E-422B-B3DA-7ADC6E98B713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94E-422B-B3DA-7ADC6E98B71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Calculations!$L$2:$L$3</c:f>
              <c:strCache>
                <c:ptCount val="2"/>
                <c:pt idx="0">
                  <c:v>Planned Total</c:v>
                </c:pt>
                <c:pt idx="1">
                  <c:v>Executed Total</c:v>
                </c:pt>
              </c:strCache>
            </c:strRef>
          </c:cat>
          <c:val>
            <c:numRef>
              <c:f>Calculations!$M$2:$M$3</c:f>
              <c:numCache>
                <c:formatCode>0.0</c:formatCode>
                <c:ptCount val="2"/>
                <c:pt idx="0" formatCode="0">
                  <c:v>158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94E-422B-B3DA-7ADC6E98B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9646720"/>
        <c:axId val="189648256"/>
      </c:barChart>
      <c:catAx>
        <c:axId val="1896467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89648256"/>
        <c:crosses val="autoZero"/>
        <c:auto val="1"/>
        <c:lblAlgn val="ctr"/>
        <c:lblOffset val="100"/>
        <c:noMultiLvlLbl val="0"/>
      </c:catAx>
      <c:valAx>
        <c:axId val="189648256"/>
        <c:scaling>
          <c:orientation val="minMax"/>
        </c:scaling>
        <c:delete val="1"/>
        <c:axPos val="l"/>
        <c:majorGridlines/>
        <c:numFmt formatCode="0" sourceLinked="1"/>
        <c:majorTickMark val="out"/>
        <c:minorTickMark val="none"/>
        <c:tickLblPos val="nextTo"/>
        <c:crossAx val="189646720"/>
        <c:crosses val="autoZero"/>
        <c:crossBetween val="between"/>
      </c:valAx>
      <c:spPr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chart" Target="../charts/chart2.xml"/><Relationship Id="rId7" Type="http://schemas.openxmlformats.org/officeDocument/2006/relationships/chart" Target="../charts/chart5.xml"/><Relationship Id="rId12" Type="http://schemas.openxmlformats.org/officeDocument/2006/relationships/chart" Target="../charts/chart10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chart" Target="../charts/chart9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image" Target="../media/image2.png"/><Relationship Id="rId9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89647</xdr:colOff>
      <xdr:row>9</xdr:row>
      <xdr:rowOff>432</xdr:rowOff>
    </xdr:from>
    <xdr:to>
      <xdr:col>26</xdr:col>
      <xdr:colOff>474852</xdr:colOff>
      <xdr:row>101</xdr:row>
      <xdr:rowOff>31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89647" y="1214870"/>
          <a:ext cx="14541736" cy="15287224"/>
          <a:chOff x="89647" y="1165844"/>
          <a:chExt cx="14504617" cy="14410363"/>
        </a:xfrm>
      </xdr:grpSpPr>
      <xdr:grpSp>
        <xdr:nvGrpSpPr>
          <xdr:cNvPr id="16" name="Group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GrpSpPr/>
        </xdr:nvGrpSpPr>
        <xdr:grpSpPr>
          <a:xfrm>
            <a:off x="105757" y="8932501"/>
            <a:ext cx="14488507" cy="3416387"/>
            <a:chOff x="107155" y="6095999"/>
            <a:chExt cx="14271626" cy="2815679"/>
          </a:xfrm>
        </xdr:grpSpPr>
        <xdr:grpSp>
          <xdr:nvGrpSpPr>
            <xdr:cNvPr id="8" name="Group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pSpPr/>
          </xdr:nvGrpSpPr>
          <xdr:grpSpPr>
            <a:xfrm>
              <a:off x="107155" y="6106584"/>
              <a:ext cx="7018073" cy="2782608"/>
              <a:chOff x="95249" y="6106584"/>
              <a:chExt cx="7018073" cy="2782608"/>
            </a:xfrm>
          </xdr:grpSpPr>
          <xdr:graphicFrame macro="">
            <xdr:nvGraphicFramePr>
              <xdr:cNvPr id="10" name="TestCategory">
                <a:extLst>
                  <a:ext uri="{FF2B5EF4-FFF2-40B4-BE49-F238E27FC236}">
                    <a16:creationId xmlns:a16="http://schemas.microsoft.com/office/drawing/2014/main" id="{00000000-0008-0000-00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5249" y="6106584"/>
              <a:ext cx="7018073" cy="2782608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pic macro="[0]!DefectTestCatDataRefresh">
            <xdr:nvPicPr>
              <xdr:cNvPr id="13" name="Picture 12">
                <a:extLst>
                  <a:ext uri="{FF2B5EF4-FFF2-40B4-BE49-F238E27FC236}">
                    <a16:creationId xmlns:a16="http://schemas.microsoft.com/office/drawing/2014/main" id="{00000000-0008-0000-0000-00000D00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6861970" y="6148917"/>
                <a:ext cx="222882" cy="230187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  <xdr:grpSp>
          <xdr:nvGrpSpPr>
            <xdr:cNvPr id="14" name="Group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GrpSpPr/>
          </xdr:nvGrpSpPr>
          <xdr:grpSpPr>
            <a:xfrm>
              <a:off x="7176822" y="6095999"/>
              <a:ext cx="7201959" cy="2815679"/>
              <a:chOff x="7176822" y="6095999"/>
              <a:chExt cx="7201959" cy="2815679"/>
            </a:xfrm>
          </xdr:grpSpPr>
          <xdr:graphicFrame macro="">
            <xdr:nvGraphicFramePr>
              <xdr:cNvPr id="9" name="HeatMap">
                <a:extLst>
                  <a:ext uri="{FF2B5EF4-FFF2-40B4-BE49-F238E27FC236}">
                    <a16:creationId xmlns:a16="http://schemas.microsoft.com/office/drawing/2014/main" id="{00000000-0008-0000-00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7176822" y="6095999"/>
              <a:ext cx="7201959" cy="2815679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pic macro="[0]!HeatMapDataRefresh">
            <xdr:nvPicPr>
              <xdr:cNvPr id="11" name="Picture 10">
                <a:extLst>
                  <a:ext uri="{FF2B5EF4-FFF2-40B4-BE49-F238E27FC236}">
                    <a16:creationId xmlns:a16="http://schemas.microsoft.com/office/drawing/2014/main" id="{00000000-0008-0000-0000-00000B00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4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4107582" y="6167438"/>
                <a:ext cx="216267" cy="230187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GrpSpPr/>
        </xdr:nvGrpSpPr>
        <xdr:grpSpPr>
          <a:xfrm>
            <a:off x="95252" y="12439961"/>
            <a:ext cx="14494807" cy="3136246"/>
            <a:chOff x="119064" y="6357929"/>
            <a:chExt cx="14251782" cy="2641423"/>
          </a:xfrm>
        </xdr:grpSpPr>
        <xdr:graphicFrame macro="">
          <xdr:nvGraphicFramePr>
            <xdr:cNvPr id="7" name="DefectTrend" title="Planned vs. Actual Test Progress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>
              <a:graphicFrameLocks/>
            </xdr:cNvGraphicFramePr>
          </xdr:nvGraphicFramePr>
          <xdr:xfrm>
            <a:off x="119064" y="6357929"/>
            <a:ext cx="14251782" cy="264142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  <xdr:pic macro="[0]!DefectTrendDataRefresh">
          <xdr:nvPicPr>
            <xdr:cNvPr id="12" name="Picture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4060049" y="6433338"/>
              <a:ext cx="248639" cy="230187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grpSp>
        <xdr:nvGrpSpPr>
          <xdr:cNvPr id="21" name="Group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GrpSpPr/>
        </xdr:nvGrpSpPr>
        <xdr:grpSpPr>
          <a:xfrm>
            <a:off x="90131" y="1165844"/>
            <a:ext cx="14477517" cy="4684764"/>
            <a:chOff x="90131" y="1165844"/>
            <a:chExt cx="14477517" cy="4684764"/>
          </a:xfrm>
        </xdr:grpSpPr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>
              <a:graphicFrameLocks/>
            </xdr:cNvGraphicFramePr>
          </xdr:nvGraphicFramePr>
          <xdr:xfrm>
            <a:off x="90131" y="1166549"/>
            <a:ext cx="6588573" cy="468405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  <xdr:grpSp>
          <xdr:nvGrpSpPr>
            <xdr:cNvPr id="6" name="Group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6639507" y="1165844"/>
              <a:ext cx="7928141" cy="4683627"/>
              <a:chOff x="7052381" y="1165844"/>
              <a:chExt cx="7470443" cy="4683627"/>
            </a:xfrm>
          </xdr:grpSpPr>
          <xdr:graphicFrame macro="">
            <xdr:nvGraphicFramePr>
              <xdr:cNvPr id="3" name="Chart 2">
                <a:extLst>
                  <a:ext uri="{FF2B5EF4-FFF2-40B4-BE49-F238E27FC236}">
                    <a16:creationId xmlns:a16="http://schemas.microsoft.com/office/drawing/2014/main" id="{00000000-0008-0000-0000-000003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0590904" y="1165844"/>
              <a:ext cx="3931920" cy="2051381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7"/>
              </a:graphicData>
            </a:graphic>
          </xdr:graphicFrame>
          <xdr:graphicFrame macro="">
            <xdr:nvGraphicFramePr>
              <xdr:cNvPr id="4" name="Chart 3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7052382" y="3205314"/>
              <a:ext cx="3975426" cy="264415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8"/>
              </a:graphicData>
            </a:graphic>
          </xdr:graphicFrame>
          <xdr:graphicFrame macro="">
            <xdr:nvGraphicFramePr>
              <xdr:cNvPr id="5" name="Chart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1031941" y="3205314"/>
              <a:ext cx="3490883" cy="264264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9"/>
              </a:graphicData>
            </a:graphic>
          </xdr:graphicFrame>
          <xdr:graphicFrame macro="">
            <xdr:nvGraphicFramePr>
              <xdr:cNvPr id="28" name="Chart 27">
                <a:extLst>
                  <a:ext uri="{FF2B5EF4-FFF2-40B4-BE49-F238E27FC236}">
                    <a16:creationId xmlns:a16="http://schemas.microsoft.com/office/drawing/2014/main" id="{00000000-0008-0000-0000-00001C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7052381" y="1166549"/>
              <a:ext cx="3563627" cy="2050676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0"/>
              </a:graphicData>
            </a:graphic>
          </xdr:graphicFrame>
        </xdr:grpSp>
      </xdr:grpSp>
      <xdr:grpSp>
        <xdr:nvGrpSpPr>
          <xdr:cNvPr id="17" name="Group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pSpPr/>
        </xdr:nvGrpSpPr>
        <xdr:grpSpPr>
          <a:xfrm>
            <a:off x="89647" y="5849401"/>
            <a:ext cx="14465459" cy="2991972"/>
            <a:chOff x="89647" y="5849401"/>
            <a:chExt cx="14465459" cy="2991972"/>
          </a:xfrm>
        </xdr:grpSpPr>
        <xdr:graphicFrame macro="">
          <xdr:nvGraphicFramePr>
            <xdr:cNvPr id="19" name="Chart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GraphicFramePr>
              <a:graphicFrameLocks/>
            </xdr:cNvGraphicFramePr>
          </xdr:nvGraphicFramePr>
          <xdr:xfrm>
            <a:off x="89647" y="5849401"/>
            <a:ext cx="7776882" cy="2991972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graphicFrame macro="">
          <xdr:nvGraphicFramePr>
            <xdr:cNvPr id="20" name="chartDefectPerQA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GraphicFramePr>
              <a:graphicFrameLocks/>
            </xdr:cNvGraphicFramePr>
          </xdr:nvGraphicFramePr>
          <xdr:xfrm>
            <a:off x="7865193" y="5849401"/>
            <a:ext cx="6689913" cy="2969558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</xdr:grp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0.28503</cdr:x>
      <cdr:y>0.02159</cdr:y>
    </cdr:from>
    <cdr:to>
      <cdr:x>0.70687</cdr:x>
      <cdr:y>0.09305</cdr:y>
    </cdr:to>
    <cdr:sp macro="" textlink="">
      <cdr:nvSpPr>
        <cdr:cNvPr id="2" name="TextBox 1"/>
        <cdr:cNvSpPr txBox="1"/>
      </cdr:nvSpPr>
      <cdr:spPr bwMode="auto">
        <a:xfrm xmlns:a="http://schemas.openxmlformats.org/drawingml/2006/main">
          <a:off x="808257" y="44012"/>
          <a:ext cx="1196233" cy="14567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18000" tIns="10800" rIns="18000" bIns="10800" rtlCol="0" anchor="ctr" upright="1"/>
        <a:lstStyle xmlns:a="http://schemas.openxmlformats.org/drawingml/2006/main"/>
        <a:p xmlns:a="http://schemas.openxmlformats.org/drawingml/2006/main">
          <a:pPr algn="ctr" rtl="0"/>
          <a:r>
            <a:rPr lang="en-GB" sz="900" b="0" i="0" u="none" strike="noStrike" baseline="0">
              <a:solidFill>
                <a:srgbClr val="000000"/>
              </a:solidFill>
              <a:latin typeface="+mn-lt"/>
              <a:cs typeface="Arial"/>
            </a:rPr>
            <a:t>TEST CATEGORY / PRIORITY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0.28503</cdr:x>
      <cdr:y>0.02159</cdr:y>
    </cdr:from>
    <cdr:to>
      <cdr:x>0.70687</cdr:x>
      <cdr:y>0.09305</cdr:y>
    </cdr:to>
    <cdr:sp macro="" textlink="">
      <cdr:nvSpPr>
        <cdr:cNvPr id="2" name="TextBox 1"/>
        <cdr:cNvSpPr txBox="1"/>
      </cdr:nvSpPr>
      <cdr:spPr bwMode="auto">
        <a:xfrm xmlns:a="http://schemas.openxmlformats.org/drawingml/2006/main">
          <a:off x="808257" y="44012"/>
          <a:ext cx="1196233" cy="14567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18000" tIns="10800" rIns="18000" bIns="10800" rtlCol="0" anchor="ctr" upright="1"/>
        <a:lstStyle xmlns:a="http://schemas.openxmlformats.org/drawingml/2006/main"/>
        <a:p xmlns:a="http://schemas.openxmlformats.org/drawingml/2006/main">
          <a:pPr algn="ctr" rtl="0"/>
          <a:r>
            <a:rPr lang="en-GB" sz="900" b="0" i="0" u="none" strike="noStrike" baseline="0">
              <a:solidFill>
                <a:srgbClr val="000000"/>
              </a:solidFill>
              <a:latin typeface="+mn-lt"/>
              <a:cs typeface="Arial"/>
            </a:rPr>
            <a:t>DEFECTS / PRIORITY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0.28503</cdr:x>
      <cdr:y>0.02159</cdr:y>
    </cdr:from>
    <cdr:to>
      <cdr:x>0.70687</cdr:x>
      <cdr:y>0.09305</cdr:y>
    </cdr:to>
    <cdr:sp macro="" textlink="">
      <cdr:nvSpPr>
        <cdr:cNvPr id="2" name="TextBox 1"/>
        <cdr:cNvSpPr txBox="1"/>
      </cdr:nvSpPr>
      <cdr:spPr bwMode="auto">
        <a:xfrm xmlns:a="http://schemas.openxmlformats.org/drawingml/2006/main">
          <a:off x="808257" y="44012"/>
          <a:ext cx="1196233" cy="14567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18000" tIns="10800" rIns="18000" bIns="10800" rtlCol="0" anchor="ctr" upright="1"/>
        <a:lstStyle xmlns:a="http://schemas.openxmlformats.org/drawingml/2006/main"/>
        <a:p xmlns:a="http://schemas.openxmlformats.org/drawingml/2006/main">
          <a:pPr algn="ctr" rtl="0"/>
          <a:r>
            <a:rPr lang="en-GB" sz="900" b="0" i="0" u="none" strike="noStrike" baseline="0">
              <a:solidFill>
                <a:srgbClr val="000000"/>
              </a:solidFill>
              <a:latin typeface="+mn-lt"/>
              <a:cs typeface="Arial"/>
            </a:rPr>
            <a:t>DEFECTS / PRIORITY</a:t>
          </a:r>
        </a:p>
        <a:p xmlns:a="http://schemas.openxmlformats.org/drawingml/2006/main">
          <a:pPr algn="ctr" rtl="0"/>
          <a:endParaRPr lang="en-GB" sz="900" b="0" i="0" u="none" strike="noStrike" baseline="0">
            <a:solidFill>
              <a:srgbClr val="000000"/>
            </a:solidFill>
            <a:latin typeface="+mn-lt"/>
            <a:cs typeface="Arial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0.28503</cdr:x>
      <cdr:y>0.02159</cdr:y>
    </cdr:from>
    <cdr:to>
      <cdr:x>0.70687</cdr:x>
      <cdr:y>0.09305</cdr:y>
    </cdr:to>
    <cdr:sp macro="" textlink="">
      <cdr:nvSpPr>
        <cdr:cNvPr id="2" name="TextBox 1"/>
        <cdr:cNvSpPr txBox="1"/>
      </cdr:nvSpPr>
      <cdr:spPr bwMode="auto">
        <a:xfrm xmlns:a="http://schemas.openxmlformats.org/drawingml/2006/main">
          <a:off x="808257" y="44012"/>
          <a:ext cx="1196233" cy="14567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18000" tIns="10800" rIns="18000" bIns="10800" rtlCol="0" anchor="ctr" upright="1"/>
        <a:lstStyle xmlns:a="http://schemas.openxmlformats.org/drawingml/2006/main"/>
        <a:p xmlns:a="http://schemas.openxmlformats.org/drawingml/2006/main">
          <a:pPr algn="ctr" rtl="0"/>
          <a:r>
            <a:rPr lang="en-GB" sz="900" b="0" i="0" u="none" strike="noStrike" baseline="0">
              <a:solidFill>
                <a:srgbClr val="000000"/>
              </a:solidFill>
              <a:latin typeface="+mn-lt"/>
              <a:cs typeface="Arial"/>
            </a:rPr>
            <a:t>DEFECTS /  QA</a:t>
          </a:r>
        </a:p>
      </cdr:txBody>
    </cdr:sp>
  </cdr:relSizeAnchor>
  <cdr:relSizeAnchor xmlns:cdr="http://schemas.openxmlformats.org/drawingml/2006/chartDrawing">
    <cdr:from>
      <cdr:x>0.95567</cdr:x>
      <cdr:y>0.01333</cdr:y>
    </cdr:from>
    <cdr:to>
      <cdr:x>0.99356</cdr:x>
      <cdr:y>0.11125</cdr:y>
    </cdr:to>
    <cdr:pic macro="[0]!DefectPerQARefresh">
      <cdr:nvPicPr>
        <cdr:cNvPr id="3" name="Picture 2">
          <a:extLst xmlns:a="http://schemas.openxmlformats.org/drawingml/2006/main">
            <a:ext uri="{FF2B5EF4-FFF2-40B4-BE49-F238E27FC236}">
              <a16:creationId xmlns:a16="http://schemas.microsoft.com/office/drawing/2014/main" id="{62C86339-5E68-4E65-B3E7-90D0975079A5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393329" y="39594"/>
          <a:ext cx="253525" cy="290776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42334</xdr:rowOff>
    </xdr:from>
    <xdr:to>
      <xdr:col>23</xdr:col>
      <xdr:colOff>44822</xdr:colOff>
      <xdr:row>54</xdr:row>
      <xdr:rowOff>80431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0" y="1820334"/>
          <a:ext cx="11845239" cy="7319430"/>
          <a:chOff x="166160" y="1026584"/>
          <a:chExt cx="12814917" cy="7319430"/>
        </a:xfrm>
      </xdr:grpSpPr>
      <xdr:graphicFrame macro="">
        <xdr:nvGraphicFramePr>
          <xdr:cNvPr id="2" name="Chart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GraphicFramePr/>
        </xdr:nvGraphicFramePr>
        <xdr:xfrm>
          <a:off x="8778272" y="1081014"/>
          <a:ext cx="4163584" cy="224366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GraphicFramePr/>
        </xdr:nvGraphicFramePr>
        <xdr:xfrm>
          <a:off x="6494665" y="3587363"/>
          <a:ext cx="6486412" cy="22330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5" name="Chart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GraphicFramePr/>
        </xdr:nvGraphicFramePr>
        <xdr:xfrm>
          <a:off x="176744" y="3291417"/>
          <a:ext cx="6305776" cy="2514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033" name="Chart 9" title="Planned vs. Actual Test Progress">
            <a:extLst>
              <a:ext uri="{FF2B5EF4-FFF2-40B4-BE49-F238E27FC236}">
                <a16:creationId xmlns:a16="http://schemas.microsoft.com/office/drawing/2014/main" id="{00000000-0008-0000-0100-000009040000}"/>
              </a:ext>
            </a:extLst>
          </xdr:cNvPr>
          <xdr:cNvGraphicFramePr>
            <a:graphicFrameLocks/>
          </xdr:cNvGraphicFramePr>
        </xdr:nvGraphicFramePr>
        <xdr:xfrm>
          <a:off x="176744" y="5806015"/>
          <a:ext cx="12792188" cy="25399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23" name="Group 22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GrpSpPr/>
        </xdr:nvGrpSpPr>
        <xdr:grpSpPr>
          <a:xfrm>
            <a:off x="166160" y="1026584"/>
            <a:ext cx="8442057" cy="2275416"/>
            <a:chOff x="166160" y="1026584"/>
            <a:chExt cx="8442057" cy="2275416"/>
          </a:xfrm>
        </xdr:grpSpPr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GraphicFramePr/>
          </xdr:nvGraphicFramePr>
          <xdr:xfrm>
            <a:off x="179916" y="1058334"/>
            <a:ext cx="8428301" cy="223308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  <xdr:graphicFrame macro="">
          <xdr:nvGraphicFramePr>
            <xdr:cNvPr id="9" name="Chart 8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GraphicFramePr/>
          </xdr:nvGraphicFramePr>
          <xdr:xfrm>
            <a:off x="166160" y="1026584"/>
            <a:ext cx="3146033" cy="227541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20</xdr:col>
      <xdr:colOff>67235</xdr:colOff>
      <xdr:row>9</xdr:row>
      <xdr:rowOff>109198</xdr:rowOff>
    </xdr:from>
    <xdr:to>
      <xdr:col>22</xdr:col>
      <xdr:colOff>263336</xdr:colOff>
      <xdr:row>10</xdr:row>
      <xdr:rowOff>123265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/>
      </xdr:nvSpPr>
      <xdr:spPr bwMode="auto">
        <a:xfrm>
          <a:off x="9637059" y="1095316"/>
          <a:ext cx="1305483" cy="226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horzOverflow="clip" wrap="square" lIns="18000" tIns="10800" rIns="18000" bIns="10800" rtlCol="0" anchor="ctr" upright="1"/>
        <a:lstStyle/>
        <a:p>
          <a:pPr algn="l" rtl="0"/>
          <a:r>
            <a:rPr lang="sv-SE" sz="800" b="0" i="0" u="none" strike="noStrike" baseline="0">
              <a:solidFill>
                <a:sysClr val="windowText" lastClr="000000"/>
              </a:solidFill>
              <a:latin typeface="+mn-lt"/>
              <a:cs typeface="Arial"/>
            </a:rPr>
            <a:t>TEST EXECUTION STATUS</a:t>
          </a:r>
        </a:p>
      </xdr:txBody>
    </xdr:sp>
    <xdr:clientData/>
  </xdr:twoCellAnchor>
  <xdr:twoCellAnchor>
    <xdr:from>
      <xdr:col>5</xdr:col>
      <xdr:colOff>395819</xdr:colOff>
      <xdr:row>22</xdr:row>
      <xdr:rowOff>152401</xdr:rowOff>
    </xdr:from>
    <xdr:to>
      <xdr:col>7</xdr:col>
      <xdr:colOff>158750</xdr:colOff>
      <xdr:row>23</xdr:row>
      <xdr:rowOff>137585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 bwMode="auto">
        <a:xfrm>
          <a:off x="3105152" y="3242734"/>
          <a:ext cx="990598" cy="1439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horzOverflow="clip" wrap="square" lIns="18000" tIns="10800" rIns="18000" bIns="10800" rtlCol="0" anchor="ctr" upright="1"/>
        <a:lstStyle/>
        <a:p>
          <a:pPr algn="l" rtl="0"/>
          <a:r>
            <a:rPr lang="sv-SE" sz="800" b="0" i="0" u="none" strike="noStrike" baseline="0">
              <a:solidFill>
                <a:sysClr val="windowText" lastClr="000000"/>
              </a:solidFill>
              <a:latin typeface="+mn-lt"/>
              <a:cs typeface="Arial"/>
            </a:rPr>
            <a:t>TESTER / TEST STATUS</a:t>
          </a:r>
        </a:p>
      </xdr:txBody>
    </xdr:sp>
    <xdr:clientData/>
  </xdr:twoCellAnchor>
  <xdr:twoCellAnchor>
    <xdr:from>
      <xdr:col>9</xdr:col>
      <xdr:colOff>571472</xdr:colOff>
      <xdr:row>38</xdr:row>
      <xdr:rowOff>95249</xdr:rowOff>
    </xdr:from>
    <xdr:to>
      <xdr:col>12</xdr:col>
      <xdr:colOff>526676</xdr:colOff>
      <xdr:row>40</xdr:row>
      <xdr:rowOff>0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 bwMode="auto">
        <a:xfrm>
          <a:off x="5647737" y="5765425"/>
          <a:ext cx="1725733" cy="2185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horzOverflow="clip" wrap="square" lIns="18000" tIns="10800" rIns="18000" bIns="10800" rtlCol="0" anchor="ctr" upright="1"/>
        <a:lstStyle/>
        <a:p>
          <a:pPr algn="l" rtl="0"/>
          <a:r>
            <a:rPr lang="sv-SE" sz="1050" b="0" i="0" u="none" strike="noStrike" baseline="0">
              <a:solidFill>
                <a:sysClr val="windowText" lastClr="000000"/>
              </a:solidFill>
              <a:latin typeface="+mn-lt"/>
              <a:cs typeface="Arial"/>
            </a:rPr>
            <a:t>TEST PROGRESS / TIME</a:t>
          </a:r>
        </a:p>
      </xdr:txBody>
    </xdr:sp>
    <xdr:clientData/>
  </xdr:twoCellAnchor>
  <xdr:twoCellAnchor>
    <xdr:from>
      <xdr:col>4</xdr:col>
      <xdr:colOff>86043</xdr:colOff>
      <xdr:row>9</xdr:row>
      <xdr:rowOff>101600</xdr:rowOff>
    </xdr:from>
    <xdr:to>
      <xdr:col>5</xdr:col>
      <xdr:colOff>207311</xdr:colOff>
      <xdr:row>10</xdr:row>
      <xdr:rowOff>95250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/>
      </xdr:nvSpPr>
      <xdr:spPr bwMode="auto">
        <a:xfrm>
          <a:off x="2170337" y="1087718"/>
          <a:ext cx="726386" cy="2065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horzOverflow="clip" wrap="square" lIns="18000" tIns="10800" rIns="18000" bIns="10800" rtlCol="0" anchor="ctr" upright="1"/>
        <a:lstStyle/>
        <a:p>
          <a:pPr algn="l" rtl="0"/>
          <a:r>
            <a:rPr lang="sv-SE" sz="800" b="0" i="0" u="none" strike="noStrike" baseline="0">
              <a:solidFill>
                <a:sysClr val="windowText" lastClr="000000"/>
              </a:solidFill>
              <a:latin typeface="+mn-lt"/>
              <a:cs typeface="Arial"/>
            </a:rPr>
            <a:t>TEST PROGRESS</a:t>
          </a:r>
        </a:p>
      </xdr:txBody>
    </xdr:sp>
    <xdr:clientData/>
  </xdr:twoCellAnchor>
  <xdr:twoCellAnchor>
    <xdr:from>
      <xdr:col>15</xdr:col>
      <xdr:colOff>60640</xdr:colOff>
      <xdr:row>23</xdr:row>
      <xdr:rowOff>48683</xdr:rowOff>
    </xdr:from>
    <xdr:to>
      <xdr:col>18</xdr:col>
      <xdr:colOff>336177</xdr:colOff>
      <xdr:row>24</xdr:row>
      <xdr:rowOff>100853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 txBox="1"/>
      </xdr:nvSpPr>
      <xdr:spPr bwMode="auto">
        <a:xfrm>
          <a:off x="8106464" y="3365624"/>
          <a:ext cx="1172007" cy="2090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horzOverflow="clip" wrap="square" lIns="18000" tIns="10800" rIns="18000" bIns="10800" rtlCol="0" anchor="ctr" upright="1"/>
        <a:lstStyle/>
        <a:p>
          <a:pPr algn="l" rtl="0"/>
          <a:r>
            <a:rPr lang="sv-SE" sz="800" b="0" i="0" u="none" strike="noStrike" baseline="0">
              <a:solidFill>
                <a:sysClr val="windowText" lastClr="000000"/>
              </a:solidFill>
              <a:latin typeface="+mn-lt"/>
              <a:cs typeface="Arial"/>
            </a:rPr>
            <a:t>TEST TYPE / TEST STATUS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47</xdr:col>
          <xdr:colOff>152400</xdr:colOff>
          <xdr:row>1</xdr:row>
          <xdr:rowOff>76200</xdr:rowOff>
        </xdr:from>
        <xdr:to>
          <xdr:col>53</xdr:col>
          <xdr:colOff>9525</xdr:colOff>
          <xdr:row>2</xdr:row>
          <xdr:rowOff>95250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Re-do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214312</xdr:colOff>
      <xdr:row>8</xdr:row>
      <xdr:rowOff>154780</xdr:rowOff>
    </xdr:from>
    <xdr:to>
      <xdr:col>25</xdr:col>
      <xdr:colOff>666750</xdr:colOff>
      <xdr:row>9</xdr:row>
      <xdr:rowOff>154781</xdr:rowOff>
    </xdr:to>
    <xdr:sp macro="" textlink="">
      <xdr:nvSpPr>
        <xdr:cNvPr id="2" name="Rectangular Callou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7537906" y="1488280"/>
          <a:ext cx="1393032" cy="166689"/>
        </a:xfrm>
        <a:prstGeom prst="wedgeRectCallout">
          <a:avLst>
            <a:gd name="adj1" fmla="val 989"/>
            <a:gd name="adj2" fmla="val 253451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1000"/>
            <a:t>Using </a:t>
          </a:r>
          <a:r>
            <a:rPr lang="en-US" sz="1000" b="1"/>
            <a:t>INDIRECT </a:t>
          </a:r>
          <a:r>
            <a:rPr lang="en-US" sz="1000"/>
            <a:t>function</a:t>
          </a:r>
        </a:p>
      </xdr:txBody>
    </xdr:sp>
    <xdr:clientData/>
  </xdr:twoCellAnchor>
  <xdr:twoCellAnchor>
    <xdr:from>
      <xdr:col>21</xdr:col>
      <xdr:colOff>35718</xdr:colOff>
      <xdr:row>8</xdr:row>
      <xdr:rowOff>119063</xdr:rowOff>
    </xdr:from>
    <xdr:to>
      <xdr:col>22</xdr:col>
      <xdr:colOff>428625</xdr:colOff>
      <xdr:row>9</xdr:row>
      <xdr:rowOff>107157</xdr:rowOff>
    </xdr:to>
    <xdr:sp macro="" textlink="">
      <xdr:nvSpPr>
        <xdr:cNvPr id="3" name="Rectangular Callou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5049499" y="1452563"/>
          <a:ext cx="1428751" cy="154782"/>
        </a:xfrm>
        <a:prstGeom prst="wedgeRectCallout">
          <a:avLst>
            <a:gd name="adj1" fmla="val 1950"/>
            <a:gd name="adj2" fmla="val 16718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1000"/>
            <a:t>Using </a:t>
          </a:r>
          <a:r>
            <a:rPr lang="en-US" sz="1000" b="1"/>
            <a:t>VBA </a:t>
          </a:r>
          <a:r>
            <a:rPr lang="en-US" sz="1000"/>
            <a:t>function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1</xdr:row>
          <xdr:rowOff>19050</xdr:rowOff>
        </xdr:from>
        <xdr:to>
          <xdr:col>7</xdr:col>
          <xdr:colOff>542925</xdr:colOff>
          <xdr:row>2</xdr:row>
          <xdr:rowOff>95250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9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Setup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Tiffany\Build\Development\Testing\QA_Working_Directory\TiffanyCo%20_Estimation_R1_v8_ReducedScope_Option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lp"/>
      <sheetName val="Project Overview"/>
      <sheetName val="Tasks (Metrics)"/>
      <sheetName val="Metrics"/>
      <sheetName val="Summary"/>
      <sheetName val="Stories"/>
      <sheetName val="Add-ins"/>
      <sheetName val="Objective Risks"/>
      <sheetName val="Staffing Plan"/>
      <sheetName val="Track LOE Summary"/>
      <sheetName val="Total LOE"/>
      <sheetName val="Stories - Export"/>
      <sheetName val="Staffing Plan - Export"/>
      <sheetName val="Data"/>
      <sheetName val="Export Configuration"/>
      <sheetName val="Assumption"/>
      <sheetName val="Page to Module mapping"/>
      <sheetName val=" HLP Build"/>
      <sheetName val="High Level Plan 2013"/>
      <sheetName val="Sheet1"/>
    </sheetNames>
    <sheetDataSet>
      <sheetData sheetId="0"/>
      <sheetData sheetId="1">
        <row r="1">
          <cell r="C1" t="str">
            <v>Tiffany &amp; Co. | Estimation</v>
          </cell>
        </row>
      </sheetData>
      <sheetData sheetId="2">
        <row r="1">
          <cell r="C1">
            <v>0</v>
          </cell>
        </row>
      </sheetData>
      <sheetData sheetId="3">
        <row r="4">
          <cell r="B4" t="str">
            <v>None</v>
          </cell>
        </row>
      </sheetData>
      <sheetData sheetId="4"/>
      <sheetData sheetId="5">
        <row r="4">
          <cell r="M4">
            <v>1668.55</v>
          </cell>
        </row>
      </sheetData>
      <sheetData sheetId="6">
        <row r="2">
          <cell r="H2">
            <v>168.13461538461542</v>
          </cell>
        </row>
      </sheetData>
      <sheetData sheetId="7">
        <row r="4">
          <cell r="H4">
            <v>130</v>
          </cell>
        </row>
      </sheetData>
      <sheetData sheetId="8">
        <row r="5">
          <cell r="D5">
            <v>115</v>
          </cell>
        </row>
        <row r="7">
          <cell r="G7">
            <v>0</v>
          </cell>
          <cell r="AS7">
            <v>0</v>
          </cell>
        </row>
        <row r="8">
          <cell r="G8" t="str">
            <v>Track</v>
          </cell>
          <cell r="AS8" t="str">
            <v>Total FTE Days</v>
          </cell>
        </row>
        <row r="9">
          <cell r="G9">
            <v>0</v>
          </cell>
          <cell r="AS9">
            <v>0</v>
          </cell>
        </row>
        <row r="10">
          <cell r="G10">
            <v>0</v>
          </cell>
          <cell r="AS10">
            <v>0</v>
          </cell>
        </row>
        <row r="11">
          <cell r="G11">
            <v>0</v>
          </cell>
          <cell r="AS11">
            <v>10.500000000000004</v>
          </cell>
        </row>
        <row r="12">
          <cell r="G12">
            <v>0</v>
          </cell>
          <cell r="AS12">
            <v>52.5</v>
          </cell>
        </row>
        <row r="13">
          <cell r="G13">
            <v>0</v>
          </cell>
          <cell r="AS13">
            <v>105</v>
          </cell>
        </row>
        <row r="14">
          <cell r="G14">
            <v>0</v>
          </cell>
          <cell r="AS14">
            <v>65</v>
          </cell>
        </row>
        <row r="15">
          <cell r="G15">
            <v>0</v>
          </cell>
          <cell r="AS15">
            <v>10.500000000000004</v>
          </cell>
        </row>
        <row r="16">
          <cell r="G16">
            <v>0</v>
          </cell>
          <cell r="AS16">
            <v>10.500000000000004</v>
          </cell>
        </row>
        <row r="17">
          <cell r="G17">
            <v>0</v>
          </cell>
          <cell r="AS17">
            <v>0</v>
          </cell>
        </row>
        <row r="18">
          <cell r="G18" t="str">
            <v>Portal</v>
          </cell>
          <cell r="AS18">
            <v>10.500000000000004</v>
          </cell>
        </row>
        <row r="19">
          <cell r="G19" t="str">
            <v>Portal</v>
          </cell>
          <cell r="AS19">
            <v>52.5</v>
          </cell>
        </row>
        <row r="20">
          <cell r="G20">
            <v>0</v>
          </cell>
          <cell r="AS20">
            <v>105</v>
          </cell>
        </row>
        <row r="21">
          <cell r="G21">
            <v>0</v>
          </cell>
          <cell r="AS21">
            <v>105</v>
          </cell>
        </row>
        <row r="22">
          <cell r="G22">
            <v>0</v>
          </cell>
          <cell r="AS22">
            <v>52.5</v>
          </cell>
        </row>
        <row r="23">
          <cell r="G23">
            <v>0</v>
          </cell>
          <cell r="AS23">
            <v>52.5</v>
          </cell>
        </row>
        <row r="24">
          <cell r="G24">
            <v>0</v>
          </cell>
          <cell r="AS24">
            <v>60</v>
          </cell>
        </row>
        <row r="25">
          <cell r="G25">
            <v>0</v>
          </cell>
          <cell r="AS25">
            <v>0</v>
          </cell>
        </row>
        <row r="26">
          <cell r="G26" t="str">
            <v>Portal</v>
          </cell>
          <cell r="AS26">
            <v>90</v>
          </cell>
        </row>
        <row r="27">
          <cell r="G27" t="str">
            <v>Portal</v>
          </cell>
          <cell r="AS27">
            <v>90</v>
          </cell>
        </row>
        <row r="28">
          <cell r="G28" t="str">
            <v>QA</v>
          </cell>
          <cell r="AS28">
            <v>75</v>
          </cell>
        </row>
        <row r="29">
          <cell r="G29">
            <v>0</v>
          </cell>
          <cell r="AS29">
            <v>0</v>
          </cell>
        </row>
        <row r="30">
          <cell r="G30">
            <v>0</v>
          </cell>
          <cell r="AS30">
            <v>947</v>
          </cell>
        </row>
        <row r="31">
          <cell r="B31" t="str">
            <v>Team Roles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 t="str">
            <v>EAR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 t="str">
            <v>ITR1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 t="str">
            <v>ITR2</v>
          </cell>
          <cell r="U31">
            <v>0</v>
          </cell>
          <cell r="V31">
            <v>0</v>
          </cell>
          <cell r="W31">
            <v>0</v>
          </cell>
          <cell r="X31" t="str">
            <v>System Testing</v>
          </cell>
          <cell r="Y31">
            <v>0</v>
          </cell>
          <cell r="Z31">
            <v>0</v>
          </cell>
          <cell r="AA31" t="str">
            <v>UAT</v>
          </cell>
          <cell r="AB31">
            <v>0</v>
          </cell>
          <cell r="AC31" t="str">
            <v>Support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</row>
        <row r="32">
          <cell r="G32" t="str">
            <v>Creative</v>
          </cell>
          <cell r="AS32">
            <v>10</v>
          </cell>
        </row>
        <row r="33">
          <cell r="G33" t="str">
            <v>Creative</v>
          </cell>
          <cell r="AS33">
            <v>10</v>
          </cell>
        </row>
        <row r="34">
          <cell r="G34" t="str">
            <v>Creative</v>
          </cell>
          <cell r="AS34">
            <v>5</v>
          </cell>
        </row>
        <row r="35">
          <cell r="G35" t="str">
            <v>Creative</v>
          </cell>
          <cell r="AS35">
            <v>20</v>
          </cell>
        </row>
        <row r="36">
          <cell r="G36" t="str">
            <v>Requirements</v>
          </cell>
          <cell r="AS36">
            <v>40</v>
          </cell>
        </row>
        <row r="37">
          <cell r="G37" t="str">
            <v>Portal</v>
          </cell>
          <cell r="AS37">
            <v>52.5</v>
          </cell>
        </row>
        <row r="38">
          <cell r="G38" t="str">
            <v>Portal</v>
          </cell>
          <cell r="AS38">
            <v>15</v>
          </cell>
        </row>
        <row r="39">
          <cell r="G39" t="str">
            <v>Portal</v>
          </cell>
          <cell r="AS39">
            <v>15</v>
          </cell>
        </row>
        <row r="40">
          <cell r="G40" t="str">
            <v>Portal</v>
          </cell>
          <cell r="AS40">
            <v>105</v>
          </cell>
        </row>
        <row r="41">
          <cell r="G41" t="str">
            <v>Portal</v>
          </cell>
          <cell r="AS41">
            <v>105</v>
          </cell>
        </row>
        <row r="42">
          <cell r="G42" t="str">
            <v>Portal</v>
          </cell>
          <cell r="AS42">
            <v>105</v>
          </cell>
        </row>
        <row r="43">
          <cell r="G43" t="str">
            <v>Portal</v>
          </cell>
          <cell r="AS43">
            <v>105</v>
          </cell>
        </row>
        <row r="44">
          <cell r="G44" t="str">
            <v>Portal</v>
          </cell>
          <cell r="AS44">
            <v>105</v>
          </cell>
        </row>
        <row r="45">
          <cell r="G45" t="str">
            <v>Portal</v>
          </cell>
          <cell r="AS45">
            <v>105</v>
          </cell>
        </row>
        <row r="46">
          <cell r="G46" t="str">
            <v>Portal</v>
          </cell>
          <cell r="AS46">
            <v>80</v>
          </cell>
        </row>
        <row r="47">
          <cell r="G47" t="str">
            <v>Portal</v>
          </cell>
          <cell r="AS47">
            <v>80</v>
          </cell>
        </row>
        <row r="48">
          <cell r="G48" t="str">
            <v>Portal</v>
          </cell>
          <cell r="AS48">
            <v>80</v>
          </cell>
        </row>
        <row r="49">
          <cell r="G49" t="str">
            <v>Portal</v>
          </cell>
          <cell r="AS49">
            <v>70</v>
          </cell>
        </row>
        <row r="50">
          <cell r="G50" t="str">
            <v>Portal</v>
          </cell>
          <cell r="AS50">
            <v>25</v>
          </cell>
        </row>
        <row r="51">
          <cell r="G51">
            <v>0</v>
          </cell>
          <cell r="AS51">
            <v>0</v>
          </cell>
        </row>
        <row r="52">
          <cell r="G52" t="str">
            <v>Migration</v>
          </cell>
          <cell r="AS52">
            <v>45</v>
          </cell>
        </row>
        <row r="53">
          <cell r="G53" t="str">
            <v>Migration</v>
          </cell>
          <cell r="AS53">
            <v>45</v>
          </cell>
        </row>
        <row r="54">
          <cell r="G54" t="str">
            <v>Migration</v>
          </cell>
          <cell r="AS54">
            <v>45</v>
          </cell>
        </row>
        <row r="55">
          <cell r="G55" t="str">
            <v>Migration</v>
          </cell>
          <cell r="AS55">
            <v>45</v>
          </cell>
        </row>
        <row r="56">
          <cell r="G56">
            <v>0</v>
          </cell>
          <cell r="AS56">
            <v>0</v>
          </cell>
        </row>
        <row r="57">
          <cell r="G57" t="str">
            <v>QA</v>
          </cell>
          <cell r="AS57">
            <v>30</v>
          </cell>
        </row>
        <row r="58">
          <cell r="G58" t="str">
            <v>QA</v>
          </cell>
          <cell r="AS58">
            <v>95</v>
          </cell>
        </row>
        <row r="59">
          <cell r="G59" t="str">
            <v>QA</v>
          </cell>
          <cell r="AS59">
            <v>75</v>
          </cell>
        </row>
        <row r="60">
          <cell r="G60" t="str">
            <v>QA</v>
          </cell>
          <cell r="AS60">
            <v>75</v>
          </cell>
        </row>
        <row r="61">
          <cell r="G61" t="str">
            <v>QA</v>
          </cell>
          <cell r="AS61">
            <v>75</v>
          </cell>
        </row>
        <row r="62">
          <cell r="G62" t="str">
            <v>QA</v>
          </cell>
          <cell r="AS62">
            <v>10</v>
          </cell>
        </row>
        <row r="63">
          <cell r="G63" t="str">
            <v>QA</v>
          </cell>
          <cell r="AS63">
            <v>50</v>
          </cell>
        </row>
        <row r="64">
          <cell r="G64">
            <v>0</v>
          </cell>
          <cell r="AS64">
            <v>0</v>
          </cell>
        </row>
        <row r="65">
          <cell r="G65" t="str">
            <v>Infra</v>
          </cell>
          <cell r="AS65">
            <v>105</v>
          </cell>
        </row>
        <row r="66">
          <cell r="G66" t="str">
            <v>Infra</v>
          </cell>
          <cell r="AS66">
            <v>105</v>
          </cell>
        </row>
        <row r="67">
          <cell r="G67">
            <v>0</v>
          </cell>
          <cell r="AS67">
            <v>0</v>
          </cell>
        </row>
        <row r="68">
          <cell r="G68" t="str">
            <v>Site Dev</v>
          </cell>
          <cell r="AS68">
            <v>105</v>
          </cell>
        </row>
        <row r="69">
          <cell r="G69" t="str">
            <v>Site Dev</v>
          </cell>
          <cell r="AS69">
            <v>105</v>
          </cell>
        </row>
        <row r="70">
          <cell r="G70">
            <v>0</v>
          </cell>
          <cell r="AS70">
            <v>0</v>
          </cell>
        </row>
        <row r="71">
          <cell r="G71">
            <v>0</v>
          </cell>
          <cell r="AS71">
            <v>0</v>
          </cell>
        </row>
        <row r="72">
          <cell r="B72" t="str">
            <v>Total Team Person Days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80</v>
          </cell>
          <cell r="I72">
            <v>75</v>
          </cell>
          <cell r="J72">
            <v>80</v>
          </cell>
          <cell r="K72">
            <v>80</v>
          </cell>
          <cell r="L72">
            <v>70</v>
          </cell>
          <cell r="M72">
            <v>90</v>
          </cell>
          <cell r="N72">
            <v>95</v>
          </cell>
          <cell r="O72">
            <v>95</v>
          </cell>
          <cell r="P72">
            <v>95</v>
          </cell>
          <cell r="Q72">
            <v>95</v>
          </cell>
          <cell r="R72">
            <v>95</v>
          </cell>
          <cell r="S72">
            <v>105</v>
          </cell>
          <cell r="T72">
            <v>125</v>
          </cell>
          <cell r="U72">
            <v>125</v>
          </cell>
          <cell r="V72">
            <v>125</v>
          </cell>
          <cell r="W72">
            <v>125</v>
          </cell>
          <cell r="X72">
            <v>122.5</v>
          </cell>
          <cell r="Y72">
            <v>122.5</v>
          </cell>
          <cell r="Z72">
            <v>117.5</v>
          </cell>
          <cell r="AA72">
            <v>112.5</v>
          </cell>
          <cell r="AB72">
            <v>112.5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2142.5</v>
          </cell>
          <cell r="AT72">
            <v>0</v>
          </cell>
          <cell r="AU72" t="str">
            <v>Total Team Cost</v>
          </cell>
          <cell r="AV72">
            <v>1994</v>
          </cell>
          <cell r="AW72">
            <v>0</v>
          </cell>
          <cell r="AX72">
            <v>0</v>
          </cell>
          <cell r="AY72">
            <v>863370</v>
          </cell>
        </row>
        <row r="73">
          <cell r="G73">
            <v>0</v>
          </cell>
          <cell r="AS73">
            <v>3089.5</v>
          </cell>
        </row>
      </sheetData>
      <sheetData sheetId="9"/>
      <sheetData sheetId="10"/>
      <sheetData sheetId="11">
        <row r="1">
          <cell r="K1" t="str">
            <v>Buffered Estimate</v>
          </cell>
        </row>
      </sheetData>
      <sheetData sheetId="12"/>
      <sheetData sheetId="13">
        <row r="1">
          <cell r="B1" t="str">
            <v>4.4.2</v>
          </cell>
          <cell r="J1" t="str">
            <v>list_bill_rate_categories</v>
          </cell>
          <cell r="K1" t="str">
            <v>list_offices</v>
          </cell>
          <cell r="M1" t="str">
            <v>list_titles</v>
          </cell>
        </row>
        <row r="2">
          <cell r="J2" t="str">
            <v>Local</v>
          </cell>
          <cell r="K2" t="str">
            <v>## India Offices ##</v>
          </cell>
          <cell r="M2" t="str">
            <v>## Delivery Titles ##</v>
          </cell>
        </row>
        <row r="3">
          <cell r="J3" t="str">
            <v>India Off-shore</v>
          </cell>
          <cell r="K3" t="str">
            <v>Bangalore</v>
          </cell>
          <cell r="M3" t="str">
            <v>Account Coordinator</v>
          </cell>
        </row>
        <row r="4">
          <cell r="J4" t="str">
            <v>India On-shore</v>
          </cell>
          <cell r="K4" t="str">
            <v>Gurgaon</v>
          </cell>
          <cell r="M4" t="str">
            <v>Account Director</v>
          </cell>
        </row>
        <row r="5">
          <cell r="K5" t="str">
            <v>Gurgaon SEZ</v>
          </cell>
          <cell r="M5" t="str">
            <v>Account Executive</v>
          </cell>
        </row>
        <row r="6">
          <cell r="K6" t="str">
            <v>NOIDA</v>
          </cell>
          <cell r="M6" t="str">
            <v>Account Manager</v>
          </cell>
        </row>
        <row r="7">
          <cell r="K7" t="str">
            <v>## Local Offices ##</v>
          </cell>
          <cell r="M7" t="str">
            <v>Account Supervisor</v>
          </cell>
        </row>
        <row r="8">
          <cell r="K8" t="str">
            <v>Amsterdam</v>
          </cell>
          <cell r="M8" t="str">
            <v>Analyst TRM Process Solutions</v>
          </cell>
        </row>
        <row r="9">
          <cell r="K9" t="str">
            <v>Atlanta</v>
          </cell>
          <cell r="M9" t="str">
            <v>Art Director L1</v>
          </cell>
        </row>
        <row r="10">
          <cell r="K10" t="str">
            <v>Boston</v>
          </cell>
          <cell r="M10" t="str">
            <v>Art Director L2</v>
          </cell>
        </row>
        <row r="11">
          <cell r="K11" t="str">
            <v>Calgary</v>
          </cell>
          <cell r="M11" t="str">
            <v>Assistant Media Planner</v>
          </cell>
        </row>
        <row r="12">
          <cell r="K12" t="str">
            <v>Charleston</v>
          </cell>
          <cell r="M12" t="str">
            <v>Associate Alliances</v>
          </cell>
        </row>
        <row r="13">
          <cell r="K13" t="str">
            <v>Chicago</v>
          </cell>
          <cell r="M13" t="str">
            <v>Associate Art Director L1</v>
          </cell>
        </row>
        <row r="14">
          <cell r="K14" t="str">
            <v>Cologne</v>
          </cell>
          <cell r="M14" t="str">
            <v>Associate Art Director L2</v>
          </cell>
        </row>
        <row r="15">
          <cell r="K15" t="str">
            <v>Denver</v>
          </cell>
          <cell r="M15" t="str">
            <v>Associate Business Consulting</v>
          </cell>
        </row>
        <row r="16">
          <cell r="K16" t="str">
            <v>Detroit</v>
          </cell>
          <cell r="M16" t="str">
            <v>Associate Business Consulting TRM</v>
          </cell>
        </row>
        <row r="17">
          <cell r="K17" t="str">
            <v>Dusseldorf</v>
          </cell>
          <cell r="M17" t="str">
            <v>Associate Business Operations</v>
          </cell>
        </row>
        <row r="18">
          <cell r="K18" t="str">
            <v>Geneva</v>
          </cell>
          <cell r="M18" t="str">
            <v>Associate Copywriter</v>
          </cell>
        </row>
        <row r="19">
          <cell r="K19" t="str">
            <v>Halifax</v>
          </cell>
          <cell r="M19" t="str">
            <v>Associate Creative Director</v>
          </cell>
        </row>
        <row r="20">
          <cell r="K20" t="str">
            <v>Hong Kong</v>
          </cell>
          <cell r="M20" t="str">
            <v>Associate Creative Director Experience Design</v>
          </cell>
        </row>
        <row r="21">
          <cell r="K21" t="str">
            <v>Houston</v>
          </cell>
          <cell r="M21" t="str">
            <v>Associate Creative Operations</v>
          </cell>
        </row>
        <row r="22">
          <cell r="K22" t="str">
            <v>Kansas City</v>
          </cell>
          <cell r="M22" t="str">
            <v>Associate Database L1</v>
          </cell>
        </row>
        <row r="23">
          <cell r="K23" t="str">
            <v>London</v>
          </cell>
          <cell r="M23" t="str">
            <v>Associate Database L2</v>
          </cell>
        </row>
        <row r="24">
          <cell r="K24" t="str">
            <v>Los Angeles</v>
          </cell>
          <cell r="M24" t="str">
            <v>Associate Executive Admin</v>
          </cell>
        </row>
        <row r="25">
          <cell r="K25" t="str">
            <v>Miami</v>
          </cell>
          <cell r="M25" t="str">
            <v>Associate Expansion</v>
          </cell>
        </row>
        <row r="26">
          <cell r="K26" t="str">
            <v>Minneapolis</v>
          </cell>
          <cell r="M26" t="str">
            <v>Associate Infrastructure L1</v>
          </cell>
        </row>
        <row r="27">
          <cell r="K27" t="str">
            <v>Munich</v>
          </cell>
          <cell r="M27" t="str">
            <v>Associate Infrastructure L2</v>
          </cell>
        </row>
        <row r="28">
          <cell r="K28" t="str">
            <v>New York</v>
          </cell>
          <cell r="M28" t="str">
            <v>Associate Interactive Program Management</v>
          </cell>
        </row>
        <row r="29">
          <cell r="K29" t="str">
            <v>San Diego</v>
          </cell>
          <cell r="M29" t="str">
            <v>Associate Marketing Strategy &amp; Analysis</v>
          </cell>
        </row>
        <row r="30">
          <cell r="K30" t="str">
            <v>San Francisco</v>
          </cell>
          <cell r="M30" t="str">
            <v>Associate Media Director</v>
          </cell>
        </row>
        <row r="31">
          <cell r="K31" t="str">
            <v>Schaffhausen</v>
          </cell>
          <cell r="M31" t="str">
            <v>Associate Media Operations</v>
          </cell>
        </row>
        <row r="32">
          <cell r="K32" t="str">
            <v>Singapore</v>
          </cell>
          <cell r="M32" t="str">
            <v>Associate Oracle L1</v>
          </cell>
        </row>
        <row r="33">
          <cell r="K33" t="str">
            <v>Stockholm</v>
          </cell>
          <cell r="M33" t="str">
            <v>Associate Oracle L2</v>
          </cell>
        </row>
        <row r="34">
          <cell r="K34" t="str">
            <v>Toronto</v>
          </cell>
          <cell r="M34" t="str">
            <v>Associate Producer</v>
          </cell>
        </row>
        <row r="35">
          <cell r="K35" t="str">
            <v>Washington DC</v>
          </cell>
          <cell r="M35" t="str">
            <v>Associate Production/Logistics L1</v>
          </cell>
        </row>
        <row r="36">
          <cell r="K36" t="str">
            <v>Zurich</v>
          </cell>
          <cell r="M36" t="str">
            <v>Associate Production/Logistics L2</v>
          </cell>
        </row>
        <row r="37">
          <cell r="M37" t="str">
            <v>Associate Program Management</v>
          </cell>
        </row>
        <row r="38">
          <cell r="M38" t="str">
            <v>Associate QA L1</v>
          </cell>
        </row>
        <row r="39">
          <cell r="M39" t="str">
            <v>Associate QA L2</v>
          </cell>
        </row>
        <row r="40">
          <cell r="M40" t="str">
            <v>Associate Search Director</v>
          </cell>
        </row>
        <row r="41">
          <cell r="M41" t="str">
            <v>Associate Technology L1</v>
          </cell>
        </row>
        <row r="42">
          <cell r="M42" t="str">
            <v>Associate Technology L2</v>
          </cell>
        </row>
        <row r="43">
          <cell r="M43" t="str">
            <v>Associate TRM L1</v>
          </cell>
        </row>
        <row r="44">
          <cell r="M44" t="str">
            <v>Associate TRM L2</v>
          </cell>
        </row>
        <row r="45">
          <cell r="M45" t="str">
            <v>Associate TRM Process Solutions</v>
          </cell>
        </row>
        <row r="46">
          <cell r="M46" t="str">
            <v>Associate TRM Process Solutions L1</v>
          </cell>
        </row>
        <row r="47">
          <cell r="M47" t="str">
            <v>Associate TRM Process Solutions L2</v>
          </cell>
        </row>
        <row r="48">
          <cell r="M48" t="str">
            <v>Business Analyst TRM Process Solutions</v>
          </cell>
        </row>
        <row r="49">
          <cell r="M49" t="str">
            <v>Consultant DBA Oracle Applications L2</v>
          </cell>
        </row>
        <row r="50">
          <cell r="M50" t="str">
            <v>Consultant Infrastructure SAP L2</v>
          </cell>
        </row>
        <row r="51">
          <cell r="M51" t="str">
            <v>Consultant Oracle Applications L1</v>
          </cell>
        </row>
        <row r="52">
          <cell r="M52" t="str">
            <v>Consultant Oracle Applications L2</v>
          </cell>
        </row>
        <row r="53">
          <cell r="M53" t="str">
            <v>Consultant SAP L1</v>
          </cell>
        </row>
        <row r="54">
          <cell r="M54" t="str">
            <v>Consultant SAP L2</v>
          </cell>
        </row>
        <row r="55">
          <cell r="M55" t="str">
            <v>Content Strategist</v>
          </cell>
        </row>
        <row r="56">
          <cell r="M56" t="str">
            <v>Controller TRM Process Solutions</v>
          </cell>
        </row>
        <row r="57">
          <cell r="M57" t="str">
            <v>Copy writer</v>
          </cell>
        </row>
        <row r="58">
          <cell r="M58" t="str">
            <v>Creative Director</v>
          </cell>
        </row>
        <row r="59">
          <cell r="M59" t="str">
            <v>Creative Director Experience Design</v>
          </cell>
        </row>
        <row r="60">
          <cell r="M60" t="str">
            <v>Designer L1</v>
          </cell>
        </row>
        <row r="61">
          <cell r="M61" t="str">
            <v>Designer L2</v>
          </cell>
        </row>
        <row r="62">
          <cell r="M62" t="str">
            <v>Developer Mobile Solutions L1</v>
          </cell>
        </row>
        <row r="63">
          <cell r="M63" t="str">
            <v>Developer Mobile Solutions L2</v>
          </cell>
        </row>
        <row r="64">
          <cell r="M64" t="str">
            <v>Director Alliances</v>
          </cell>
        </row>
        <row r="65">
          <cell r="M65" t="str">
            <v>Director Business Consulting</v>
          </cell>
        </row>
        <row r="66">
          <cell r="M66" t="str">
            <v>Director Business Consulting TRM</v>
          </cell>
        </row>
        <row r="67">
          <cell r="M67" t="str">
            <v>Director Business Development</v>
          </cell>
        </row>
        <row r="68">
          <cell r="M68" t="str">
            <v>Director Business Operations</v>
          </cell>
        </row>
        <row r="69">
          <cell r="M69" t="str">
            <v>Director Content Strategy</v>
          </cell>
        </row>
        <row r="70">
          <cell r="M70" t="str">
            <v>Director Creative Operations</v>
          </cell>
        </row>
        <row r="71">
          <cell r="M71" t="str">
            <v>Director Design</v>
          </cell>
        </row>
        <row r="72">
          <cell r="M72" t="str">
            <v>Director Expansion</v>
          </cell>
        </row>
        <row r="73">
          <cell r="M73" t="str">
            <v>Director General Management</v>
          </cell>
        </row>
        <row r="74">
          <cell r="M74" t="str">
            <v>Director Interactive Development</v>
          </cell>
        </row>
        <row r="75">
          <cell r="M75" t="str">
            <v>Director Interactive Program Management</v>
          </cell>
        </row>
        <row r="76">
          <cell r="M76" t="str">
            <v>Director Marketing Strategy &amp; Analysis</v>
          </cell>
        </row>
        <row r="77">
          <cell r="M77" t="str">
            <v>Director Operations</v>
          </cell>
        </row>
        <row r="78">
          <cell r="M78" t="str">
            <v>Director Oracle</v>
          </cell>
        </row>
        <row r="79">
          <cell r="M79" t="str">
            <v>Director Producer</v>
          </cell>
        </row>
        <row r="80">
          <cell r="M80" t="str">
            <v>Director Program Management</v>
          </cell>
        </row>
        <row r="81">
          <cell r="M81" t="str">
            <v>Director QA</v>
          </cell>
        </row>
        <row r="82">
          <cell r="M82" t="str">
            <v>Director Risk Management</v>
          </cell>
        </row>
        <row r="83">
          <cell r="M83" t="str">
            <v>Director SAP</v>
          </cell>
        </row>
        <row r="84">
          <cell r="M84" t="str">
            <v>Director Technology</v>
          </cell>
        </row>
        <row r="85">
          <cell r="M85" t="str">
            <v>Director TRM</v>
          </cell>
        </row>
        <row r="86">
          <cell r="M86" t="str">
            <v>Director TRM Process Solutions</v>
          </cell>
        </row>
        <row r="87">
          <cell r="M87" t="str">
            <v>Divisional Controller TRM Process Solutions</v>
          </cell>
        </row>
        <row r="88">
          <cell r="M88" t="str">
            <v>Executive Creative Director</v>
          </cell>
        </row>
        <row r="89">
          <cell r="M89" t="str">
            <v>Executive Vice President</v>
          </cell>
        </row>
        <row r="90">
          <cell r="M90" t="str">
            <v>Expert Database</v>
          </cell>
        </row>
        <row r="91">
          <cell r="M91" t="str">
            <v>Expert Infrastructure</v>
          </cell>
        </row>
        <row r="92">
          <cell r="M92" t="str">
            <v>Expert Oracle</v>
          </cell>
        </row>
        <row r="93">
          <cell r="M93" t="str">
            <v>Expert Platform</v>
          </cell>
        </row>
        <row r="94">
          <cell r="M94" t="str">
            <v>Expert SAP</v>
          </cell>
        </row>
        <row r="95">
          <cell r="M95" t="str">
            <v>Group Account Director</v>
          </cell>
        </row>
        <row r="96">
          <cell r="M96" t="str">
            <v>Head Financial Control TRM Process Solutions</v>
          </cell>
        </row>
        <row r="97">
          <cell r="M97" t="str">
            <v>Information Architect L1</v>
          </cell>
        </row>
        <row r="98">
          <cell r="M98" t="str">
            <v>Information Architect L2</v>
          </cell>
        </row>
        <row r="99">
          <cell r="M99" t="str">
            <v>Interaction Designer L1</v>
          </cell>
        </row>
        <row r="100">
          <cell r="M100" t="str">
            <v>Interaction Designer L2</v>
          </cell>
        </row>
        <row r="101">
          <cell r="M101" t="str">
            <v>Interactive Developer L1</v>
          </cell>
        </row>
        <row r="102">
          <cell r="M102" t="str">
            <v>Interactive Developer L2</v>
          </cell>
        </row>
        <row r="103">
          <cell r="M103" t="str">
            <v>Jr Associate Interactive Program Management</v>
          </cell>
        </row>
        <row r="104">
          <cell r="M104" t="str">
            <v>Jr Associate Marketing Strategy &amp; Analysis</v>
          </cell>
        </row>
        <row r="105">
          <cell r="M105" t="str">
            <v>Jr Copywriter</v>
          </cell>
        </row>
        <row r="106">
          <cell r="M106" t="str">
            <v>Jr Designer</v>
          </cell>
        </row>
        <row r="107">
          <cell r="M107" t="str">
            <v>Jr Information Architect</v>
          </cell>
        </row>
        <row r="108">
          <cell r="M108" t="str">
            <v>Junior Art Director</v>
          </cell>
        </row>
        <row r="109">
          <cell r="M109" t="str">
            <v>Junior Associate Creative Operations</v>
          </cell>
        </row>
        <row r="110">
          <cell r="M110" t="str">
            <v>Junior Associate Producer</v>
          </cell>
        </row>
        <row r="111">
          <cell r="M111" t="str">
            <v>Junior Associate Production/Logistics</v>
          </cell>
        </row>
        <row r="112">
          <cell r="M112" t="str">
            <v>Junior Associate Program Management</v>
          </cell>
        </row>
        <row r="113">
          <cell r="M113" t="str">
            <v>Junior Associate Technology</v>
          </cell>
        </row>
        <row r="114">
          <cell r="M114" t="str">
            <v>Junior Controller TRM Process Solutions</v>
          </cell>
        </row>
        <row r="115">
          <cell r="M115" t="str">
            <v>Junior Developer Mobile Solutions</v>
          </cell>
        </row>
        <row r="116">
          <cell r="M116" t="str">
            <v>Junior Interaction Designer</v>
          </cell>
        </row>
        <row r="117">
          <cell r="M117" t="str">
            <v>Junior Interactive Developer</v>
          </cell>
        </row>
        <row r="118">
          <cell r="M118" t="str">
            <v>Manager Alliances</v>
          </cell>
        </row>
        <row r="119">
          <cell r="M119" t="str">
            <v>Manager Business Analyst TRM Process Solutions</v>
          </cell>
        </row>
        <row r="120">
          <cell r="M120" t="str">
            <v>Manager Business Consulting</v>
          </cell>
        </row>
        <row r="121">
          <cell r="M121" t="str">
            <v>Manager Business Consulting TRM</v>
          </cell>
        </row>
        <row r="122">
          <cell r="M122" t="str">
            <v>Manager Business Operations</v>
          </cell>
        </row>
        <row r="123">
          <cell r="M123" t="str">
            <v>Manager Content Strategy</v>
          </cell>
        </row>
        <row r="124">
          <cell r="M124" t="str">
            <v>Manager Creative Operations</v>
          </cell>
        </row>
        <row r="125">
          <cell r="M125" t="str">
            <v>Manager Design</v>
          </cell>
        </row>
        <row r="126">
          <cell r="M126" t="str">
            <v>Manager Expansion</v>
          </cell>
        </row>
        <row r="127">
          <cell r="M127" t="str">
            <v>Manager Information Architect</v>
          </cell>
        </row>
        <row r="128">
          <cell r="M128" t="str">
            <v>Manager Interaction Designer</v>
          </cell>
        </row>
        <row r="129">
          <cell r="M129" t="str">
            <v>Manager Interactive Development</v>
          </cell>
        </row>
        <row r="130">
          <cell r="M130" t="str">
            <v>Manager Interactive Program Management</v>
          </cell>
        </row>
        <row r="131">
          <cell r="M131" t="str">
            <v>Manager Marketing Strategy &amp; Analysis</v>
          </cell>
        </row>
        <row r="132">
          <cell r="M132" t="str">
            <v>Manager Mobile Solutions</v>
          </cell>
        </row>
        <row r="133">
          <cell r="M133" t="str">
            <v>Manager Operations</v>
          </cell>
        </row>
        <row r="134">
          <cell r="M134" t="str">
            <v>Manager Oracle</v>
          </cell>
        </row>
        <row r="135">
          <cell r="M135" t="str">
            <v>Manager Oracle Applications</v>
          </cell>
        </row>
        <row r="136">
          <cell r="M136" t="str">
            <v>Manager Producer</v>
          </cell>
        </row>
        <row r="137">
          <cell r="M137" t="str">
            <v>Manager Production/Logistics</v>
          </cell>
        </row>
        <row r="138">
          <cell r="M138" t="str">
            <v>Manager Program Management</v>
          </cell>
        </row>
        <row r="139">
          <cell r="M139" t="str">
            <v>Manager QA</v>
          </cell>
        </row>
        <row r="140">
          <cell r="M140" t="str">
            <v>Manager SAP</v>
          </cell>
        </row>
        <row r="141">
          <cell r="M141" t="str">
            <v>Manager Technology</v>
          </cell>
        </row>
        <row r="142">
          <cell r="M142" t="str">
            <v>Manager TRM</v>
          </cell>
        </row>
        <row r="143">
          <cell r="M143" t="str">
            <v>Manager TRM Process Solutions</v>
          </cell>
        </row>
        <row r="144">
          <cell r="M144" t="str">
            <v>Media Director</v>
          </cell>
        </row>
        <row r="145">
          <cell r="M145" t="str">
            <v>Media Planner</v>
          </cell>
        </row>
        <row r="146">
          <cell r="M146" t="str">
            <v>Media Supervisor</v>
          </cell>
        </row>
        <row r="147">
          <cell r="M147" t="str">
            <v>Officer TRM Process Solutions</v>
          </cell>
        </row>
        <row r="148">
          <cell r="M148" t="str">
            <v>Operations Lead TRM Process Solutions</v>
          </cell>
        </row>
        <row r="149">
          <cell r="M149" t="str">
            <v>Operations Manager TRM Process Solutions</v>
          </cell>
        </row>
        <row r="150">
          <cell r="M150" t="str">
            <v>Production Support Analyst</v>
          </cell>
        </row>
        <row r="151">
          <cell r="M151" t="str">
            <v>Production Support Engineer</v>
          </cell>
        </row>
        <row r="152">
          <cell r="M152" t="str">
            <v>Production Support Manager</v>
          </cell>
        </row>
        <row r="153">
          <cell r="M153" t="str">
            <v>Production Support Senior Analyst</v>
          </cell>
        </row>
        <row r="154">
          <cell r="M154" t="str">
            <v>Production Support Senior Manager</v>
          </cell>
        </row>
        <row r="155">
          <cell r="M155" t="str">
            <v>Production Support Team Lead</v>
          </cell>
        </row>
        <row r="156">
          <cell r="M156" t="str">
            <v>Search Analyst</v>
          </cell>
        </row>
        <row r="157">
          <cell r="M157" t="str">
            <v>Search Director</v>
          </cell>
        </row>
        <row r="158">
          <cell r="M158" t="str">
            <v>Search Manager</v>
          </cell>
        </row>
        <row r="159">
          <cell r="M159" t="str">
            <v>Section Controller TRM Process Solutions</v>
          </cell>
        </row>
        <row r="160">
          <cell r="M160" t="str">
            <v>Senior Art Director</v>
          </cell>
        </row>
        <row r="161">
          <cell r="M161" t="str">
            <v>Senior Associate Alliances</v>
          </cell>
        </row>
        <row r="162">
          <cell r="M162" t="str">
            <v>Senior Associate Business Consulting</v>
          </cell>
        </row>
        <row r="163">
          <cell r="M163" t="str">
            <v>Senior Associate Business Consulting TRM</v>
          </cell>
        </row>
        <row r="164">
          <cell r="M164" t="str">
            <v>Senior Associate Business Operations</v>
          </cell>
        </row>
        <row r="165">
          <cell r="M165" t="str">
            <v>Senior Associate Creative Operations</v>
          </cell>
        </row>
        <row r="166">
          <cell r="M166" t="str">
            <v>Senior Associate Database L1</v>
          </cell>
        </row>
        <row r="167">
          <cell r="M167" t="str">
            <v>Senior Associate Database L2</v>
          </cell>
        </row>
        <row r="168">
          <cell r="M168" t="str">
            <v>Senior Associate Executive Admin</v>
          </cell>
        </row>
        <row r="169">
          <cell r="M169" t="str">
            <v>Senior Associate Infrastructure L1</v>
          </cell>
        </row>
        <row r="170">
          <cell r="M170" t="str">
            <v>Senior Associate Infrastructure L2</v>
          </cell>
        </row>
        <row r="171">
          <cell r="M171" t="str">
            <v>Senior Associate Marketing Strategy &amp; Analysis</v>
          </cell>
        </row>
        <row r="172">
          <cell r="M172" t="str">
            <v>Senior Associate Media Operations</v>
          </cell>
        </row>
        <row r="173">
          <cell r="M173" t="str">
            <v>Senior Associate Oracle L1</v>
          </cell>
        </row>
        <row r="174">
          <cell r="M174" t="str">
            <v>Senior Associate Oracle L2</v>
          </cell>
        </row>
        <row r="175">
          <cell r="M175" t="str">
            <v>Senior Associate Platform L1</v>
          </cell>
        </row>
        <row r="176">
          <cell r="M176" t="str">
            <v>Senior Associate Platform L2</v>
          </cell>
        </row>
        <row r="177">
          <cell r="M177" t="str">
            <v>Senior Associate Producer</v>
          </cell>
        </row>
        <row r="178">
          <cell r="M178" t="str">
            <v>Senior Associate Production/Logistics L1</v>
          </cell>
        </row>
        <row r="179">
          <cell r="M179" t="str">
            <v>Senior Associate Production/Logistics L2</v>
          </cell>
        </row>
        <row r="180">
          <cell r="M180" t="str">
            <v>Senior Associate Program Management</v>
          </cell>
        </row>
        <row r="181">
          <cell r="M181" t="str">
            <v>Senior Associate QA L1</v>
          </cell>
        </row>
        <row r="182">
          <cell r="M182" t="str">
            <v>Senior Associate QA L2</v>
          </cell>
        </row>
        <row r="183">
          <cell r="M183" t="str">
            <v>Senior Associate Technology L1</v>
          </cell>
        </row>
        <row r="184">
          <cell r="M184" t="str">
            <v>Senior Associate Technology L2</v>
          </cell>
        </row>
        <row r="185">
          <cell r="M185" t="str">
            <v>Senior Associate TRM L1</v>
          </cell>
        </row>
        <row r="186">
          <cell r="M186" t="str">
            <v>Senior Associate TRM L2</v>
          </cell>
        </row>
        <row r="187">
          <cell r="M187" t="str">
            <v>Senior Associate TRM Process Solutions</v>
          </cell>
        </row>
        <row r="188">
          <cell r="M188" t="str">
            <v>Senior Associate TRM Process Solutions L1</v>
          </cell>
        </row>
        <row r="189">
          <cell r="M189" t="str">
            <v>Senior Associate TRM Process Solutions L2</v>
          </cell>
        </row>
        <row r="190">
          <cell r="M190" t="str">
            <v>Senior Business Analyst TRM Process Solutions</v>
          </cell>
        </row>
        <row r="191">
          <cell r="M191" t="str">
            <v>Senior Consultant DBA Oracle Applications L1</v>
          </cell>
        </row>
        <row r="192">
          <cell r="M192" t="str">
            <v>Senior Consultant DBA Oracle Applications L2</v>
          </cell>
        </row>
        <row r="193">
          <cell r="M193" t="str">
            <v>Senior Consultant Infrastructure SAP L1</v>
          </cell>
        </row>
        <row r="194">
          <cell r="M194" t="str">
            <v>Senior Consultant Infrastructure SAP L2</v>
          </cell>
        </row>
        <row r="195">
          <cell r="M195" t="str">
            <v>Senior Consultant Oracle Applications L1</v>
          </cell>
        </row>
        <row r="196">
          <cell r="M196" t="str">
            <v>Senior Consultant Oracle Applications L2</v>
          </cell>
        </row>
        <row r="197">
          <cell r="M197" t="str">
            <v>Senior Consultant SAP L1</v>
          </cell>
        </row>
        <row r="198">
          <cell r="M198" t="str">
            <v>Senior Consultant SAP L2</v>
          </cell>
        </row>
        <row r="199">
          <cell r="M199" t="str">
            <v>Senior Content Strategist</v>
          </cell>
        </row>
        <row r="200">
          <cell r="M200" t="str">
            <v>Senior Controller TRM Process Solutions</v>
          </cell>
        </row>
        <row r="201">
          <cell r="M201" t="str">
            <v>Senior Designer L1</v>
          </cell>
        </row>
        <row r="202">
          <cell r="M202" t="str">
            <v>Senior Designer L2</v>
          </cell>
        </row>
        <row r="203">
          <cell r="M203" t="str">
            <v>Senior Developer Mobile Solutions L1</v>
          </cell>
        </row>
        <row r="204">
          <cell r="M204" t="str">
            <v>Senior Developer Mobile Solutions L2</v>
          </cell>
        </row>
        <row r="205">
          <cell r="M205" t="str">
            <v>Senior Information Architect L1</v>
          </cell>
        </row>
        <row r="206">
          <cell r="M206" t="str">
            <v>Senior Information Architect L2</v>
          </cell>
        </row>
        <row r="207">
          <cell r="M207" t="str">
            <v>Senior Interaction Designer L1</v>
          </cell>
        </row>
        <row r="208">
          <cell r="M208" t="str">
            <v>Senior Interaction Designer L2</v>
          </cell>
        </row>
        <row r="209">
          <cell r="M209" t="str">
            <v>Senior Interactive Developer L1</v>
          </cell>
        </row>
        <row r="210">
          <cell r="M210" t="str">
            <v>Senior Interactive Developer L2</v>
          </cell>
        </row>
        <row r="211">
          <cell r="M211" t="str">
            <v>Senior Manager Alliances</v>
          </cell>
        </row>
        <row r="212">
          <cell r="M212" t="str">
            <v>Senior Manager Business Consulting</v>
          </cell>
        </row>
        <row r="213">
          <cell r="M213" t="str">
            <v>Senior Manager Business Consulting TRM</v>
          </cell>
        </row>
        <row r="214">
          <cell r="M214" t="str">
            <v>Senior Manager Business Development</v>
          </cell>
        </row>
        <row r="215">
          <cell r="M215" t="str">
            <v>Senior Manager Business Operations</v>
          </cell>
        </row>
        <row r="216">
          <cell r="M216" t="str">
            <v>Senior Manager Content Strategy</v>
          </cell>
        </row>
        <row r="217">
          <cell r="M217" t="str">
            <v>Senior Manager Creative Operations</v>
          </cell>
        </row>
        <row r="218">
          <cell r="M218" t="str">
            <v>Senior Manager Design</v>
          </cell>
        </row>
        <row r="219">
          <cell r="M219" t="str">
            <v>Senior Manager Expansion</v>
          </cell>
        </row>
        <row r="220">
          <cell r="M220" t="str">
            <v>Senior Manager Interactive Development</v>
          </cell>
        </row>
        <row r="221">
          <cell r="M221" t="str">
            <v>Senior Manager Marketing Strategy &amp; Analysis</v>
          </cell>
        </row>
        <row r="222">
          <cell r="M222" t="str">
            <v>Senior Manager Mobile Solutions</v>
          </cell>
        </row>
        <row r="223">
          <cell r="M223" t="str">
            <v>Senior Manager Operations</v>
          </cell>
        </row>
        <row r="224">
          <cell r="M224" t="str">
            <v>Senior Manager Oracle</v>
          </cell>
        </row>
        <row r="225">
          <cell r="M225" t="str">
            <v>Senior Manager Oracle Applications</v>
          </cell>
        </row>
        <row r="226">
          <cell r="M226" t="str">
            <v>Senior Manager Producer</v>
          </cell>
        </row>
        <row r="227">
          <cell r="M227" t="str">
            <v>Senior Manager Production/Logistics</v>
          </cell>
        </row>
        <row r="228">
          <cell r="M228" t="str">
            <v>Senior Manager Program Management</v>
          </cell>
        </row>
        <row r="229">
          <cell r="M229" t="str">
            <v>Senior Manager QA</v>
          </cell>
        </row>
        <row r="230">
          <cell r="M230" t="str">
            <v>Senior Manager Risk Management</v>
          </cell>
        </row>
        <row r="231">
          <cell r="M231" t="str">
            <v>Senior Manager SAP</v>
          </cell>
        </row>
        <row r="232">
          <cell r="M232" t="str">
            <v>Senior Manager Technology</v>
          </cell>
        </row>
        <row r="233">
          <cell r="M233" t="str">
            <v>Senior Manager TRM</v>
          </cell>
        </row>
        <row r="234">
          <cell r="M234" t="str">
            <v>Senior Manager TRM Process Solutions</v>
          </cell>
        </row>
        <row r="235">
          <cell r="M235" t="str">
            <v>Senior Media Planner</v>
          </cell>
        </row>
        <row r="236">
          <cell r="M236" t="str">
            <v>Senior Officer TRM Process Solutions</v>
          </cell>
        </row>
        <row r="237">
          <cell r="M237" t="str">
            <v>Senior Search Analyst</v>
          </cell>
        </row>
        <row r="238">
          <cell r="M238" t="str">
            <v>Senior Specialist Database</v>
          </cell>
        </row>
        <row r="239">
          <cell r="M239" t="str">
            <v>Senior Specialist DBA Oracle Applications</v>
          </cell>
        </row>
        <row r="240">
          <cell r="M240" t="str">
            <v>Senior Specialist Executive Admin</v>
          </cell>
        </row>
        <row r="241">
          <cell r="M241" t="str">
            <v>Senior Specialist Infrastructure</v>
          </cell>
        </row>
        <row r="242">
          <cell r="M242" t="str">
            <v>Senior Specialist Infrastructure SAP</v>
          </cell>
        </row>
        <row r="243">
          <cell r="M243" t="str">
            <v>Senior Specialist Mobile Solutions</v>
          </cell>
        </row>
        <row r="244">
          <cell r="M244" t="str">
            <v>Senior Specialist Oracle</v>
          </cell>
        </row>
        <row r="245">
          <cell r="M245" t="str">
            <v>Senior Specialist Oracle Applications</v>
          </cell>
        </row>
        <row r="246">
          <cell r="M246" t="str">
            <v>Senior Specialist Platform</v>
          </cell>
        </row>
        <row r="247">
          <cell r="M247" t="str">
            <v>Senior Specialist SAP</v>
          </cell>
        </row>
        <row r="248">
          <cell r="M248" t="str">
            <v>Senior Vice President</v>
          </cell>
        </row>
        <row r="249">
          <cell r="M249" t="str">
            <v>Senior Vice President General Counsel</v>
          </cell>
        </row>
        <row r="250">
          <cell r="M250" t="str">
            <v>Specialist Database</v>
          </cell>
        </row>
        <row r="251">
          <cell r="M251" t="str">
            <v>Specialist DBA Oracle Applications</v>
          </cell>
        </row>
        <row r="252">
          <cell r="M252" t="str">
            <v>Specialist Executive Admin</v>
          </cell>
        </row>
        <row r="253">
          <cell r="M253" t="str">
            <v>Specialist Infrastructure</v>
          </cell>
        </row>
        <row r="254">
          <cell r="M254" t="str">
            <v>Specialist Infrastructure SAP</v>
          </cell>
        </row>
        <row r="255">
          <cell r="M255" t="str">
            <v>Specialist Mobile Solutions</v>
          </cell>
        </row>
        <row r="256">
          <cell r="M256" t="str">
            <v>Specialist Oracle</v>
          </cell>
        </row>
        <row r="257">
          <cell r="M257" t="str">
            <v>Specialist Oracle Applications</v>
          </cell>
        </row>
        <row r="258">
          <cell r="M258" t="str">
            <v>Specialist Platform</v>
          </cell>
        </row>
        <row r="259">
          <cell r="M259" t="str">
            <v>Specialist SAP</v>
          </cell>
        </row>
        <row r="260">
          <cell r="M260" t="str">
            <v>Sr Associate Interactive Program Management</v>
          </cell>
        </row>
        <row r="261">
          <cell r="M261" t="str">
            <v>Sr Copywriter</v>
          </cell>
        </row>
        <row r="262">
          <cell r="M262" t="str">
            <v>Sr Manager Business Analyst TRM Process Solutions</v>
          </cell>
        </row>
        <row r="263">
          <cell r="M263" t="str">
            <v>Sr Manager Interactive Program Management</v>
          </cell>
        </row>
        <row r="264">
          <cell r="M264" t="str">
            <v>Team Manager TRM Process Solutions</v>
          </cell>
        </row>
        <row r="265">
          <cell r="M265" t="str">
            <v>Trainee Mobile Solutions</v>
          </cell>
        </row>
        <row r="266">
          <cell r="M266" t="str">
            <v>Trainee QA</v>
          </cell>
        </row>
        <row r="267">
          <cell r="M267" t="str">
            <v>Trainee Technology</v>
          </cell>
        </row>
        <row r="268">
          <cell r="M268" t="str">
            <v>Vice President Alliances</v>
          </cell>
        </row>
        <row r="269">
          <cell r="M269" t="str">
            <v>Vice President Business Consulting</v>
          </cell>
        </row>
        <row r="270">
          <cell r="M270" t="str">
            <v>Vice President Business Consulting TRM</v>
          </cell>
        </row>
        <row r="271">
          <cell r="M271" t="str">
            <v>Vice President Business Development</v>
          </cell>
        </row>
        <row r="272">
          <cell r="M272" t="str">
            <v>Vice President General Management</v>
          </cell>
        </row>
        <row r="273">
          <cell r="M273" t="str">
            <v>Vice President Managing Director</v>
          </cell>
        </row>
        <row r="274">
          <cell r="M274" t="str">
            <v>Vice President Operations</v>
          </cell>
        </row>
        <row r="275">
          <cell r="M275" t="str">
            <v>Vice President Program Management</v>
          </cell>
        </row>
        <row r="276">
          <cell r="M276" t="str">
            <v>Vice President Risk Management</v>
          </cell>
        </row>
        <row r="277">
          <cell r="M277" t="str">
            <v>Vice President SAP</v>
          </cell>
        </row>
        <row r="278">
          <cell r="M278" t="str">
            <v>Vice President Technology</v>
          </cell>
        </row>
        <row r="279">
          <cell r="M279" t="str">
            <v>Vice President TRM Process Solutions</v>
          </cell>
        </row>
        <row r="280">
          <cell r="M280" t="str">
            <v>VP Content Strategy</v>
          </cell>
        </row>
        <row r="281">
          <cell r="M281" t="str">
            <v>VP Creative</v>
          </cell>
        </row>
        <row r="282">
          <cell r="M282" t="str">
            <v>VP Design</v>
          </cell>
        </row>
        <row r="283">
          <cell r="M283" t="str">
            <v>VP Experience Design</v>
          </cell>
        </row>
        <row r="284">
          <cell r="M284" t="str">
            <v>VP Group Account Director</v>
          </cell>
        </row>
        <row r="285">
          <cell r="M285" t="str">
            <v>VP Interactive Development</v>
          </cell>
        </row>
        <row r="286">
          <cell r="M286" t="str">
            <v>VP Marketing Strategy &amp; Analysis</v>
          </cell>
        </row>
        <row r="287">
          <cell r="M287" t="str">
            <v>VP Media</v>
          </cell>
        </row>
        <row r="288">
          <cell r="M288" t="str">
            <v>## Sapient Internal ##</v>
          </cell>
        </row>
        <row r="289">
          <cell r="M289" t="str">
            <v>Associate Finance</v>
          </cell>
        </row>
        <row r="290">
          <cell r="M290" t="str">
            <v>Associate Financial Analyst</v>
          </cell>
        </row>
        <row r="291">
          <cell r="M291" t="str">
            <v>Associate GPM</v>
          </cell>
        </row>
        <row r="292">
          <cell r="M292" t="str">
            <v>Associate Hiring</v>
          </cell>
        </row>
        <row r="293">
          <cell r="M293" t="str">
            <v>Associate Hiring Coordinator</v>
          </cell>
        </row>
        <row r="294">
          <cell r="M294" t="str">
            <v>Associate Information Security</v>
          </cell>
        </row>
        <row r="295">
          <cell r="M295" t="str">
            <v>Associate IT</v>
          </cell>
        </row>
        <row r="296">
          <cell r="M296" t="str">
            <v>Associate IT GS Global Support L1</v>
          </cell>
        </row>
        <row r="297">
          <cell r="M297" t="str">
            <v>Associate IT GS Global Support L2</v>
          </cell>
        </row>
        <row r="298">
          <cell r="M298" t="str">
            <v>Associate IT Local Support L1</v>
          </cell>
        </row>
        <row r="299">
          <cell r="M299" t="str">
            <v>Associate IT Local Support L2</v>
          </cell>
        </row>
        <row r="300">
          <cell r="M300" t="str">
            <v>Associate IT Operations L1</v>
          </cell>
        </row>
        <row r="301">
          <cell r="M301" t="str">
            <v>Associate IT Operations L2</v>
          </cell>
        </row>
        <row r="302">
          <cell r="M302" t="str">
            <v>Associate Learning &amp; Development</v>
          </cell>
        </row>
        <row r="303">
          <cell r="M303" t="str">
            <v>Associate Legal</v>
          </cell>
        </row>
        <row r="304">
          <cell r="M304" t="str">
            <v>Associate Marketing</v>
          </cell>
        </row>
        <row r="305">
          <cell r="M305" t="str">
            <v>Associate Office Services</v>
          </cell>
        </row>
        <row r="306">
          <cell r="M306" t="str">
            <v>Associate People Strategy</v>
          </cell>
        </row>
        <row r="307">
          <cell r="M307" t="str">
            <v>Associate People Strategy Benefits</v>
          </cell>
        </row>
        <row r="308">
          <cell r="M308" t="str">
            <v>Associate People Strategy Compensation</v>
          </cell>
        </row>
        <row r="309">
          <cell r="M309" t="str">
            <v>Associate People Strategy Expatriate</v>
          </cell>
        </row>
        <row r="310">
          <cell r="M310" t="str">
            <v>Associate Staffing</v>
          </cell>
        </row>
        <row r="311">
          <cell r="M311" t="str">
            <v>Chief Executive Officer</v>
          </cell>
        </row>
        <row r="312">
          <cell r="M312" t="str">
            <v>Chief Financial Officer</v>
          </cell>
        </row>
        <row r="313">
          <cell r="M313" t="str">
            <v>Chief Information Officer</v>
          </cell>
        </row>
        <row r="314">
          <cell r="M314" t="str">
            <v>Chief Information Security Officer</v>
          </cell>
        </row>
        <row r="315">
          <cell r="M315" t="str">
            <v>Director Finance</v>
          </cell>
        </row>
        <row r="316">
          <cell r="M316" t="str">
            <v>Director GPM</v>
          </cell>
        </row>
        <row r="317">
          <cell r="M317" t="str">
            <v>Director Hiring</v>
          </cell>
        </row>
        <row r="318">
          <cell r="M318" t="str">
            <v>Director Information Security</v>
          </cell>
        </row>
        <row r="319">
          <cell r="M319" t="str">
            <v>Director IT</v>
          </cell>
        </row>
        <row r="320">
          <cell r="M320" t="str">
            <v>Director Learning &amp; Development</v>
          </cell>
        </row>
        <row r="321">
          <cell r="M321" t="str">
            <v>Director Legal</v>
          </cell>
        </row>
        <row r="322">
          <cell r="M322" t="str">
            <v>Director Marketing</v>
          </cell>
        </row>
        <row r="323">
          <cell r="M323" t="str">
            <v>Director Office Services</v>
          </cell>
        </row>
        <row r="324">
          <cell r="M324" t="str">
            <v>Director People Strategy</v>
          </cell>
        </row>
        <row r="325">
          <cell r="M325" t="str">
            <v>Director People Strategy Compensation</v>
          </cell>
        </row>
        <row r="326">
          <cell r="M326" t="str">
            <v>Director Staffing</v>
          </cell>
        </row>
        <row r="327">
          <cell r="M327" t="str">
            <v>Junior Associate IT</v>
          </cell>
        </row>
        <row r="328">
          <cell r="M328" t="str">
            <v>Manager Finance</v>
          </cell>
        </row>
        <row r="329">
          <cell r="M329" t="str">
            <v>Manager GPM</v>
          </cell>
        </row>
        <row r="330">
          <cell r="M330" t="str">
            <v>Manager Hiring</v>
          </cell>
        </row>
        <row r="331">
          <cell r="M331" t="str">
            <v>Manager Information Security</v>
          </cell>
        </row>
        <row r="332">
          <cell r="M332" t="str">
            <v>Manager IT</v>
          </cell>
        </row>
        <row r="333">
          <cell r="M333" t="str">
            <v>Manager IT GS Global Support</v>
          </cell>
        </row>
        <row r="334">
          <cell r="M334" t="str">
            <v>Manager Learning &amp; Development</v>
          </cell>
        </row>
        <row r="335">
          <cell r="M335" t="str">
            <v>Manager Legal</v>
          </cell>
        </row>
        <row r="336">
          <cell r="M336" t="str">
            <v>Manager Marketing</v>
          </cell>
        </row>
        <row r="337">
          <cell r="M337" t="str">
            <v>Manager Office Services</v>
          </cell>
        </row>
        <row r="338">
          <cell r="M338" t="str">
            <v>Manager People Strategy</v>
          </cell>
        </row>
        <row r="339">
          <cell r="M339" t="str">
            <v>Manager People Strategy Benefits</v>
          </cell>
        </row>
        <row r="340">
          <cell r="M340" t="str">
            <v>Manager People Strategy Compensation</v>
          </cell>
        </row>
        <row r="341">
          <cell r="M341" t="str">
            <v>Manager People Strategy Expatriate</v>
          </cell>
        </row>
        <row r="342">
          <cell r="M342" t="str">
            <v>Manager Staffing</v>
          </cell>
        </row>
        <row r="343">
          <cell r="M343" t="str">
            <v>Management Trainee People Success</v>
          </cell>
        </row>
        <row r="344">
          <cell r="M344" t="str">
            <v>Payroll Analyst Finance</v>
          </cell>
        </row>
        <row r="345">
          <cell r="M345" t="str">
            <v>Senior Associate Finance</v>
          </cell>
        </row>
        <row r="346">
          <cell r="M346" t="str">
            <v>Senior Associate GPM</v>
          </cell>
        </row>
        <row r="347">
          <cell r="M347" t="str">
            <v>Senior Associate Hiring</v>
          </cell>
        </row>
        <row r="348">
          <cell r="M348" t="str">
            <v>Senior Associate Hiring Coordinator</v>
          </cell>
        </row>
        <row r="349">
          <cell r="M349" t="str">
            <v>Senior Associate Information Security</v>
          </cell>
        </row>
        <row r="350">
          <cell r="M350" t="str">
            <v>Senior Associate IT</v>
          </cell>
        </row>
        <row r="351">
          <cell r="M351" t="str">
            <v>Senior Associate IT GS Global Support L1</v>
          </cell>
        </row>
        <row r="352">
          <cell r="M352" t="str">
            <v>Senior Associate IT GS Global Support L2</v>
          </cell>
        </row>
        <row r="353">
          <cell r="M353" t="str">
            <v>Senior Associate IT Local Support L1</v>
          </cell>
        </row>
        <row r="354">
          <cell r="M354" t="str">
            <v>Senior Associate IT Local Support L2</v>
          </cell>
        </row>
        <row r="355">
          <cell r="M355" t="str">
            <v>Senior Associate IT Operations L1</v>
          </cell>
        </row>
        <row r="356">
          <cell r="M356" t="str">
            <v>Senior Associate IT Operations L2</v>
          </cell>
        </row>
        <row r="357">
          <cell r="M357" t="str">
            <v>Senior Associate Learning &amp; Development</v>
          </cell>
        </row>
        <row r="358">
          <cell r="M358" t="str">
            <v>Senior Associate Legal</v>
          </cell>
        </row>
        <row r="359">
          <cell r="M359" t="str">
            <v>Senior Associate Marketing</v>
          </cell>
        </row>
        <row r="360">
          <cell r="M360" t="str">
            <v>Senior Associate Office Services</v>
          </cell>
        </row>
        <row r="361">
          <cell r="M361" t="str">
            <v>Senior Associate People Strategy</v>
          </cell>
        </row>
        <row r="362">
          <cell r="M362" t="str">
            <v>Senior Associate People Strategy Benefits</v>
          </cell>
        </row>
        <row r="363">
          <cell r="M363" t="str">
            <v>Senior Associate People Strategy Compensation</v>
          </cell>
        </row>
        <row r="364">
          <cell r="M364" t="str">
            <v>Senior Associate People Strategy Expatriate</v>
          </cell>
        </row>
        <row r="365">
          <cell r="M365" t="str">
            <v>Senior Associate Staffing</v>
          </cell>
        </row>
        <row r="366">
          <cell r="M366" t="str">
            <v>Senior Manager Finance</v>
          </cell>
        </row>
        <row r="367">
          <cell r="M367" t="str">
            <v>Senior Manager GPM</v>
          </cell>
        </row>
        <row r="368">
          <cell r="M368" t="str">
            <v>Senior Manager Hiring</v>
          </cell>
        </row>
        <row r="369">
          <cell r="M369" t="str">
            <v>Senior Manager Information Security</v>
          </cell>
        </row>
        <row r="370">
          <cell r="M370" t="str">
            <v>Senior Manager IT</v>
          </cell>
        </row>
        <row r="371">
          <cell r="M371" t="str">
            <v>Senior Manager Learning &amp; Development</v>
          </cell>
        </row>
        <row r="372">
          <cell r="M372" t="str">
            <v>Senior Manager Legal</v>
          </cell>
        </row>
        <row r="373">
          <cell r="M373" t="str">
            <v>Senior Manager Marketing</v>
          </cell>
        </row>
        <row r="374">
          <cell r="M374" t="str">
            <v>Senior Manager Office Services</v>
          </cell>
        </row>
        <row r="375">
          <cell r="M375" t="str">
            <v>Senior Manager People Strategy</v>
          </cell>
        </row>
        <row r="376">
          <cell r="M376" t="str">
            <v>Senior Manager People Strategy Benefits</v>
          </cell>
        </row>
        <row r="377">
          <cell r="M377" t="str">
            <v>Senior Manager People Strategy Compensation</v>
          </cell>
        </row>
        <row r="378">
          <cell r="M378" t="str">
            <v>Senior Manager Staffing</v>
          </cell>
        </row>
        <row r="379">
          <cell r="M379" t="str">
            <v>Senior Specialist IT</v>
          </cell>
        </row>
        <row r="380">
          <cell r="M380" t="str">
            <v>Specialist IT</v>
          </cell>
        </row>
        <row r="381">
          <cell r="M381" t="str">
            <v>Trainee IT</v>
          </cell>
        </row>
        <row r="382">
          <cell r="M382" t="str">
            <v>Trainee IT GS Global Support</v>
          </cell>
        </row>
        <row r="383">
          <cell r="M383" t="str">
            <v>Vice President Finance</v>
          </cell>
        </row>
        <row r="384">
          <cell r="M384" t="str">
            <v>Vice President Hiring</v>
          </cell>
        </row>
        <row r="385">
          <cell r="M385" t="str">
            <v>Vice President IT</v>
          </cell>
        </row>
        <row r="386">
          <cell r="M386" t="str">
            <v>Vice President Learning &amp; Development</v>
          </cell>
        </row>
        <row r="387">
          <cell r="M387" t="str">
            <v>Vice President Legal</v>
          </cell>
        </row>
        <row r="388">
          <cell r="M388" t="str">
            <v>Vice President Marketing</v>
          </cell>
        </row>
        <row r="389">
          <cell r="M389" t="str">
            <v>Vice President People Success</v>
          </cell>
        </row>
        <row r="390">
          <cell r="M390" t="str">
            <v>Vice President People Strategy</v>
          </cell>
        </row>
      </sheetData>
      <sheetData sheetId="14">
        <row r="1">
          <cell r="A1" t="str">
            <v>Export
To</v>
          </cell>
        </row>
      </sheetData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 vertOverflow="clip" wrap="square" lIns="18000" tIns="10800" rIns="18000" bIns="10800" anchor="ctr" upright="1"/>
      <a:lstStyle>
        <a:defPPr algn="l" rtl="0">
          <a:defRPr sz="800" b="0" i="0" u="none" strike="noStrike" baseline="0">
            <a:solidFill>
              <a:srgbClr val="000000"/>
            </a:solidFill>
            <a:latin typeface="Arial"/>
            <a:cs typeface="Arial"/>
          </a:defRPr>
        </a:defPPr>
      </a:lst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tools.sapient.com/jira/browse/FUT-19" TargetMode="External"/><Relationship Id="rId13" Type="http://schemas.openxmlformats.org/officeDocument/2006/relationships/hyperlink" Target="https://tools.sapient.com/jira/browse/FUT-7" TargetMode="External"/><Relationship Id="rId18" Type="http://schemas.openxmlformats.org/officeDocument/2006/relationships/hyperlink" Target="https://tools.sapient.com/jira/browse/FUT-15" TargetMode="External"/><Relationship Id="rId3" Type="http://schemas.openxmlformats.org/officeDocument/2006/relationships/hyperlink" Target="https://tools.sapient.com/jira/browse/FUT-24" TargetMode="External"/><Relationship Id="rId21" Type="http://schemas.openxmlformats.org/officeDocument/2006/relationships/hyperlink" Target="https://tools.sapient.com/jira/browse/FUT-12" TargetMode="External"/><Relationship Id="rId7" Type="http://schemas.openxmlformats.org/officeDocument/2006/relationships/hyperlink" Target="https://tools.sapient.com/jira/browse/FUT-20" TargetMode="External"/><Relationship Id="rId12" Type="http://schemas.openxmlformats.org/officeDocument/2006/relationships/hyperlink" Target="https://tools.sapient.com/jira/browse/FUT-8" TargetMode="External"/><Relationship Id="rId17" Type="http://schemas.openxmlformats.org/officeDocument/2006/relationships/hyperlink" Target="https://tools.sapient.com/jira/browse/FUT-16" TargetMode="External"/><Relationship Id="rId2" Type="http://schemas.openxmlformats.org/officeDocument/2006/relationships/hyperlink" Target="https://tools.sapient.com/jira/browse/FUT-26" TargetMode="External"/><Relationship Id="rId16" Type="http://schemas.openxmlformats.org/officeDocument/2006/relationships/hyperlink" Target="https://tools.sapient.com/jira/browse/FUT-17" TargetMode="External"/><Relationship Id="rId20" Type="http://schemas.openxmlformats.org/officeDocument/2006/relationships/hyperlink" Target="https://tools.sapient.com/jira/browse/FUT-13" TargetMode="External"/><Relationship Id="rId1" Type="http://schemas.openxmlformats.org/officeDocument/2006/relationships/hyperlink" Target="https://tools.sapient.com/jira/browse/FUT-27" TargetMode="External"/><Relationship Id="rId6" Type="http://schemas.openxmlformats.org/officeDocument/2006/relationships/hyperlink" Target="https://tools.sapient.com/jira/browse/FUT-21" TargetMode="External"/><Relationship Id="rId11" Type="http://schemas.openxmlformats.org/officeDocument/2006/relationships/hyperlink" Target="https://tools.sapient.com/jira/browse/FUT-9" TargetMode="External"/><Relationship Id="rId5" Type="http://schemas.openxmlformats.org/officeDocument/2006/relationships/hyperlink" Target="https://tools.sapient.com/jira/browse/FUT-22" TargetMode="External"/><Relationship Id="rId15" Type="http://schemas.openxmlformats.org/officeDocument/2006/relationships/hyperlink" Target="https://tools.sapient.com/jira/browse/FUT-4" TargetMode="External"/><Relationship Id="rId23" Type="http://schemas.openxmlformats.org/officeDocument/2006/relationships/printerSettings" Target="../printerSettings/printerSettings5.bin"/><Relationship Id="rId10" Type="http://schemas.openxmlformats.org/officeDocument/2006/relationships/hyperlink" Target="https://tools.sapient.com/jira/browse/FUT-10" TargetMode="External"/><Relationship Id="rId19" Type="http://schemas.openxmlformats.org/officeDocument/2006/relationships/hyperlink" Target="https://tools.sapient.com/jira/browse/FUT-14" TargetMode="External"/><Relationship Id="rId4" Type="http://schemas.openxmlformats.org/officeDocument/2006/relationships/hyperlink" Target="https://tools.sapient.com/jira/browse/FUT-23" TargetMode="External"/><Relationship Id="rId9" Type="http://schemas.openxmlformats.org/officeDocument/2006/relationships/hyperlink" Target="https://tools.sapient.com/jira/browse/FUT-18" TargetMode="External"/><Relationship Id="rId14" Type="http://schemas.openxmlformats.org/officeDocument/2006/relationships/hyperlink" Target="https://tools.sapient.com/jira/browse/FUT-6" TargetMode="External"/><Relationship Id="rId22" Type="http://schemas.openxmlformats.org/officeDocument/2006/relationships/hyperlink" Target="https://tools.sapient.com/jira/browse/FUT-11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4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tabColor theme="3" tint="0.39997558519241921"/>
  </sheetPr>
  <dimension ref="A1:AB97"/>
  <sheetViews>
    <sheetView showGridLines="0" zoomScale="80" zoomScaleNormal="80" workbookViewId="0">
      <selection activeCell="B3" sqref="B3"/>
    </sheetView>
  </sheetViews>
  <sheetFormatPr defaultRowHeight="12.75"/>
  <cols>
    <col min="15" max="15" width="4.28515625" bestFit="1" customWidth="1"/>
    <col min="16" max="16" width="3.140625" bestFit="1" customWidth="1"/>
    <col min="17" max="18" width="5.5703125" bestFit="1" customWidth="1"/>
    <col min="19" max="19" width="4.42578125" bestFit="1" customWidth="1"/>
    <col min="23" max="23" width="14.28515625" bestFit="1" customWidth="1"/>
    <col min="24" max="24" width="2" customWidth="1"/>
    <col min="25" max="25" width="9.140625" style="324"/>
  </cols>
  <sheetData>
    <row r="1" spans="1:27" s="324" customFormat="1" ht="5.25" customHeight="1"/>
    <row r="2" spans="1:27" ht="6" customHeight="1">
      <c r="Y2" s="25"/>
      <c r="AA2" s="25"/>
    </row>
    <row r="3" spans="1:27" ht="6" customHeight="1">
      <c r="Y3" s="25"/>
      <c r="AA3" s="25"/>
    </row>
    <row r="4" spans="1:27">
      <c r="Y4" s="25"/>
      <c r="AA4" s="25"/>
    </row>
    <row r="5" spans="1:27">
      <c r="I5" s="354" t="s">
        <v>185</v>
      </c>
      <c r="J5" s="355"/>
      <c r="K5" s="355"/>
      <c r="L5" s="355"/>
      <c r="M5" s="355"/>
      <c r="N5" s="355"/>
      <c r="O5" s="355"/>
      <c r="P5" s="355"/>
      <c r="Q5" s="355"/>
      <c r="Y5" s="25"/>
      <c r="AA5" s="25"/>
    </row>
    <row r="6" spans="1:27">
      <c r="I6" s="355"/>
      <c r="J6" s="355"/>
      <c r="K6" s="355"/>
      <c r="L6" s="355"/>
      <c r="M6" s="355"/>
      <c r="N6" s="355"/>
      <c r="O6" s="355"/>
      <c r="P6" s="355"/>
      <c r="Q6" s="355"/>
      <c r="Y6" s="25"/>
      <c r="AA6" s="25"/>
    </row>
    <row r="7" spans="1:27" s="68" customFormat="1">
      <c r="A7" s="69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Y7" s="25"/>
      <c r="AA7" s="25"/>
    </row>
    <row r="8" spans="1:27" s="68" customFormat="1">
      <c r="A8" s="69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Y8" s="25"/>
      <c r="AA8" s="25"/>
    </row>
    <row r="9" spans="1:27" s="68" customFormat="1">
      <c r="A9" s="69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Y9" s="25"/>
      <c r="AA9" s="25"/>
    </row>
    <row r="10" spans="1:27" s="68" customFormat="1">
      <c r="A10" s="69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Y10" s="25"/>
      <c r="AA10" s="25"/>
    </row>
    <row r="11" spans="1:27" s="66" customFormat="1">
      <c r="A11" s="69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Y11" s="25"/>
      <c r="AA11" s="25"/>
    </row>
    <row r="12" spans="1:27" s="66" customFormat="1">
      <c r="A12" s="69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Y12" s="25"/>
      <c r="AA12" s="25"/>
    </row>
    <row r="13" spans="1:27" s="66" customFormat="1">
      <c r="A13" s="69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Y13" s="25"/>
      <c r="AA13" s="25"/>
    </row>
    <row r="14" spans="1:27" s="66" customFormat="1">
      <c r="A14" s="69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Y14" s="25"/>
      <c r="AA14" s="25"/>
    </row>
    <row r="15" spans="1:27" s="66" customFormat="1">
      <c r="A15" s="69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Y15" s="25"/>
      <c r="AA15" s="25"/>
    </row>
    <row r="16" spans="1:27" s="66" customFormat="1">
      <c r="A16" s="69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Y16" s="25"/>
      <c r="AA16" s="25"/>
    </row>
    <row r="17" spans="1:27" s="66" customFormat="1">
      <c r="A17" s="69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Y17" s="25"/>
      <c r="AA17" s="25"/>
    </row>
    <row r="18" spans="1:27" s="66" customFormat="1">
      <c r="A18" s="69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Y18" s="25"/>
      <c r="AA18" s="25"/>
    </row>
    <row r="19" spans="1:27" s="66" customFormat="1">
      <c r="A19" s="69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Y19" s="25"/>
      <c r="AA19" s="25"/>
    </row>
    <row r="20" spans="1:27" s="66" customFormat="1" ht="10.5" customHeight="1">
      <c r="A20" s="69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Y20" s="25"/>
      <c r="AA20" s="25"/>
    </row>
    <row r="21" spans="1:27" s="66" customFormat="1" ht="12" customHeight="1">
      <c r="B21" s="67"/>
      <c r="C21" s="67"/>
      <c r="D21" s="67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T21" s="67"/>
      <c r="U21" s="67"/>
      <c r="V21" s="67"/>
      <c r="W21" s="67"/>
      <c r="Y21" s="25"/>
      <c r="AA21" s="25"/>
    </row>
    <row r="22" spans="1:27" s="66" customFormat="1">
      <c r="B22" s="67"/>
      <c r="C22" s="67"/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  <c r="O22" s="67"/>
      <c r="P22" s="67"/>
      <c r="Q22" s="67"/>
      <c r="R22" s="67"/>
      <c r="S22" s="67"/>
      <c r="T22" s="67"/>
      <c r="U22" s="67"/>
      <c r="V22" s="67"/>
      <c r="W22" s="67"/>
      <c r="Y22" s="25"/>
      <c r="AA22" s="25"/>
    </row>
    <row r="23" spans="1:27" s="66" customFormat="1">
      <c r="B23" s="67"/>
      <c r="C23" s="67"/>
      <c r="D23" s="67"/>
      <c r="E23" s="67"/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67"/>
      <c r="Q23" s="67"/>
      <c r="R23" s="67"/>
      <c r="S23" s="67"/>
      <c r="T23" s="67"/>
      <c r="U23" s="67"/>
      <c r="V23" s="67"/>
      <c r="W23" s="67"/>
      <c r="Y23" s="25"/>
      <c r="AA23" s="25"/>
    </row>
    <row r="24" spans="1:27" s="66" customFormat="1">
      <c r="B24" s="67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T24" s="67"/>
      <c r="U24" s="67"/>
      <c r="V24" s="67"/>
      <c r="W24" s="67"/>
      <c r="Y24" s="25"/>
      <c r="AA24" s="25"/>
    </row>
    <row r="25" spans="1:27" s="66" customFormat="1">
      <c r="B25" s="67"/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67"/>
      <c r="T25" s="67"/>
      <c r="U25" s="67"/>
      <c r="V25" s="67"/>
      <c r="W25" s="67"/>
      <c r="Y25" s="25"/>
      <c r="AA25" s="25"/>
    </row>
    <row r="26" spans="1:27" s="66" customFormat="1">
      <c r="B26" s="67"/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67"/>
      <c r="S26" s="67"/>
      <c r="T26" s="67"/>
      <c r="U26" s="67"/>
      <c r="V26" s="67"/>
      <c r="W26" s="67"/>
      <c r="Y26" s="25"/>
      <c r="AA26" s="25"/>
    </row>
    <row r="27" spans="1:27" s="66" customFormat="1"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Y27" s="25"/>
      <c r="AA27" s="25"/>
    </row>
    <row r="28" spans="1:27" s="66" customFormat="1">
      <c r="B28" s="67"/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  <c r="Y28" s="25"/>
      <c r="AA28" s="25"/>
    </row>
    <row r="29" spans="1:27" s="66" customFormat="1">
      <c r="B29" s="67"/>
      <c r="C29" s="67"/>
      <c r="D29" s="67"/>
      <c r="E29" s="67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  <c r="R29" s="67"/>
      <c r="S29" s="67"/>
      <c r="T29" s="67"/>
      <c r="U29" s="67"/>
      <c r="V29" s="67"/>
      <c r="W29" s="67"/>
      <c r="Y29" s="25"/>
      <c r="AA29" s="25"/>
    </row>
    <row r="30" spans="1:27" s="66" customFormat="1">
      <c r="B30" s="67"/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Y30" s="25"/>
      <c r="AA30" s="25"/>
    </row>
    <row r="31" spans="1:27" s="66" customFormat="1">
      <c r="B31" s="67"/>
      <c r="C31" s="67"/>
      <c r="D31" s="67"/>
      <c r="E31" s="67"/>
      <c r="F31" s="67"/>
      <c r="G31" s="67"/>
      <c r="H31" s="67"/>
      <c r="I31" s="67"/>
      <c r="J31" s="67"/>
      <c r="K31" s="67"/>
      <c r="L31" s="67"/>
      <c r="M31" s="67"/>
      <c r="N31" s="67"/>
      <c r="O31" s="67"/>
      <c r="P31" s="67"/>
      <c r="Q31" s="67"/>
      <c r="R31" s="67"/>
      <c r="S31" s="67"/>
      <c r="T31" s="67"/>
      <c r="U31" s="67"/>
      <c r="V31" s="67"/>
      <c r="W31" s="67"/>
      <c r="Y31" s="25"/>
      <c r="AA31" s="25"/>
    </row>
    <row r="32" spans="1:27" s="66" customFormat="1">
      <c r="B32" s="67"/>
      <c r="C32" s="67"/>
      <c r="D32" s="67"/>
      <c r="E32" s="67"/>
      <c r="F32" s="67"/>
      <c r="G32" s="67"/>
      <c r="H32" s="67"/>
      <c r="I32" s="67"/>
      <c r="J32" s="67"/>
      <c r="K32" s="67"/>
      <c r="L32" s="67"/>
      <c r="M32" s="67"/>
      <c r="N32" s="67"/>
      <c r="O32" s="67"/>
      <c r="P32" s="67"/>
      <c r="Q32" s="67"/>
      <c r="R32" s="67"/>
      <c r="S32" s="67"/>
      <c r="T32" s="67"/>
      <c r="U32" s="67"/>
      <c r="V32" s="67"/>
      <c r="W32" s="67"/>
      <c r="Y32" s="25"/>
      <c r="AA32" s="25"/>
    </row>
    <row r="33" spans="2:27" s="66" customFormat="1">
      <c r="B33" s="67"/>
      <c r="C33" s="67"/>
      <c r="D33" s="67"/>
      <c r="E33" s="67"/>
      <c r="F33" s="67"/>
      <c r="G33" s="67"/>
      <c r="H33" s="67"/>
      <c r="I33" s="67"/>
      <c r="J33" s="67"/>
      <c r="K33" s="67"/>
      <c r="L33" s="67"/>
      <c r="M33" s="67"/>
      <c r="N33" s="67"/>
      <c r="O33" s="67"/>
      <c r="P33" s="67"/>
      <c r="Q33" s="67"/>
      <c r="R33" s="67"/>
      <c r="S33" s="67"/>
      <c r="T33" s="67"/>
      <c r="U33" s="67"/>
      <c r="V33" s="67"/>
      <c r="W33" s="67"/>
      <c r="Y33" s="25"/>
      <c r="AA33" s="25"/>
    </row>
    <row r="34" spans="2:27" s="66" customFormat="1">
      <c r="B34" s="67"/>
      <c r="C34" s="67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  <c r="W34" s="67"/>
      <c r="Y34" s="25"/>
      <c r="AA34" s="25"/>
    </row>
    <row r="35" spans="2:27" s="66" customFormat="1">
      <c r="B35" s="67"/>
      <c r="C35" s="67"/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/>
      <c r="Q35" s="67"/>
      <c r="R35" s="67"/>
      <c r="S35" s="67"/>
      <c r="T35" s="67"/>
      <c r="U35" s="67"/>
      <c r="V35" s="67"/>
      <c r="W35" s="67"/>
      <c r="Y35" s="25"/>
      <c r="AA35" s="25"/>
    </row>
    <row r="36" spans="2:27" s="66" customFormat="1">
      <c r="B36" s="67"/>
      <c r="C36" s="67"/>
      <c r="D36" s="67"/>
      <c r="E36" s="67"/>
      <c r="F36" s="67"/>
      <c r="G36" s="67"/>
      <c r="H36" s="67"/>
      <c r="I36" s="67"/>
      <c r="J36" s="67"/>
      <c r="K36" s="67"/>
      <c r="L36" s="67"/>
      <c r="M36" s="67"/>
      <c r="N36" s="67"/>
      <c r="O36" s="67"/>
      <c r="P36" s="67"/>
      <c r="Q36" s="67"/>
      <c r="R36" s="67"/>
      <c r="S36" s="67"/>
      <c r="T36" s="67"/>
      <c r="U36" s="67"/>
      <c r="V36" s="67"/>
      <c r="W36" s="67"/>
      <c r="Y36" s="25"/>
      <c r="AA36" s="25"/>
    </row>
    <row r="37" spans="2:27" s="2" customFormat="1"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Y37" s="25"/>
      <c r="AA37" s="25"/>
    </row>
    <row r="38" spans="2:27" s="2" customFormat="1"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Y38" s="25"/>
      <c r="AA38" s="25"/>
    </row>
    <row r="39" spans="2:27" s="2" customFormat="1"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Y39" s="25"/>
      <c r="AA39" s="25"/>
    </row>
    <row r="40" spans="2:27">
      <c r="Y40" s="25"/>
      <c r="AA40" s="25"/>
    </row>
    <row r="41" spans="2:27">
      <c r="Y41" s="25"/>
      <c r="AA41" s="25"/>
    </row>
    <row r="42" spans="2:27">
      <c r="Y42" s="25"/>
      <c r="AA42" s="25"/>
    </row>
    <row r="43" spans="2:27">
      <c r="Y43" s="25"/>
      <c r="AA43" s="25"/>
    </row>
    <row r="44" spans="2:27">
      <c r="Y44" s="25"/>
      <c r="AA44" s="25"/>
    </row>
    <row r="45" spans="2:27">
      <c r="Y45" s="25"/>
      <c r="AA45" s="25"/>
    </row>
    <row r="46" spans="2:27">
      <c r="Y46" s="25"/>
      <c r="AA46" s="25"/>
    </row>
    <row r="47" spans="2:27">
      <c r="Y47" s="25"/>
      <c r="AA47" s="25"/>
    </row>
    <row r="48" spans="2:27">
      <c r="Y48" s="25"/>
      <c r="AA48" s="25"/>
    </row>
    <row r="49" spans="25:27">
      <c r="Y49" s="25"/>
      <c r="AA49" s="25"/>
    </row>
    <row r="50" spans="25:27">
      <c r="Y50" s="25"/>
      <c r="AA50" s="25"/>
    </row>
    <row r="51" spans="25:27">
      <c r="Y51" s="25"/>
      <c r="AA51" s="25"/>
    </row>
    <row r="52" spans="25:27">
      <c r="Y52" s="25"/>
      <c r="AA52" s="25"/>
    </row>
    <row r="53" spans="25:27">
      <c r="Y53" s="25"/>
      <c r="AA53" s="25"/>
    </row>
    <row r="54" spans="25:27">
      <c r="Y54" s="25"/>
      <c r="AA54" s="25"/>
    </row>
    <row r="55" spans="25:27">
      <c r="Y55" s="25"/>
      <c r="AA55" s="25"/>
    </row>
    <row r="56" spans="25:27">
      <c r="Y56" s="25"/>
      <c r="AA56" s="25"/>
    </row>
    <row r="57" spans="25:27">
      <c r="AA57" s="25"/>
    </row>
    <row r="58" spans="25:27">
      <c r="Y58" s="25"/>
      <c r="AA58" s="25"/>
    </row>
    <row r="59" spans="25:27">
      <c r="Y59" s="25"/>
      <c r="AA59" s="25"/>
    </row>
    <row r="60" spans="25:27">
      <c r="Y60" s="25"/>
      <c r="AA60" s="25"/>
    </row>
    <row r="61" spans="25:27">
      <c r="Y61" s="25"/>
      <c r="AA61" s="25"/>
    </row>
    <row r="62" spans="25:27">
      <c r="Y62" s="25"/>
      <c r="AA62" s="25"/>
    </row>
    <row r="63" spans="25:27">
      <c r="Y63" s="25"/>
      <c r="AA63" s="25"/>
    </row>
    <row r="64" spans="25:27">
      <c r="Y64" s="25"/>
      <c r="AA64" s="25"/>
    </row>
    <row r="65" spans="19:27">
      <c r="Y65" s="25"/>
      <c r="AA65" s="25"/>
    </row>
    <row r="66" spans="19:27">
      <c r="Y66" s="25"/>
      <c r="AA66" s="25"/>
    </row>
    <row r="67" spans="19:27" s="324" customFormat="1">
      <c r="Y67" s="25"/>
      <c r="AA67" s="25"/>
    </row>
    <row r="68" spans="19:27" s="324" customFormat="1">
      <c r="Y68" s="25"/>
      <c r="AA68" s="25"/>
    </row>
    <row r="69" spans="19:27" s="324" customFormat="1">
      <c r="S69" s="325"/>
      <c r="AA69" s="25"/>
    </row>
    <row r="70" spans="19:27">
      <c r="AA70" s="25"/>
    </row>
    <row r="71" spans="19:27">
      <c r="AA71" s="25"/>
    </row>
    <row r="72" spans="19:27">
      <c r="AA72" s="25"/>
    </row>
    <row r="73" spans="19:27">
      <c r="AA73" s="25"/>
    </row>
    <row r="74" spans="19:27">
      <c r="AA74" s="25"/>
    </row>
    <row r="75" spans="19:27">
      <c r="AA75" s="25"/>
    </row>
    <row r="76" spans="19:27">
      <c r="AA76" s="25"/>
    </row>
    <row r="77" spans="19:27">
      <c r="AA77" s="25"/>
    </row>
    <row r="78" spans="19:27">
      <c r="AA78" s="25"/>
    </row>
    <row r="79" spans="19:27">
      <c r="AA79" s="25"/>
    </row>
    <row r="80" spans="19:27">
      <c r="AA80" s="25"/>
    </row>
    <row r="81" spans="27:27">
      <c r="AA81" s="25"/>
    </row>
    <row r="82" spans="27:27">
      <c r="AA82" s="25"/>
    </row>
    <row r="83" spans="27:27">
      <c r="AA83" s="25"/>
    </row>
    <row r="84" spans="27:27">
      <c r="AA84" s="25"/>
    </row>
    <row r="85" spans="27:27">
      <c r="AA85" s="25"/>
    </row>
    <row r="86" spans="27:27">
      <c r="AA86" s="25"/>
    </row>
    <row r="87" spans="27:27">
      <c r="AA87" s="25"/>
    </row>
    <row r="88" spans="27:27">
      <c r="AA88" s="25"/>
    </row>
    <row r="89" spans="27:27">
      <c r="AA89" s="25"/>
    </row>
    <row r="90" spans="27:27">
      <c r="AA90" s="25"/>
    </row>
    <row r="91" spans="27:27">
      <c r="AA91" s="25"/>
    </row>
    <row r="92" spans="27:27">
      <c r="AA92" s="25"/>
    </row>
    <row r="93" spans="27:27">
      <c r="AA93" s="25"/>
    </row>
    <row r="94" spans="27:27">
      <c r="AA94" s="25"/>
    </row>
    <row r="95" spans="27:27">
      <c r="AA95" s="25"/>
    </row>
    <row r="96" spans="27:27">
      <c r="AA96" s="25"/>
    </row>
    <row r="97" spans="1:28">
      <c r="A97" s="324"/>
      <c r="B97" s="324"/>
      <c r="C97" s="324"/>
      <c r="D97" s="324"/>
      <c r="E97" s="324"/>
      <c r="F97" s="324"/>
      <c r="G97" s="324"/>
      <c r="H97" s="324"/>
      <c r="I97" s="324"/>
      <c r="J97" s="324"/>
      <c r="K97" s="324"/>
      <c r="L97" s="324"/>
      <c r="M97" s="324"/>
      <c r="N97" s="324"/>
      <c r="O97" s="324"/>
      <c r="P97" s="324"/>
      <c r="Q97" s="324"/>
      <c r="R97" s="324"/>
      <c r="S97" s="324"/>
      <c r="T97" s="324"/>
      <c r="U97" s="324"/>
      <c r="V97" s="324"/>
      <c r="W97" s="324"/>
      <c r="X97" s="324"/>
      <c r="Z97" s="324"/>
      <c r="AA97" s="25"/>
      <c r="AB97" s="324"/>
    </row>
  </sheetData>
  <mergeCells count="1">
    <mergeCell ref="I5:Q6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30"/>
    <pageSetUpPr fitToPage="1"/>
  </sheetPr>
  <dimension ref="A1:Y54"/>
  <sheetViews>
    <sheetView topLeftCell="A20" zoomScale="90" zoomScaleNormal="90" workbookViewId="0">
      <selection activeCell="AA32" sqref="AA32"/>
    </sheetView>
  </sheetViews>
  <sheetFormatPr defaultRowHeight="12.75"/>
  <cols>
    <col min="1" max="1" width="2" style="2" customWidth="1"/>
    <col min="2" max="2" width="11.42578125" style="26" bestFit="1" customWidth="1"/>
    <col min="3" max="3" width="9.140625" style="26"/>
    <col min="4" max="4" width="8.7109375" style="26" bestFit="1" customWidth="1"/>
    <col min="5" max="5" width="9.140625" style="26"/>
    <col min="6" max="6" width="8.5703125" style="26" customWidth="1"/>
    <col min="7" max="11" width="9.140625" style="26"/>
    <col min="12" max="12" width="8.42578125" style="26" customWidth="1"/>
    <col min="13" max="13" width="9" style="26" customWidth="1"/>
    <col min="14" max="14" width="4.5703125" style="26" customWidth="1"/>
    <col min="15" max="15" width="4.28515625" style="26" customWidth="1"/>
    <col min="16" max="16" width="3" style="26" customWidth="1"/>
    <col min="17" max="19" width="5.140625" style="26" bestFit="1" customWidth="1"/>
    <col min="20" max="20" width="4.140625" style="26" customWidth="1"/>
    <col min="21" max="21" width="9.7109375" style="26" customWidth="1"/>
    <col min="22" max="22" width="6.85546875" style="26" customWidth="1"/>
    <col min="23" max="23" width="16.42578125" style="26" customWidth="1"/>
    <col min="24" max="24" width="4.42578125" style="26" customWidth="1"/>
    <col min="25" max="16384" width="9.140625" style="2"/>
  </cols>
  <sheetData>
    <row r="1" spans="1:25" ht="21.75" customHeight="1">
      <c r="A1" s="69"/>
      <c r="B1" s="25"/>
      <c r="C1" s="25"/>
      <c r="D1" s="25"/>
      <c r="E1" s="25"/>
      <c r="F1" s="25"/>
      <c r="G1" s="25"/>
      <c r="H1" s="25"/>
      <c r="I1" s="25"/>
      <c r="J1" s="25"/>
      <c r="K1" s="25"/>
      <c r="L1" s="359" t="s">
        <v>85</v>
      </c>
      <c r="M1" s="360"/>
      <c r="N1" s="25"/>
      <c r="O1" s="357" t="s">
        <v>84</v>
      </c>
      <c r="P1" s="358"/>
      <c r="Q1" s="358"/>
      <c r="R1" s="358"/>
      <c r="S1" s="358"/>
      <c r="T1" s="84"/>
      <c r="U1" s="13" t="s">
        <v>86</v>
      </c>
      <c r="V1" s="25"/>
      <c r="W1" s="25"/>
      <c r="X1" s="70"/>
    </row>
    <row r="2" spans="1:25" ht="15">
      <c r="A2" s="69"/>
      <c r="B2" s="25"/>
      <c r="C2" s="25"/>
      <c r="D2" s="25"/>
      <c r="E2" s="25"/>
      <c r="F2" s="25"/>
      <c r="G2" s="25"/>
      <c r="H2" s="25"/>
      <c r="I2" s="25"/>
      <c r="J2" s="25"/>
      <c r="K2" s="25"/>
      <c r="L2" s="361" t="e">
        <f ca="1">(IF(Calculations!M12&lt;0,IF(Calculations!M12&lt;Q3,"L","K"),"J"))</f>
        <v>#N/A</v>
      </c>
      <c r="M2" s="362"/>
      <c r="N2" s="27"/>
      <c r="O2" s="85" t="s">
        <v>79</v>
      </c>
      <c r="P2" s="91" t="s">
        <v>88</v>
      </c>
      <c r="Q2" s="96" t="s">
        <v>89</v>
      </c>
      <c r="R2" s="94">
        <v>0</v>
      </c>
      <c r="S2" s="82"/>
      <c r="T2" s="72"/>
      <c r="U2" s="74" t="s">
        <v>31</v>
      </c>
      <c r="V2" s="75"/>
      <c r="W2" s="76">
        <f>Setup!C2</f>
        <v>41796</v>
      </c>
      <c r="X2" s="70"/>
    </row>
    <row r="3" spans="1:25" ht="18">
      <c r="A3" s="69"/>
      <c r="B3" s="25"/>
      <c r="C3" s="25"/>
      <c r="D3" s="25"/>
      <c r="E3" s="25"/>
      <c r="F3" s="87"/>
      <c r="G3" s="25"/>
      <c r="H3" s="25"/>
      <c r="I3" s="25"/>
      <c r="J3" s="25"/>
      <c r="K3" s="90" t="e">
        <f ca="1">IF(Calculations!M12&gt;=0,"","( "&amp;Calculations!M12*100&amp;"% = )")</f>
        <v>#N/A</v>
      </c>
      <c r="L3" s="363"/>
      <c r="M3" s="364"/>
      <c r="N3" s="71"/>
      <c r="O3" s="86" t="s">
        <v>80</v>
      </c>
      <c r="P3" s="92" t="s">
        <v>88</v>
      </c>
      <c r="Q3" s="99">
        <v>-0.15</v>
      </c>
      <c r="R3" s="72" t="s">
        <v>83</v>
      </c>
      <c r="S3" s="98">
        <v>-0.01</v>
      </c>
      <c r="T3" s="72"/>
      <c r="U3" s="77" t="s">
        <v>32</v>
      </c>
      <c r="V3" s="8"/>
      <c r="W3" s="78">
        <f>Setup!C3</f>
        <v>41876</v>
      </c>
      <c r="X3" s="70"/>
    </row>
    <row r="4" spans="1:25" s="66" customFormat="1" ht="22.5">
      <c r="A4" s="69"/>
      <c r="B4" s="25"/>
      <c r="C4" s="25"/>
      <c r="D4" s="25"/>
      <c r="E4" s="88"/>
      <c r="F4" s="73"/>
      <c r="G4" s="25"/>
      <c r="H4" s="25"/>
      <c r="I4" s="25"/>
      <c r="J4" s="25"/>
      <c r="K4" s="25"/>
      <c r="L4" s="365"/>
      <c r="M4" s="366"/>
      <c r="N4" s="71"/>
      <c r="O4" s="89" t="s">
        <v>81</v>
      </c>
      <c r="P4" s="93" t="s">
        <v>88</v>
      </c>
      <c r="Q4" s="95" t="s">
        <v>87</v>
      </c>
      <c r="R4" s="97">
        <v>-0.16</v>
      </c>
      <c r="S4" s="83"/>
      <c r="T4" s="72"/>
      <c r="U4" s="79" t="s">
        <v>33</v>
      </c>
      <c r="V4" s="80"/>
      <c r="W4" s="81">
        <f ca="1">TODAY()</f>
        <v>44105</v>
      </c>
      <c r="X4" s="70"/>
      <c r="Y4" s="2"/>
    </row>
    <row r="5" spans="1:25" customFormat="1">
      <c r="X5" s="70"/>
      <c r="Y5" s="2"/>
    </row>
    <row r="6" spans="1:25">
      <c r="X6" s="70"/>
    </row>
    <row r="7" spans="1:25">
      <c r="G7" s="354" t="s">
        <v>173</v>
      </c>
      <c r="H7" s="355"/>
      <c r="I7" s="355"/>
      <c r="J7" s="355"/>
      <c r="K7" s="355"/>
      <c r="L7" s="355"/>
      <c r="M7" s="355"/>
      <c r="N7" s="355"/>
      <c r="O7" s="355"/>
      <c r="X7" s="70"/>
    </row>
    <row r="8" spans="1:25">
      <c r="G8" s="355"/>
      <c r="H8" s="355"/>
      <c r="I8" s="355"/>
      <c r="J8" s="355"/>
      <c r="K8" s="355"/>
      <c r="L8" s="355"/>
      <c r="M8" s="355"/>
      <c r="N8" s="355"/>
      <c r="O8" s="355"/>
      <c r="X8" s="70"/>
    </row>
    <row r="9" spans="1:25">
      <c r="X9" s="70"/>
    </row>
    <row r="10" spans="1:25" s="68" customFormat="1" ht="16.5" customHeight="1">
      <c r="A10" s="69"/>
      <c r="B10" s="59"/>
      <c r="C10" s="9"/>
      <c r="D10" s="9"/>
      <c r="E10" s="9"/>
      <c r="F10" s="60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70"/>
    </row>
    <row r="11" spans="1:25" s="68" customFormat="1">
      <c r="A11" s="69"/>
      <c r="B11" s="59"/>
      <c r="C11" s="9"/>
      <c r="D11" s="9"/>
      <c r="E11" s="25"/>
      <c r="F11" s="10"/>
      <c r="G11" s="10"/>
      <c r="H11" s="7"/>
      <c r="I11" s="25"/>
      <c r="J11" s="11"/>
      <c r="K11" s="9"/>
      <c r="L11" s="356"/>
      <c r="M11" s="356"/>
      <c r="N11" s="356"/>
      <c r="O11" s="356"/>
      <c r="P11" s="356"/>
      <c r="Q11" s="356"/>
      <c r="R11" s="356"/>
      <c r="S11" s="65"/>
      <c r="T11" s="65"/>
      <c r="U11" s="65"/>
      <c r="V11" s="65"/>
      <c r="W11" s="9"/>
      <c r="X11" s="70"/>
    </row>
    <row r="12" spans="1:25" s="68" customFormat="1">
      <c r="A12" s="69"/>
      <c r="B12" s="12"/>
      <c r="C12" s="12"/>
      <c r="D12" s="8"/>
      <c r="E12" s="7"/>
      <c r="F12" s="10"/>
      <c r="G12" s="10"/>
      <c r="H12" s="7"/>
      <c r="I12" s="7"/>
      <c r="J12" s="7"/>
      <c r="K12" s="13"/>
      <c r="L12" s="14"/>
      <c r="M12" s="14"/>
      <c r="N12" s="25"/>
      <c r="O12" s="25"/>
      <c r="P12" s="25"/>
      <c r="Q12" s="25"/>
      <c r="R12" s="15"/>
      <c r="S12" s="15"/>
      <c r="T12" s="15"/>
      <c r="U12" s="15"/>
      <c r="V12" s="15"/>
      <c r="W12" s="9"/>
      <c r="X12" s="70"/>
    </row>
    <row r="13" spans="1:25" s="68" customFormat="1">
      <c r="A13" s="69"/>
      <c r="B13" s="12"/>
      <c r="C13" s="12"/>
      <c r="D13" s="8"/>
      <c r="E13" s="7"/>
      <c r="F13" s="10"/>
      <c r="G13" s="10"/>
      <c r="H13" s="7"/>
      <c r="I13" s="7"/>
      <c r="J13" s="7"/>
      <c r="K13" s="7"/>
      <c r="L13" s="14"/>
      <c r="M13" s="14"/>
      <c r="N13" s="25"/>
      <c r="O13" s="25"/>
      <c r="P13" s="25"/>
      <c r="Q13" s="25"/>
      <c r="R13" s="15"/>
      <c r="S13" s="15"/>
      <c r="T13" s="15"/>
      <c r="U13" s="15"/>
      <c r="V13" s="15"/>
      <c r="W13" s="9"/>
      <c r="X13" s="70"/>
    </row>
    <row r="14" spans="1:25" s="68" customFormat="1">
      <c r="A14" s="69"/>
      <c r="B14" s="12"/>
      <c r="C14" s="12"/>
      <c r="D14" s="8"/>
      <c r="E14" s="7"/>
      <c r="F14" s="10"/>
      <c r="G14" s="10"/>
      <c r="H14" s="7"/>
      <c r="I14" s="7"/>
      <c r="J14" s="7"/>
      <c r="K14" s="7"/>
      <c r="L14" s="14"/>
      <c r="M14" s="14"/>
      <c r="N14" s="25"/>
      <c r="O14" s="25"/>
      <c r="P14" s="25"/>
      <c r="Q14" s="25"/>
      <c r="R14" s="15"/>
      <c r="S14" s="15"/>
      <c r="T14" s="15"/>
      <c r="U14" s="15"/>
      <c r="V14" s="15"/>
      <c r="W14" s="9"/>
      <c r="X14" s="70"/>
    </row>
    <row r="15" spans="1:25" s="68" customFormat="1">
      <c r="A15" s="69"/>
      <c r="B15" s="12"/>
      <c r="C15" s="12"/>
      <c r="D15" s="8"/>
      <c r="E15" s="7"/>
      <c r="F15" s="10"/>
      <c r="G15" s="10"/>
      <c r="H15" s="7"/>
      <c r="I15" s="11"/>
      <c r="J15" s="11"/>
      <c r="K15" s="7"/>
      <c r="L15" s="14"/>
      <c r="M15" s="14"/>
      <c r="N15" s="25"/>
      <c r="O15" s="25"/>
      <c r="P15" s="25"/>
      <c r="Q15" s="25"/>
      <c r="R15" s="15"/>
      <c r="S15" s="15"/>
      <c r="T15" s="15"/>
      <c r="U15" s="15"/>
      <c r="V15" s="15"/>
      <c r="W15" s="9"/>
      <c r="X15" s="70"/>
    </row>
    <row r="16" spans="1:25" s="68" customFormat="1">
      <c r="A16" s="69"/>
      <c r="B16" s="12"/>
      <c r="C16" s="12"/>
      <c r="D16" s="8"/>
      <c r="E16" s="7"/>
      <c r="F16" s="10"/>
      <c r="G16" s="10"/>
      <c r="H16" s="7"/>
      <c r="I16" s="11"/>
      <c r="J16" s="11"/>
      <c r="K16" s="16"/>
      <c r="L16" s="14"/>
      <c r="M16" s="14"/>
      <c r="N16" s="25"/>
      <c r="O16" s="25"/>
      <c r="P16" s="25"/>
      <c r="Q16" s="25"/>
      <c r="R16" s="15"/>
      <c r="S16" s="15"/>
      <c r="T16" s="15"/>
      <c r="U16" s="15"/>
      <c r="V16" s="15"/>
      <c r="W16" s="9"/>
      <c r="X16" s="70"/>
    </row>
    <row r="17" spans="1:24" s="68" customFormat="1">
      <c r="A17" s="69"/>
      <c r="B17" s="12"/>
      <c r="C17" s="12"/>
      <c r="D17" s="8"/>
      <c r="E17" s="7"/>
      <c r="F17" s="10"/>
      <c r="G17" s="10"/>
      <c r="H17" s="7"/>
      <c r="I17" s="11"/>
      <c r="J17" s="11"/>
      <c r="K17" s="16"/>
      <c r="L17" s="17"/>
      <c r="M17" s="17"/>
      <c r="N17" s="17"/>
      <c r="O17" s="17"/>
      <c r="P17" s="17"/>
      <c r="Q17" s="17"/>
      <c r="R17" s="9"/>
      <c r="S17" s="9"/>
      <c r="T17" s="9"/>
      <c r="U17" s="9"/>
      <c r="V17" s="9"/>
      <c r="W17" s="9"/>
      <c r="X17" s="70"/>
    </row>
    <row r="18" spans="1:24" s="68" customFormat="1">
      <c r="A18" s="69"/>
      <c r="B18" s="10"/>
      <c r="C18" s="10"/>
      <c r="D18" s="7"/>
      <c r="E18" s="7"/>
      <c r="F18" s="10"/>
      <c r="G18" s="10"/>
      <c r="H18" s="7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70"/>
    </row>
    <row r="19" spans="1:24" s="68" customFormat="1">
      <c r="A19" s="69"/>
      <c r="B19" s="10"/>
      <c r="C19" s="10"/>
      <c r="D19" s="7"/>
      <c r="E19" s="7"/>
      <c r="F19" s="10"/>
      <c r="G19" s="10"/>
      <c r="H19" s="7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70"/>
    </row>
    <row r="20" spans="1:24" s="68" customFormat="1">
      <c r="A20" s="69"/>
      <c r="B20" s="10"/>
      <c r="C20" s="10"/>
      <c r="D20" s="7"/>
      <c r="E20" s="7"/>
      <c r="F20" s="10"/>
      <c r="G20" s="10"/>
      <c r="H20" s="7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70"/>
    </row>
    <row r="21" spans="1:24" s="68" customFormat="1" ht="18.75" customHeight="1">
      <c r="A21" s="69"/>
      <c r="B21" s="10"/>
      <c r="C21" s="10"/>
      <c r="D21" s="7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70"/>
    </row>
    <row r="22" spans="1:24" s="68" customFormat="1">
      <c r="A22" s="69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70"/>
    </row>
    <row r="23" spans="1:24" s="68" customFormat="1">
      <c r="A23" s="69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70"/>
    </row>
    <row r="24" spans="1:24" s="68" customFormat="1">
      <c r="A24" s="69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70"/>
    </row>
    <row r="25" spans="1:24" s="68" customFormat="1">
      <c r="A25" s="69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70"/>
    </row>
    <row r="26" spans="1:24" s="68" customFormat="1">
      <c r="A26" s="69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70"/>
    </row>
    <row r="27" spans="1:24" s="68" customFormat="1">
      <c r="A27" s="69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70"/>
    </row>
    <row r="28" spans="1:24" s="68" customFormat="1">
      <c r="A28" s="69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70"/>
    </row>
    <row r="29" spans="1:24" s="68" customFormat="1">
      <c r="A29" s="69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70"/>
    </row>
    <row r="30" spans="1:24" s="68" customFormat="1">
      <c r="A30" s="69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70"/>
    </row>
    <row r="31" spans="1:24" s="68" customFormat="1">
      <c r="A31" s="69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70"/>
    </row>
    <row r="32" spans="1:24" s="68" customFormat="1">
      <c r="A32" s="69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70"/>
    </row>
    <row r="33" spans="1:24" s="68" customFormat="1">
      <c r="A33" s="69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70"/>
    </row>
    <row r="34" spans="1:24" s="68" customFormat="1">
      <c r="A34" s="69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70"/>
    </row>
    <row r="35" spans="1:24" s="68" customFormat="1">
      <c r="A35" s="69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70"/>
    </row>
    <row r="36" spans="1:24" s="68" customFormat="1">
      <c r="A36" s="69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70"/>
    </row>
    <row r="37" spans="1:24" s="68" customFormat="1">
      <c r="A37" s="69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70"/>
    </row>
    <row r="38" spans="1:24" s="68" customFormat="1">
      <c r="A38" s="69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70"/>
    </row>
    <row r="39" spans="1:24" s="68" customFormat="1">
      <c r="A39" s="69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70"/>
    </row>
    <row r="40" spans="1:24" s="68" customFormat="1">
      <c r="A40" s="69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70"/>
    </row>
    <row r="41" spans="1:24" s="68" customFormat="1">
      <c r="A41" s="69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70"/>
    </row>
    <row r="42" spans="1:24" s="68" customFormat="1">
      <c r="A42" s="69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70"/>
    </row>
    <row r="43" spans="1:24" s="68" customFormat="1">
      <c r="A43" s="69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70"/>
    </row>
    <row r="44" spans="1:24" s="68" customFormat="1">
      <c r="A44" s="69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70"/>
    </row>
    <row r="45" spans="1:24" s="68" customFormat="1">
      <c r="A45" s="69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70"/>
    </row>
    <row r="46" spans="1:24" s="68" customFormat="1">
      <c r="A46" s="69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70"/>
    </row>
    <row r="47" spans="1:24" s="68" customFormat="1">
      <c r="A47" s="69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70"/>
    </row>
    <row r="48" spans="1:24" s="68" customFormat="1">
      <c r="A48" s="69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70"/>
    </row>
    <row r="49" spans="1:24" s="68" customFormat="1">
      <c r="A49" s="69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70"/>
    </row>
    <row r="50" spans="1:24" s="68" customFormat="1">
      <c r="A50" s="69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70"/>
    </row>
    <row r="51" spans="1:24" s="68" customFormat="1">
      <c r="A51" s="69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70"/>
    </row>
    <row r="52" spans="1:24" s="68" customFormat="1">
      <c r="A52" s="69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70"/>
    </row>
    <row r="53" spans="1:24" s="68" customFormat="1">
      <c r="A53" s="69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70"/>
    </row>
    <row r="54" spans="1:24" s="68" customFormat="1">
      <c r="A54" s="69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70"/>
    </row>
  </sheetData>
  <customSheetViews>
    <customSheetView guid="{D2A2FE10-E5D0-4A4C-953C-A7AA87BC6F22}">
      <selection activeCell="L62" sqref="L62"/>
      <pageMargins left="0.75" right="0.75" top="1" bottom="1" header="0.5" footer="0.5"/>
      <pageSetup paperSize="9" orientation="portrait" verticalDpi="0" r:id="rId1"/>
      <headerFooter alignWithMargins="0"/>
    </customSheetView>
  </customSheetViews>
  <mergeCells count="5">
    <mergeCell ref="L11:R11"/>
    <mergeCell ref="G7:O8"/>
    <mergeCell ref="O1:S1"/>
    <mergeCell ref="L1:M1"/>
    <mergeCell ref="L2:M4"/>
  </mergeCells>
  <phoneticPr fontId="25" type="noConversion"/>
  <conditionalFormatting sqref="L2:M4">
    <cfRule type="cellIs" dxfId="44" priority="1" operator="equal">
      <formula>"K"</formula>
    </cfRule>
    <cfRule type="cellIs" dxfId="43" priority="2" operator="equal">
      <formula>"J"</formula>
    </cfRule>
    <cfRule type="cellIs" dxfId="42" priority="3" operator="equal">
      <formula>"L"</formula>
    </cfRule>
  </conditionalFormatting>
  <pageMargins left="0.74803149606299213" right="0.74803149606299213" top="0.98425196850393704" bottom="0.98425196850393704" header="0.51181102362204722" footer="0.51181102362204722"/>
  <pageSetup paperSize="9" scale="54" orientation="landscape" verticalDpi="0" r:id="rId2"/>
  <headerFooter alignWithMargins="0"/>
  <drawing r:id="rId3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FF0000"/>
  </sheetPr>
  <dimension ref="A1:BC105"/>
  <sheetViews>
    <sheetView showGridLines="0" topLeftCell="A2" zoomScale="70" zoomScaleNormal="70" workbookViewId="0">
      <selection activeCell="X30" sqref="X30"/>
    </sheetView>
  </sheetViews>
  <sheetFormatPr defaultColWidth="9.140625" defaultRowHeight="15.75"/>
  <cols>
    <col min="1" max="1" width="0.85546875" style="143" customWidth="1"/>
    <col min="2" max="2" width="2.28515625" style="117" customWidth="1"/>
    <col min="3" max="3" width="1.140625" style="143" customWidth="1"/>
    <col min="4" max="5" width="3.7109375" style="118" customWidth="1"/>
    <col min="6" max="6" width="17.140625" style="118" customWidth="1"/>
    <col min="7" max="7" width="3.28515625" style="118" customWidth="1"/>
    <col min="8" max="9" width="3.7109375" style="118" customWidth="1"/>
    <col min="10" max="10" width="6.140625" style="118" customWidth="1"/>
    <col min="11" max="12" width="3.7109375" style="118" customWidth="1"/>
    <col min="13" max="13" width="5.140625" style="118" customWidth="1"/>
    <col min="14" max="15" width="3.7109375" style="118" customWidth="1"/>
    <col min="16" max="16" width="7.7109375" style="118" customWidth="1"/>
    <col min="17" max="23" width="3.7109375" style="118" customWidth="1"/>
    <col min="24" max="24" width="2.5703125" style="118" customWidth="1"/>
    <col min="25" max="28" width="3.7109375" style="118" customWidth="1"/>
    <col min="29" max="29" width="4.42578125" style="118" customWidth="1"/>
    <col min="30" max="30" width="5.28515625" style="118" customWidth="1"/>
    <col min="31" max="32" width="3.7109375" style="118" customWidth="1"/>
    <col min="33" max="33" width="4.42578125" style="118" customWidth="1"/>
    <col min="34" max="35" width="3.7109375" style="118" customWidth="1"/>
    <col min="36" max="36" width="3.5703125" style="118" customWidth="1"/>
    <col min="37" max="37" width="3.7109375" style="118" customWidth="1"/>
    <col min="38" max="38" width="4.85546875" style="118" customWidth="1"/>
    <col min="39" max="39" width="4.140625" style="118" customWidth="1"/>
    <col min="40" max="40" width="4.85546875" style="118" customWidth="1"/>
    <col min="41" max="41" width="7.140625" style="118" customWidth="1"/>
    <col min="42" max="42" width="3.28515625" style="118" customWidth="1"/>
    <col min="43" max="43" width="3.7109375" style="118" customWidth="1"/>
    <col min="44" max="44" width="5.42578125" style="118" customWidth="1"/>
    <col min="45" max="48" width="3.7109375" style="118" customWidth="1"/>
    <col min="49" max="49" width="4.7109375" style="118" customWidth="1"/>
    <col min="50" max="50" width="3.7109375" style="118" customWidth="1"/>
    <col min="51" max="51" width="2.5703125" style="118" customWidth="1"/>
    <col min="52" max="52" width="3.7109375" style="117" customWidth="1"/>
    <col min="53" max="54" width="3.7109375" style="118" customWidth="1"/>
    <col min="55" max="55" width="0.85546875" style="119" customWidth="1"/>
    <col min="56" max="57" width="10.7109375" style="118" customWidth="1"/>
    <col min="58" max="16384" width="9.140625" style="118"/>
  </cols>
  <sheetData>
    <row r="1" spans="1:54" s="119" customFormat="1" ht="23.25" customHeight="1">
      <c r="A1" s="143"/>
      <c r="B1" s="143"/>
      <c r="C1" s="143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4"/>
      <c r="AH1" s="144"/>
      <c r="AI1" s="144"/>
      <c r="AJ1" s="144"/>
      <c r="AZ1" s="143"/>
    </row>
    <row r="2" spans="1:54" ht="21" customHeight="1"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354" t="s">
        <v>174</v>
      </c>
      <c r="Q2" s="354"/>
      <c r="R2" s="354"/>
      <c r="S2" s="354"/>
      <c r="T2" s="354"/>
      <c r="U2" s="354"/>
      <c r="V2" s="354"/>
      <c r="W2" s="354"/>
      <c r="X2" s="354"/>
      <c r="Y2" s="354"/>
      <c r="Z2" s="354"/>
      <c r="AA2" s="354"/>
      <c r="AB2" s="354"/>
      <c r="AC2" s="354"/>
      <c r="AD2" s="354"/>
      <c r="AE2" s="354"/>
      <c r="AF2" s="354"/>
      <c r="AG2" s="354"/>
      <c r="AH2" s="354"/>
      <c r="AI2" s="354"/>
      <c r="AJ2" s="354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19"/>
      <c r="AZ2" s="143"/>
      <c r="BA2" s="119"/>
      <c r="BB2" s="119"/>
    </row>
    <row r="3" spans="1:54" ht="23.25" customHeight="1">
      <c r="A3" s="119"/>
      <c r="B3" s="118"/>
      <c r="P3" s="354"/>
      <c r="Q3" s="354"/>
      <c r="R3" s="354"/>
      <c r="S3" s="354"/>
      <c r="T3" s="354"/>
      <c r="U3" s="354"/>
      <c r="V3" s="354"/>
      <c r="W3" s="354"/>
      <c r="X3" s="354"/>
      <c r="Y3" s="354"/>
      <c r="Z3" s="354"/>
      <c r="AA3" s="354"/>
      <c r="AB3" s="354"/>
      <c r="AC3" s="354"/>
      <c r="AD3" s="354"/>
      <c r="AE3" s="354"/>
      <c r="AF3" s="354"/>
      <c r="AG3" s="354"/>
      <c r="AH3" s="354"/>
      <c r="AI3" s="354"/>
      <c r="AJ3" s="354"/>
    </row>
    <row r="4" spans="1:54" s="119" customFormat="1" ht="12.75" customHeight="1">
      <c r="C4" s="143"/>
      <c r="AZ4" s="143"/>
    </row>
    <row r="5" spans="1:54" ht="10.5" customHeight="1" thickBot="1">
      <c r="A5" s="119"/>
      <c r="B5" s="118"/>
    </row>
    <row r="6" spans="1:54" ht="18" customHeight="1" thickBot="1">
      <c r="A6" s="119"/>
      <c r="B6" s="118"/>
      <c r="E6" s="120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2" t="s">
        <v>168</v>
      </c>
      <c r="AS6" s="121"/>
      <c r="AT6" s="121"/>
      <c r="AU6" s="121"/>
      <c r="AV6" s="121"/>
      <c r="AW6" s="121"/>
      <c r="AX6" s="121"/>
      <c r="AY6" s="121"/>
      <c r="AZ6" s="123"/>
    </row>
    <row r="7" spans="1:54" ht="15.75" customHeight="1" thickBot="1">
      <c r="A7" s="119"/>
      <c r="B7" s="118"/>
      <c r="E7" s="124"/>
      <c r="F7" s="125" t="s">
        <v>170</v>
      </c>
      <c r="G7" s="126"/>
      <c r="H7" s="126"/>
      <c r="I7" s="126"/>
      <c r="J7" s="126"/>
      <c r="K7" s="126"/>
      <c r="L7" s="126"/>
      <c r="M7" s="126"/>
      <c r="N7" s="126"/>
      <c r="O7" s="126"/>
      <c r="P7" s="126"/>
      <c r="Q7" s="126"/>
      <c r="R7" s="126"/>
      <c r="S7" s="126"/>
      <c r="T7" s="126"/>
      <c r="U7" s="126"/>
      <c r="V7" s="126"/>
      <c r="W7" s="126"/>
      <c r="X7" s="126"/>
      <c r="Y7" s="126"/>
      <c r="Z7" s="126"/>
      <c r="AA7" s="126"/>
      <c r="AB7" s="126"/>
      <c r="AC7" s="126"/>
      <c r="AD7" s="126"/>
      <c r="AE7" s="126"/>
      <c r="AF7" s="126"/>
      <c r="AG7" s="126"/>
      <c r="AH7" s="126"/>
      <c r="AI7" s="126"/>
      <c r="AJ7" s="126"/>
      <c r="AK7" s="126"/>
      <c r="AL7" s="126"/>
      <c r="AM7" s="126"/>
      <c r="AN7" s="126"/>
      <c r="AO7" s="126"/>
      <c r="AP7" s="126"/>
      <c r="AQ7" s="126"/>
      <c r="AR7" s="126"/>
      <c r="AS7" s="126"/>
      <c r="AT7" s="126"/>
      <c r="AU7" s="126"/>
      <c r="AV7" s="126"/>
      <c r="AW7" s="126"/>
      <c r="AX7" s="126"/>
      <c r="AY7" s="127"/>
      <c r="AZ7" s="128"/>
    </row>
    <row r="8" spans="1:54" ht="3" customHeight="1" thickBot="1">
      <c r="A8" s="119"/>
      <c r="B8" s="118"/>
      <c r="E8" s="124"/>
      <c r="F8" s="129"/>
      <c r="G8" s="374" t="s">
        <v>153</v>
      </c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6"/>
      <c r="W8" s="130"/>
      <c r="X8" s="374" t="s">
        <v>152</v>
      </c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6"/>
      <c r="AM8" s="131"/>
      <c r="AN8" s="131"/>
      <c r="AO8" s="131"/>
      <c r="AP8" s="131"/>
      <c r="AQ8" s="131"/>
      <c r="AR8" s="131"/>
      <c r="AS8" s="131"/>
      <c r="AT8" s="131"/>
      <c r="AU8" s="131"/>
      <c r="AV8" s="131"/>
      <c r="AW8" s="131"/>
      <c r="AX8" s="131"/>
      <c r="AY8" s="132"/>
      <c r="AZ8" s="128"/>
    </row>
    <row r="9" spans="1:54" ht="16.5" customHeight="1" thickBot="1">
      <c r="A9" s="119"/>
      <c r="B9" s="118"/>
      <c r="E9" s="124"/>
      <c r="F9" s="129"/>
      <c r="G9" s="377"/>
      <c r="H9" s="378"/>
      <c r="I9" s="378"/>
      <c r="J9" s="378"/>
      <c r="K9" s="378"/>
      <c r="L9" s="378"/>
      <c r="M9" s="378"/>
      <c r="N9" s="378"/>
      <c r="O9" s="378"/>
      <c r="P9" s="378"/>
      <c r="Q9" s="378"/>
      <c r="R9" s="378"/>
      <c r="S9" s="378"/>
      <c r="T9" s="378"/>
      <c r="U9" s="378"/>
      <c r="V9" s="379"/>
      <c r="W9" s="130"/>
      <c r="X9" s="380"/>
      <c r="Y9" s="378"/>
      <c r="Z9" s="378"/>
      <c r="AA9" s="378"/>
      <c r="AB9" s="378"/>
      <c r="AC9" s="378"/>
      <c r="AD9" s="378"/>
      <c r="AE9" s="378"/>
      <c r="AF9" s="378"/>
      <c r="AG9" s="378"/>
      <c r="AH9" s="378"/>
      <c r="AI9" s="378"/>
      <c r="AJ9" s="378"/>
      <c r="AK9" s="378"/>
      <c r="AL9" s="379"/>
      <c r="AM9" s="131"/>
      <c r="AN9" s="381" t="s">
        <v>172</v>
      </c>
      <c r="AO9" s="382"/>
      <c r="AP9" s="382"/>
      <c r="AQ9" s="382"/>
      <c r="AR9" s="382"/>
      <c r="AS9" s="382"/>
      <c r="AT9" s="382"/>
      <c r="AU9" s="383"/>
      <c r="AV9" s="131"/>
      <c r="AW9" s="131"/>
      <c r="AX9" s="131"/>
      <c r="AY9" s="132"/>
      <c r="AZ9" s="128"/>
    </row>
    <row r="10" spans="1:54" ht="9.75" customHeight="1" thickBot="1">
      <c r="A10" s="119"/>
      <c r="B10" s="118"/>
      <c r="E10" s="124"/>
      <c r="F10" s="133"/>
      <c r="G10" s="134"/>
      <c r="H10" s="134"/>
      <c r="I10" s="134"/>
      <c r="J10" s="134"/>
      <c r="K10" s="134"/>
      <c r="L10" s="134"/>
      <c r="M10" s="134"/>
      <c r="N10" s="134"/>
      <c r="O10" s="134"/>
      <c r="P10" s="134"/>
      <c r="Q10" s="134"/>
      <c r="R10" s="134"/>
      <c r="S10" s="134"/>
      <c r="T10" s="134"/>
      <c r="U10" s="134"/>
      <c r="V10" s="134"/>
      <c r="W10" s="134"/>
      <c r="X10" s="134"/>
      <c r="Y10" s="134"/>
      <c r="Z10" s="134"/>
      <c r="AA10" s="134"/>
      <c r="AB10" s="134"/>
      <c r="AC10" s="134"/>
      <c r="AD10" s="134"/>
      <c r="AE10" s="134"/>
      <c r="AF10" s="134"/>
      <c r="AG10" s="134"/>
      <c r="AH10" s="134"/>
      <c r="AI10" s="134"/>
      <c r="AJ10" s="134"/>
      <c r="AK10" s="134"/>
      <c r="AL10" s="134"/>
      <c r="AM10" s="134"/>
      <c r="AN10" s="134"/>
      <c r="AO10" s="134"/>
      <c r="AP10" s="134"/>
      <c r="AQ10" s="134"/>
      <c r="AR10" s="134"/>
      <c r="AS10" s="134"/>
      <c r="AT10" s="134"/>
      <c r="AU10" s="134"/>
      <c r="AV10" s="134"/>
      <c r="AW10" s="134"/>
      <c r="AX10" s="134"/>
      <c r="AY10" s="135"/>
      <c r="AZ10" s="128"/>
    </row>
    <row r="11" spans="1:54" ht="9.75" customHeight="1" thickBot="1">
      <c r="A11" s="119"/>
      <c r="B11" s="118"/>
      <c r="E11" s="124"/>
      <c r="F11" s="136"/>
      <c r="G11" s="136"/>
      <c r="H11" s="136"/>
      <c r="I11" s="136"/>
      <c r="J11" s="136"/>
      <c r="K11" s="136"/>
      <c r="L11" s="136"/>
      <c r="M11" s="136"/>
      <c r="N11" s="136"/>
      <c r="O11" s="136"/>
      <c r="P11" s="136"/>
      <c r="Q11" s="136"/>
      <c r="R11" s="136"/>
      <c r="S11" s="136"/>
      <c r="T11" s="136"/>
      <c r="U11" s="136"/>
      <c r="V11" s="136"/>
      <c r="W11" s="136"/>
      <c r="X11" s="136"/>
      <c r="Y11" s="136"/>
      <c r="Z11" s="136"/>
      <c r="AA11" s="136"/>
      <c r="AB11" s="136"/>
      <c r="AC11" s="136"/>
      <c r="AD11" s="136"/>
      <c r="AE11" s="136"/>
      <c r="AF11" s="136"/>
      <c r="AG11" s="136"/>
      <c r="AH11" s="136"/>
      <c r="AI11" s="136"/>
      <c r="AJ11" s="136"/>
      <c r="AK11" s="136"/>
      <c r="AL11" s="136"/>
      <c r="AM11" s="136"/>
      <c r="AN11" s="136"/>
      <c r="AO11" s="136"/>
      <c r="AP11" s="136"/>
      <c r="AQ11" s="136"/>
      <c r="AR11" s="136"/>
      <c r="AS11" s="136"/>
      <c r="AT11" s="136"/>
      <c r="AU11" s="136"/>
      <c r="AV11" s="136"/>
      <c r="AW11" s="136"/>
      <c r="AX11" s="136"/>
      <c r="AY11" s="136"/>
      <c r="AZ11" s="128"/>
    </row>
    <row r="12" spans="1:54" ht="18" customHeight="1" thickBot="1">
      <c r="A12" s="119"/>
      <c r="B12" s="118"/>
      <c r="E12" s="120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2"/>
      <c r="AS12" s="121"/>
      <c r="AT12" s="121"/>
      <c r="AU12" s="121"/>
      <c r="AV12" s="121"/>
      <c r="AW12" s="121"/>
      <c r="AX12" s="121"/>
      <c r="AY12" s="121"/>
      <c r="AZ12" s="123"/>
    </row>
    <row r="13" spans="1:54" ht="15.75" customHeight="1" thickBot="1">
      <c r="A13" s="119"/>
      <c r="B13" s="118"/>
      <c r="E13" s="124"/>
      <c r="F13" s="125" t="s">
        <v>169</v>
      </c>
      <c r="G13" s="126"/>
      <c r="H13" s="126"/>
      <c r="I13" s="126"/>
      <c r="J13" s="126"/>
      <c r="K13" s="126"/>
      <c r="L13" s="126"/>
      <c r="M13" s="126"/>
      <c r="N13" s="126"/>
      <c r="O13" s="126"/>
      <c r="P13" s="126"/>
      <c r="Q13" s="126"/>
      <c r="R13" s="126"/>
      <c r="S13" s="126"/>
      <c r="T13" s="126"/>
      <c r="U13" s="126"/>
      <c r="V13" s="126"/>
      <c r="W13" s="126"/>
      <c r="X13" s="126"/>
      <c r="Y13" s="126"/>
      <c r="Z13" s="126"/>
      <c r="AA13" s="126"/>
      <c r="AB13" s="126"/>
      <c r="AC13" s="126"/>
      <c r="AD13" s="126"/>
      <c r="AE13" s="126"/>
      <c r="AF13" s="126"/>
      <c r="AG13" s="126"/>
      <c r="AH13" s="126"/>
      <c r="AI13" s="126"/>
      <c r="AJ13" s="126"/>
      <c r="AK13" s="126"/>
      <c r="AL13" s="126"/>
      <c r="AM13" s="126"/>
      <c r="AN13" s="126"/>
      <c r="AO13" s="126"/>
      <c r="AP13" s="126"/>
      <c r="AQ13" s="126"/>
      <c r="AR13" s="126"/>
      <c r="AS13" s="126"/>
      <c r="AT13" s="126"/>
      <c r="AU13" s="126"/>
      <c r="AV13" s="126"/>
      <c r="AW13" s="126"/>
      <c r="AX13" s="126"/>
      <c r="AY13" s="127"/>
      <c r="AZ13" s="128"/>
    </row>
    <row r="14" spans="1:54" ht="3" customHeight="1" thickBot="1">
      <c r="A14" s="119"/>
      <c r="B14" s="118"/>
      <c r="E14" s="124"/>
      <c r="F14" s="129"/>
      <c r="G14" s="393" t="s">
        <v>176</v>
      </c>
      <c r="H14" s="375"/>
      <c r="I14" s="375"/>
      <c r="J14" s="375"/>
      <c r="K14" s="375"/>
      <c r="L14" s="375"/>
      <c r="M14" s="375"/>
      <c r="N14" s="375"/>
      <c r="O14" s="375"/>
      <c r="P14" s="375"/>
      <c r="Q14" s="375"/>
      <c r="R14" s="375"/>
      <c r="S14" s="375"/>
      <c r="T14" s="375"/>
      <c r="U14" s="375"/>
      <c r="V14" s="376"/>
      <c r="W14" s="130"/>
      <c r="X14" s="394" t="s">
        <v>154</v>
      </c>
      <c r="Y14" s="375"/>
      <c r="Z14" s="375"/>
      <c r="AA14" s="375"/>
      <c r="AB14" s="375"/>
      <c r="AC14" s="375"/>
      <c r="AD14" s="375"/>
      <c r="AE14" s="375"/>
      <c r="AF14" s="375"/>
      <c r="AG14" s="375"/>
      <c r="AH14" s="375"/>
      <c r="AI14" s="375"/>
      <c r="AJ14" s="375"/>
      <c r="AK14" s="375"/>
      <c r="AL14" s="376"/>
      <c r="AM14" s="131"/>
      <c r="AN14" s="131"/>
      <c r="AO14" s="131"/>
      <c r="AP14" s="131"/>
      <c r="AQ14" s="131"/>
      <c r="AR14" s="131"/>
      <c r="AS14" s="131"/>
      <c r="AT14" s="131"/>
      <c r="AU14" s="131"/>
      <c r="AV14" s="131"/>
      <c r="AW14" s="131"/>
      <c r="AX14" s="131"/>
      <c r="AY14" s="132"/>
      <c r="AZ14" s="128"/>
    </row>
    <row r="15" spans="1:54" ht="16.5" customHeight="1" thickBot="1">
      <c r="A15" s="119"/>
      <c r="B15" s="118"/>
      <c r="E15" s="124"/>
      <c r="F15" s="129"/>
      <c r="G15" s="377"/>
      <c r="H15" s="378"/>
      <c r="I15" s="378"/>
      <c r="J15" s="378"/>
      <c r="K15" s="378"/>
      <c r="L15" s="378"/>
      <c r="M15" s="378"/>
      <c r="N15" s="378"/>
      <c r="O15" s="378"/>
      <c r="P15" s="378"/>
      <c r="Q15" s="378"/>
      <c r="R15" s="378"/>
      <c r="S15" s="378"/>
      <c r="T15" s="378"/>
      <c r="U15" s="378"/>
      <c r="V15" s="379"/>
      <c r="W15" s="130"/>
      <c r="X15" s="380"/>
      <c r="Y15" s="378"/>
      <c r="Z15" s="378"/>
      <c r="AA15" s="378"/>
      <c r="AB15" s="378"/>
      <c r="AC15" s="378"/>
      <c r="AD15" s="378"/>
      <c r="AE15" s="378"/>
      <c r="AF15" s="378"/>
      <c r="AG15" s="378"/>
      <c r="AH15" s="378"/>
      <c r="AI15" s="378"/>
      <c r="AJ15" s="378"/>
      <c r="AK15" s="378"/>
      <c r="AL15" s="379"/>
      <c r="AM15" s="131"/>
      <c r="AN15" s="381" t="s">
        <v>172</v>
      </c>
      <c r="AO15" s="382"/>
      <c r="AP15" s="382"/>
      <c r="AQ15" s="382"/>
      <c r="AR15" s="382"/>
      <c r="AS15" s="382"/>
      <c r="AT15" s="382"/>
      <c r="AU15" s="383"/>
      <c r="AV15" s="131"/>
      <c r="AW15" s="131"/>
      <c r="AX15" s="131"/>
      <c r="AY15" s="132"/>
      <c r="AZ15" s="128"/>
    </row>
    <row r="16" spans="1:54" ht="9.75" customHeight="1" thickBot="1">
      <c r="A16" s="119"/>
      <c r="B16" s="118"/>
      <c r="E16" s="124"/>
      <c r="F16" s="133"/>
      <c r="G16" s="134"/>
      <c r="H16" s="134"/>
      <c r="I16" s="134"/>
      <c r="J16" s="134"/>
      <c r="K16" s="134"/>
      <c r="L16" s="134"/>
      <c r="M16" s="134"/>
      <c r="N16" s="134"/>
      <c r="O16" s="134"/>
      <c r="P16" s="134"/>
      <c r="Q16" s="134"/>
      <c r="R16" s="134"/>
      <c r="S16" s="134"/>
      <c r="T16" s="134"/>
      <c r="U16" s="134"/>
      <c r="V16" s="134"/>
      <c r="W16" s="134"/>
      <c r="X16" s="134"/>
      <c r="Y16" s="134"/>
      <c r="Z16" s="134"/>
      <c r="AA16" s="134"/>
      <c r="AB16" s="134"/>
      <c r="AC16" s="134"/>
      <c r="AD16" s="134"/>
      <c r="AE16" s="134"/>
      <c r="AF16" s="134"/>
      <c r="AG16" s="134"/>
      <c r="AH16" s="134"/>
      <c r="AI16" s="134"/>
      <c r="AJ16" s="134"/>
      <c r="AK16" s="134"/>
      <c r="AL16" s="134"/>
      <c r="AM16" s="134"/>
      <c r="AN16" s="134"/>
      <c r="AO16" s="134"/>
      <c r="AP16" s="134"/>
      <c r="AQ16" s="134"/>
      <c r="AR16" s="134"/>
      <c r="AS16" s="134"/>
      <c r="AT16" s="134"/>
      <c r="AU16" s="134"/>
      <c r="AV16" s="134"/>
      <c r="AW16" s="134"/>
      <c r="AX16" s="134"/>
      <c r="AY16" s="135"/>
      <c r="AZ16" s="128"/>
    </row>
    <row r="17" spans="1:52" ht="9.75" customHeight="1" thickBot="1">
      <c r="A17" s="119"/>
      <c r="B17" s="118"/>
      <c r="E17" s="124"/>
      <c r="F17" s="136"/>
      <c r="G17" s="136"/>
      <c r="H17" s="136"/>
      <c r="I17" s="136"/>
      <c r="J17" s="136"/>
      <c r="K17" s="136"/>
      <c r="L17" s="136"/>
      <c r="M17" s="136"/>
      <c r="N17" s="136"/>
      <c r="O17" s="136"/>
      <c r="P17" s="136"/>
      <c r="Q17" s="136"/>
      <c r="R17" s="136"/>
      <c r="S17" s="136"/>
      <c r="T17" s="136"/>
      <c r="U17" s="136"/>
      <c r="V17" s="136"/>
      <c r="W17" s="136"/>
      <c r="X17" s="136"/>
      <c r="Y17" s="136"/>
      <c r="Z17" s="136"/>
      <c r="AA17" s="136"/>
      <c r="AB17" s="136"/>
      <c r="AC17" s="136"/>
      <c r="AD17" s="136"/>
      <c r="AE17" s="136"/>
      <c r="AF17" s="136"/>
      <c r="AG17" s="136"/>
      <c r="AH17" s="136"/>
      <c r="AI17" s="136"/>
      <c r="AJ17" s="136"/>
      <c r="AK17" s="136"/>
      <c r="AL17" s="136"/>
      <c r="AM17" s="136"/>
      <c r="AN17" s="136"/>
      <c r="AO17" s="136"/>
      <c r="AP17" s="136"/>
      <c r="AQ17" s="136"/>
      <c r="AR17" s="136"/>
      <c r="AS17" s="136"/>
      <c r="AT17" s="136"/>
      <c r="AU17" s="136"/>
      <c r="AV17" s="136"/>
      <c r="AW17" s="136"/>
      <c r="AX17" s="136"/>
      <c r="AY17" s="136"/>
      <c r="AZ17" s="128"/>
    </row>
    <row r="18" spans="1:52" ht="10.5" customHeight="1" thickBot="1">
      <c r="A18" s="119"/>
      <c r="B18" s="118"/>
      <c r="E18" s="124"/>
      <c r="F18" s="137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6"/>
      <c r="U18" s="126"/>
      <c r="V18" s="126"/>
      <c r="W18" s="126"/>
      <c r="X18" s="126"/>
      <c r="Y18" s="126"/>
      <c r="Z18" s="126"/>
      <c r="AA18" s="126"/>
      <c r="AB18" s="126"/>
      <c r="AC18" s="126"/>
      <c r="AD18" s="126"/>
      <c r="AE18" s="126"/>
      <c r="AF18" s="126"/>
      <c r="AG18" s="126"/>
      <c r="AH18" s="126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/>
      <c r="AX18" s="126"/>
      <c r="AY18" s="127"/>
      <c r="AZ18" s="128"/>
    </row>
    <row r="19" spans="1:52" ht="50.25" customHeight="1" thickBot="1">
      <c r="A19" s="119"/>
      <c r="B19" s="118"/>
      <c r="E19" s="124"/>
      <c r="F19" s="138" t="s">
        <v>171</v>
      </c>
      <c r="G19" s="384" t="s">
        <v>183</v>
      </c>
      <c r="H19" s="385"/>
      <c r="I19" s="385"/>
      <c r="J19" s="385"/>
      <c r="K19" s="386"/>
      <c r="L19" s="139"/>
      <c r="M19" s="384" t="s">
        <v>181</v>
      </c>
      <c r="N19" s="387"/>
      <c r="O19" s="387"/>
      <c r="P19" s="387"/>
      <c r="Q19" s="388"/>
      <c r="R19" s="139"/>
      <c r="S19" s="384" t="s">
        <v>182</v>
      </c>
      <c r="T19" s="370"/>
      <c r="U19" s="370"/>
      <c r="V19" s="370"/>
      <c r="W19" s="371"/>
      <c r="X19" s="139"/>
      <c r="Y19" s="367" t="s">
        <v>172</v>
      </c>
      <c r="Z19" s="389"/>
      <c r="AA19" s="389"/>
      <c r="AB19" s="389"/>
      <c r="AC19" s="390"/>
      <c r="AD19" s="139"/>
      <c r="AE19" s="367" t="s">
        <v>172</v>
      </c>
      <c r="AF19" s="389"/>
      <c r="AG19" s="389"/>
      <c r="AH19" s="390"/>
      <c r="AI19" s="139"/>
      <c r="AJ19" s="367" t="s">
        <v>172</v>
      </c>
      <c r="AK19" s="389"/>
      <c r="AL19" s="389"/>
      <c r="AM19" s="390"/>
      <c r="AN19" s="139"/>
      <c r="AO19" s="367" t="s">
        <v>172</v>
      </c>
      <c r="AP19" s="391"/>
      <c r="AQ19" s="391"/>
      <c r="AR19" s="392"/>
      <c r="AS19" s="139"/>
      <c r="AT19" s="367" t="s">
        <v>172</v>
      </c>
      <c r="AU19" s="387"/>
      <c r="AV19" s="387"/>
      <c r="AW19" s="388"/>
      <c r="AX19" s="131"/>
      <c r="AY19" s="132"/>
      <c r="AZ19" s="128"/>
    </row>
    <row r="20" spans="1:52" ht="16.5" thickBot="1">
      <c r="A20" s="119"/>
      <c r="E20" s="124"/>
      <c r="F20" s="129"/>
      <c r="G20" s="139"/>
      <c r="H20" s="139"/>
      <c r="I20" s="139"/>
      <c r="J20" s="139"/>
      <c r="K20" s="139"/>
      <c r="L20" s="139"/>
      <c r="M20" s="139"/>
      <c r="N20" s="139"/>
      <c r="O20" s="139"/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39"/>
      <c r="AA20" s="139"/>
      <c r="AB20" s="139"/>
      <c r="AC20" s="139"/>
      <c r="AD20" s="139"/>
      <c r="AE20" s="139"/>
      <c r="AF20" s="139"/>
      <c r="AG20" s="139"/>
      <c r="AH20" s="139"/>
      <c r="AI20" s="139"/>
      <c r="AJ20" s="139"/>
      <c r="AK20" s="139"/>
      <c r="AL20" s="139"/>
      <c r="AM20" s="139"/>
      <c r="AN20" s="139"/>
      <c r="AO20" s="139"/>
      <c r="AP20" s="139"/>
      <c r="AQ20" s="139"/>
      <c r="AR20" s="139"/>
      <c r="AS20" s="139"/>
      <c r="AT20" s="139"/>
      <c r="AU20" s="139"/>
      <c r="AV20" s="139"/>
      <c r="AW20" s="139"/>
      <c r="AX20" s="131"/>
      <c r="AY20" s="132"/>
      <c r="AZ20" s="128"/>
    </row>
    <row r="21" spans="1:52" ht="30.75" customHeight="1" thickBot="1">
      <c r="A21" s="119"/>
      <c r="E21" s="124"/>
      <c r="F21" s="129"/>
      <c r="G21" s="367" t="s">
        <v>172</v>
      </c>
      <c r="H21" s="368"/>
      <c r="I21" s="368"/>
      <c r="J21" s="368"/>
      <c r="K21" s="369"/>
      <c r="L21" s="139"/>
      <c r="M21" s="367" t="s">
        <v>172</v>
      </c>
      <c r="N21" s="372"/>
      <c r="O21" s="372"/>
      <c r="P21" s="372"/>
      <c r="Q21" s="373"/>
      <c r="R21" s="139"/>
      <c r="S21" s="367" t="s">
        <v>172</v>
      </c>
      <c r="T21" s="370"/>
      <c r="U21" s="370"/>
      <c r="V21" s="370"/>
      <c r="W21" s="371"/>
      <c r="X21" s="139"/>
      <c r="Y21" s="367" t="s">
        <v>172</v>
      </c>
      <c r="Z21" s="368"/>
      <c r="AA21" s="368"/>
      <c r="AB21" s="368"/>
      <c r="AC21" s="369"/>
      <c r="AD21" s="139"/>
      <c r="AE21" s="367" t="s">
        <v>172</v>
      </c>
      <c r="AF21" s="370"/>
      <c r="AG21" s="370"/>
      <c r="AH21" s="371"/>
      <c r="AI21" s="139"/>
      <c r="AJ21" s="367" t="s">
        <v>172</v>
      </c>
      <c r="AK21" s="368"/>
      <c r="AL21" s="368"/>
      <c r="AM21" s="369"/>
      <c r="AN21" s="139"/>
      <c r="AO21" s="367" t="s">
        <v>172</v>
      </c>
      <c r="AP21" s="370"/>
      <c r="AQ21" s="370"/>
      <c r="AR21" s="371"/>
      <c r="AS21" s="139"/>
      <c r="AT21" s="367" t="s">
        <v>172</v>
      </c>
      <c r="AU21" s="368"/>
      <c r="AV21" s="368"/>
      <c r="AW21" s="369"/>
      <c r="AX21" s="131"/>
      <c r="AY21" s="132"/>
      <c r="AZ21" s="128"/>
    </row>
    <row r="22" spans="1:52" ht="16.5" thickBot="1">
      <c r="A22" s="119"/>
      <c r="E22" s="124"/>
      <c r="F22" s="133"/>
      <c r="G22" s="134"/>
      <c r="H22" s="134"/>
      <c r="I22" s="134"/>
      <c r="J22" s="134"/>
      <c r="K22" s="134"/>
      <c r="L22" s="134"/>
      <c r="M22" s="134"/>
      <c r="N22" s="134"/>
      <c r="O22" s="134"/>
      <c r="P22" s="134"/>
      <c r="Q22" s="134"/>
      <c r="R22" s="134"/>
      <c r="S22" s="134"/>
      <c r="T22" s="134"/>
      <c r="U22" s="134"/>
      <c r="V22" s="134"/>
      <c r="W22" s="134"/>
      <c r="X22" s="134"/>
      <c r="Y22" s="134"/>
      <c r="Z22" s="134"/>
      <c r="AA22" s="134"/>
      <c r="AB22" s="134"/>
      <c r="AC22" s="134"/>
      <c r="AD22" s="134"/>
      <c r="AE22" s="134"/>
      <c r="AF22" s="134"/>
      <c r="AG22" s="134"/>
      <c r="AH22" s="134"/>
      <c r="AI22" s="134"/>
      <c r="AJ22" s="134"/>
      <c r="AK22" s="134"/>
      <c r="AL22" s="134"/>
      <c r="AM22" s="134"/>
      <c r="AN22" s="134"/>
      <c r="AO22" s="134"/>
      <c r="AP22" s="134"/>
      <c r="AQ22" s="134"/>
      <c r="AR22" s="134"/>
      <c r="AS22" s="134"/>
      <c r="AT22" s="134"/>
      <c r="AU22" s="134"/>
      <c r="AV22" s="134"/>
      <c r="AW22" s="134"/>
      <c r="AX22" s="134"/>
      <c r="AY22" s="135"/>
      <c r="AZ22" s="128"/>
    </row>
    <row r="23" spans="1:52" ht="9" customHeight="1" thickBot="1">
      <c r="A23" s="119"/>
      <c r="E23" s="140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41"/>
      <c r="AC23" s="141"/>
      <c r="AD23" s="141"/>
      <c r="AE23" s="141"/>
      <c r="AF23" s="141"/>
      <c r="AG23" s="141"/>
      <c r="AH23" s="141"/>
      <c r="AI23" s="141"/>
      <c r="AJ23" s="141"/>
      <c r="AK23" s="141"/>
      <c r="AL23" s="141"/>
      <c r="AM23" s="141"/>
      <c r="AN23" s="141"/>
      <c r="AO23" s="141"/>
      <c r="AP23" s="141"/>
      <c r="AQ23" s="141"/>
      <c r="AR23" s="141"/>
      <c r="AS23" s="141"/>
      <c r="AT23" s="141"/>
      <c r="AU23" s="141"/>
      <c r="AV23" s="141"/>
      <c r="AW23" s="141"/>
      <c r="AX23" s="141"/>
      <c r="AY23" s="141"/>
      <c r="AZ23" s="142"/>
    </row>
    <row r="24" spans="1:52" ht="15" customHeight="1">
      <c r="A24" s="119"/>
    </row>
    <row r="25" spans="1:52" ht="9" customHeight="1">
      <c r="A25" s="119"/>
      <c r="B25" s="118"/>
      <c r="C25" s="119"/>
      <c r="AZ25" s="118"/>
    </row>
    <row r="26" spans="1:52" ht="10.5" customHeight="1">
      <c r="A26" s="119"/>
      <c r="B26" s="118"/>
      <c r="C26" s="119"/>
      <c r="AZ26" s="118"/>
    </row>
    <row r="27" spans="1:52" ht="18" customHeight="1">
      <c r="A27" s="119"/>
      <c r="B27" s="118"/>
      <c r="C27" s="119"/>
      <c r="AZ27" s="118"/>
    </row>
    <row r="28" spans="1:52" ht="10.5" customHeight="1">
      <c r="A28" s="119"/>
      <c r="B28" s="118"/>
      <c r="C28" s="119"/>
      <c r="AZ28" s="118"/>
    </row>
    <row r="29" spans="1:52" ht="18" customHeight="1">
      <c r="A29" s="119"/>
      <c r="B29" s="118"/>
      <c r="C29" s="119"/>
      <c r="AZ29" s="118"/>
    </row>
    <row r="30" spans="1:52" ht="12.75" customHeight="1">
      <c r="A30" s="119"/>
      <c r="B30" s="118"/>
      <c r="C30" s="119"/>
      <c r="AZ30" s="118"/>
    </row>
    <row r="31" spans="1:52" ht="9" customHeight="1">
      <c r="A31" s="119"/>
      <c r="B31" s="118"/>
      <c r="C31" s="119"/>
      <c r="AZ31" s="118"/>
    </row>
    <row r="32" spans="1:52" ht="9" customHeight="1">
      <c r="A32" s="119"/>
      <c r="B32" s="118"/>
      <c r="C32" s="119"/>
      <c r="AZ32" s="118"/>
    </row>
    <row r="33" spans="1:52" ht="8.25" customHeight="1">
      <c r="A33" s="119"/>
      <c r="B33" s="118"/>
      <c r="C33" s="119"/>
      <c r="AZ33" s="118"/>
    </row>
    <row r="34" spans="1:52" ht="18" customHeight="1">
      <c r="A34" s="119"/>
      <c r="B34" s="118"/>
      <c r="C34" s="119"/>
      <c r="AZ34" s="118"/>
    </row>
    <row r="35" spans="1:52" ht="12" customHeight="1">
      <c r="A35" s="119"/>
      <c r="B35" s="118"/>
      <c r="C35" s="119"/>
      <c r="AZ35" s="118"/>
    </row>
    <row r="36" spans="1:52" ht="7.5" customHeight="1">
      <c r="A36" s="119"/>
      <c r="B36" s="118"/>
      <c r="C36" s="119"/>
      <c r="AZ36" s="118"/>
    </row>
    <row r="37" spans="1:52" ht="7.5" customHeight="1">
      <c r="A37" s="119"/>
      <c r="B37" s="118"/>
      <c r="C37" s="119"/>
      <c r="AZ37" s="118"/>
    </row>
    <row r="38" spans="1:52" ht="13.5" customHeight="1">
      <c r="A38" s="119"/>
      <c r="B38" s="118"/>
      <c r="C38" s="119"/>
      <c r="AZ38" s="118"/>
    </row>
    <row r="39" spans="1:52" ht="9.75" customHeight="1">
      <c r="A39" s="119"/>
      <c r="B39" s="118"/>
      <c r="C39" s="119"/>
      <c r="AZ39" s="118"/>
    </row>
    <row r="40" spans="1:52" ht="10.5" customHeight="1">
      <c r="A40" s="119"/>
      <c r="B40" s="118"/>
      <c r="C40" s="119"/>
      <c r="AZ40" s="118"/>
    </row>
    <row r="41" spans="1:52" ht="8.25" customHeight="1">
      <c r="A41" s="119"/>
      <c r="B41" s="118"/>
      <c r="C41" s="119"/>
      <c r="AZ41" s="118"/>
    </row>
    <row r="42" spans="1:52" ht="15" customHeight="1">
      <c r="A42" s="119"/>
      <c r="B42" s="118"/>
      <c r="C42" s="119"/>
      <c r="AZ42" s="118"/>
    </row>
    <row r="43" spans="1:52" ht="5.25" customHeight="1">
      <c r="A43" s="119"/>
      <c r="B43" s="118"/>
      <c r="C43" s="119"/>
      <c r="AZ43" s="118"/>
    </row>
    <row r="44" spans="1:52" ht="24.95" customHeight="1">
      <c r="A44" s="119"/>
      <c r="B44" s="118"/>
      <c r="C44" s="119"/>
      <c r="AZ44" s="118"/>
    </row>
    <row r="45" spans="1:52" ht="24.95" customHeight="1">
      <c r="A45" s="119"/>
      <c r="B45" s="118"/>
      <c r="C45" s="119"/>
      <c r="AZ45" s="118"/>
    </row>
    <row r="46" spans="1:52" ht="24.95" customHeight="1">
      <c r="A46" s="119"/>
      <c r="B46" s="118"/>
      <c r="C46" s="119"/>
      <c r="AZ46" s="118"/>
    </row>
    <row r="47" spans="1:52" ht="24.95" customHeight="1">
      <c r="A47" s="119"/>
      <c r="B47" s="118"/>
      <c r="C47" s="119"/>
      <c r="AZ47" s="118"/>
    </row>
    <row r="48" spans="1:52" ht="24.95" customHeight="1">
      <c r="A48" s="119"/>
      <c r="B48" s="118"/>
      <c r="C48" s="119"/>
      <c r="AZ48" s="118"/>
    </row>
    <row r="49" spans="1:52" ht="24.95" customHeight="1">
      <c r="A49" s="119"/>
      <c r="B49" s="118"/>
      <c r="C49" s="119"/>
      <c r="AZ49" s="118"/>
    </row>
    <row r="50" spans="1:52" ht="24.95" customHeight="1">
      <c r="A50" s="119"/>
      <c r="B50" s="118"/>
      <c r="C50" s="119"/>
      <c r="AZ50" s="118"/>
    </row>
    <row r="51" spans="1:52" ht="24.95" customHeight="1">
      <c r="A51" s="119"/>
      <c r="B51" s="118"/>
      <c r="C51" s="119"/>
      <c r="AZ51" s="118"/>
    </row>
    <row r="52" spans="1:52" ht="24.95" customHeight="1">
      <c r="A52" s="119"/>
      <c r="B52" s="118"/>
      <c r="C52" s="119"/>
      <c r="AZ52" s="118"/>
    </row>
    <row r="53" spans="1:52" ht="24.95" customHeight="1">
      <c r="A53" s="119"/>
      <c r="B53" s="118"/>
      <c r="C53" s="119"/>
      <c r="AZ53" s="118"/>
    </row>
    <row r="54" spans="1:52" ht="24.95" customHeight="1">
      <c r="A54" s="119"/>
      <c r="B54" s="118"/>
      <c r="C54" s="119"/>
      <c r="AZ54" s="118"/>
    </row>
    <row r="55" spans="1:52" ht="24.95" customHeight="1">
      <c r="A55" s="119"/>
      <c r="B55" s="118"/>
      <c r="C55" s="119"/>
      <c r="AZ55" s="118"/>
    </row>
    <row r="56" spans="1:52" ht="24.95" customHeight="1">
      <c r="A56" s="119"/>
      <c r="B56" s="118"/>
      <c r="C56" s="119"/>
      <c r="AZ56" s="118"/>
    </row>
    <row r="57" spans="1:52" ht="24.95" customHeight="1">
      <c r="A57" s="119"/>
      <c r="B57" s="118"/>
      <c r="C57" s="119"/>
      <c r="AZ57" s="118"/>
    </row>
    <row r="58" spans="1:52" ht="24.95" customHeight="1">
      <c r="A58" s="119"/>
      <c r="B58" s="118"/>
      <c r="C58" s="119"/>
      <c r="AZ58" s="118"/>
    </row>
    <row r="59" spans="1:52" ht="24.95" customHeight="1">
      <c r="A59" s="119"/>
      <c r="B59" s="118"/>
      <c r="C59" s="119"/>
      <c r="AZ59" s="118"/>
    </row>
    <row r="60" spans="1:52" ht="24.95" customHeight="1">
      <c r="A60" s="119"/>
      <c r="B60" s="118"/>
      <c r="C60" s="119"/>
      <c r="AZ60" s="118"/>
    </row>
    <row r="61" spans="1:52" ht="14.25" customHeight="1">
      <c r="A61" s="119"/>
      <c r="B61" s="118"/>
      <c r="C61" s="119"/>
      <c r="AZ61" s="118"/>
    </row>
    <row r="62" spans="1:52" ht="24.95" customHeight="1">
      <c r="A62" s="119"/>
      <c r="B62" s="118"/>
      <c r="C62" s="119"/>
      <c r="AZ62" s="118"/>
    </row>
    <row r="63" spans="1:52" ht="24.95" customHeight="1">
      <c r="A63" s="119"/>
      <c r="B63" s="118"/>
      <c r="C63" s="119"/>
      <c r="AZ63" s="118"/>
    </row>
    <row r="64" spans="1:52" ht="24.95" customHeight="1">
      <c r="A64" s="119"/>
      <c r="B64" s="118"/>
      <c r="C64" s="119"/>
      <c r="AZ64" s="118"/>
    </row>
    <row r="65" spans="1:52" ht="24.95" customHeight="1">
      <c r="A65" s="119"/>
      <c r="B65" s="118"/>
      <c r="C65" s="119"/>
      <c r="AZ65" s="118"/>
    </row>
    <row r="66" spans="1:52" ht="24.95" customHeight="1">
      <c r="A66" s="119"/>
      <c r="B66" s="118"/>
      <c r="C66" s="119"/>
      <c r="AZ66" s="118"/>
    </row>
    <row r="67" spans="1:52" ht="24.95" customHeight="1">
      <c r="A67" s="119"/>
      <c r="B67" s="118"/>
      <c r="C67" s="119"/>
      <c r="AZ67" s="118"/>
    </row>
    <row r="68" spans="1:52" ht="24.95" customHeight="1">
      <c r="A68" s="119"/>
      <c r="B68" s="118"/>
      <c r="C68" s="119"/>
      <c r="AZ68" s="118"/>
    </row>
    <row r="69" spans="1:52" ht="24.95" customHeight="1">
      <c r="A69" s="119"/>
      <c r="B69" s="118"/>
      <c r="C69" s="119"/>
      <c r="AZ69" s="118"/>
    </row>
    <row r="70" spans="1:52" ht="24.95" customHeight="1">
      <c r="A70" s="119"/>
      <c r="B70" s="118"/>
      <c r="C70" s="119"/>
      <c r="AZ70" s="118"/>
    </row>
    <row r="71" spans="1:52" ht="24.95" customHeight="1">
      <c r="A71" s="119"/>
      <c r="B71" s="118"/>
      <c r="C71" s="119"/>
      <c r="AZ71" s="118"/>
    </row>
    <row r="72" spans="1:52" ht="24.95" customHeight="1">
      <c r="A72" s="119"/>
      <c r="B72" s="118"/>
      <c r="C72" s="119"/>
      <c r="AZ72" s="118"/>
    </row>
    <row r="73" spans="1:52" ht="24.95" customHeight="1">
      <c r="A73" s="119"/>
      <c r="B73" s="118"/>
      <c r="C73" s="119"/>
      <c r="AZ73" s="118"/>
    </row>
    <row r="74" spans="1:52" ht="24.95" customHeight="1">
      <c r="A74" s="119"/>
      <c r="B74" s="118"/>
      <c r="C74" s="119"/>
      <c r="AZ74" s="118"/>
    </row>
    <row r="75" spans="1:52" ht="24.95" customHeight="1">
      <c r="A75" s="119"/>
      <c r="B75" s="118"/>
      <c r="C75" s="119"/>
      <c r="AZ75" s="118"/>
    </row>
    <row r="76" spans="1:52" ht="24.95" customHeight="1">
      <c r="A76" s="119"/>
      <c r="B76" s="118"/>
      <c r="C76" s="119"/>
      <c r="AZ76" s="118"/>
    </row>
    <row r="77" spans="1:52" ht="24.95" customHeight="1">
      <c r="A77" s="119"/>
      <c r="B77" s="118"/>
      <c r="C77" s="119"/>
      <c r="AZ77" s="118"/>
    </row>
    <row r="78" spans="1:52" ht="24.95" customHeight="1">
      <c r="A78" s="119"/>
      <c r="B78" s="118"/>
      <c r="C78" s="119"/>
      <c r="AZ78" s="118"/>
    </row>
    <row r="79" spans="1:52" ht="24.95" customHeight="1">
      <c r="A79" s="119"/>
      <c r="B79" s="118"/>
      <c r="C79" s="119"/>
      <c r="AZ79" s="118"/>
    </row>
    <row r="80" spans="1:52" ht="24.95" customHeight="1">
      <c r="A80" s="119"/>
      <c r="B80" s="118"/>
      <c r="C80" s="119"/>
      <c r="AZ80" s="118"/>
    </row>
    <row r="81" spans="1:52" ht="24.95" customHeight="1">
      <c r="A81" s="119"/>
      <c r="B81" s="118"/>
      <c r="C81" s="119"/>
      <c r="AZ81" s="118"/>
    </row>
    <row r="82" spans="1:52" ht="24.95" customHeight="1">
      <c r="A82" s="119"/>
      <c r="B82" s="118"/>
      <c r="C82" s="119"/>
      <c r="AZ82" s="118"/>
    </row>
    <row r="83" spans="1:52" ht="24.95" customHeight="1">
      <c r="A83" s="119"/>
      <c r="B83" s="118"/>
      <c r="C83" s="119"/>
      <c r="AZ83" s="118"/>
    </row>
    <row r="84" spans="1:52" ht="24.95" customHeight="1">
      <c r="A84" s="119"/>
      <c r="B84" s="118"/>
      <c r="C84" s="119"/>
      <c r="AZ84" s="118"/>
    </row>
    <row r="85" spans="1:52">
      <c r="A85" s="119"/>
      <c r="B85" s="118"/>
      <c r="C85" s="119"/>
      <c r="AZ85" s="118"/>
    </row>
    <row r="86" spans="1:52">
      <c r="A86" s="119"/>
      <c r="B86" s="118"/>
      <c r="C86" s="119"/>
      <c r="AZ86" s="118"/>
    </row>
    <row r="87" spans="1:52" ht="17.25" customHeight="1">
      <c r="A87" s="119"/>
      <c r="B87" s="118"/>
      <c r="C87" s="119"/>
      <c r="AZ87" s="118"/>
    </row>
    <row r="88" spans="1:52">
      <c r="A88" s="119"/>
      <c r="B88" s="118"/>
      <c r="C88" s="119"/>
      <c r="AZ88" s="118"/>
    </row>
    <row r="89" spans="1:52" ht="15.75" customHeight="1">
      <c r="A89" s="119"/>
      <c r="B89" s="118"/>
      <c r="C89" s="119"/>
      <c r="AZ89" s="118"/>
    </row>
    <row r="90" spans="1:52" ht="15.75" customHeight="1">
      <c r="A90" s="119"/>
      <c r="B90" s="118"/>
      <c r="C90" s="119"/>
      <c r="AZ90" s="118"/>
    </row>
    <row r="91" spans="1:52" ht="15.75" customHeight="1">
      <c r="A91" s="119"/>
      <c r="B91" s="118"/>
      <c r="C91" s="119"/>
      <c r="AZ91" s="118"/>
    </row>
    <row r="92" spans="1:52" ht="15.75" customHeight="1">
      <c r="A92" s="119"/>
      <c r="B92" s="118"/>
      <c r="C92" s="119"/>
      <c r="AZ92" s="118"/>
    </row>
    <row r="93" spans="1:52" ht="16.5" customHeight="1">
      <c r="A93" s="119"/>
      <c r="B93" s="118"/>
      <c r="C93" s="119"/>
      <c r="AZ93" s="118"/>
    </row>
    <row r="94" spans="1:52">
      <c r="A94" s="119"/>
      <c r="B94" s="118"/>
      <c r="C94" s="119"/>
      <c r="AZ94" s="118"/>
    </row>
    <row r="95" spans="1:52" ht="16.5" customHeight="1">
      <c r="A95" s="119"/>
      <c r="B95" s="118"/>
      <c r="C95" s="119"/>
      <c r="AZ95" s="118"/>
    </row>
    <row r="96" spans="1:52">
      <c r="A96" s="119"/>
      <c r="B96" s="118"/>
      <c r="C96" s="119"/>
      <c r="AZ96" s="118"/>
    </row>
    <row r="97" spans="1:52" ht="52.5" customHeight="1">
      <c r="A97" s="119"/>
      <c r="B97" s="118"/>
      <c r="C97" s="119"/>
      <c r="AZ97" s="118"/>
    </row>
    <row r="98" spans="1:52">
      <c r="A98" s="119"/>
      <c r="B98" s="118"/>
      <c r="C98" s="119"/>
      <c r="AZ98" s="118"/>
    </row>
    <row r="99" spans="1:52" ht="72" customHeight="1">
      <c r="A99" s="119"/>
      <c r="B99" s="118"/>
      <c r="C99" s="119"/>
      <c r="AZ99" s="118"/>
    </row>
    <row r="100" spans="1:52" ht="15.95" customHeight="1">
      <c r="A100" s="119"/>
      <c r="B100" s="118"/>
      <c r="C100" s="119"/>
      <c r="AZ100" s="118"/>
    </row>
    <row r="101" spans="1:52" ht="36.950000000000003" customHeight="1">
      <c r="A101" s="119"/>
      <c r="B101" s="118"/>
      <c r="C101" s="119"/>
      <c r="AZ101" s="118"/>
    </row>
    <row r="102" spans="1:52" ht="15.95" customHeight="1">
      <c r="A102" s="119"/>
      <c r="B102" s="118"/>
      <c r="C102" s="119"/>
      <c r="AZ102" s="118"/>
    </row>
    <row r="103" spans="1:52" ht="20.100000000000001" customHeight="1">
      <c r="A103" s="119"/>
      <c r="B103" s="118"/>
      <c r="C103" s="119"/>
      <c r="AZ103" s="118"/>
    </row>
    <row r="104" spans="1:52">
      <c r="A104" s="119"/>
      <c r="B104" s="118"/>
      <c r="C104" s="119"/>
      <c r="AZ104" s="118"/>
    </row>
    <row r="105" spans="1:52">
      <c r="A105" s="119"/>
      <c r="B105" s="118"/>
      <c r="C105" s="119"/>
      <c r="AZ105" s="118"/>
    </row>
  </sheetData>
  <dataConsolidate/>
  <mergeCells count="23">
    <mergeCell ref="AE19:AH19"/>
    <mergeCell ref="AJ19:AM19"/>
    <mergeCell ref="AO19:AR19"/>
    <mergeCell ref="G14:V15"/>
    <mergeCell ref="X14:AL15"/>
    <mergeCell ref="AN15:AU15"/>
    <mergeCell ref="AT19:AW19"/>
    <mergeCell ref="AJ21:AM21"/>
    <mergeCell ref="AO21:AR21"/>
    <mergeCell ref="AT21:AW21"/>
    <mergeCell ref="P2:AJ3"/>
    <mergeCell ref="G21:K21"/>
    <mergeCell ref="M21:Q21"/>
    <mergeCell ref="S21:W21"/>
    <mergeCell ref="Y21:AC21"/>
    <mergeCell ref="AE21:AH21"/>
    <mergeCell ref="G8:V9"/>
    <mergeCell ref="X8:AL9"/>
    <mergeCell ref="AN9:AU9"/>
    <mergeCell ref="G19:K19"/>
    <mergeCell ref="M19:Q19"/>
    <mergeCell ref="S19:W19"/>
    <mergeCell ref="Y19:AC1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Sheet7.TheChamber">
                <anchor>
                  <from>
                    <xdr:col>47</xdr:col>
                    <xdr:colOff>152400</xdr:colOff>
                    <xdr:row>1</xdr:row>
                    <xdr:rowOff>76200</xdr:rowOff>
                  </from>
                  <to>
                    <xdr:col>53</xdr:col>
                    <xdr:colOff>9525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rgb="FFFF0000"/>
  </sheetPr>
  <dimension ref="B3:H100"/>
  <sheetViews>
    <sheetView workbookViewId="0">
      <selection activeCell="B3" sqref="B3"/>
    </sheetView>
  </sheetViews>
  <sheetFormatPr defaultRowHeight="12.75"/>
  <cols>
    <col min="1" max="1" width="4" style="36" customWidth="1"/>
    <col min="2" max="2" width="15.7109375" style="36" bestFit="1" customWidth="1"/>
    <col min="3" max="7" width="9.140625" style="36"/>
    <col min="8" max="8" width="16.42578125" style="36" bestFit="1" customWidth="1"/>
    <col min="9" max="16384" width="9.140625" style="36"/>
  </cols>
  <sheetData>
    <row r="3" spans="2:8">
      <c r="B3" s="279" t="s">
        <v>167</v>
      </c>
      <c r="C3" s="279" t="s">
        <v>58</v>
      </c>
      <c r="D3" s="279" t="s">
        <v>59</v>
      </c>
      <c r="E3" s="279" t="s">
        <v>60</v>
      </c>
      <c r="F3" s="279" t="s">
        <v>61</v>
      </c>
      <c r="G3" s="279" t="s">
        <v>6</v>
      </c>
      <c r="H3" s="279" t="s">
        <v>166</v>
      </c>
    </row>
    <row r="4" spans="2:8">
      <c r="B4" s="323" t="str">
        <f t="array" ref="B4">INDEX('Defect Dump'!$N$3:$N$10000, MATCH(0, COUNTIF($B$3:B3, 'Defect Dump'!$N$3:$N$10000), 0))</f>
        <v>Portal</v>
      </c>
      <c r="C4" s="280">
        <f>COUNTIFS('Defect Dump'!$I:$I,C$3,'Defect Dump'!$N:$N,$B4)</f>
        <v>11</v>
      </c>
      <c r="D4" s="280">
        <f>COUNTIFS('Defect Dump'!$I:$I,D$3,'Defect Dump'!$N:$N,$B4)</f>
        <v>35</v>
      </c>
      <c r="E4" s="280">
        <f>COUNTIFS('Defect Dump'!$I:$I,E$3,'Defect Dump'!$N:$N,$B4)</f>
        <v>93</v>
      </c>
      <c r="F4" s="280">
        <f>COUNTIFS('Defect Dump'!$I:$I,F$3,'Defect Dump'!$N:$N,$B4)</f>
        <v>80</v>
      </c>
      <c r="G4" s="280">
        <f t="shared" ref="G4" si="0">SUM(C4:F4)</f>
        <v>219</v>
      </c>
      <c r="H4" s="280" t="str">
        <f t="shared" ref="H4:H35" si="1">IF(AND($C4&lt;1,$D4&lt;1,$E4&lt;1,$F4&lt;1),"Not Started",IF($C4&gt;RedFactor,"Red",IF(OR($D4&gt;AmberFactor,$E4&gt;AmberFactor),"Amber",IF($F4&lt;GreenFactor,"Green","Amber"))))</f>
        <v>Red</v>
      </c>
    </row>
    <row r="5" spans="2:8">
      <c r="B5" s="323" t="str">
        <f t="array" ref="B5">INDEX('Defect Dump'!$N$3:$N$10000, MATCH(0, COUNTIF($B$3:B4, 'Defect Dump'!$N$3:$N$10000), 0))</f>
        <v>Login</v>
      </c>
      <c r="C5" s="280">
        <f>COUNTIFS('Defect Dump'!$I:$I,C$3,'Defect Dump'!$N:$N,$B5)</f>
        <v>3</v>
      </c>
      <c r="D5" s="280">
        <f>COUNTIFS('Defect Dump'!$I:$I,D$3,'Defect Dump'!$N:$N,$B5)</f>
        <v>8</v>
      </c>
      <c r="E5" s="280">
        <f>COUNTIFS('Defect Dump'!$I:$I,E$3,'Defect Dump'!$N:$N,$B5)</f>
        <v>26</v>
      </c>
      <c r="F5" s="280">
        <f>COUNTIFS('Defect Dump'!$I:$I,F$3,'Defect Dump'!$N:$N,$B5)</f>
        <v>8</v>
      </c>
      <c r="G5" s="280">
        <f t="shared" ref="G5:G68" si="2">SUM(C5:F5)</f>
        <v>45</v>
      </c>
      <c r="H5" s="280" t="str">
        <f t="shared" si="1"/>
        <v>Amber</v>
      </c>
    </row>
    <row r="6" spans="2:8">
      <c r="B6" s="323" t="str">
        <f t="array" ref="B6">INDEX('Defect Dump'!$N$3:$N$10000, MATCH(0, COUNTIF($B$3:B5, 'Defect Dump'!$N$3:$N$10000), 0))</f>
        <v>User-Mgmt</v>
      </c>
      <c r="C6" s="280">
        <f>COUNTIFS('Defect Dump'!$I:$I,C$3,'Defect Dump'!$N:$N,$B6)</f>
        <v>5</v>
      </c>
      <c r="D6" s="280">
        <f>COUNTIFS('Defect Dump'!$I:$I,D$3,'Defect Dump'!$N:$N,$B6)</f>
        <v>4</v>
      </c>
      <c r="E6" s="280">
        <f>COUNTIFS('Defect Dump'!$I:$I,E$3,'Defect Dump'!$N:$N,$B6)</f>
        <v>17</v>
      </c>
      <c r="F6" s="280">
        <f>COUNTIFS('Defect Dump'!$I:$I,F$3,'Defect Dump'!$N:$N,$B6)</f>
        <v>18</v>
      </c>
      <c r="G6" s="280">
        <f t="shared" si="2"/>
        <v>44</v>
      </c>
      <c r="H6" s="280" t="str">
        <f t="shared" si="1"/>
        <v>Amber</v>
      </c>
    </row>
    <row r="7" spans="2:8">
      <c r="B7" s="323" t="str">
        <f t="array" ref="B7">INDEX('Defect Dump'!$N$3:$N$10000, MATCH(0, COUNTIF($B$3:B6, 'Defect Dump'!$N$3:$N$10000), 0))</f>
        <v>User_Preference</v>
      </c>
      <c r="C7" s="280">
        <f>COUNTIFS('Defect Dump'!$I:$I,C$3,'Defect Dump'!$N:$N,$B7)</f>
        <v>1</v>
      </c>
      <c r="D7" s="280">
        <f>COUNTIFS('Defect Dump'!$I:$I,D$3,'Defect Dump'!$N:$N,$B7)</f>
        <v>3</v>
      </c>
      <c r="E7" s="280">
        <f>COUNTIFS('Defect Dump'!$I:$I,E$3,'Defect Dump'!$N:$N,$B7)</f>
        <v>13</v>
      </c>
      <c r="F7" s="280">
        <f>COUNTIFS('Defect Dump'!$I:$I,F$3,'Defect Dump'!$N:$N,$B7)</f>
        <v>3</v>
      </c>
      <c r="G7" s="280">
        <f t="shared" si="2"/>
        <v>20</v>
      </c>
      <c r="H7" s="280" t="str">
        <f t="shared" si="1"/>
        <v>Amber</v>
      </c>
    </row>
    <row r="8" spans="2:8">
      <c r="B8" s="323" t="str">
        <f t="array" ref="B8">INDEX('Defect Dump'!$N$3:$N$10000, MATCH(0, COUNTIF($B$3:B7, 'Defect Dump'!$N$3:$N$10000), 0))</f>
        <v>Search</v>
      </c>
      <c r="C8" s="280">
        <f>COUNTIFS('Defect Dump'!$I:$I,C$3,'Defect Dump'!$N:$N,$B8)</f>
        <v>10</v>
      </c>
      <c r="D8" s="280">
        <f>COUNTIFS('Defect Dump'!$I:$I,D$3,'Defect Dump'!$N:$N,$B8)</f>
        <v>26</v>
      </c>
      <c r="E8" s="280">
        <f>COUNTIFS('Defect Dump'!$I:$I,E$3,'Defect Dump'!$N:$N,$B8)</f>
        <v>24</v>
      </c>
      <c r="F8" s="280">
        <f>COUNTIFS('Defect Dump'!$I:$I,F$3,'Defect Dump'!$N:$N,$B8)</f>
        <v>5</v>
      </c>
      <c r="G8" s="280">
        <f t="shared" si="2"/>
        <v>65</v>
      </c>
      <c r="H8" s="280" t="str">
        <f t="shared" si="1"/>
        <v>Amber</v>
      </c>
    </row>
    <row r="9" spans="2:8">
      <c r="B9" s="323" t="str">
        <f t="array" ref="B9">INDEX('Defect Dump'!$N$3:$N$10000, MATCH(0, COUNTIF($B$3:B8, 'Defect Dump'!$N$3:$N$10000), 0))</f>
        <v>Notifications</v>
      </c>
      <c r="C9" s="280">
        <f>COUNTIFS('Defect Dump'!$I:$I,C$3,'Defect Dump'!$N:$N,$B9)</f>
        <v>9</v>
      </c>
      <c r="D9" s="280">
        <f>COUNTIFS('Defect Dump'!$I:$I,D$3,'Defect Dump'!$N:$N,$B9)</f>
        <v>57</v>
      </c>
      <c r="E9" s="280">
        <f>COUNTIFS('Defect Dump'!$I:$I,E$3,'Defect Dump'!$N:$N,$B9)</f>
        <v>70</v>
      </c>
      <c r="F9" s="280">
        <f>COUNTIFS('Defect Dump'!$I:$I,F$3,'Defect Dump'!$N:$N,$B9)</f>
        <v>25</v>
      </c>
      <c r="G9" s="280">
        <f t="shared" si="2"/>
        <v>161</v>
      </c>
      <c r="H9" s="280" t="str">
        <f t="shared" si="1"/>
        <v>Amber</v>
      </c>
    </row>
    <row r="10" spans="2:8">
      <c r="B10" s="323" t="str">
        <f t="array" ref="B10">INDEX('Defect Dump'!$N$3:$N$10000, MATCH(0, COUNTIF($B$3:B9, 'Defect Dump'!$N$3:$N$10000), 0))</f>
        <v>Forgot-PWD</v>
      </c>
      <c r="C10" s="280">
        <f>COUNTIFS('Defect Dump'!$I:$I,C$3,'Defect Dump'!$N:$N,$B10)</f>
        <v>3</v>
      </c>
      <c r="D10" s="280">
        <f>COUNTIFS('Defect Dump'!$I:$I,D$3,'Defect Dump'!$N:$N,$B10)</f>
        <v>6</v>
      </c>
      <c r="E10" s="280">
        <f>COUNTIFS('Defect Dump'!$I:$I,E$3,'Defect Dump'!$N:$N,$B10)</f>
        <v>20</v>
      </c>
      <c r="F10" s="280">
        <f>COUNTIFS('Defect Dump'!$I:$I,F$3,'Defect Dump'!$N:$N,$B10)</f>
        <v>5</v>
      </c>
      <c r="G10" s="280">
        <f t="shared" si="2"/>
        <v>34</v>
      </c>
      <c r="H10" s="280" t="str">
        <f t="shared" si="1"/>
        <v>Amber</v>
      </c>
    </row>
    <row r="11" spans="2:8">
      <c r="B11" s="323" t="str">
        <f t="array" ref="B11">INDEX('Defect Dump'!$N$3:$N$10000, MATCH(0, COUNTIF($B$3:B10, 'Defect Dump'!$N$3:$N$10000), 0))</f>
        <v>Dashboard</v>
      </c>
      <c r="C11" s="280">
        <f>COUNTIFS('Defect Dump'!$I:$I,C$3,'Defect Dump'!$N:$N,$B11)</f>
        <v>18</v>
      </c>
      <c r="D11" s="280">
        <f>COUNTIFS('Defect Dump'!$I:$I,D$3,'Defect Dump'!$N:$N,$B11)</f>
        <v>37</v>
      </c>
      <c r="E11" s="280">
        <f>COUNTIFS('Defect Dump'!$I:$I,E$3,'Defect Dump'!$N:$N,$B11)</f>
        <v>23</v>
      </c>
      <c r="F11" s="280">
        <f>COUNTIFS('Defect Dump'!$I:$I,F$3,'Defect Dump'!$N:$N,$B11)</f>
        <v>8</v>
      </c>
      <c r="G11" s="280">
        <f t="shared" si="2"/>
        <v>86</v>
      </c>
      <c r="H11" s="280" t="str">
        <f t="shared" si="1"/>
        <v>Red</v>
      </c>
    </row>
    <row r="12" spans="2:8">
      <c r="B12" s="323" t="str">
        <f t="array" ref="B12">INDEX('Defect Dump'!$N$3:$N$10000, MATCH(0, COUNTIF($B$3:B11, 'Defect Dump'!$N$3:$N$10000), 0))</f>
        <v>Authorization</v>
      </c>
      <c r="C12" s="280">
        <f>COUNTIFS('Defect Dump'!$I:$I,C$3,'Defect Dump'!$N:$N,$B12)</f>
        <v>0</v>
      </c>
      <c r="D12" s="280">
        <f>COUNTIFS('Defect Dump'!$I:$I,D$3,'Defect Dump'!$N:$N,$B12)</f>
        <v>5</v>
      </c>
      <c r="E12" s="280">
        <f>COUNTIFS('Defect Dump'!$I:$I,E$3,'Defect Dump'!$N:$N,$B12)</f>
        <v>26</v>
      </c>
      <c r="F12" s="280">
        <f>COUNTIFS('Defect Dump'!$I:$I,F$3,'Defect Dump'!$N:$N,$B12)</f>
        <v>19</v>
      </c>
      <c r="G12" s="280">
        <f t="shared" si="2"/>
        <v>50</v>
      </c>
      <c r="H12" s="280" t="str">
        <f t="shared" si="1"/>
        <v>Amber</v>
      </c>
    </row>
    <row r="13" spans="2:8">
      <c r="B13" s="323" t="str">
        <f t="array" ref="B13">INDEX('Defect Dump'!$N$3:$N$10000, MATCH(0, COUNTIF($B$3:B12, 'Defect Dump'!$N$3:$N$10000), 0))</f>
        <v>Requirements</v>
      </c>
      <c r="C13" s="280">
        <f>COUNTIFS('Defect Dump'!$I:$I,C$3,'Defect Dump'!$N:$N,$B13)</f>
        <v>3</v>
      </c>
      <c r="D13" s="280">
        <f>COUNTIFS('Defect Dump'!$I:$I,D$3,'Defect Dump'!$N:$N,$B13)</f>
        <v>11</v>
      </c>
      <c r="E13" s="280">
        <f>COUNTIFS('Defect Dump'!$I:$I,E$3,'Defect Dump'!$N:$N,$B13)</f>
        <v>48</v>
      </c>
      <c r="F13" s="280">
        <f>COUNTIFS('Defect Dump'!$I:$I,F$3,'Defect Dump'!$N:$N,$B13)</f>
        <v>13</v>
      </c>
      <c r="G13" s="280">
        <f t="shared" si="2"/>
        <v>75</v>
      </c>
      <c r="H13" s="280" t="str">
        <f t="shared" si="1"/>
        <v>Amber</v>
      </c>
    </row>
    <row r="14" spans="2:8">
      <c r="B14" s="323" t="str">
        <f t="array" ref="B14">INDEX('Defect Dump'!$N$3:$N$10000, MATCH(0, COUNTIF($B$3:B13, 'Defect Dump'!$N$3:$N$10000), 0))</f>
        <v>Personalization</v>
      </c>
      <c r="C14" s="280">
        <f>COUNTIFS('Defect Dump'!$I:$I,C$3,'Defect Dump'!$N:$N,$B14)</f>
        <v>17</v>
      </c>
      <c r="D14" s="280">
        <f>COUNTIFS('Defect Dump'!$I:$I,D$3,'Defect Dump'!$N:$N,$B14)</f>
        <v>37</v>
      </c>
      <c r="E14" s="280">
        <f>COUNTIFS('Defect Dump'!$I:$I,E$3,'Defect Dump'!$N:$N,$B14)</f>
        <v>34</v>
      </c>
      <c r="F14" s="280">
        <f>COUNTIFS('Defect Dump'!$I:$I,F$3,'Defect Dump'!$N:$N,$B14)</f>
        <v>5</v>
      </c>
      <c r="G14" s="280">
        <f t="shared" si="2"/>
        <v>93</v>
      </c>
      <c r="H14" s="280" t="str">
        <f t="shared" si="1"/>
        <v>Red</v>
      </c>
    </row>
    <row r="15" spans="2:8">
      <c r="B15" s="323" t="str">
        <f t="array" ref="B15">INDEX('Defect Dump'!$N$3:$N$10000, MATCH(0, COUNTIF($B$3:B14, 'Defect Dump'!$N$3:$N$10000), 0))</f>
        <v>Registration</v>
      </c>
      <c r="C15" s="280">
        <f>COUNTIFS('Defect Dump'!$I:$I,C$3,'Defect Dump'!$N:$N,$B15)</f>
        <v>3</v>
      </c>
      <c r="D15" s="280">
        <f>COUNTIFS('Defect Dump'!$I:$I,D$3,'Defect Dump'!$N:$N,$B15)</f>
        <v>28</v>
      </c>
      <c r="E15" s="280">
        <f>COUNTIFS('Defect Dump'!$I:$I,E$3,'Defect Dump'!$N:$N,$B15)</f>
        <v>17</v>
      </c>
      <c r="F15" s="280">
        <f>COUNTIFS('Defect Dump'!$I:$I,F$3,'Defect Dump'!$N:$N,$B15)</f>
        <v>12</v>
      </c>
      <c r="G15" s="280">
        <f t="shared" si="2"/>
        <v>60</v>
      </c>
      <c r="H15" s="280" t="str">
        <f t="shared" si="1"/>
        <v>Amber</v>
      </c>
    </row>
    <row r="16" spans="2:8">
      <c r="B16" s="323" t="str">
        <f t="array" ref="B16">INDEX('Defect Dump'!$N$3:$N$10000, MATCH(0, COUNTIF($B$3:B15, 'Defect Dump'!$N$3:$N$10000), 0))</f>
        <v>Reports</v>
      </c>
      <c r="C16" s="280">
        <f>COUNTIFS('Defect Dump'!$I:$I,C$3,'Defect Dump'!$N:$N,$B16)</f>
        <v>4</v>
      </c>
      <c r="D16" s="280">
        <v>5</v>
      </c>
      <c r="E16" s="280">
        <f>COUNTIFS('Defect Dump'!$I:$I,E$3,'Defect Dump'!$N:$N,$B16)</f>
        <v>72</v>
      </c>
      <c r="F16" s="280">
        <f>COUNTIFS('Defect Dump'!$I:$I,F$3,'Defect Dump'!$N:$N,$B16)</f>
        <v>16</v>
      </c>
      <c r="G16" s="280">
        <f t="shared" si="2"/>
        <v>97</v>
      </c>
      <c r="H16" s="280" t="str">
        <f t="shared" si="1"/>
        <v>Amber</v>
      </c>
    </row>
    <row r="17" spans="2:8">
      <c r="B17" s="323">
        <f t="array" ref="B17">INDEX('Defect Dump'!$N$3:$N$10000, MATCH(0, COUNTIF($B$3:B16, 'Defect Dump'!$N$3:$N$10000), 0))</f>
        <v>0</v>
      </c>
      <c r="C17" s="280">
        <f>COUNTIFS('Defect Dump'!$I:$I,C$3,'Defect Dump'!$N:$N,$B17)</f>
        <v>0</v>
      </c>
      <c r="D17" s="280">
        <f>COUNTIFS('Defect Dump'!$I:$I,D$3,'Defect Dump'!$N:$N,$B17)</f>
        <v>0</v>
      </c>
      <c r="E17" s="280">
        <f>COUNTIFS('Defect Dump'!$I:$I,E$3,'Defect Dump'!$N:$N,$B17)</f>
        <v>0</v>
      </c>
      <c r="F17" s="280">
        <f>COUNTIFS('Defect Dump'!$I:$I,F$3,'Defect Dump'!$N:$N,$B17)</f>
        <v>0</v>
      </c>
      <c r="G17" s="280">
        <f t="shared" si="2"/>
        <v>0</v>
      </c>
      <c r="H17" s="280" t="str">
        <f t="shared" si="1"/>
        <v>Not Started</v>
      </c>
    </row>
    <row r="18" spans="2:8">
      <c r="B18" s="323" t="e">
        <f t="array" ref="B18">INDEX('Defect Dump'!$N$3:$N$10000, MATCH(0, COUNTIF($B$3:B17, 'Defect Dump'!$N$3:$N$10000), 0))</f>
        <v>#N/A</v>
      </c>
      <c r="C18" s="280">
        <f>COUNTIFS('Defect Dump'!$I:$I,C$3,'Defect Dump'!$N:$N,$B18)</f>
        <v>0</v>
      </c>
      <c r="D18" s="280">
        <f>COUNTIFS('Defect Dump'!$I:$I,D$3,'Defect Dump'!$N:$N,$B18)</f>
        <v>0</v>
      </c>
      <c r="E18" s="280">
        <f>COUNTIFS('Defect Dump'!$I:$I,E$3,'Defect Dump'!$N:$N,$B18)</f>
        <v>0</v>
      </c>
      <c r="F18" s="280">
        <f>COUNTIFS('Defect Dump'!$I:$I,F$3,'Defect Dump'!$N:$N,$B18)</f>
        <v>0</v>
      </c>
      <c r="G18" s="280">
        <f t="shared" si="2"/>
        <v>0</v>
      </c>
      <c r="H18" s="280" t="str">
        <f t="shared" si="1"/>
        <v>Not Started</v>
      </c>
    </row>
    <row r="19" spans="2:8">
      <c r="B19" s="323" t="e">
        <f t="array" ref="B19">INDEX('Defect Dump'!$N$3:$N$10000, MATCH(0, COUNTIF($B$3:B18, 'Defect Dump'!$N$3:$N$10000), 0))</f>
        <v>#N/A</v>
      </c>
      <c r="C19" s="280">
        <f>COUNTIFS('Defect Dump'!$I:$I,C$3,'Defect Dump'!$N:$N,$B19)</f>
        <v>0</v>
      </c>
      <c r="D19" s="280">
        <f>COUNTIFS('Defect Dump'!$I:$I,D$3,'Defect Dump'!$N:$N,$B19)</f>
        <v>0</v>
      </c>
      <c r="E19" s="280">
        <f>COUNTIFS('Defect Dump'!$I:$I,E$3,'Defect Dump'!$N:$N,$B19)</f>
        <v>0</v>
      </c>
      <c r="F19" s="280">
        <f>COUNTIFS('Defect Dump'!$I:$I,F$3,'Defect Dump'!$N:$N,$B19)</f>
        <v>0</v>
      </c>
      <c r="G19" s="280">
        <f t="shared" si="2"/>
        <v>0</v>
      </c>
      <c r="H19" s="280" t="str">
        <f t="shared" si="1"/>
        <v>Not Started</v>
      </c>
    </row>
    <row r="20" spans="2:8">
      <c r="B20" s="323" t="e">
        <f t="array" ref="B20">INDEX('Defect Dump'!$N$3:$N$10000, MATCH(0, COUNTIF($B$3:B19, 'Defect Dump'!$N$3:$N$10000), 0))</f>
        <v>#N/A</v>
      </c>
      <c r="C20" s="280">
        <f>COUNTIFS('Defect Dump'!$I:$I,C$3,'Defect Dump'!$N:$N,$B20)</f>
        <v>0</v>
      </c>
      <c r="D20" s="280">
        <f>COUNTIFS('Defect Dump'!$I:$I,D$3,'Defect Dump'!$N:$N,$B20)</f>
        <v>0</v>
      </c>
      <c r="E20" s="280">
        <f>COUNTIFS('Defect Dump'!$I:$I,E$3,'Defect Dump'!$N:$N,$B20)</f>
        <v>0</v>
      </c>
      <c r="F20" s="280">
        <f>COUNTIFS('Defect Dump'!$I:$I,F$3,'Defect Dump'!$N:$N,$B20)</f>
        <v>0</v>
      </c>
      <c r="G20" s="280">
        <f t="shared" si="2"/>
        <v>0</v>
      </c>
      <c r="H20" s="280" t="str">
        <f t="shared" si="1"/>
        <v>Not Started</v>
      </c>
    </row>
    <row r="21" spans="2:8">
      <c r="B21" s="323" t="e">
        <f t="array" ref="B21">INDEX('Defect Dump'!$N$3:$N$10000, MATCH(0, COUNTIF($B$3:B20, 'Defect Dump'!$N$3:$N$10000), 0))</f>
        <v>#N/A</v>
      </c>
      <c r="C21" s="280">
        <f>COUNTIFS('Defect Dump'!$I:$I,C$3,'Defect Dump'!$N:$N,$B21)</f>
        <v>0</v>
      </c>
      <c r="D21" s="280">
        <f>COUNTIFS('Defect Dump'!$I:$I,D$3,'Defect Dump'!$N:$N,$B21)</f>
        <v>0</v>
      </c>
      <c r="E21" s="280">
        <f>COUNTIFS('Defect Dump'!$I:$I,E$3,'Defect Dump'!$N:$N,$B21)</f>
        <v>0</v>
      </c>
      <c r="F21" s="280">
        <f>COUNTIFS('Defect Dump'!$I:$I,F$3,'Defect Dump'!$N:$N,$B21)</f>
        <v>0</v>
      </c>
      <c r="G21" s="280">
        <f t="shared" si="2"/>
        <v>0</v>
      </c>
      <c r="H21" s="280" t="str">
        <f t="shared" si="1"/>
        <v>Not Started</v>
      </c>
    </row>
    <row r="22" spans="2:8">
      <c r="B22" s="323" t="e">
        <f t="array" ref="B22">INDEX('Defect Dump'!$N$3:$N$10000, MATCH(0, COUNTIF($B$3:B21, 'Defect Dump'!$N$3:$N$10000), 0))</f>
        <v>#N/A</v>
      </c>
      <c r="C22" s="280">
        <f>COUNTIFS('Defect Dump'!$I:$I,C$3,'Defect Dump'!$N:$N,$B22)</f>
        <v>0</v>
      </c>
      <c r="D22" s="280">
        <f>COUNTIFS('Defect Dump'!$I:$I,D$3,'Defect Dump'!$N:$N,$B22)</f>
        <v>0</v>
      </c>
      <c r="E22" s="280">
        <f>COUNTIFS('Defect Dump'!$I:$I,E$3,'Defect Dump'!$N:$N,$B22)</f>
        <v>0</v>
      </c>
      <c r="F22" s="280">
        <f>COUNTIFS('Defect Dump'!$I:$I,F$3,'Defect Dump'!$N:$N,$B22)</f>
        <v>0</v>
      </c>
      <c r="G22" s="280">
        <f t="shared" si="2"/>
        <v>0</v>
      </c>
      <c r="H22" s="280" t="str">
        <f t="shared" si="1"/>
        <v>Not Started</v>
      </c>
    </row>
    <row r="23" spans="2:8">
      <c r="B23" s="323" t="e">
        <f t="array" ref="B23">INDEX('Defect Dump'!$N$3:$N$10000, MATCH(0, COUNTIF($B$3:B22, 'Defect Dump'!$N$3:$N$10000), 0))</f>
        <v>#N/A</v>
      </c>
      <c r="C23" s="280">
        <f>COUNTIFS('Defect Dump'!$I:$I,C$3,'Defect Dump'!$N:$N,$B23)</f>
        <v>0</v>
      </c>
      <c r="D23" s="280">
        <f>COUNTIFS('Defect Dump'!$I:$I,D$3,'Defect Dump'!$N:$N,$B23)</f>
        <v>0</v>
      </c>
      <c r="E23" s="280">
        <f>COUNTIFS('Defect Dump'!$I:$I,E$3,'Defect Dump'!$N:$N,$B23)</f>
        <v>0</v>
      </c>
      <c r="F23" s="280">
        <f>COUNTIFS('Defect Dump'!$I:$I,F$3,'Defect Dump'!$N:$N,$B23)</f>
        <v>0</v>
      </c>
      <c r="G23" s="280">
        <f t="shared" si="2"/>
        <v>0</v>
      </c>
      <c r="H23" s="280" t="str">
        <f t="shared" si="1"/>
        <v>Not Started</v>
      </c>
    </row>
    <row r="24" spans="2:8">
      <c r="B24" s="323" t="e">
        <f t="array" ref="B24">INDEX('Defect Dump'!$N$3:$N$10000, MATCH(0, COUNTIF($B$3:B23, 'Defect Dump'!$N$3:$N$10000), 0))</f>
        <v>#N/A</v>
      </c>
      <c r="C24" s="280">
        <f>COUNTIFS('Defect Dump'!$I:$I,C$3,'Defect Dump'!$N:$N,$B24)</f>
        <v>0</v>
      </c>
      <c r="D24" s="280">
        <f>COUNTIFS('Defect Dump'!$I:$I,D$3,'Defect Dump'!$N:$N,$B24)</f>
        <v>0</v>
      </c>
      <c r="E24" s="280">
        <f>COUNTIFS('Defect Dump'!$I:$I,E$3,'Defect Dump'!$N:$N,$B24)</f>
        <v>0</v>
      </c>
      <c r="F24" s="280">
        <f>COUNTIFS('Defect Dump'!$I:$I,F$3,'Defect Dump'!$N:$N,$B24)</f>
        <v>0</v>
      </c>
      <c r="G24" s="280">
        <f t="shared" si="2"/>
        <v>0</v>
      </c>
      <c r="H24" s="280" t="str">
        <f t="shared" si="1"/>
        <v>Not Started</v>
      </c>
    </row>
    <row r="25" spans="2:8">
      <c r="B25" s="323" t="e">
        <f t="array" ref="B25">INDEX('Defect Dump'!$N$3:$N$10000, MATCH(0, COUNTIF($B$3:B24, 'Defect Dump'!$N$3:$N$10000), 0))</f>
        <v>#N/A</v>
      </c>
      <c r="C25" s="280">
        <f>COUNTIFS('Defect Dump'!$I:$I,C$3,'Defect Dump'!$N:$N,$B25)</f>
        <v>0</v>
      </c>
      <c r="D25" s="280">
        <f>COUNTIFS('Defect Dump'!$I:$I,D$3,'Defect Dump'!$N:$N,$B25)</f>
        <v>0</v>
      </c>
      <c r="E25" s="280">
        <f>COUNTIFS('Defect Dump'!$I:$I,E$3,'Defect Dump'!$N:$N,$B25)</f>
        <v>0</v>
      </c>
      <c r="F25" s="280">
        <f>COUNTIFS('Defect Dump'!$I:$I,F$3,'Defect Dump'!$N:$N,$B25)</f>
        <v>0</v>
      </c>
      <c r="G25" s="280">
        <f t="shared" si="2"/>
        <v>0</v>
      </c>
      <c r="H25" s="280" t="str">
        <f t="shared" si="1"/>
        <v>Not Started</v>
      </c>
    </row>
    <row r="26" spans="2:8">
      <c r="B26" s="323" t="e">
        <f t="array" ref="B26">INDEX('Defect Dump'!$N$3:$N$10000, MATCH(0, COUNTIF($B$3:B25, 'Defect Dump'!$N$3:$N$10000), 0))</f>
        <v>#N/A</v>
      </c>
      <c r="C26" s="280">
        <f>COUNTIFS('Defect Dump'!$I:$I,C$3,'Defect Dump'!$N:$N,$B26)</f>
        <v>0</v>
      </c>
      <c r="D26" s="280">
        <f>COUNTIFS('Defect Dump'!$I:$I,D$3,'Defect Dump'!$N:$N,$B26)</f>
        <v>0</v>
      </c>
      <c r="E26" s="280">
        <f>COUNTIFS('Defect Dump'!$I:$I,E$3,'Defect Dump'!$N:$N,$B26)</f>
        <v>0</v>
      </c>
      <c r="F26" s="280">
        <f>COUNTIFS('Defect Dump'!$I:$I,F$3,'Defect Dump'!$N:$N,$B26)</f>
        <v>0</v>
      </c>
      <c r="G26" s="280">
        <f t="shared" si="2"/>
        <v>0</v>
      </c>
      <c r="H26" s="280" t="str">
        <f t="shared" si="1"/>
        <v>Not Started</v>
      </c>
    </row>
    <row r="27" spans="2:8">
      <c r="B27" s="323" t="e">
        <f t="array" ref="B27">INDEX('Defect Dump'!$N$3:$N$10000, MATCH(0, COUNTIF($B$3:B26, 'Defect Dump'!$N$3:$N$10000), 0))</f>
        <v>#N/A</v>
      </c>
      <c r="C27" s="280">
        <f>COUNTIFS('Defect Dump'!$I:$I,C$3,'Defect Dump'!$N:$N,$B27)</f>
        <v>0</v>
      </c>
      <c r="D27" s="280">
        <f>COUNTIFS('Defect Dump'!$I:$I,D$3,'Defect Dump'!$N:$N,$B27)</f>
        <v>0</v>
      </c>
      <c r="E27" s="280">
        <f>COUNTIFS('Defect Dump'!$I:$I,E$3,'Defect Dump'!$N:$N,$B27)</f>
        <v>0</v>
      </c>
      <c r="F27" s="280">
        <f>COUNTIFS('Defect Dump'!$I:$I,F$3,'Defect Dump'!$N:$N,$B27)</f>
        <v>0</v>
      </c>
      <c r="G27" s="280">
        <f t="shared" si="2"/>
        <v>0</v>
      </c>
      <c r="H27" s="280" t="str">
        <f t="shared" si="1"/>
        <v>Not Started</v>
      </c>
    </row>
    <row r="28" spans="2:8">
      <c r="B28" s="323" t="e">
        <f t="array" ref="B28">INDEX('Defect Dump'!$N$3:$N$10000, MATCH(0, COUNTIF($B$3:B27, 'Defect Dump'!$N$3:$N$10000), 0))</f>
        <v>#N/A</v>
      </c>
      <c r="C28" s="280">
        <f>COUNTIFS('Defect Dump'!$I:$I,C$3,'Defect Dump'!$N:$N,$B28)</f>
        <v>0</v>
      </c>
      <c r="D28" s="280">
        <f>COUNTIFS('Defect Dump'!$I:$I,D$3,'Defect Dump'!$N:$N,$B28)</f>
        <v>0</v>
      </c>
      <c r="E28" s="280">
        <f>COUNTIFS('Defect Dump'!$I:$I,E$3,'Defect Dump'!$N:$N,$B28)</f>
        <v>0</v>
      </c>
      <c r="F28" s="280">
        <f>COUNTIFS('Defect Dump'!$I:$I,F$3,'Defect Dump'!$N:$N,$B28)</f>
        <v>0</v>
      </c>
      <c r="G28" s="280">
        <f t="shared" si="2"/>
        <v>0</v>
      </c>
      <c r="H28" s="280" t="str">
        <f t="shared" si="1"/>
        <v>Not Started</v>
      </c>
    </row>
    <row r="29" spans="2:8">
      <c r="B29" s="323" t="e">
        <f t="array" ref="B29">INDEX('Defect Dump'!$N$3:$N$10000, MATCH(0, COUNTIF($B$3:B28, 'Defect Dump'!$N$3:$N$10000), 0))</f>
        <v>#N/A</v>
      </c>
      <c r="C29" s="280">
        <f>COUNTIFS('Defect Dump'!$I:$I,C$3,'Defect Dump'!$N:$N,$B29)</f>
        <v>0</v>
      </c>
      <c r="D29" s="280">
        <f>COUNTIFS('Defect Dump'!$I:$I,D$3,'Defect Dump'!$N:$N,$B29)</f>
        <v>0</v>
      </c>
      <c r="E29" s="280">
        <f>COUNTIFS('Defect Dump'!$I:$I,E$3,'Defect Dump'!$N:$N,$B29)</f>
        <v>0</v>
      </c>
      <c r="F29" s="280">
        <f>COUNTIFS('Defect Dump'!$I:$I,F$3,'Defect Dump'!$N:$N,$B29)</f>
        <v>0</v>
      </c>
      <c r="G29" s="280">
        <f t="shared" si="2"/>
        <v>0</v>
      </c>
      <c r="H29" s="280" t="str">
        <f t="shared" si="1"/>
        <v>Not Started</v>
      </c>
    </row>
    <row r="30" spans="2:8">
      <c r="B30" s="323" t="e">
        <f t="array" ref="B30">INDEX('Defect Dump'!$N$3:$N$10000, MATCH(0, COUNTIF($B$3:B29, 'Defect Dump'!$N$3:$N$10000), 0))</f>
        <v>#N/A</v>
      </c>
      <c r="C30" s="280">
        <f>COUNTIFS('Defect Dump'!$I:$I,C$3,'Defect Dump'!$N:$N,$B30)</f>
        <v>0</v>
      </c>
      <c r="D30" s="280">
        <f>COUNTIFS('Defect Dump'!$I:$I,D$3,'Defect Dump'!$N:$N,$B30)</f>
        <v>0</v>
      </c>
      <c r="E30" s="280">
        <f>COUNTIFS('Defect Dump'!$I:$I,E$3,'Defect Dump'!$N:$N,$B30)</f>
        <v>0</v>
      </c>
      <c r="F30" s="280">
        <f>COUNTIFS('Defect Dump'!$I:$I,F$3,'Defect Dump'!$N:$N,$B30)</f>
        <v>0</v>
      </c>
      <c r="G30" s="280">
        <f t="shared" si="2"/>
        <v>0</v>
      </c>
      <c r="H30" s="280" t="str">
        <f t="shared" si="1"/>
        <v>Not Started</v>
      </c>
    </row>
    <row r="31" spans="2:8">
      <c r="B31" s="323" t="e">
        <f t="array" ref="B31">INDEX('Defect Dump'!$N$3:$N$10000, MATCH(0, COUNTIF($B$3:B30, 'Defect Dump'!$N$3:$N$10000), 0))</f>
        <v>#N/A</v>
      </c>
      <c r="C31" s="280">
        <f>COUNTIFS('Defect Dump'!$I:$I,C$3,'Defect Dump'!$N:$N,$B31)</f>
        <v>0</v>
      </c>
      <c r="D31" s="280">
        <f>COUNTIFS('Defect Dump'!$I:$I,D$3,'Defect Dump'!$N:$N,$B31)</f>
        <v>0</v>
      </c>
      <c r="E31" s="280">
        <f>COUNTIFS('Defect Dump'!$I:$I,E$3,'Defect Dump'!$N:$N,$B31)</f>
        <v>0</v>
      </c>
      <c r="F31" s="280">
        <f>COUNTIFS('Defect Dump'!$I:$I,F$3,'Defect Dump'!$N:$N,$B31)</f>
        <v>0</v>
      </c>
      <c r="G31" s="280">
        <f t="shared" si="2"/>
        <v>0</v>
      </c>
      <c r="H31" s="280" t="str">
        <f t="shared" si="1"/>
        <v>Not Started</v>
      </c>
    </row>
    <row r="32" spans="2:8">
      <c r="B32" s="323" t="e">
        <f t="array" ref="B32">INDEX('Defect Dump'!$N$3:$N$10000, MATCH(0, COUNTIF($B$3:B31, 'Defect Dump'!$N$3:$N$10000), 0))</f>
        <v>#N/A</v>
      </c>
      <c r="C32" s="280">
        <f>COUNTIFS('Defect Dump'!$I:$I,C$3,'Defect Dump'!$N:$N,$B32)</f>
        <v>0</v>
      </c>
      <c r="D32" s="280">
        <f>COUNTIFS('Defect Dump'!$I:$I,D$3,'Defect Dump'!$N:$N,$B32)</f>
        <v>0</v>
      </c>
      <c r="E32" s="280">
        <f>COUNTIFS('Defect Dump'!$I:$I,E$3,'Defect Dump'!$N:$N,$B32)</f>
        <v>0</v>
      </c>
      <c r="F32" s="280">
        <f>COUNTIFS('Defect Dump'!$I:$I,F$3,'Defect Dump'!$N:$N,$B32)</f>
        <v>0</v>
      </c>
      <c r="G32" s="280">
        <f t="shared" si="2"/>
        <v>0</v>
      </c>
      <c r="H32" s="280" t="str">
        <f t="shared" si="1"/>
        <v>Not Started</v>
      </c>
    </row>
    <row r="33" spans="2:8">
      <c r="B33" s="323" t="e">
        <f t="array" ref="B33">INDEX('Defect Dump'!$N$3:$N$10000, MATCH(0, COUNTIF($B$3:B32, 'Defect Dump'!$N$3:$N$10000), 0))</f>
        <v>#N/A</v>
      </c>
      <c r="C33" s="280">
        <f>COUNTIFS('Defect Dump'!$I:$I,C$3,'Defect Dump'!$N:$N,$B33)</f>
        <v>0</v>
      </c>
      <c r="D33" s="280">
        <f>COUNTIFS('Defect Dump'!$I:$I,D$3,'Defect Dump'!$N:$N,$B33)</f>
        <v>0</v>
      </c>
      <c r="E33" s="280">
        <f>COUNTIFS('Defect Dump'!$I:$I,E$3,'Defect Dump'!$N:$N,$B33)</f>
        <v>0</v>
      </c>
      <c r="F33" s="280">
        <f>COUNTIFS('Defect Dump'!$I:$I,F$3,'Defect Dump'!$N:$N,$B33)</f>
        <v>0</v>
      </c>
      <c r="G33" s="280">
        <f t="shared" si="2"/>
        <v>0</v>
      </c>
      <c r="H33" s="280" t="str">
        <f t="shared" si="1"/>
        <v>Not Started</v>
      </c>
    </row>
    <row r="34" spans="2:8">
      <c r="B34" s="323" t="e">
        <f t="array" ref="B34">INDEX('Defect Dump'!$N$3:$N$10000, MATCH(0, COUNTIF($B$3:B33, 'Defect Dump'!$N$3:$N$10000), 0))</f>
        <v>#N/A</v>
      </c>
      <c r="C34" s="280">
        <f>COUNTIFS('Defect Dump'!$I:$I,C$3,'Defect Dump'!$N:$N,$B34)</f>
        <v>0</v>
      </c>
      <c r="D34" s="280">
        <f>COUNTIFS('Defect Dump'!$I:$I,D$3,'Defect Dump'!$N:$N,$B34)</f>
        <v>0</v>
      </c>
      <c r="E34" s="280">
        <f>COUNTIFS('Defect Dump'!$I:$I,E$3,'Defect Dump'!$N:$N,$B34)</f>
        <v>0</v>
      </c>
      <c r="F34" s="280">
        <f>COUNTIFS('Defect Dump'!$I:$I,F$3,'Defect Dump'!$N:$N,$B34)</f>
        <v>0</v>
      </c>
      <c r="G34" s="280">
        <f t="shared" si="2"/>
        <v>0</v>
      </c>
      <c r="H34" s="280" t="str">
        <f t="shared" si="1"/>
        <v>Not Started</v>
      </c>
    </row>
    <row r="35" spans="2:8">
      <c r="B35" s="323" t="e">
        <f t="array" ref="B35">INDEX('Defect Dump'!$N$3:$N$10000, MATCH(0, COUNTIF($B$3:B34, 'Defect Dump'!$N$3:$N$10000), 0))</f>
        <v>#N/A</v>
      </c>
      <c r="C35" s="280">
        <f>COUNTIFS('Defect Dump'!$I:$I,C$3,'Defect Dump'!$N:$N,$B35)</f>
        <v>0</v>
      </c>
      <c r="D35" s="280">
        <f>COUNTIFS('Defect Dump'!$I:$I,D$3,'Defect Dump'!$N:$N,$B35)</f>
        <v>0</v>
      </c>
      <c r="E35" s="280">
        <f>COUNTIFS('Defect Dump'!$I:$I,E$3,'Defect Dump'!$N:$N,$B35)</f>
        <v>0</v>
      </c>
      <c r="F35" s="280">
        <f>COUNTIFS('Defect Dump'!$I:$I,F$3,'Defect Dump'!$N:$N,$B35)</f>
        <v>0</v>
      </c>
      <c r="G35" s="280">
        <f t="shared" si="2"/>
        <v>0</v>
      </c>
      <c r="H35" s="280" t="str">
        <f t="shared" si="1"/>
        <v>Not Started</v>
      </c>
    </row>
    <row r="36" spans="2:8">
      <c r="B36" s="323" t="e">
        <f t="array" ref="B36">INDEX('Defect Dump'!$N$3:$N$10000, MATCH(0, COUNTIF($B$3:B35, 'Defect Dump'!$N$3:$N$10000), 0))</f>
        <v>#N/A</v>
      </c>
      <c r="C36" s="280">
        <f>COUNTIFS('Defect Dump'!$I:$I,C$3,'Defect Dump'!$N:$N,$B36)</f>
        <v>0</v>
      </c>
      <c r="D36" s="280">
        <f>COUNTIFS('Defect Dump'!$I:$I,D$3,'Defect Dump'!$N:$N,$B36)</f>
        <v>0</v>
      </c>
      <c r="E36" s="280">
        <f>COUNTIFS('Defect Dump'!$I:$I,E$3,'Defect Dump'!$N:$N,$B36)</f>
        <v>0</v>
      </c>
      <c r="F36" s="280">
        <f>COUNTIFS('Defect Dump'!$I:$I,F$3,'Defect Dump'!$N:$N,$B36)</f>
        <v>0</v>
      </c>
      <c r="G36" s="280">
        <f t="shared" si="2"/>
        <v>0</v>
      </c>
      <c r="H36" s="280" t="str">
        <f t="shared" ref="H36:H67" si="3">IF(AND($C36&lt;1,$D36&lt;1,$E36&lt;1,$F36&lt;1),"Not Started",IF($C36&gt;RedFactor,"Red",IF(OR($D36&gt;AmberFactor,$E36&gt;AmberFactor),"Amber",IF($F36&lt;GreenFactor,"Green","Amber"))))</f>
        <v>Not Started</v>
      </c>
    </row>
    <row r="37" spans="2:8">
      <c r="B37" s="323" t="e">
        <f t="array" ref="B37">INDEX('Defect Dump'!$N$3:$N$10000, MATCH(0, COUNTIF($B$3:B36, 'Defect Dump'!$N$3:$N$10000), 0))</f>
        <v>#N/A</v>
      </c>
      <c r="C37" s="280">
        <f>COUNTIFS('Defect Dump'!$I:$I,C$3,'Defect Dump'!$N:$N,$B37)</f>
        <v>0</v>
      </c>
      <c r="D37" s="280">
        <f>COUNTIFS('Defect Dump'!$I:$I,D$3,'Defect Dump'!$N:$N,$B37)</f>
        <v>0</v>
      </c>
      <c r="E37" s="280">
        <f>COUNTIFS('Defect Dump'!$I:$I,E$3,'Defect Dump'!$N:$N,$B37)</f>
        <v>0</v>
      </c>
      <c r="F37" s="280">
        <f>COUNTIFS('Defect Dump'!$I:$I,F$3,'Defect Dump'!$N:$N,$B37)</f>
        <v>0</v>
      </c>
      <c r="G37" s="280">
        <f t="shared" si="2"/>
        <v>0</v>
      </c>
      <c r="H37" s="280" t="str">
        <f t="shared" si="3"/>
        <v>Not Started</v>
      </c>
    </row>
    <row r="38" spans="2:8">
      <c r="B38" s="323" t="e">
        <f t="array" ref="B38">INDEX('Defect Dump'!$N$3:$N$10000, MATCH(0, COUNTIF($B$3:B37, 'Defect Dump'!$N$3:$N$10000), 0))</f>
        <v>#N/A</v>
      </c>
      <c r="C38" s="280">
        <f>COUNTIFS('Defect Dump'!$I:$I,C$3,'Defect Dump'!$N:$N,$B38)</f>
        <v>0</v>
      </c>
      <c r="D38" s="280">
        <f>COUNTIFS('Defect Dump'!$I:$I,D$3,'Defect Dump'!$N:$N,$B38)</f>
        <v>0</v>
      </c>
      <c r="E38" s="280">
        <f>COUNTIFS('Defect Dump'!$I:$I,E$3,'Defect Dump'!$N:$N,$B38)</f>
        <v>0</v>
      </c>
      <c r="F38" s="280">
        <f>COUNTIFS('Defect Dump'!$I:$I,F$3,'Defect Dump'!$N:$N,$B38)</f>
        <v>0</v>
      </c>
      <c r="G38" s="280">
        <f t="shared" si="2"/>
        <v>0</v>
      </c>
      <c r="H38" s="280" t="str">
        <f t="shared" si="3"/>
        <v>Not Started</v>
      </c>
    </row>
    <row r="39" spans="2:8">
      <c r="B39" s="323" t="e">
        <f t="array" ref="B39">INDEX('Defect Dump'!$N$3:$N$10000, MATCH(0, COUNTIF($B$3:B38, 'Defect Dump'!$N$3:$N$10000), 0))</f>
        <v>#N/A</v>
      </c>
      <c r="C39" s="280">
        <f>COUNTIFS('Defect Dump'!$I:$I,C$3,'Defect Dump'!$N:$N,$B39)</f>
        <v>0</v>
      </c>
      <c r="D39" s="280">
        <f>COUNTIFS('Defect Dump'!$I:$I,D$3,'Defect Dump'!$N:$N,$B39)</f>
        <v>0</v>
      </c>
      <c r="E39" s="280">
        <f>COUNTIFS('Defect Dump'!$I:$I,E$3,'Defect Dump'!$N:$N,$B39)</f>
        <v>0</v>
      </c>
      <c r="F39" s="280">
        <f>COUNTIFS('Defect Dump'!$I:$I,F$3,'Defect Dump'!$N:$N,$B39)</f>
        <v>0</v>
      </c>
      <c r="G39" s="280">
        <f t="shared" si="2"/>
        <v>0</v>
      </c>
      <c r="H39" s="280" t="str">
        <f t="shared" si="3"/>
        <v>Not Started</v>
      </c>
    </row>
    <row r="40" spans="2:8">
      <c r="B40" s="323" t="e">
        <f t="array" ref="B40">INDEX('Defect Dump'!$N$3:$N$10000, MATCH(0, COUNTIF($B$3:B39, 'Defect Dump'!$N$3:$N$10000), 0))</f>
        <v>#N/A</v>
      </c>
      <c r="C40" s="280">
        <f>COUNTIFS('Defect Dump'!$I:$I,C$3,'Defect Dump'!$N:$N,$B40)</f>
        <v>0</v>
      </c>
      <c r="D40" s="280">
        <f>COUNTIFS('Defect Dump'!$I:$I,D$3,'Defect Dump'!$N:$N,$B40)</f>
        <v>0</v>
      </c>
      <c r="E40" s="280">
        <f>COUNTIFS('Defect Dump'!$I:$I,E$3,'Defect Dump'!$N:$N,$B40)</f>
        <v>0</v>
      </c>
      <c r="F40" s="280">
        <f>COUNTIFS('Defect Dump'!$I:$I,F$3,'Defect Dump'!$N:$N,$B40)</f>
        <v>0</v>
      </c>
      <c r="G40" s="280">
        <f t="shared" si="2"/>
        <v>0</v>
      </c>
      <c r="H40" s="280" t="str">
        <f t="shared" si="3"/>
        <v>Not Started</v>
      </c>
    </row>
    <row r="41" spans="2:8">
      <c r="B41" s="323" t="e">
        <f t="array" ref="B41">INDEX('Defect Dump'!$N$3:$N$10000, MATCH(0, COUNTIF($B$3:B40, 'Defect Dump'!$N$3:$N$10000), 0))</f>
        <v>#N/A</v>
      </c>
      <c r="C41" s="280">
        <f>COUNTIFS('Defect Dump'!$I:$I,C$3,'Defect Dump'!$N:$N,$B41)</f>
        <v>0</v>
      </c>
      <c r="D41" s="280">
        <f>COUNTIFS('Defect Dump'!$I:$I,D$3,'Defect Dump'!$N:$N,$B41)</f>
        <v>0</v>
      </c>
      <c r="E41" s="280">
        <f>COUNTIFS('Defect Dump'!$I:$I,E$3,'Defect Dump'!$N:$N,$B41)</f>
        <v>0</v>
      </c>
      <c r="F41" s="280">
        <f>COUNTIFS('Defect Dump'!$I:$I,F$3,'Defect Dump'!$N:$N,$B41)</f>
        <v>0</v>
      </c>
      <c r="G41" s="280">
        <f t="shared" si="2"/>
        <v>0</v>
      </c>
      <c r="H41" s="280" t="str">
        <f t="shared" si="3"/>
        <v>Not Started</v>
      </c>
    </row>
    <row r="42" spans="2:8">
      <c r="B42" s="323" t="e">
        <f t="array" ref="B42">INDEX('Defect Dump'!$N$3:$N$10000, MATCH(0, COUNTIF($B$3:B41, 'Defect Dump'!$N$3:$N$10000), 0))</f>
        <v>#N/A</v>
      </c>
      <c r="C42" s="280">
        <f>COUNTIFS('Defect Dump'!$I:$I,C$3,'Defect Dump'!$N:$N,$B42)</f>
        <v>0</v>
      </c>
      <c r="D42" s="280">
        <f>COUNTIFS('Defect Dump'!$I:$I,D$3,'Defect Dump'!$N:$N,$B42)</f>
        <v>0</v>
      </c>
      <c r="E42" s="280">
        <f>COUNTIFS('Defect Dump'!$I:$I,E$3,'Defect Dump'!$N:$N,$B42)</f>
        <v>0</v>
      </c>
      <c r="F42" s="280">
        <f>COUNTIFS('Defect Dump'!$I:$I,F$3,'Defect Dump'!$N:$N,$B42)</f>
        <v>0</v>
      </c>
      <c r="G42" s="280">
        <f t="shared" si="2"/>
        <v>0</v>
      </c>
      <c r="H42" s="280" t="str">
        <f t="shared" si="3"/>
        <v>Not Started</v>
      </c>
    </row>
    <row r="43" spans="2:8">
      <c r="B43" s="323" t="e">
        <f t="array" ref="B43">INDEX('Defect Dump'!$N$3:$N$10000, MATCH(0, COUNTIF($B$3:B42, 'Defect Dump'!$N$3:$N$10000), 0))</f>
        <v>#N/A</v>
      </c>
      <c r="C43" s="280">
        <f>COUNTIFS('Defect Dump'!$I:$I,C$3,'Defect Dump'!$N:$N,$B43)</f>
        <v>0</v>
      </c>
      <c r="D43" s="280">
        <f>COUNTIFS('Defect Dump'!$I:$I,D$3,'Defect Dump'!$N:$N,$B43)</f>
        <v>0</v>
      </c>
      <c r="E43" s="280">
        <f>COUNTIFS('Defect Dump'!$I:$I,E$3,'Defect Dump'!$N:$N,$B43)</f>
        <v>0</v>
      </c>
      <c r="F43" s="280">
        <f>COUNTIFS('Defect Dump'!$I:$I,F$3,'Defect Dump'!$N:$N,$B43)</f>
        <v>0</v>
      </c>
      <c r="G43" s="280">
        <f t="shared" si="2"/>
        <v>0</v>
      </c>
      <c r="H43" s="280" t="str">
        <f t="shared" si="3"/>
        <v>Not Started</v>
      </c>
    </row>
    <row r="44" spans="2:8">
      <c r="B44" s="323" t="e">
        <f t="array" ref="B44">INDEX('Defect Dump'!$N$3:$N$10000, MATCH(0, COUNTIF($B$3:B43, 'Defect Dump'!$N$3:$N$10000), 0))</f>
        <v>#N/A</v>
      </c>
      <c r="C44" s="280">
        <f>COUNTIFS('Defect Dump'!$I:$I,C$3,'Defect Dump'!$N:$N,$B44)</f>
        <v>0</v>
      </c>
      <c r="D44" s="280">
        <f>COUNTIFS('Defect Dump'!$I:$I,D$3,'Defect Dump'!$N:$N,$B44)</f>
        <v>0</v>
      </c>
      <c r="E44" s="280">
        <f>COUNTIFS('Defect Dump'!$I:$I,E$3,'Defect Dump'!$N:$N,$B44)</f>
        <v>0</v>
      </c>
      <c r="F44" s="280">
        <f>COUNTIFS('Defect Dump'!$I:$I,F$3,'Defect Dump'!$N:$N,$B44)</f>
        <v>0</v>
      </c>
      <c r="G44" s="280">
        <f t="shared" si="2"/>
        <v>0</v>
      </c>
      <c r="H44" s="280" t="str">
        <f t="shared" si="3"/>
        <v>Not Started</v>
      </c>
    </row>
    <row r="45" spans="2:8">
      <c r="B45" s="323" t="e">
        <f t="array" ref="B45">INDEX('Defect Dump'!$N$3:$N$10000, MATCH(0, COUNTIF($B$3:B44, 'Defect Dump'!$N$3:$N$10000), 0))</f>
        <v>#N/A</v>
      </c>
      <c r="C45" s="280">
        <f>COUNTIFS('Defect Dump'!$I:$I,C$3,'Defect Dump'!$N:$N,$B45)</f>
        <v>0</v>
      </c>
      <c r="D45" s="280">
        <f>COUNTIFS('Defect Dump'!$I:$I,D$3,'Defect Dump'!$N:$N,$B45)</f>
        <v>0</v>
      </c>
      <c r="E45" s="280">
        <f>COUNTIFS('Defect Dump'!$I:$I,E$3,'Defect Dump'!$N:$N,$B45)</f>
        <v>0</v>
      </c>
      <c r="F45" s="280">
        <f>COUNTIFS('Defect Dump'!$I:$I,F$3,'Defect Dump'!$N:$N,$B45)</f>
        <v>0</v>
      </c>
      <c r="G45" s="280">
        <f t="shared" si="2"/>
        <v>0</v>
      </c>
      <c r="H45" s="280" t="str">
        <f t="shared" si="3"/>
        <v>Not Started</v>
      </c>
    </row>
    <row r="46" spans="2:8">
      <c r="B46" s="323" t="e">
        <f t="array" ref="B46">INDEX('Defect Dump'!$N$3:$N$10000, MATCH(0, COUNTIF($B$3:B45, 'Defect Dump'!$N$3:$N$10000), 0))</f>
        <v>#N/A</v>
      </c>
      <c r="C46" s="280">
        <f>COUNTIFS('Defect Dump'!$I:$I,C$3,'Defect Dump'!$N:$N,$B46)</f>
        <v>0</v>
      </c>
      <c r="D46" s="280">
        <f>COUNTIFS('Defect Dump'!$I:$I,D$3,'Defect Dump'!$N:$N,$B46)</f>
        <v>0</v>
      </c>
      <c r="E46" s="280">
        <f>COUNTIFS('Defect Dump'!$I:$I,E$3,'Defect Dump'!$N:$N,$B46)</f>
        <v>0</v>
      </c>
      <c r="F46" s="280">
        <f>COUNTIFS('Defect Dump'!$I:$I,F$3,'Defect Dump'!$N:$N,$B46)</f>
        <v>0</v>
      </c>
      <c r="G46" s="280">
        <f t="shared" si="2"/>
        <v>0</v>
      </c>
      <c r="H46" s="280" t="str">
        <f t="shared" si="3"/>
        <v>Not Started</v>
      </c>
    </row>
    <row r="47" spans="2:8">
      <c r="B47" s="323" t="e">
        <f t="array" ref="B47">INDEX('Defect Dump'!$N$3:$N$10000, MATCH(0, COUNTIF($B$3:B46, 'Defect Dump'!$N$3:$N$10000), 0))</f>
        <v>#N/A</v>
      </c>
      <c r="C47" s="280">
        <f>COUNTIFS('Defect Dump'!$I:$I,C$3,'Defect Dump'!$N:$N,$B47)</f>
        <v>0</v>
      </c>
      <c r="D47" s="280">
        <f>COUNTIFS('Defect Dump'!$I:$I,D$3,'Defect Dump'!$N:$N,$B47)</f>
        <v>0</v>
      </c>
      <c r="E47" s="280">
        <f>COUNTIFS('Defect Dump'!$I:$I,E$3,'Defect Dump'!$N:$N,$B47)</f>
        <v>0</v>
      </c>
      <c r="F47" s="280">
        <f>COUNTIFS('Defect Dump'!$I:$I,F$3,'Defect Dump'!$N:$N,$B47)</f>
        <v>0</v>
      </c>
      <c r="G47" s="280">
        <f t="shared" si="2"/>
        <v>0</v>
      </c>
      <c r="H47" s="280" t="str">
        <f t="shared" si="3"/>
        <v>Not Started</v>
      </c>
    </row>
    <row r="48" spans="2:8">
      <c r="B48" s="323" t="e">
        <f t="array" ref="B48">INDEX('Defect Dump'!$N$3:$N$10000, MATCH(0, COUNTIF($B$3:B47, 'Defect Dump'!$N$3:$N$10000), 0))</f>
        <v>#N/A</v>
      </c>
      <c r="C48" s="280">
        <f>COUNTIFS('Defect Dump'!$I:$I,C$3,'Defect Dump'!$N:$N,$B48)</f>
        <v>0</v>
      </c>
      <c r="D48" s="280">
        <f>COUNTIFS('Defect Dump'!$I:$I,D$3,'Defect Dump'!$N:$N,$B48)</f>
        <v>0</v>
      </c>
      <c r="E48" s="280">
        <f>COUNTIFS('Defect Dump'!$I:$I,E$3,'Defect Dump'!$N:$N,$B48)</f>
        <v>0</v>
      </c>
      <c r="F48" s="280">
        <f>COUNTIFS('Defect Dump'!$I:$I,F$3,'Defect Dump'!$N:$N,$B48)</f>
        <v>0</v>
      </c>
      <c r="G48" s="280">
        <f t="shared" si="2"/>
        <v>0</v>
      </c>
      <c r="H48" s="280" t="str">
        <f t="shared" si="3"/>
        <v>Not Started</v>
      </c>
    </row>
    <row r="49" spans="2:8">
      <c r="B49" s="323" t="e">
        <f t="array" ref="B49">INDEX('Defect Dump'!$N$3:$N$10000, MATCH(0, COUNTIF($B$3:B48, 'Defect Dump'!$N$3:$N$10000), 0))</f>
        <v>#N/A</v>
      </c>
      <c r="C49" s="280">
        <f>COUNTIFS('Defect Dump'!$I:$I,C$3,'Defect Dump'!$N:$N,$B49)</f>
        <v>0</v>
      </c>
      <c r="D49" s="280">
        <f>COUNTIFS('Defect Dump'!$I:$I,D$3,'Defect Dump'!$N:$N,$B49)</f>
        <v>0</v>
      </c>
      <c r="E49" s="280">
        <f>COUNTIFS('Defect Dump'!$I:$I,E$3,'Defect Dump'!$N:$N,$B49)</f>
        <v>0</v>
      </c>
      <c r="F49" s="280">
        <f>COUNTIFS('Defect Dump'!$I:$I,F$3,'Defect Dump'!$N:$N,$B49)</f>
        <v>0</v>
      </c>
      <c r="G49" s="280">
        <f t="shared" si="2"/>
        <v>0</v>
      </c>
      <c r="H49" s="280" t="str">
        <f t="shared" si="3"/>
        <v>Not Started</v>
      </c>
    </row>
    <row r="50" spans="2:8">
      <c r="B50" s="323" t="e">
        <f t="array" ref="B50">INDEX('Defect Dump'!$N$3:$N$10000, MATCH(0, COUNTIF($B$3:B49, 'Defect Dump'!$N$3:$N$10000), 0))</f>
        <v>#N/A</v>
      </c>
      <c r="C50" s="280">
        <f>COUNTIFS('Defect Dump'!$I:$I,C$3,'Defect Dump'!$N:$N,$B50)</f>
        <v>0</v>
      </c>
      <c r="D50" s="280">
        <f>COUNTIFS('Defect Dump'!$I:$I,D$3,'Defect Dump'!$N:$N,$B50)</f>
        <v>0</v>
      </c>
      <c r="E50" s="280">
        <f>COUNTIFS('Defect Dump'!$I:$I,E$3,'Defect Dump'!$N:$N,$B50)</f>
        <v>0</v>
      </c>
      <c r="F50" s="280">
        <f>COUNTIFS('Defect Dump'!$I:$I,F$3,'Defect Dump'!$N:$N,$B50)</f>
        <v>0</v>
      </c>
      <c r="G50" s="280">
        <f t="shared" si="2"/>
        <v>0</v>
      </c>
      <c r="H50" s="280" t="str">
        <f t="shared" si="3"/>
        <v>Not Started</v>
      </c>
    </row>
    <row r="51" spans="2:8">
      <c r="B51" s="323" t="e">
        <f t="array" ref="B51">INDEX('Defect Dump'!$N$3:$N$10000, MATCH(0, COUNTIF($B$3:B50, 'Defect Dump'!$N$3:$N$10000), 0))</f>
        <v>#N/A</v>
      </c>
      <c r="C51" s="280">
        <f>COUNTIFS('Defect Dump'!$I:$I,C$3,'Defect Dump'!$N:$N,$B51)</f>
        <v>0</v>
      </c>
      <c r="D51" s="280">
        <f>COUNTIFS('Defect Dump'!$I:$I,D$3,'Defect Dump'!$N:$N,$B51)</f>
        <v>0</v>
      </c>
      <c r="E51" s="280">
        <f>COUNTIFS('Defect Dump'!$I:$I,E$3,'Defect Dump'!$N:$N,$B51)</f>
        <v>0</v>
      </c>
      <c r="F51" s="280">
        <f>COUNTIFS('Defect Dump'!$I:$I,F$3,'Defect Dump'!$N:$N,$B51)</f>
        <v>0</v>
      </c>
      <c r="G51" s="280">
        <f t="shared" si="2"/>
        <v>0</v>
      </c>
      <c r="H51" s="280" t="str">
        <f t="shared" si="3"/>
        <v>Not Started</v>
      </c>
    </row>
    <row r="52" spans="2:8">
      <c r="B52" s="323" t="e">
        <f t="array" ref="B52">INDEX('Defect Dump'!$N$3:$N$10000, MATCH(0, COUNTIF($B$3:B51, 'Defect Dump'!$N$3:$N$10000), 0))</f>
        <v>#N/A</v>
      </c>
      <c r="C52" s="280">
        <f>COUNTIFS('Defect Dump'!$I:$I,C$3,'Defect Dump'!$N:$N,$B52)</f>
        <v>0</v>
      </c>
      <c r="D52" s="280">
        <f>COUNTIFS('Defect Dump'!$I:$I,D$3,'Defect Dump'!$N:$N,$B52)</f>
        <v>0</v>
      </c>
      <c r="E52" s="280">
        <f>COUNTIFS('Defect Dump'!$I:$I,E$3,'Defect Dump'!$N:$N,$B52)</f>
        <v>0</v>
      </c>
      <c r="F52" s="280">
        <f>COUNTIFS('Defect Dump'!$I:$I,F$3,'Defect Dump'!$N:$N,$B52)</f>
        <v>0</v>
      </c>
      <c r="G52" s="280">
        <f t="shared" si="2"/>
        <v>0</v>
      </c>
      <c r="H52" s="280" t="str">
        <f t="shared" si="3"/>
        <v>Not Started</v>
      </c>
    </row>
    <row r="53" spans="2:8">
      <c r="B53" s="323" t="e">
        <f t="array" ref="B53">INDEX('Defect Dump'!$N$3:$N$10000, MATCH(0, COUNTIF($B$3:B52, 'Defect Dump'!$N$3:$N$10000), 0))</f>
        <v>#N/A</v>
      </c>
      <c r="C53" s="280">
        <f>COUNTIFS('Defect Dump'!$I:$I,C$3,'Defect Dump'!$N:$N,$B53)</f>
        <v>0</v>
      </c>
      <c r="D53" s="280">
        <f>COUNTIFS('Defect Dump'!$I:$I,D$3,'Defect Dump'!$N:$N,$B53)</f>
        <v>0</v>
      </c>
      <c r="E53" s="280">
        <f>COUNTIFS('Defect Dump'!$I:$I,E$3,'Defect Dump'!$N:$N,$B53)</f>
        <v>0</v>
      </c>
      <c r="F53" s="280">
        <f>COUNTIFS('Defect Dump'!$I:$I,F$3,'Defect Dump'!$N:$N,$B53)</f>
        <v>0</v>
      </c>
      <c r="G53" s="280">
        <f t="shared" si="2"/>
        <v>0</v>
      </c>
      <c r="H53" s="280" t="str">
        <f t="shared" si="3"/>
        <v>Not Started</v>
      </c>
    </row>
    <row r="54" spans="2:8">
      <c r="B54" s="323" t="e">
        <f t="array" ref="B54">INDEX('Defect Dump'!$N$3:$N$10000, MATCH(0, COUNTIF($B$3:B53, 'Defect Dump'!$N$3:$N$10000), 0))</f>
        <v>#N/A</v>
      </c>
      <c r="C54" s="280">
        <f>COUNTIFS('Defect Dump'!$I:$I,C$3,'Defect Dump'!$N:$N,$B54)</f>
        <v>0</v>
      </c>
      <c r="D54" s="280">
        <f>COUNTIFS('Defect Dump'!$I:$I,D$3,'Defect Dump'!$N:$N,$B54)</f>
        <v>0</v>
      </c>
      <c r="E54" s="280">
        <f>COUNTIFS('Defect Dump'!$I:$I,E$3,'Defect Dump'!$N:$N,$B54)</f>
        <v>0</v>
      </c>
      <c r="F54" s="280">
        <f>COUNTIFS('Defect Dump'!$I:$I,F$3,'Defect Dump'!$N:$N,$B54)</f>
        <v>0</v>
      </c>
      <c r="G54" s="280">
        <f t="shared" si="2"/>
        <v>0</v>
      </c>
      <c r="H54" s="280" t="str">
        <f t="shared" si="3"/>
        <v>Not Started</v>
      </c>
    </row>
    <row r="55" spans="2:8">
      <c r="B55" s="323" t="e">
        <f t="array" ref="B55">INDEX('Defect Dump'!$N$3:$N$10000, MATCH(0, COUNTIF($B$3:B54, 'Defect Dump'!$N$3:$N$10000), 0))</f>
        <v>#N/A</v>
      </c>
      <c r="C55" s="280">
        <f>COUNTIFS('Defect Dump'!$I:$I,C$3,'Defect Dump'!$N:$N,$B55)</f>
        <v>0</v>
      </c>
      <c r="D55" s="280">
        <f>COUNTIFS('Defect Dump'!$I:$I,D$3,'Defect Dump'!$N:$N,$B55)</f>
        <v>0</v>
      </c>
      <c r="E55" s="280">
        <f>COUNTIFS('Defect Dump'!$I:$I,E$3,'Defect Dump'!$N:$N,$B55)</f>
        <v>0</v>
      </c>
      <c r="F55" s="280">
        <f>COUNTIFS('Defect Dump'!$I:$I,F$3,'Defect Dump'!$N:$N,$B55)</f>
        <v>0</v>
      </c>
      <c r="G55" s="280">
        <f t="shared" si="2"/>
        <v>0</v>
      </c>
      <c r="H55" s="280" t="str">
        <f t="shared" si="3"/>
        <v>Not Started</v>
      </c>
    </row>
    <row r="56" spans="2:8">
      <c r="B56" s="323" t="e">
        <f t="array" ref="B56">INDEX('Defect Dump'!$N$3:$N$10000, MATCH(0, COUNTIF($B$3:B55, 'Defect Dump'!$N$3:$N$10000), 0))</f>
        <v>#N/A</v>
      </c>
      <c r="C56" s="280">
        <f>COUNTIFS('Defect Dump'!$I:$I,C$3,'Defect Dump'!$N:$N,$B56)</f>
        <v>0</v>
      </c>
      <c r="D56" s="280">
        <f>COUNTIFS('Defect Dump'!$I:$I,D$3,'Defect Dump'!$N:$N,$B56)</f>
        <v>0</v>
      </c>
      <c r="E56" s="280">
        <f>COUNTIFS('Defect Dump'!$I:$I,E$3,'Defect Dump'!$N:$N,$B56)</f>
        <v>0</v>
      </c>
      <c r="F56" s="280">
        <f>COUNTIFS('Defect Dump'!$I:$I,F$3,'Defect Dump'!$N:$N,$B56)</f>
        <v>0</v>
      </c>
      <c r="G56" s="280">
        <f t="shared" si="2"/>
        <v>0</v>
      </c>
      <c r="H56" s="280" t="str">
        <f t="shared" si="3"/>
        <v>Not Started</v>
      </c>
    </row>
    <row r="57" spans="2:8">
      <c r="B57" s="323" t="e">
        <f t="array" ref="B57">INDEX('Defect Dump'!$N$3:$N$10000, MATCH(0, COUNTIF($B$3:B56, 'Defect Dump'!$N$3:$N$10000), 0))</f>
        <v>#N/A</v>
      </c>
      <c r="C57" s="280">
        <f>COUNTIFS('Defect Dump'!$I:$I,C$3,'Defect Dump'!$N:$N,$B57)</f>
        <v>0</v>
      </c>
      <c r="D57" s="280">
        <f>COUNTIFS('Defect Dump'!$I:$I,D$3,'Defect Dump'!$N:$N,$B57)</f>
        <v>0</v>
      </c>
      <c r="E57" s="280">
        <f>COUNTIFS('Defect Dump'!$I:$I,E$3,'Defect Dump'!$N:$N,$B57)</f>
        <v>0</v>
      </c>
      <c r="F57" s="280">
        <f>COUNTIFS('Defect Dump'!$I:$I,F$3,'Defect Dump'!$N:$N,$B57)</f>
        <v>0</v>
      </c>
      <c r="G57" s="280">
        <f t="shared" si="2"/>
        <v>0</v>
      </c>
      <c r="H57" s="280" t="str">
        <f t="shared" si="3"/>
        <v>Not Started</v>
      </c>
    </row>
    <row r="58" spans="2:8">
      <c r="B58" s="323" t="e">
        <f t="array" ref="B58">INDEX('Defect Dump'!$N$3:$N$10000, MATCH(0, COUNTIF($B$3:B57, 'Defect Dump'!$N$3:$N$10000), 0))</f>
        <v>#N/A</v>
      </c>
      <c r="C58" s="280">
        <f>COUNTIFS('Defect Dump'!$I:$I,C$3,'Defect Dump'!$N:$N,$B58)</f>
        <v>0</v>
      </c>
      <c r="D58" s="280">
        <f>COUNTIFS('Defect Dump'!$I:$I,D$3,'Defect Dump'!$N:$N,$B58)</f>
        <v>0</v>
      </c>
      <c r="E58" s="280">
        <f>COUNTIFS('Defect Dump'!$I:$I,E$3,'Defect Dump'!$N:$N,$B58)</f>
        <v>0</v>
      </c>
      <c r="F58" s="280">
        <f>COUNTIFS('Defect Dump'!$I:$I,F$3,'Defect Dump'!$N:$N,$B58)</f>
        <v>0</v>
      </c>
      <c r="G58" s="280">
        <f t="shared" si="2"/>
        <v>0</v>
      </c>
      <c r="H58" s="280" t="str">
        <f t="shared" si="3"/>
        <v>Not Started</v>
      </c>
    </row>
    <row r="59" spans="2:8">
      <c r="B59" s="323" t="e">
        <f t="array" ref="B59">INDEX('Defect Dump'!$N$3:$N$10000, MATCH(0, COUNTIF($B$3:B58, 'Defect Dump'!$N$3:$N$10000), 0))</f>
        <v>#N/A</v>
      </c>
      <c r="C59" s="280">
        <f>COUNTIFS('Defect Dump'!$I:$I,C$3,'Defect Dump'!$N:$N,$B59)</f>
        <v>0</v>
      </c>
      <c r="D59" s="280">
        <f>COUNTIFS('Defect Dump'!$I:$I,D$3,'Defect Dump'!$N:$N,$B59)</f>
        <v>0</v>
      </c>
      <c r="E59" s="280">
        <f>COUNTIFS('Defect Dump'!$I:$I,E$3,'Defect Dump'!$N:$N,$B59)</f>
        <v>0</v>
      </c>
      <c r="F59" s="280">
        <f>COUNTIFS('Defect Dump'!$I:$I,F$3,'Defect Dump'!$N:$N,$B59)</f>
        <v>0</v>
      </c>
      <c r="G59" s="280">
        <f t="shared" si="2"/>
        <v>0</v>
      </c>
      <c r="H59" s="280" t="str">
        <f t="shared" si="3"/>
        <v>Not Started</v>
      </c>
    </row>
    <row r="60" spans="2:8">
      <c r="B60" s="323" t="e">
        <f t="array" ref="B60">INDEX('Defect Dump'!$N$3:$N$10000, MATCH(0, COUNTIF($B$3:B59, 'Defect Dump'!$N$3:$N$10000), 0))</f>
        <v>#N/A</v>
      </c>
      <c r="C60" s="280">
        <f>COUNTIFS('Defect Dump'!$I:$I,C$3,'Defect Dump'!$N:$N,$B60)</f>
        <v>0</v>
      </c>
      <c r="D60" s="280">
        <f>COUNTIFS('Defect Dump'!$I:$I,D$3,'Defect Dump'!$N:$N,$B60)</f>
        <v>0</v>
      </c>
      <c r="E60" s="280">
        <f>COUNTIFS('Defect Dump'!$I:$I,E$3,'Defect Dump'!$N:$N,$B60)</f>
        <v>0</v>
      </c>
      <c r="F60" s="280">
        <f>COUNTIFS('Defect Dump'!$I:$I,F$3,'Defect Dump'!$N:$N,$B60)</f>
        <v>0</v>
      </c>
      <c r="G60" s="280">
        <f t="shared" si="2"/>
        <v>0</v>
      </c>
      <c r="H60" s="280" t="str">
        <f t="shared" si="3"/>
        <v>Not Started</v>
      </c>
    </row>
    <row r="61" spans="2:8">
      <c r="B61" s="323" t="e">
        <f t="array" ref="B61">INDEX('Defect Dump'!$N$3:$N$10000, MATCH(0, COUNTIF($B$3:B60, 'Defect Dump'!$N$3:$N$10000), 0))</f>
        <v>#N/A</v>
      </c>
      <c r="C61" s="280">
        <f>COUNTIFS('Defect Dump'!$I:$I,C$3,'Defect Dump'!$N:$N,$B61)</f>
        <v>0</v>
      </c>
      <c r="D61" s="280">
        <f>COUNTIFS('Defect Dump'!$I:$I,D$3,'Defect Dump'!$N:$N,$B61)</f>
        <v>0</v>
      </c>
      <c r="E61" s="280">
        <f>COUNTIFS('Defect Dump'!$I:$I,E$3,'Defect Dump'!$N:$N,$B61)</f>
        <v>0</v>
      </c>
      <c r="F61" s="280">
        <f>COUNTIFS('Defect Dump'!$I:$I,F$3,'Defect Dump'!$N:$N,$B61)</f>
        <v>0</v>
      </c>
      <c r="G61" s="280">
        <f t="shared" si="2"/>
        <v>0</v>
      </c>
      <c r="H61" s="280" t="str">
        <f t="shared" si="3"/>
        <v>Not Started</v>
      </c>
    </row>
    <row r="62" spans="2:8">
      <c r="B62" s="323" t="e">
        <f t="array" ref="B62">INDEX('Defect Dump'!$N$3:$N$10000, MATCH(0, COUNTIF($B$3:B61, 'Defect Dump'!$N$3:$N$10000), 0))</f>
        <v>#N/A</v>
      </c>
      <c r="C62" s="280">
        <f>COUNTIFS('Defect Dump'!$I:$I,C$3,'Defect Dump'!$N:$N,$B62)</f>
        <v>0</v>
      </c>
      <c r="D62" s="280">
        <f>COUNTIFS('Defect Dump'!$I:$I,D$3,'Defect Dump'!$N:$N,$B62)</f>
        <v>0</v>
      </c>
      <c r="E62" s="280">
        <f>COUNTIFS('Defect Dump'!$I:$I,E$3,'Defect Dump'!$N:$N,$B62)</f>
        <v>0</v>
      </c>
      <c r="F62" s="280">
        <f>COUNTIFS('Defect Dump'!$I:$I,F$3,'Defect Dump'!$N:$N,$B62)</f>
        <v>0</v>
      </c>
      <c r="G62" s="280">
        <f t="shared" si="2"/>
        <v>0</v>
      </c>
      <c r="H62" s="280" t="str">
        <f t="shared" si="3"/>
        <v>Not Started</v>
      </c>
    </row>
    <row r="63" spans="2:8">
      <c r="B63" s="323" t="e">
        <f t="array" ref="B63">INDEX('Defect Dump'!$N$3:$N$10000, MATCH(0, COUNTIF($B$3:B62, 'Defect Dump'!$N$3:$N$10000), 0))</f>
        <v>#N/A</v>
      </c>
      <c r="C63" s="280">
        <f>COUNTIFS('Defect Dump'!$I:$I,C$3,'Defect Dump'!$N:$N,$B63)</f>
        <v>0</v>
      </c>
      <c r="D63" s="280">
        <f>COUNTIFS('Defect Dump'!$I:$I,D$3,'Defect Dump'!$N:$N,$B63)</f>
        <v>0</v>
      </c>
      <c r="E63" s="280">
        <f>COUNTIFS('Defect Dump'!$I:$I,E$3,'Defect Dump'!$N:$N,$B63)</f>
        <v>0</v>
      </c>
      <c r="F63" s="280">
        <f>COUNTIFS('Defect Dump'!$I:$I,F$3,'Defect Dump'!$N:$N,$B63)</f>
        <v>0</v>
      </c>
      <c r="G63" s="280">
        <f t="shared" si="2"/>
        <v>0</v>
      </c>
      <c r="H63" s="280" t="str">
        <f t="shared" si="3"/>
        <v>Not Started</v>
      </c>
    </row>
    <row r="64" spans="2:8">
      <c r="B64" s="323" t="e">
        <f t="array" ref="B64">INDEX('Defect Dump'!$N$3:$N$10000, MATCH(0, COUNTIF($B$3:B63, 'Defect Dump'!$N$3:$N$10000), 0))</f>
        <v>#N/A</v>
      </c>
      <c r="C64" s="280">
        <f>COUNTIFS('Defect Dump'!$I:$I,C$3,'Defect Dump'!$N:$N,$B64)</f>
        <v>0</v>
      </c>
      <c r="D64" s="280">
        <f>COUNTIFS('Defect Dump'!$I:$I,D$3,'Defect Dump'!$N:$N,$B64)</f>
        <v>0</v>
      </c>
      <c r="E64" s="280">
        <f>COUNTIFS('Defect Dump'!$I:$I,E$3,'Defect Dump'!$N:$N,$B64)</f>
        <v>0</v>
      </c>
      <c r="F64" s="280">
        <f>COUNTIFS('Defect Dump'!$I:$I,F$3,'Defect Dump'!$N:$N,$B64)</f>
        <v>0</v>
      </c>
      <c r="G64" s="280">
        <f t="shared" si="2"/>
        <v>0</v>
      </c>
      <c r="H64" s="280" t="str">
        <f t="shared" si="3"/>
        <v>Not Started</v>
      </c>
    </row>
    <row r="65" spans="2:8">
      <c r="B65" s="323" t="e">
        <f t="array" ref="B65">INDEX('Defect Dump'!$N$3:$N$10000, MATCH(0, COUNTIF($B$3:B64, 'Defect Dump'!$N$3:$N$10000), 0))</f>
        <v>#N/A</v>
      </c>
      <c r="C65" s="280">
        <f>COUNTIFS('Defect Dump'!$I:$I,C$3,'Defect Dump'!$N:$N,$B65)</f>
        <v>0</v>
      </c>
      <c r="D65" s="280">
        <f>COUNTIFS('Defect Dump'!$I:$I,D$3,'Defect Dump'!$N:$N,$B65)</f>
        <v>0</v>
      </c>
      <c r="E65" s="280">
        <f>COUNTIFS('Defect Dump'!$I:$I,E$3,'Defect Dump'!$N:$N,$B65)</f>
        <v>0</v>
      </c>
      <c r="F65" s="280">
        <f>COUNTIFS('Defect Dump'!$I:$I,F$3,'Defect Dump'!$N:$N,$B65)</f>
        <v>0</v>
      </c>
      <c r="G65" s="280">
        <f t="shared" si="2"/>
        <v>0</v>
      </c>
      <c r="H65" s="280" t="str">
        <f t="shared" si="3"/>
        <v>Not Started</v>
      </c>
    </row>
    <row r="66" spans="2:8">
      <c r="B66" s="323" t="e">
        <f t="array" ref="B66">INDEX('Defect Dump'!$N$3:$N$10000, MATCH(0, COUNTIF($B$3:B65, 'Defect Dump'!$N$3:$N$10000), 0))</f>
        <v>#N/A</v>
      </c>
      <c r="C66" s="280">
        <f>COUNTIFS('Defect Dump'!$I:$I,C$3,'Defect Dump'!$N:$N,$B66)</f>
        <v>0</v>
      </c>
      <c r="D66" s="280">
        <f>COUNTIFS('Defect Dump'!$I:$I,D$3,'Defect Dump'!$N:$N,$B66)</f>
        <v>0</v>
      </c>
      <c r="E66" s="280">
        <f>COUNTIFS('Defect Dump'!$I:$I,E$3,'Defect Dump'!$N:$N,$B66)</f>
        <v>0</v>
      </c>
      <c r="F66" s="280">
        <f>COUNTIFS('Defect Dump'!$I:$I,F$3,'Defect Dump'!$N:$N,$B66)</f>
        <v>0</v>
      </c>
      <c r="G66" s="280">
        <f t="shared" si="2"/>
        <v>0</v>
      </c>
      <c r="H66" s="280" t="str">
        <f t="shared" si="3"/>
        <v>Not Started</v>
      </c>
    </row>
    <row r="67" spans="2:8">
      <c r="B67" s="323" t="e">
        <f t="array" ref="B67">INDEX('Defect Dump'!$N$3:$N$10000, MATCH(0, COUNTIF($B$3:B66, 'Defect Dump'!$N$3:$N$10000), 0))</f>
        <v>#N/A</v>
      </c>
      <c r="C67" s="280">
        <f>COUNTIFS('Defect Dump'!$I:$I,C$3,'Defect Dump'!$N:$N,$B67)</f>
        <v>0</v>
      </c>
      <c r="D67" s="280">
        <f>COUNTIFS('Defect Dump'!$I:$I,D$3,'Defect Dump'!$N:$N,$B67)</f>
        <v>0</v>
      </c>
      <c r="E67" s="280">
        <f>COUNTIFS('Defect Dump'!$I:$I,E$3,'Defect Dump'!$N:$N,$B67)</f>
        <v>0</v>
      </c>
      <c r="F67" s="280">
        <f>COUNTIFS('Defect Dump'!$I:$I,F$3,'Defect Dump'!$N:$N,$B67)</f>
        <v>0</v>
      </c>
      <c r="G67" s="280">
        <f t="shared" si="2"/>
        <v>0</v>
      </c>
      <c r="H67" s="280" t="str">
        <f t="shared" si="3"/>
        <v>Not Started</v>
      </c>
    </row>
    <row r="68" spans="2:8">
      <c r="B68" s="323" t="e">
        <f t="array" ref="B68">INDEX('Defect Dump'!$N$3:$N$10000, MATCH(0, COUNTIF($B$3:B67, 'Defect Dump'!$N$3:$N$10000), 0))</f>
        <v>#N/A</v>
      </c>
      <c r="C68" s="280">
        <f>COUNTIFS('Defect Dump'!$I:$I,C$3,'Defect Dump'!$N:$N,$B68)</f>
        <v>0</v>
      </c>
      <c r="D68" s="280">
        <f>COUNTIFS('Defect Dump'!$I:$I,D$3,'Defect Dump'!$N:$N,$B68)</f>
        <v>0</v>
      </c>
      <c r="E68" s="280">
        <f>COUNTIFS('Defect Dump'!$I:$I,E$3,'Defect Dump'!$N:$N,$B68)</f>
        <v>0</v>
      </c>
      <c r="F68" s="280">
        <f>COUNTIFS('Defect Dump'!$I:$I,F$3,'Defect Dump'!$N:$N,$B68)</f>
        <v>0</v>
      </c>
      <c r="G68" s="280">
        <f t="shared" si="2"/>
        <v>0</v>
      </c>
      <c r="H68" s="280" t="str">
        <f t="shared" ref="H68:H100" si="4">IF(AND($C68&lt;1,$D68&lt;1,$E68&lt;1,$F68&lt;1),"Not Started",IF($C68&gt;RedFactor,"Red",IF(OR($D68&gt;AmberFactor,$E68&gt;AmberFactor),"Amber",IF($F68&lt;GreenFactor,"Green","Amber"))))</f>
        <v>Not Started</v>
      </c>
    </row>
    <row r="69" spans="2:8">
      <c r="B69" s="323" t="e">
        <f t="array" ref="B69">INDEX('Defect Dump'!$N$3:$N$10000, MATCH(0, COUNTIF($B$3:B68, 'Defect Dump'!$N$3:$N$10000), 0))</f>
        <v>#N/A</v>
      </c>
      <c r="C69" s="280">
        <f>COUNTIFS('Defect Dump'!$I:$I,C$3,'Defect Dump'!$N:$N,$B69)</f>
        <v>0</v>
      </c>
      <c r="D69" s="280">
        <f>COUNTIFS('Defect Dump'!$I:$I,D$3,'Defect Dump'!$N:$N,$B69)</f>
        <v>0</v>
      </c>
      <c r="E69" s="280">
        <f>COUNTIFS('Defect Dump'!$I:$I,E$3,'Defect Dump'!$N:$N,$B69)</f>
        <v>0</v>
      </c>
      <c r="F69" s="280">
        <f>COUNTIFS('Defect Dump'!$I:$I,F$3,'Defect Dump'!$N:$N,$B69)</f>
        <v>0</v>
      </c>
      <c r="G69" s="280">
        <f t="shared" ref="G69:G100" si="5">SUM(C69:F69)</f>
        <v>0</v>
      </c>
      <c r="H69" s="280" t="str">
        <f t="shared" si="4"/>
        <v>Not Started</v>
      </c>
    </row>
    <row r="70" spans="2:8">
      <c r="B70" s="323" t="e">
        <f t="array" ref="B70">INDEX('Defect Dump'!$N$3:$N$10000, MATCH(0, COUNTIF($B$3:B69, 'Defect Dump'!$N$3:$N$10000), 0))</f>
        <v>#N/A</v>
      </c>
      <c r="C70" s="280">
        <f>COUNTIFS('Defect Dump'!$I:$I,C$3,'Defect Dump'!$N:$N,$B70)</f>
        <v>0</v>
      </c>
      <c r="D70" s="280">
        <f>COUNTIFS('Defect Dump'!$I:$I,D$3,'Defect Dump'!$N:$N,$B70)</f>
        <v>0</v>
      </c>
      <c r="E70" s="280">
        <f>COUNTIFS('Defect Dump'!$I:$I,E$3,'Defect Dump'!$N:$N,$B70)</f>
        <v>0</v>
      </c>
      <c r="F70" s="280">
        <f>COUNTIFS('Defect Dump'!$I:$I,F$3,'Defect Dump'!$N:$N,$B70)</f>
        <v>0</v>
      </c>
      <c r="G70" s="280">
        <f t="shared" si="5"/>
        <v>0</v>
      </c>
      <c r="H70" s="280" t="str">
        <f t="shared" si="4"/>
        <v>Not Started</v>
      </c>
    </row>
    <row r="71" spans="2:8">
      <c r="B71" s="323" t="e">
        <f t="array" ref="B71">INDEX('Defect Dump'!$N$3:$N$10000, MATCH(0, COUNTIF($B$3:B70, 'Defect Dump'!$N$3:$N$10000), 0))</f>
        <v>#N/A</v>
      </c>
      <c r="C71" s="280">
        <f>COUNTIFS('Defect Dump'!$I:$I,C$3,'Defect Dump'!$N:$N,$B71)</f>
        <v>0</v>
      </c>
      <c r="D71" s="280">
        <f>COUNTIFS('Defect Dump'!$I:$I,D$3,'Defect Dump'!$N:$N,$B71)</f>
        <v>0</v>
      </c>
      <c r="E71" s="280">
        <f>COUNTIFS('Defect Dump'!$I:$I,E$3,'Defect Dump'!$N:$N,$B71)</f>
        <v>0</v>
      </c>
      <c r="F71" s="280">
        <f>COUNTIFS('Defect Dump'!$I:$I,F$3,'Defect Dump'!$N:$N,$B71)</f>
        <v>0</v>
      </c>
      <c r="G71" s="280">
        <f t="shared" si="5"/>
        <v>0</v>
      </c>
      <c r="H71" s="280" t="str">
        <f t="shared" si="4"/>
        <v>Not Started</v>
      </c>
    </row>
    <row r="72" spans="2:8">
      <c r="B72" s="323" t="e">
        <f t="array" ref="B72">INDEX('Defect Dump'!$N$3:$N$10000, MATCH(0, COUNTIF($B$3:B71, 'Defect Dump'!$N$3:$N$10000), 0))</f>
        <v>#N/A</v>
      </c>
      <c r="C72" s="280">
        <f>COUNTIFS('Defect Dump'!$I:$I,C$3,'Defect Dump'!$N:$N,$B72)</f>
        <v>0</v>
      </c>
      <c r="D72" s="280">
        <f>COUNTIFS('Defect Dump'!$I:$I,D$3,'Defect Dump'!$N:$N,$B72)</f>
        <v>0</v>
      </c>
      <c r="E72" s="280">
        <f>COUNTIFS('Defect Dump'!$I:$I,E$3,'Defect Dump'!$N:$N,$B72)</f>
        <v>0</v>
      </c>
      <c r="F72" s="280">
        <f>COUNTIFS('Defect Dump'!$I:$I,F$3,'Defect Dump'!$N:$N,$B72)</f>
        <v>0</v>
      </c>
      <c r="G72" s="280">
        <f t="shared" si="5"/>
        <v>0</v>
      </c>
      <c r="H72" s="280" t="str">
        <f t="shared" si="4"/>
        <v>Not Started</v>
      </c>
    </row>
    <row r="73" spans="2:8">
      <c r="B73" s="323" t="e">
        <f t="array" ref="B73">INDEX('Defect Dump'!$N$3:$N$10000, MATCH(0, COUNTIF($B$3:B72, 'Defect Dump'!$N$3:$N$10000), 0))</f>
        <v>#N/A</v>
      </c>
      <c r="C73" s="280">
        <f>COUNTIFS('Defect Dump'!$I:$I,C$3,'Defect Dump'!$N:$N,$B73)</f>
        <v>0</v>
      </c>
      <c r="D73" s="280">
        <f>COUNTIFS('Defect Dump'!$I:$I,D$3,'Defect Dump'!$N:$N,$B73)</f>
        <v>0</v>
      </c>
      <c r="E73" s="280">
        <f>COUNTIFS('Defect Dump'!$I:$I,E$3,'Defect Dump'!$N:$N,$B73)</f>
        <v>0</v>
      </c>
      <c r="F73" s="280">
        <f>COUNTIFS('Defect Dump'!$I:$I,F$3,'Defect Dump'!$N:$N,$B73)</f>
        <v>0</v>
      </c>
      <c r="G73" s="280">
        <f t="shared" si="5"/>
        <v>0</v>
      </c>
      <c r="H73" s="280" t="str">
        <f t="shared" si="4"/>
        <v>Not Started</v>
      </c>
    </row>
    <row r="74" spans="2:8">
      <c r="B74" s="323" t="e">
        <f t="array" ref="B74">INDEX('Defect Dump'!$N$3:$N$10000, MATCH(0, COUNTIF($B$3:B73, 'Defect Dump'!$N$3:$N$10000), 0))</f>
        <v>#N/A</v>
      </c>
      <c r="C74" s="280">
        <f>COUNTIFS('Defect Dump'!$I:$I,C$3,'Defect Dump'!$N:$N,$B74)</f>
        <v>0</v>
      </c>
      <c r="D74" s="280">
        <f>COUNTIFS('Defect Dump'!$I:$I,D$3,'Defect Dump'!$N:$N,$B74)</f>
        <v>0</v>
      </c>
      <c r="E74" s="280">
        <f>COUNTIFS('Defect Dump'!$I:$I,E$3,'Defect Dump'!$N:$N,$B74)</f>
        <v>0</v>
      </c>
      <c r="F74" s="280">
        <f>COUNTIFS('Defect Dump'!$I:$I,F$3,'Defect Dump'!$N:$N,$B74)</f>
        <v>0</v>
      </c>
      <c r="G74" s="280">
        <f t="shared" si="5"/>
        <v>0</v>
      </c>
      <c r="H74" s="280" t="str">
        <f t="shared" si="4"/>
        <v>Not Started</v>
      </c>
    </row>
    <row r="75" spans="2:8">
      <c r="B75" s="323" t="e">
        <f t="array" ref="B75">INDEX('Defect Dump'!$N$3:$N$10000, MATCH(0, COUNTIF($B$3:B74, 'Defect Dump'!$N$3:$N$10000), 0))</f>
        <v>#N/A</v>
      </c>
      <c r="C75" s="280">
        <f>COUNTIFS('Defect Dump'!$I:$I,C$3,'Defect Dump'!$N:$N,$B75)</f>
        <v>0</v>
      </c>
      <c r="D75" s="280">
        <f>COUNTIFS('Defect Dump'!$I:$I,D$3,'Defect Dump'!$N:$N,$B75)</f>
        <v>0</v>
      </c>
      <c r="E75" s="280">
        <f>COUNTIFS('Defect Dump'!$I:$I,E$3,'Defect Dump'!$N:$N,$B75)</f>
        <v>0</v>
      </c>
      <c r="F75" s="280">
        <f>COUNTIFS('Defect Dump'!$I:$I,F$3,'Defect Dump'!$N:$N,$B75)</f>
        <v>0</v>
      </c>
      <c r="G75" s="280">
        <f t="shared" si="5"/>
        <v>0</v>
      </c>
      <c r="H75" s="280" t="str">
        <f t="shared" si="4"/>
        <v>Not Started</v>
      </c>
    </row>
    <row r="76" spans="2:8">
      <c r="B76" s="323" t="e">
        <f t="array" ref="B76">INDEX('Defect Dump'!$N$3:$N$10000, MATCH(0, COUNTIF($B$3:B75, 'Defect Dump'!$N$3:$N$10000), 0))</f>
        <v>#N/A</v>
      </c>
      <c r="C76" s="280">
        <f>COUNTIFS('Defect Dump'!$I:$I,C$3,'Defect Dump'!$N:$N,$B76)</f>
        <v>0</v>
      </c>
      <c r="D76" s="280">
        <f>COUNTIFS('Defect Dump'!$I:$I,D$3,'Defect Dump'!$N:$N,$B76)</f>
        <v>0</v>
      </c>
      <c r="E76" s="280">
        <f>COUNTIFS('Defect Dump'!$I:$I,E$3,'Defect Dump'!$N:$N,$B76)</f>
        <v>0</v>
      </c>
      <c r="F76" s="280">
        <f>COUNTIFS('Defect Dump'!$I:$I,F$3,'Defect Dump'!$N:$N,$B76)</f>
        <v>0</v>
      </c>
      <c r="G76" s="280">
        <f t="shared" si="5"/>
        <v>0</v>
      </c>
      <c r="H76" s="280" t="str">
        <f t="shared" si="4"/>
        <v>Not Started</v>
      </c>
    </row>
    <row r="77" spans="2:8">
      <c r="B77" s="323" t="e">
        <f t="array" ref="B77">INDEX('Defect Dump'!$N$3:$N$10000, MATCH(0, COUNTIF($B$3:B76, 'Defect Dump'!$N$3:$N$10000), 0))</f>
        <v>#N/A</v>
      </c>
      <c r="C77" s="280">
        <f>COUNTIFS('Defect Dump'!$I:$I,C$3,'Defect Dump'!$N:$N,$B77)</f>
        <v>0</v>
      </c>
      <c r="D77" s="280">
        <f>COUNTIFS('Defect Dump'!$I:$I,D$3,'Defect Dump'!$N:$N,$B77)</f>
        <v>0</v>
      </c>
      <c r="E77" s="280">
        <f>COUNTIFS('Defect Dump'!$I:$I,E$3,'Defect Dump'!$N:$N,$B77)</f>
        <v>0</v>
      </c>
      <c r="F77" s="280">
        <f>COUNTIFS('Defect Dump'!$I:$I,F$3,'Defect Dump'!$N:$N,$B77)</f>
        <v>0</v>
      </c>
      <c r="G77" s="280">
        <f t="shared" si="5"/>
        <v>0</v>
      </c>
      <c r="H77" s="280" t="str">
        <f t="shared" si="4"/>
        <v>Not Started</v>
      </c>
    </row>
    <row r="78" spans="2:8">
      <c r="B78" s="323" t="e">
        <f t="array" ref="B78">INDEX('Defect Dump'!$N$3:$N$10000, MATCH(0, COUNTIF($B$3:B77, 'Defect Dump'!$N$3:$N$10000), 0))</f>
        <v>#N/A</v>
      </c>
      <c r="C78" s="280">
        <f>COUNTIFS('Defect Dump'!$I:$I,C$3,'Defect Dump'!$N:$N,$B78)</f>
        <v>0</v>
      </c>
      <c r="D78" s="280">
        <f>COUNTIFS('Defect Dump'!$I:$I,D$3,'Defect Dump'!$N:$N,$B78)</f>
        <v>0</v>
      </c>
      <c r="E78" s="280">
        <f>COUNTIFS('Defect Dump'!$I:$I,E$3,'Defect Dump'!$N:$N,$B78)</f>
        <v>0</v>
      </c>
      <c r="F78" s="280">
        <f>COUNTIFS('Defect Dump'!$I:$I,F$3,'Defect Dump'!$N:$N,$B78)</f>
        <v>0</v>
      </c>
      <c r="G78" s="280">
        <f t="shared" si="5"/>
        <v>0</v>
      </c>
      <c r="H78" s="280" t="str">
        <f t="shared" si="4"/>
        <v>Not Started</v>
      </c>
    </row>
    <row r="79" spans="2:8">
      <c r="B79" s="323" t="e">
        <f t="array" ref="B79">INDEX('Defect Dump'!$N$3:$N$10000, MATCH(0, COUNTIF($B$3:B78, 'Defect Dump'!$N$3:$N$10000), 0))</f>
        <v>#N/A</v>
      </c>
      <c r="C79" s="280">
        <f>COUNTIFS('Defect Dump'!$I:$I,C$3,'Defect Dump'!$N:$N,$B79)</f>
        <v>0</v>
      </c>
      <c r="D79" s="280">
        <f>COUNTIFS('Defect Dump'!$I:$I,D$3,'Defect Dump'!$N:$N,$B79)</f>
        <v>0</v>
      </c>
      <c r="E79" s="280">
        <f>COUNTIFS('Defect Dump'!$I:$I,E$3,'Defect Dump'!$N:$N,$B79)</f>
        <v>0</v>
      </c>
      <c r="F79" s="280">
        <f>COUNTIFS('Defect Dump'!$I:$I,F$3,'Defect Dump'!$N:$N,$B79)</f>
        <v>0</v>
      </c>
      <c r="G79" s="280">
        <f t="shared" si="5"/>
        <v>0</v>
      </c>
      <c r="H79" s="280" t="str">
        <f t="shared" si="4"/>
        <v>Not Started</v>
      </c>
    </row>
    <row r="80" spans="2:8">
      <c r="B80" s="323" t="e">
        <f t="array" ref="B80">INDEX('Defect Dump'!$N$3:$N$10000, MATCH(0, COUNTIF($B$3:B79, 'Defect Dump'!$N$3:$N$10000), 0))</f>
        <v>#N/A</v>
      </c>
      <c r="C80" s="280">
        <f>COUNTIFS('Defect Dump'!$I:$I,C$3,'Defect Dump'!$N:$N,$B80)</f>
        <v>0</v>
      </c>
      <c r="D80" s="280">
        <f>COUNTIFS('Defect Dump'!$I:$I,D$3,'Defect Dump'!$N:$N,$B80)</f>
        <v>0</v>
      </c>
      <c r="E80" s="280">
        <f>COUNTIFS('Defect Dump'!$I:$I,E$3,'Defect Dump'!$N:$N,$B80)</f>
        <v>0</v>
      </c>
      <c r="F80" s="280">
        <f>COUNTIFS('Defect Dump'!$I:$I,F$3,'Defect Dump'!$N:$N,$B80)</f>
        <v>0</v>
      </c>
      <c r="G80" s="280">
        <f t="shared" si="5"/>
        <v>0</v>
      </c>
      <c r="H80" s="280" t="str">
        <f t="shared" si="4"/>
        <v>Not Started</v>
      </c>
    </row>
    <row r="81" spans="2:8">
      <c r="B81" s="323" t="e">
        <f t="array" ref="B81">INDEX('Defect Dump'!$N$3:$N$10000, MATCH(0, COUNTIF($B$3:B80, 'Defect Dump'!$N$3:$N$10000), 0))</f>
        <v>#N/A</v>
      </c>
      <c r="C81" s="280">
        <f>COUNTIFS('Defect Dump'!$I:$I,C$3,'Defect Dump'!$N:$N,$B81)</f>
        <v>0</v>
      </c>
      <c r="D81" s="280">
        <f>COUNTIFS('Defect Dump'!$I:$I,D$3,'Defect Dump'!$N:$N,$B81)</f>
        <v>0</v>
      </c>
      <c r="E81" s="280">
        <f>COUNTIFS('Defect Dump'!$I:$I,E$3,'Defect Dump'!$N:$N,$B81)</f>
        <v>0</v>
      </c>
      <c r="F81" s="280">
        <f>COUNTIFS('Defect Dump'!$I:$I,F$3,'Defect Dump'!$N:$N,$B81)</f>
        <v>0</v>
      </c>
      <c r="G81" s="280">
        <f t="shared" si="5"/>
        <v>0</v>
      </c>
      <c r="H81" s="280" t="str">
        <f t="shared" si="4"/>
        <v>Not Started</v>
      </c>
    </row>
    <row r="82" spans="2:8">
      <c r="B82" s="323" t="e">
        <f t="array" ref="B82">INDEX('Defect Dump'!$N$3:$N$10000, MATCH(0, COUNTIF($B$3:B81, 'Defect Dump'!$N$3:$N$10000), 0))</f>
        <v>#N/A</v>
      </c>
      <c r="C82" s="280">
        <f>COUNTIFS('Defect Dump'!$I:$I,C$3,'Defect Dump'!$N:$N,$B82)</f>
        <v>0</v>
      </c>
      <c r="D82" s="280">
        <f>COUNTIFS('Defect Dump'!$I:$I,D$3,'Defect Dump'!$N:$N,$B82)</f>
        <v>0</v>
      </c>
      <c r="E82" s="280">
        <f>COUNTIFS('Defect Dump'!$I:$I,E$3,'Defect Dump'!$N:$N,$B82)</f>
        <v>0</v>
      </c>
      <c r="F82" s="280">
        <f>COUNTIFS('Defect Dump'!$I:$I,F$3,'Defect Dump'!$N:$N,$B82)</f>
        <v>0</v>
      </c>
      <c r="G82" s="280">
        <f t="shared" si="5"/>
        <v>0</v>
      </c>
      <c r="H82" s="280" t="str">
        <f t="shared" si="4"/>
        <v>Not Started</v>
      </c>
    </row>
    <row r="83" spans="2:8">
      <c r="B83" s="323" t="e">
        <f t="array" ref="B83">INDEX('Defect Dump'!$N$3:$N$10000, MATCH(0, COUNTIF($B$3:B82, 'Defect Dump'!$N$3:$N$10000), 0))</f>
        <v>#N/A</v>
      </c>
      <c r="C83" s="280">
        <f>COUNTIFS('Defect Dump'!$I:$I,C$3,'Defect Dump'!$N:$N,$B83)</f>
        <v>0</v>
      </c>
      <c r="D83" s="280">
        <f>COUNTIFS('Defect Dump'!$I:$I,D$3,'Defect Dump'!$N:$N,$B83)</f>
        <v>0</v>
      </c>
      <c r="E83" s="280">
        <f>COUNTIFS('Defect Dump'!$I:$I,E$3,'Defect Dump'!$N:$N,$B83)</f>
        <v>0</v>
      </c>
      <c r="F83" s="280">
        <f>COUNTIFS('Defect Dump'!$I:$I,F$3,'Defect Dump'!$N:$N,$B83)</f>
        <v>0</v>
      </c>
      <c r="G83" s="280">
        <f t="shared" si="5"/>
        <v>0</v>
      </c>
      <c r="H83" s="280" t="str">
        <f t="shared" si="4"/>
        <v>Not Started</v>
      </c>
    </row>
    <row r="84" spans="2:8">
      <c r="B84" s="323" t="e">
        <f t="array" ref="B84">INDEX('Defect Dump'!$N$3:$N$10000, MATCH(0, COUNTIF($B$3:B83, 'Defect Dump'!$N$3:$N$10000), 0))</f>
        <v>#N/A</v>
      </c>
      <c r="C84" s="280">
        <f>COUNTIFS('Defect Dump'!$I:$I,C$3,'Defect Dump'!$N:$N,$B84)</f>
        <v>0</v>
      </c>
      <c r="D84" s="280">
        <f>COUNTIFS('Defect Dump'!$I:$I,D$3,'Defect Dump'!$N:$N,$B84)</f>
        <v>0</v>
      </c>
      <c r="E84" s="280">
        <f>COUNTIFS('Defect Dump'!$I:$I,E$3,'Defect Dump'!$N:$N,$B84)</f>
        <v>0</v>
      </c>
      <c r="F84" s="280">
        <f>COUNTIFS('Defect Dump'!$I:$I,F$3,'Defect Dump'!$N:$N,$B84)</f>
        <v>0</v>
      </c>
      <c r="G84" s="280">
        <f t="shared" si="5"/>
        <v>0</v>
      </c>
      <c r="H84" s="280" t="str">
        <f t="shared" si="4"/>
        <v>Not Started</v>
      </c>
    </row>
    <row r="85" spans="2:8">
      <c r="B85" s="323" t="e">
        <f t="array" ref="B85">INDEX('Defect Dump'!$N$3:$N$10000, MATCH(0, COUNTIF($B$3:B84, 'Defect Dump'!$N$3:$N$10000), 0))</f>
        <v>#N/A</v>
      </c>
      <c r="C85" s="280">
        <f>COUNTIFS('Defect Dump'!$I:$I,C$3,'Defect Dump'!$N:$N,$B85)</f>
        <v>0</v>
      </c>
      <c r="D85" s="280">
        <f>COUNTIFS('Defect Dump'!$I:$I,D$3,'Defect Dump'!$N:$N,$B85)</f>
        <v>0</v>
      </c>
      <c r="E85" s="280">
        <f>COUNTIFS('Defect Dump'!$I:$I,E$3,'Defect Dump'!$N:$N,$B85)</f>
        <v>0</v>
      </c>
      <c r="F85" s="280">
        <f>COUNTIFS('Defect Dump'!$I:$I,F$3,'Defect Dump'!$N:$N,$B85)</f>
        <v>0</v>
      </c>
      <c r="G85" s="280">
        <f t="shared" si="5"/>
        <v>0</v>
      </c>
      <c r="H85" s="280" t="str">
        <f t="shared" si="4"/>
        <v>Not Started</v>
      </c>
    </row>
    <row r="86" spans="2:8">
      <c r="B86" s="323" t="e">
        <f t="array" ref="B86">INDEX('Defect Dump'!$N$3:$N$10000, MATCH(0, COUNTIF($B$3:B85, 'Defect Dump'!$N$3:$N$10000), 0))</f>
        <v>#N/A</v>
      </c>
      <c r="C86" s="280">
        <f>COUNTIFS('Defect Dump'!$I:$I,C$3,'Defect Dump'!$N:$N,$B86)</f>
        <v>0</v>
      </c>
      <c r="D86" s="280">
        <f>COUNTIFS('Defect Dump'!$I:$I,D$3,'Defect Dump'!$N:$N,$B86)</f>
        <v>0</v>
      </c>
      <c r="E86" s="280">
        <f>COUNTIFS('Defect Dump'!$I:$I,E$3,'Defect Dump'!$N:$N,$B86)</f>
        <v>0</v>
      </c>
      <c r="F86" s="280">
        <f>COUNTIFS('Defect Dump'!$I:$I,F$3,'Defect Dump'!$N:$N,$B86)</f>
        <v>0</v>
      </c>
      <c r="G86" s="280">
        <f t="shared" si="5"/>
        <v>0</v>
      </c>
      <c r="H86" s="280" t="str">
        <f t="shared" si="4"/>
        <v>Not Started</v>
      </c>
    </row>
    <row r="87" spans="2:8">
      <c r="B87" s="323" t="e">
        <f t="array" ref="B87">INDEX('Defect Dump'!$N$3:$N$10000, MATCH(0, COUNTIF($B$3:B86, 'Defect Dump'!$N$3:$N$10000), 0))</f>
        <v>#N/A</v>
      </c>
      <c r="C87" s="280">
        <f>COUNTIFS('Defect Dump'!$I:$I,C$3,'Defect Dump'!$N:$N,$B87)</f>
        <v>0</v>
      </c>
      <c r="D87" s="280">
        <f>COUNTIFS('Defect Dump'!$I:$I,D$3,'Defect Dump'!$N:$N,$B87)</f>
        <v>0</v>
      </c>
      <c r="E87" s="280">
        <f>COUNTIFS('Defect Dump'!$I:$I,E$3,'Defect Dump'!$N:$N,$B87)</f>
        <v>0</v>
      </c>
      <c r="F87" s="280">
        <f>COUNTIFS('Defect Dump'!$I:$I,F$3,'Defect Dump'!$N:$N,$B87)</f>
        <v>0</v>
      </c>
      <c r="G87" s="280">
        <f t="shared" si="5"/>
        <v>0</v>
      </c>
      <c r="H87" s="280" t="str">
        <f t="shared" si="4"/>
        <v>Not Started</v>
      </c>
    </row>
    <row r="88" spans="2:8">
      <c r="B88" s="323" t="e">
        <f t="array" ref="B88">INDEX('Defect Dump'!$N$3:$N$10000, MATCH(0, COUNTIF($B$3:B87, 'Defect Dump'!$N$3:$N$10000), 0))</f>
        <v>#N/A</v>
      </c>
      <c r="C88" s="280">
        <f>COUNTIFS('Defect Dump'!$I:$I,C$3,'Defect Dump'!$N:$N,$B88)</f>
        <v>0</v>
      </c>
      <c r="D88" s="280">
        <f>COUNTIFS('Defect Dump'!$I:$I,D$3,'Defect Dump'!$N:$N,$B88)</f>
        <v>0</v>
      </c>
      <c r="E88" s="280">
        <f>COUNTIFS('Defect Dump'!$I:$I,E$3,'Defect Dump'!$N:$N,$B88)</f>
        <v>0</v>
      </c>
      <c r="F88" s="280">
        <f>COUNTIFS('Defect Dump'!$I:$I,F$3,'Defect Dump'!$N:$N,$B88)</f>
        <v>0</v>
      </c>
      <c r="G88" s="280">
        <f t="shared" si="5"/>
        <v>0</v>
      </c>
      <c r="H88" s="280" t="str">
        <f t="shared" si="4"/>
        <v>Not Started</v>
      </c>
    </row>
    <row r="89" spans="2:8">
      <c r="B89" s="323" t="e">
        <f t="array" ref="B89">INDEX('Defect Dump'!$N$3:$N$10000, MATCH(0, COUNTIF($B$3:B88, 'Defect Dump'!$N$3:$N$10000), 0))</f>
        <v>#N/A</v>
      </c>
      <c r="C89" s="280">
        <f>COUNTIFS('Defect Dump'!$I:$I,C$3,'Defect Dump'!$N:$N,$B89)</f>
        <v>0</v>
      </c>
      <c r="D89" s="280">
        <f>COUNTIFS('Defect Dump'!$I:$I,D$3,'Defect Dump'!$N:$N,$B89)</f>
        <v>0</v>
      </c>
      <c r="E89" s="280">
        <f>COUNTIFS('Defect Dump'!$I:$I,E$3,'Defect Dump'!$N:$N,$B89)</f>
        <v>0</v>
      </c>
      <c r="F89" s="280">
        <f>COUNTIFS('Defect Dump'!$I:$I,F$3,'Defect Dump'!$N:$N,$B89)</f>
        <v>0</v>
      </c>
      <c r="G89" s="280">
        <f t="shared" si="5"/>
        <v>0</v>
      </c>
      <c r="H89" s="280" t="str">
        <f t="shared" si="4"/>
        <v>Not Started</v>
      </c>
    </row>
    <row r="90" spans="2:8">
      <c r="B90" s="323" t="e">
        <f t="array" ref="B90">INDEX('Defect Dump'!$N$3:$N$10000, MATCH(0, COUNTIF($B$3:B89, 'Defect Dump'!$N$3:$N$10000), 0))</f>
        <v>#N/A</v>
      </c>
      <c r="C90" s="280">
        <f>COUNTIFS('Defect Dump'!$I:$I,C$3,'Defect Dump'!$N:$N,$B90)</f>
        <v>0</v>
      </c>
      <c r="D90" s="280">
        <f>COUNTIFS('Defect Dump'!$I:$I,D$3,'Defect Dump'!$N:$N,$B90)</f>
        <v>0</v>
      </c>
      <c r="E90" s="280">
        <f>COUNTIFS('Defect Dump'!$I:$I,E$3,'Defect Dump'!$N:$N,$B90)</f>
        <v>0</v>
      </c>
      <c r="F90" s="280">
        <f>COUNTIFS('Defect Dump'!$I:$I,F$3,'Defect Dump'!$N:$N,$B90)</f>
        <v>0</v>
      </c>
      <c r="G90" s="280">
        <f t="shared" si="5"/>
        <v>0</v>
      </c>
      <c r="H90" s="280" t="str">
        <f t="shared" si="4"/>
        <v>Not Started</v>
      </c>
    </row>
    <row r="91" spans="2:8">
      <c r="B91" s="323" t="e">
        <f t="array" ref="B91">INDEX('Defect Dump'!$N$3:$N$10000, MATCH(0, COUNTIF($B$3:B90, 'Defect Dump'!$N$3:$N$10000), 0))</f>
        <v>#N/A</v>
      </c>
      <c r="C91" s="280">
        <f>COUNTIFS('Defect Dump'!$I:$I,C$3,'Defect Dump'!$N:$N,$B91)</f>
        <v>0</v>
      </c>
      <c r="D91" s="280">
        <f>COUNTIFS('Defect Dump'!$I:$I,D$3,'Defect Dump'!$N:$N,$B91)</f>
        <v>0</v>
      </c>
      <c r="E91" s="280">
        <f>COUNTIFS('Defect Dump'!$I:$I,E$3,'Defect Dump'!$N:$N,$B91)</f>
        <v>0</v>
      </c>
      <c r="F91" s="280">
        <f>COUNTIFS('Defect Dump'!$I:$I,F$3,'Defect Dump'!$N:$N,$B91)</f>
        <v>0</v>
      </c>
      <c r="G91" s="280">
        <f t="shared" si="5"/>
        <v>0</v>
      </c>
      <c r="H91" s="280" t="str">
        <f t="shared" si="4"/>
        <v>Not Started</v>
      </c>
    </row>
    <row r="92" spans="2:8">
      <c r="B92" s="323" t="e">
        <f t="array" ref="B92">INDEX('Defect Dump'!$N$3:$N$10000, MATCH(0, COUNTIF($B$3:B91, 'Defect Dump'!$N$3:$N$10000), 0))</f>
        <v>#N/A</v>
      </c>
      <c r="C92" s="280">
        <f>COUNTIFS('Defect Dump'!$I:$I,C$3,'Defect Dump'!$N:$N,$B92)</f>
        <v>0</v>
      </c>
      <c r="D92" s="280">
        <f>COUNTIFS('Defect Dump'!$I:$I,D$3,'Defect Dump'!$N:$N,$B92)</f>
        <v>0</v>
      </c>
      <c r="E92" s="280">
        <f>COUNTIFS('Defect Dump'!$I:$I,E$3,'Defect Dump'!$N:$N,$B92)</f>
        <v>0</v>
      </c>
      <c r="F92" s="280">
        <f>COUNTIFS('Defect Dump'!$I:$I,F$3,'Defect Dump'!$N:$N,$B92)</f>
        <v>0</v>
      </c>
      <c r="G92" s="280">
        <f t="shared" si="5"/>
        <v>0</v>
      </c>
      <c r="H92" s="280" t="str">
        <f t="shared" si="4"/>
        <v>Not Started</v>
      </c>
    </row>
    <row r="93" spans="2:8">
      <c r="B93" s="323" t="e">
        <f t="array" ref="B93">INDEX('Defect Dump'!$N$3:$N$10000, MATCH(0, COUNTIF($B$3:B92, 'Defect Dump'!$N$3:$N$10000), 0))</f>
        <v>#N/A</v>
      </c>
      <c r="C93" s="280">
        <f>COUNTIFS('Defect Dump'!$I:$I,C$3,'Defect Dump'!$N:$N,$B93)</f>
        <v>0</v>
      </c>
      <c r="D93" s="280">
        <f>COUNTIFS('Defect Dump'!$I:$I,D$3,'Defect Dump'!$N:$N,$B93)</f>
        <v>0</v>
      </c>
      <c r="E93" s="280">
        <f>COUNTIFS('Defect Dump'!$I:$I,E$3,'Defect Dump'!$N:$N,$B93)</f>
        <v>0</v>
      </c>
      <c r="F93" s="280">
        <f>COUNTIFS('Defect Dump'!$I:$I,F$3,'Defect Dump'!$N:$N,$B93)</f>
        <v>0</v>
      </c>
      <c r="G93" s="280">
        <f t="shared" si="5"/>
        <v>0</v>
      </c>
      <c r="H93" s="280" t="str">
        <f t="shared" si="4"/>
        <v>Not Started</v>
      </c>
    </row>
    <row r="94" spans="2:8">
      <c r="B94" s="323" t="e">
        <f t="array" ref="B94">INDEX('Defect Dump'!$N$3:$N$10000, MATCH(0, COUNTIF($B$3:B93, 'Defect Dump'!$N$3:$N$10000), 0))</f>
        <v>#N/A</v>
      </c>
      <c r="C94" s="280">
        <f>COUNTIFS('Defect Dump'!$I:$I,C$3,'Defect Dump'!$N:$N,$B94)</f>
        <v>0</v>
      </c>
      <c r="D94" s="280">
        <f>COUNTIFS('Defect Dump'!$I:$I,D$3,'Defect Dump'!$N:$N,$B94)</f>
        <v>0</v>
      </c>
      <c r="E94" s="280">
        <f>COUNTIFS('Defect Dump'!$I:$I,E$3,'Defect Dump'!$N:$N,$B94)</f>
        <v>0</v>
      </c>
      <c r="F94" s="280">
        <f>COUNTIFS('Defect Dump'!$I:$I,F$3,'Defect Dump'!$N:$N,$B94)</f>
        <v>0</v>
      </c>
      <c r="G94" s="280">
        <f t="shared" si="5"/>
        <v>0</v>
      </c>
      <c r="H94" s="280" t="str">
        <f t="shared" si="4"/>
        <v>Not Started</v>
      </c>
    </row>
    <row r="95" spans="2:8">
      <c r="B95" s="323" t="e">
        <f t="array" ref="B95">INDEX('Defect Dump'!$N$3:$N$10000, MATCH(0, COUNTIF($B$3:B94, 'Defect Dump'!$N$3:$N$10000), 0))</f>
        <v>#N/A</v>
      </c>
      <c r="C95" s="280">
        <f>COUNTIFS('Defect Dump'!$I:$I,C$3,'Defect Dump'!$N:$N,$B95)</f>
        <v>0</v>
      </c>
      <c r="D95" s="280">
        <f>COUNTIFS('Defect Dump'!$I:$I,D$3,'Defect Dump'!$N:$N,$B95)</f>
        <v>0</v>
      </c>
      <c r="E95" s="280">
        <f>COUNTIFS('Defect Dump'!$I:$I,E$3,'Defect Dump'!$N:$N,$B95)</f>
        <v>0</v>
      </c>
      <c r="F95" s="280">
        <f>COUNTIFS('Defect Dump'!$I:$I,F$3,'Defect Dump'!$N:$N,$B95)</f>
        <v>0</v>
      </c>
      <c r="G95" s="280">
        <f t="shared" si="5"/>
        <v>0</v>
      </c>
      <c r="H95" s="280" t="str">
        <f t="shared" si="4"/>
        <v>Not Started</v>
      </c>
    </row>
    <row r="96" spans="2:8">
      <c r="B96" s="323" t="e">
        <f t="array" ref="B96">INDEX('Defect Dump'!$N$3:$N$10000, MATCH(0, COUNTIF($B$3:B95, 'Defect Dump'!$N$3:$N$10000), 0))</f>
        <v>#N/A</v>
      </c>
      <c r="C96" s="280">
        <f>COUNTIFS('Defect Dump'!$I:$I,C$3,'Defect Dump'!$N:$N,$B96)</f>
        <v>0</v>
      </c>
      <c r="D96" s="280">
        <f>COUNTIFS('Defect Dump'!$I:$I,D$3,'Defect Dump'!$N:$N,$B96)</f>
        <v>0</v>
      </c>
      <c r="E96" s="280">
        <f>COUNTIFS('Defect Dump'!$I:$I,E$3,'Defect Dump'!$N:$N,$B96)</f>
        <v>0</v>
      </c>
      <c r="F96" s="280">
        <f>COUNTIFS('Defect Dump'!$I:$I,F$3,'Defect Dump'!$N:$N,$B96)</f>
        <v>0</v>
      </c>
      <c r="G96" s="280">
        <f t="shared" si="5"/>
        <v>0</v>
      </c>
      <c r="H96" s="280" t="str">
        <f t="shared" si="4"/>
        <v>Not Started</v>
      </c>
    </row>
    <row r="97" spans="2:8">
      <c r="B97" s="323" t="e">
        <f t="array" ref="B97">INDEX('Defect Dump'!$N$3:$N$10000, MATCH(0, COUNTIF($B$3:B96, 'Defect Dump'!$N$3:$N$10000), 0))</f>
        <v>#N/A</v>
      </c>
      <c r="C97" s="280">
        <f>COUNTIFS('Defect Dump'!$I:$I,C$3,'Defect Dump'!$N:$N,$B97)</f>
        <v>0</v>
      </c>
      <c r="D97" s="280">
        <f>COUNTIFS('Defect Dump'!$I:$I,D$3,'Defect Dump'!$N:$N,$B97)</f>
        <v>0</v>
      </c>
      <c r="E97" s="280">
        <f>COUNTIFS('Defect Dump'!$I:$I,E$3,'Defect Dump'!$N:$N,$B97)</f>
        <v>0</v>
      </c>
      <c r="F97" s="280">
        <f>COUNTIFS('Defect Dump'!$I:$I,F$3,'Defect Dump'!$N:$N,$B97)</f>
        <v>0</v>
      </c>
      <c r="G97" s="280">
        <f t="shared" si="5"/>
        <v>0</v>
      </c>
      <c r="H97" s="280" t="str">
        <f t="shared" si="4"/>
        <v>Not Started</v>
      </c>
    </row>
    <row r="98" spans="2:8">
      <c r="B98" s="323" t="e">
        <f t="array" ref="B98">INDEX('Defect Dump'!$N$3:$N$10000, MATCH(0, COUNTIF($B$3:B97, 'Defect Dump'!$N$3:$N$10000), 0))</f>
        <v>#N/A</v>
      </c>
      <c r="C98" s="280">
        <f>COUNTIFS('Defect Dump'!$I:$I,C$3,'Defect Dump'!$N:$N,$B98)</f>
        <v>0</v>
      </c>
      <c r="D98" s="280">
        <f>COUNTIFS('Defect Dump'!$I:$I,D$3,'Defect Dump'!$N:$N,$B98)</f>
        <v>0</v>
      </c>
      <c r="E98" s="280">
        <f>COUNTIFS('Defect Dump'!$I:$I,E$3,'Defect Dump'!$N:$N,$B98)</f>
        <v>0</v>
      </c>
      <c r="F98" s="280">
        <f>COUNTIFS('Defect Dump'!$I:$I,F$3,'Defect Dump'!$N:$N,$B98)</f>
        <v>0</v>
      </c>
      <c r="G98" s="280">
        <f t="shared" si="5"/>
        <v>0</v>
      </c>
      <c r="H98" s="280" t="str">
        <f t="shared" si="4"/>
        <v>Not Started</v>
      </c>
    </row>
    <row r="99" spans="2:8">
      <c r="B99" s="323" t="e">
        <f t="array" ref="B99">INDEX('Defect Dump'!$N$3:$N$10000, MATCH(0, COUNTIF($B$3:B98, 'Defect Dump'!$N$3:$N$10000), 0))</f>
        <v>#N/A</v>
      </c>
      <c r="C99" s="280">
        <f>COUNTIFS('Defect Dump'!$I:$I,C$3,'Defect Dump'!$N:$N,$B99)</f>
        <v>0</v>
      </c>
      <c r="D99" s="280">
        <f>COUNTIFS('Defect Dump'!$I:$I,D$3,'Defect Dump'!$N:$N,$B99)</f>
        <v>0</v>
      </c>
      <c r="E99" s="280">
        <f>COUNTIFS('Defect Dump'!$I:$I,E$3,'Defect Dump'!$N:$N,$B99)</f>
        <v>0</v>
      </c>
      <c r="F99" s="280">
        <f>COUNTIFS('Defect Dump'!$I:$I,F$3,'Defect Dump'!$N:$N,$B99)</f>
        <v>0</v>
      </c>
      <c r="G99" s="280">
        <f t="shared" si="5"/>
        <v>0</v>
      </c>
      <c r="H99" s="280" t="str">
        <f t="shared" si="4"/>
        <v>Not Started</v>
      </c>
    </row>
    <row r="100" spans="2:8">
      <c r="B100" s="323" t="e">
        <f t="array" ref="B100">INDEX('Defect Dump'!$N$3:$N$10000, MATCH(0, COUNTIF($B$3:B99, 'Defect Dump'!$N$3:$N$10000), 0))</f>
        <v>#N/A</v>
      </c>
      <c r="C100" s="280">
        <f>COUNTIFS('Defect Dump'!$I:$I,C$3,'Defect Dump'!$N:$N,$B100)</f>
        <v>0</v>
      </c>
      <c r="D100" s="280">
        <f>COUNTIFS('Defect Dump'!$I:$I,D$3,'Defect Dump'!$N:$N,$B100)</f>
        <v>0</v>
      </c>
      <c r="E100" s="280">
        <f>COUNTIFS('Defect Dump'!$I:$I,E$3,'Defect Dump'!$N:$N,$B100)</f>
        <v>0</v>
      </c>
      <c r="F100" s="280">
        <f>COUNTIFS('Defect Dump'!$I:$I,F$3,'Defect Dump'!$N:$N,$B100)</f>
        <v>0</v>
      </c>
      <c r="G100" s="280">
        <f t="shared" si="5"/>
        <v>0</v>
      </c>
      <c r="H100" s="280" t="str">
        <f t="shared" si="4"/>
        <v>Not Started</v>
      </c>
    </row>
  </sheetData>
  <conditionalFormatting sqref="B4:B100">
    <cfRule type="expression" dxfId="41" priority="7">
      <formula>IF($B4=0, TRUE)</formula>
    </cfRule>
    <cfRule type="expression" dxfId="40" priority="8">
      <formula>IF(ISNA($B4), TRUE)</formula>
    </cfRule>
  </conditionalFormatting>
  <conditionalFormatting sqref="H4:H100">
    <cfRule type="expression" dxfId="39" priority="6">
      <formula>IF(ISNA($B4),TRUE)</formula>
    </cfRule>
  </conditionalFormatting>
  <conditionalFormatting sqref="C4:F100">
    <cfRule type="expression" dxfId="38" priority="4">
      <formula>IF($B4=0, TRUE)</formula>
    </cfRule>
    <cfRule type="expression" dxfId="37" priority="5">
      <formula>IF(ISNA($B4), TRUE)</formula>
    </cfRule>
  </conditionalFormatting>
  <conditionalFormatting sqref="G4:G100">
    <cfRule type="expression" dxfId="36" priority="2">
      <formula>IF($B4=0, TRUE)</formula>
    </cfRule>
    <cfRule type="expression" dxfId="35" priority="3">
      <formula>IF(ISNA($B4), TRUE)</formula>
    </cfRule>
  </conditionalFormatting>
  <conditionalFormatting sqref="H4:H100">
    <cfRule type="expression" dxfId="34" priority="1">
      <formula>IF($B4=0, TRUE)</formula>
    </cfRule>
  </conditionalFormatting>
  <conditionalFormatting sqref="B3:H100">
    <cfRule type="expression" dxfId="33" priority="9">
      <formula>IF(ISNA($B3), TRUE)</formula>
    </cfRule>
    <cfRule type="expression" dxfId="32" priority="10">
      <formula>IF($B3=0, TRUE)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1" tint="0.14999847407452621"/>
  </sheetPr>
  <dimension ref="C1:X1089"/>
  <sheetViews>
    <sheetView showGridLines="0" zoomScale="60" zoomScaleNormal="60" zoomScalePageLayoutView="75" workbookViewId="0">
      <pane xSplit="2" ySplit="2" topLeftCell="C877" activePane="bottomRight" state="frozen"/>
      <selection pane="topRight" activeCell="C1" sqref="C1"/>
      <selection pane="bottomLeft" activeCell="A3" sqref="A3"/>
      <selection pane="bottomRight" activeCell="E113" sqref="E113"/>
    </sheetView>
  </sheetViews>
  <sheetFormatPr defaultColWidth="8.85546875" defaultRowHeight="27.75" customHeight="1"/>
  <cols>
    <col min="1" max="2" width="1.7109375" style="302" customWidth="1"/>
    <col min="3" max="3" width="11.7109375" style="302" bestFit="1" customWidth="1"/>
    <col min="4" max="4" width="13.5703125" style="302" customWidth="1"/>
    <col min="5" max="5" width="68" style="302" customWidth="1"/>
    <col min="6" max="6" width="16.7109375" style="302" customWidth="1"/>
    <col min="7" max="7" width="25.85546875" style="303" customWidth="1"/>
    <col min="8" max="8" width="17.85546875" style="302" customWidth="1"/>
    <col min="9" max="9" width="14.7109375" style="302" customWidth="1"/>
    <col min="10" max="10" width="17.28515625" style="304" bestFit="1" customWidth="1"/>
    <col min="11" max="11" width="17.28515625" style="304" customWidth="1"/>
    <col min="12" max="12" width="18.7109375" style="316" bestFit="1" customWidth="1"/>
    <col min="13" max="15" width="17.28515625" style="306" customWidth="1"/>
    <col min="16" max="16" width="17.28515625" style="307" customWidth="1"/>
    <col min="17" max="17" width="17.42578125" style="317" customWidth="1"/>
    <col min="18" max="18" width="14.140625" style="318" bestFit="1" customWidth="1"/>
    <col min="19" max="19" width="18" style="318" bestFit="1" customWidth="1"/>
    <col min="20" max="22" width="8.85546875" style="302"/>
    <col min="23" max="23" width="15.5703125" style="302" bestFit="1" customWidth="1"/>
    <col min="24" max="24" width="21" style="307" bestFit="1" customWidth="1"/>
    <col min="25" max="16384" width="8.85546875" style="302"/>
  </cols>
  <sheetData>
    <row r="1" spans="3:24" ht="27.75" customHeight="1">
      <c r="L1" s="305"/>
    </row>
    <row r="2" spans="3:24" s="308" customFormat="1" ht="42.75" customHeight="1">
      <c r="C2" s="309" t="s">
        <v>90</v>
      </c>
      <c r="D2" s="310" t="s">
        <v>91</v>
      </c>
      <c r="E2" s="310" t="s">
        <v>92</v>
      </c>
      <c r="F2" s="310" t="s">
        <v>93</v>
      </c>
      <c r="G2" s="310" t="s">
        <v>94</v>
      </c>
      <c r="H2" s="310" t="s">
        <v>1</v>
      </c>
      <c r="I2" s="310" t="s">
        <v>67</v>
      </c>
      <c r="J2" s="311" t="s">
        <v>95</v>
      </c>
      <c r="K2" s="311" t="s">
        <v>135</v>
      </c>
      <c r="L2" s="310" t="s">
        <v>96</v>
      </c>
      <c r="M2" s="310" t="s">
        <v>97</v>
      </c>
      <c r="N2" s="312" t="s">
        <v>178</v>
      </c>
      <c r="O2" s="312" t="s">
        <v>179</v>
      </c>
      <c r="P2" s="313" t="s">
        <v>180</v>
      </c>
      <c r="Q2" s="319" t="s">
        <v>184</v>
      </c>
      <c r="R2" s="320" t="s">
        <v>186</v>
      </c>
      <c r="S2" s="320" t="s">
        <v>187</v>
      </c>
      <c r="X2" s="314"/>
    </row>
    <row r="3" spans="3:24" s="315" customFormat="1" ht="14.25">
      <c r="C3" s="339" t="s">
        <v>98</v>
      </c>
      <c r="D3" s="340" t="s">
        <v>373</v>
      </c>
      <c r="E3" s="341" t="s">
        <v>374</v>
      </c>
      <c r="F3" s="341" t="s">
        <v>375</v>
      </c>
      <c r="G3" s="341" t="s">
        <v>376</v>
      </c>
      <c r="H3" s="339" t="s">
        <v>14</v>
      </c>
      <c r="I3" s="341" t="s">
        <v>59</v>
      </c>
      <c r="J3" s="342">
        <v>41876.938888888886</v>
      </c>
      <c r="K3" s="343"/>
      <c r="L3" s="341" t="s">
        <v>377</v>
      </c>
      <c r="M3" s="341" t="s">
        <v>378</v>
      </c>
      <c r="N3" s="341" t="s">
        <v>378</v>
      </c>
      <c r="O3" s="341" t="s">
        <v>175</v>
      </c>
      <c r="P3" s="344">
        <v>1</v>
      </c>
      <c r="Q3" s="321" t="str">
        <f t="shared" ref="Q3" si="0">IF(ISERROR(DATEDIF(J3,K3,"D")),"",DATEDIF(J3,K3,"D"))</f>
        <v/>
      </c>
      <c r="R3" s="318">
        <f>DATE(YEAR(J3),MONTH(J3),DAY(J3))</f>
        <v>41876</v>
      </c>
      <c r="S3" s="318" t="str">
        <f>IF(K3&lt;&gt;"",DATE(YEAR(K3),MONTH(K3),DAY(K3)),"")</f>
        <v/>
      </c>
    </row>
    <row r="4" spans="3:24" s="315" customFormat="1" ht="14.25">
      <c r="C4" s="339" t="s">
        <v>98</v>
      </c>
      <c r="D4" s="340" t="s">
        <v>373</v>
      </c>
      <c r="E4" s="341" t="s">
        <v>374</v>
      </c>
      <c r="F4" s="341" t="s">
        <v>375</v>
      </c>
      <c r="G4" s="341" t="s">
        <v>376</v>
      </c>
      <c r="H4" s="339" t="s">
        <v>5</v>
      </c>
      <c r="I4" s="341" t="s">
        <v>60</v>
      </c>
      <c r="J4" s="342">
        <v>41861.614583333336</v>
      </c>
      <c r="K4" s="343">
        <v>41857.614583333336</v>
      </c>
      <c r="L4" s="341" t="s">
        <v>377</v>
      </c>
      <c r="M4" s="341" t="s">
        <v>378</v>
      </c>
      <c r="N4" s="341" t="s">
        <v>378</v>
      </c>
      <c r="O4" s="341" t="s">
        <v>175</v>
      </c>
      <c r="P4" s="344">
        <v>3</v>
      </c>
      <c r="Q4" s="321" t="str">
        <f t="shared" ref="Q4:Q25" si="1">IF(ISERROR(DATEDIF(J4,K4,"D")),"",DATEDIF(J4,K4,"D"))</f>
        <v/>
      </c>
      <c r="R4" s="318">
        <f t="shared" ref="R4:R25" si="2">DATE(YEAR(J4),MONTH(J4),DAY(J4))</f>
        <v>41861</v>
      </c>
      <c r="S4" s="318">
        <f t="shared" ref="S4:S25" si="3">IF(K4&lt;&gt;"",DATE(YEAR(K4),MONTH(K4),DAY(K4)),"")</f>
        <v>41857</v>
      </c>
    </row>
    <row r="5" spans="3:24" s="315" customFormat="1" ht="14.25">
      <c r="C5" s="339" t="s">
        <v>98</v>
      </c>
      <c r="D5" s="340" t="s">
        <v>373</v>
      </c>
      <c r="E5" s="341" t="s">
        <v>374</v>
      </c>
      <c r="F5" s="341" t="s">
        <v>407</v>
      </c>
      <c r="G5" s="341" t="s">
        <v>376</v>
      </c>
      <c r="H5" s="339" t="s">
        <v>140</v>
      </c>
      <c r="I5" s="341" t="s">
        <v>60</v>
      </c>
      <c r="J5" s="342">
        <v>41861.511111111111</v>
      </c>
      <c r="K5" s="343"/>
      <c r="L5" s="341" t="s">
        <v>378</v>
      </c>
      <c r="M5" s="341" t="s">
        <v>378</v>
      </c>
      <c r="N5" s="341" t="s">
        <v>190</v>
      </c>
      <c r="O5" s="341" t="s">
        <v>175</v>
      </c>
      <c r="P5" s="344">
        <v>3</v>
      </c>
      <c r="Q5" s="321" t="str">
        <f t="shared" si="1"/>
        <v/>
      </c>
      <c r="R5" s="318">
        <f t="shared" si="2"/>
        <v>41861</v>
      </c>
      <c r="S5" s="318" t="str">
        <f t="shared" si="3"/>
        <v/>
      </c>
    </row>
    <row r="6" spans="3:24" s="315" customFormat="1" ht="14.25">
      <c r="C6" s="339" t="s">
        <v>98</v>
      </c>
      <c r="D6" s="340" t="s">
        <v>373</v>
      </c>
      <c r="E6" s="341" t="s">
        <v>374</v>
      </c>
      <c r="F6" s="341" t="s">
        <v>375</v>
      </c>
      <c r="G6" s="341" t="s">
        <v>376</v>
      </c>
      <c r="H6" s="339" t="s">
        <v>5</v>
      </c>
      <c r="I6" s="341" t="s">
        <v>58</v>
      </c>
      <c r="J6" s="342">
        <v>41861.09652777778</v>
      </c>
      <c r="K6" s="343">
        <v>41869.09652777778</v>
      </c>
      <c r="L6" s="341" t="s">
        <v>378</v>
      </c>
      <c r="M6" s="341" t="s">
        <v>378</v>
      </c>
      <c r="N6" s="341" t="s">
        <v>190</v>
      </c>
      <c r="O6" s="341" t="s">
        <v>175</v>
      </c>
      <c r="P6" s="344">
        <v>3</v>
      </c>
      <c r="Q6" s="321">
        <f t="shared" si="1"/>
        <v>8</v>
      </c>
      <c r="R6" s="318">
        <f t="shared" si="2"/>
        <v>41861</v>
      </c>
      <c r="S6" s="318">
        <f t="shared" si="3"/>
        <v>41869</v>
      </c>
    </row>
    <row r="7" spans="3:24" s="315" customFormat="1" ht="14.25">
      <c r="C7" s="339" t="s">
        <v>98</v>
      </c>
      <c r="D7" s="340" t="s">
        <v>373</v>
      </c>
      <c r="E7" s="341" t="s">
        <v>374</v>
      </c>
      <c r="F7" s="341" t="s">
        <v>375</v>
      </c>
      <c r="G7" s="341" t="s">
        <v>376</v>
      </c>
      <c r="H7" s="339" t="s">
        <v>5</v>
      </c>
      <c r="I7" s="341" t="s">
        <v>59</v>
      </c>
      <c r="J7" s="342">
        <v>41861.083333333336</v>
      </c>
      <c r="K7" s="343">
        <v>41871.083333333336</v>
      </c>
      <c r="L7" s="341" t="s">
        <v>378</v>
      </c>
      <c r="M7" s="341" t="s">
        <v>378</v>
      </c>
      <c r="N7" s="341" t="s">
        <v>379</v>
      </c>
      <c r="O7" s="341" t="s">
        <v>175</v>
      </c>
      <c r="P7" s="344">
        <v>2</v>
      </c>
      <c r="Q7" s="321">
        <f t="shared" si="1"/>
        <v>10</v>
      </c>
      <c r="R7" s="318">
        <f t="shared" si="2"/>
        <v>41861</v>
      </c>
      <c r="S7" s="318">
        <f t="shared" si="3"/>
        <v>41871</v>
      </c>
    </row>
    <row r="8" spans="3:24" s="315" customFormat="1" ht="14.25">
      <c r="C8" s="339" t="s">
        <v>98</v>
      </c>
      <c r="D8" s="340" t="s">
        <v>373</v>
      </c>
      <c r="E8" s="341" t="s">
        <v>374</v>
      </c>
      <c r="F8" s="341" t="s">
        <v>375</v>
      </c>
      <c r="G8" s="341" t="s">
        <v>376</v>
      </c>
      <c r="H8" s="339" t="s">
        <v>14</v>
      </c>
      <c r="I8" s="341" t="s">
        <v>59</v>
      </c>
      <c r="J8" s="342">
        <v>41861.080555555556</v>
      </c>
      <c r="K8" s="343"/>
      <c r="L8" s="341" t="s">
        <v>378</v>
      </c>
      <c r="M8" s="341" t="s">
        <v>378</v>
      </c>
      <c r="N8" s="341" t="s">
        <v>380</v>
      </c>
      <c r="O8" s="341" t="s">
        <v>175</v>
      </c>
      <c r="P8" s="344">
        <v>1</v>
      </c>
      <c r="Q8" s="321" t="str">
        <f t="shared" si="1"/>
        <v/>
      </c>
      <c r="R8" s="318">
        <f t="shared" si="2"/>
        <v>41861</v>
      </c>
      <c r="S8" s="318" t="str">
        <f t="shared" si="3"/>
        <v/>
      </c>
    </row>
    <row r="9" spans="3:24" s="315" customFormat="1" ht="14.25">
      <c r="C9" s="339" t="s">
        <v>98</v>
      </c>
      <c r="D9" s="340" t="s">
        <v>373</v>
      </c>
      <c r="E9" s="341" t="s">
        <v>374</v>
      </c>
      <c r="F9" s="341" t="s">
        <v>375</v>
      </c>
      <c r="G9" s="341" t="s">
        <v>376</v>
      </c>
      <c r="H9" s="339" t="s">
        <v>14</v>
      </c>
      <c r="I9" s="341" t="s">
        <v>59</v>
      </c>
      <c r="J9" s="342">
        <v>41874.073611111111</v>
      </c>
      <c r="K9" s="343"/>
      <c r="L9" s="341" t="s">
        <v>377</v>
      </c>
      <c r="M9" s="341" t="s">
        <v>378</v>
      </c>
      <c r="N9" s="341" t="s">
        <v>378</v>
      </c>
      <c r="O9" s="341" t="s">
        <v>175</v>
      </c>
      <c r="P9" s="344">
        <v>1</v>
      </c>
      <c r="Q9" s="321" t="str">
        <f t="shared" si="1"/>
        <v/>
      </c>
      <c r="R9" s="318">
        <f t="shared" si="2"/>
        <v>41874</v>
      </c>
      <c r="S9" s="318" t="str">
        <f t="shared" si="3"/>
        <v/>
      </c>
    </row>
    <row r="10" spans="3:24" s="315" customFormat="1" ht="14.25">
      <c r="C10" s="339" t="s">
        <v>98</v>
      </c>
      <c r="D10" s="340" t="s">
        <v>373</v>
      </c>
      <c r="E10" s="341" t="s">
        <v>374</v>
      </c>
      <c r="F10" s="341" t="s">
        <v>375</v>
      </c>
      <c r="G10" s="341" t="s">
        <v>376</v>
      </c>
      <c r="H10" s="339" t="s">
        <v>138</v>
      </c>
      <c r="I10" s="341" t="s">
        <v>58</v>
      </c>
      <c r="J10" s="342">
        <v>41876.073611111111</v>
      </c>
      <c r="K10" s="343"/>
      <c r="L10" s="341" t="s">
        <v>377</v>
      </c>
      <c r="M10" s="341" t="s">
        <v>378</v>
      </c>
      <c r="N10" s="341" t="s">
        <v>381</v>
      </c>
      <c r="O10" s="341" t="s">
        <v>175</v>
      </c>
      <c r="P10" s="344">
        <v>1</v>
      </c>
      <c r="Q10" s="321" t="str">
        <f t="shared" si="1"/>
        <v/>
      </c>
      <c r="R10" s="318">
        <f t="shared" si="2"/>
        <v>41876</v>
      </c>
      <c r="S10" s="318" t="str">
        <f t="shared" si="3"/>
        <v/>
      </c>
    </row>
    <row r="11" spans="3:24" ht="14.25">
      <c r="C11" s="339" t="s">
        <v>98</v>
      </c>
      <c r="D11" s="340" t="s">
        <v>373</v>
      </c>
      <c r="E11" s="341" t="s">
        <v>374</v>
      </c>
      <c r="F11" s="341" t="s">
        <v>375</v>
      </c>
      <c r="G11" s="341" t="s">
        <v>376</v>
      </c>
      <c r="H11" s="339" t="s">
        <v>14</v>
      </c>
      <c r="I11" s="341" t="s">
        <v>59</v>
      </c>
      <c r="J11" s="316">
        <v>41861.063888888886</v>
      </c>
      <c r="K11" s="343"/>
      <c r="L11" s="341" t="s">
        <v>377</v>
      </c>
      <c r="M11" s="341" t="s">
        <v>378</v>
      </c>
      <c r="N11" s="341" t="s">
        <v>381</v>
      </c>
      <c r="O11" s="341" t="s">
        <v>175</v>
      </c>
      <c r="P11" s="344">
        <v>1</v>
      </c>
      <c r="Q11" s="321" t="str">
        <f t="shared" si="1"/>
        <v/>
      </c>
      <c r="R11" s="318">
        <f t="shared" si="2"/>
        <v>41861</v>
      </c>
      <c r="S11" s="318" t="str">
        <f t="shared" si="3"/>
        <v/>
      </c>
    </row>
    <row r="12" spans="3:24" ht="14.25">
      <c r="C12" s="339" t="s">
        <v>98</v>
      </c>
      <c r="D12" s="340" t="s">
        <v>373</v>
      </c>
      <c r="E12" s="341" t="s">
        <v>374</v>
      </c>
      <c r="F12" s="341" t="s">
        <v>375</v>
      </c>
      <c r="G12" s="341" t="s">
        <v>376</v>
      </c>
      <c r="H12" s="339" t="s">
        <v>14</v>
      </c>
      <c r="I12" s="341" t="s">
        <v>59</v>
      </c>
      <c r="J12" s="316">
        <v>41861.054861111108</v>
      </c>
      <c r="K12" s="343"/>
      <c r="L12" s="341" t="s">
        <v>377</v>
      </c>
      <c r="M12" s="341" t="s">
        <v>378</v>
      </c>
      <c r="N12" s="341" t="s">
        <v>381</v>
      </c>
      <c r="O12" s="341" t="s">
        <v>175</v>
      </c>
      <c r="P12" s="344">
        <v>3</v>
      </c>
      <c r="Q12" s="321" t="str">
        <f t="shared" si="1"/>
        <v/>
      </c>
      <c r="R12" s="318">
        <f t="shared" si="2"/>
        <v>41861</v>
      </c>
      <c r="S12" s="318" t="str">
        <f t="shared" si="3"/>
        <v/>
      </c>
    </row>
    <row r="13" spans="3:24" ht="14.25">
      <c r="C13" s="339" t="s">
        <v>98</v>
      </c>
      <c r="D13" s="340" t="s">
        <v>373</v>
      </c>
      <c r="E13" s="341" t="s">
        <v>374</v>
      </c>
      <c r="F13" s="341" t="s">
        <v>375</v>
      </c>
      <c r="G13" s="341" t="s">
        <v>376</v>
      </c>
      <c r="H13" s="339" t="s">
        <v>5</v>
      </c>
      <c r="I13" s="341" t="s">
        <v>58</v>
      </c>
      <c r="J13" s="316">
        <v>41861.054166666669</v>
      </c>
      <c r="K13" s="343">
        <v>41867.054166666669</v>
      </c>
      <c r="L13" s="341" t="s">
        <v>377</v>
      </c>
      <c r="M13" s="341" t="s">
        <v>378</v>
      </c>
      <c r="N13" s="341" t="s">
        <v>381</v>
      </c>
      <c r="O13" s="341" t="s">
        <v>175</v>
      </c>
      <c r="P13" s="344">
        <v>1</v>
      </c>
      <c r="Q13" s="321">
        <f t="shared" si="1"/>
        <v>6</v>
      </c>
      <c r="R13" s="318">
        <f t="shared" si="2"/>
        <v>41861</v>
      </c>
      <c r="S13" s="318">
        <f t="shared" si="3"/>
        <v>41867</v>
      </c>
    </row>
    <row r="14" spans="3:24" ht="14.25">
      <c r="C14" s="339" t="s">
        <v>98</v>
      </c>
      <c r="D14" s="340" t="s">
        <v>373</v>
      </c>
      <c r="E14" s="341" t="s">
        <v>374</v>
      </c>
      <c r="F14" s="341" t="s">
        <v>375</v>
      </c>
      <c r="G14" s="341" t="s">
        <v>376</v>
      </c>
      <c r="H14" s="339" t="s">
        <v>5</v>
      </c>
      <c r="I14" s="341" t="s">
        <v>58</v>
      </c>
      <c r="J14" s="316">
        <v>41861.046527777777</v>
      </c>
      <c r="K14" s="343">
        <v>41865.046527777777</v>
      </c>
      <c r="L14" s="341" t="s">
        <v>377</v>
      </c>
      <c r="M14" s="341" t="s">
        <v>378</v>
      </c>
      <c r="N14" s="341" t="s">
        <v>381</v>
      </c>
      <c r="O14" s="341" t="s">
        <v>177</v>
      </c>
      <c r="P14" s="344">
        <v>3</v>
      </c>
      <c r="Q14" s="321">
        <f t="shared" si="1"/>
        <v>4</v>
      </c>
      <c r="R14" s="318">
        <f t="shared" si="2"/>
        <v>41861</v>
      </c>
      <c r="S14" s="318">
        <f t="shared" si="3"/>
        <v>41865</v>
      </c>
    </row>
    <row r="15" spans="3:24" ht="14.25">
      <c r="C15" s="339" t="s">
        <v>98</v>
      </c>
      <c r="D15" s="340" t="s">
        <v>373</v>
      </c>
      <c r="E15" s="341" t="s">
        <v>374</v>
      </c>
      <c r="F15" s="341" t="s">
        <v>375</v>
      </c>
      <c r="G15" s="341" t="s">
        <v>376</v>
      </c>
      <c r="H15" s="339" t="s">
        <v>14</v>
      </c>
      <c r="I15" s="341" t="s">
        <v>60</v>
      </c>
      <c r="J15" s="316">
        <v>41860.98333333333</v>
      </c>
      <c r="K15" s="343"/>
      <c r="L15" s="341" t="s">
        <v>378</v>
      </c>
      <c r="M15" s="341" t="s">
        <v>378</v>
      </c>
      <c r="N15" s="341" t="s">
        <v>381</v>
      </c>
      <c r="O15" s="341" t="s">
        <v>177</v>
      </c>
      <c r="P15" s="344">
        <v>2</v>
      </c>
      <c r="Q15" s="321" t="str">
        <f t="shared" si="1"/>
        <v/>
      </c>
      <c r="R15" s="318">
        <f t="shared" si="2"/>
        <v>41860</v>
      </c>
      <c r="S15" s="318" t="str">
        <f t="shared" si="3"/>
        <v/>
      </c>
    </row>
    <row r="16" spans="3:24" s="315" customFormat="1" ht="14.25">
      <c r="C16" s="339" t="s">
        <v>98</v>
      </c>
      <c r="D16" s="340" t="s">
        <v>373</v>
      </c>
      <c r="E16" s="341" t="s">
        <v>374</v>
      </c>
      <c r="F16" s="341" t="s">
        <v>407</v>
      </c>
      <c r="G16" s="341" t="s">
        <v>376</v>
      </c>
      <c r="H16" s="339" t="s">
        <v>140</v>
      </c>
      <c r="I16" s="341" t="s">
        <v>60</v>
      </c>
      <c r="J16" s="342">
        <v>41874.073611111111</v>
      </c>
      <c r="K16" s="343"/>
      <c r="L16" s="341" t="s">
        <v>377</v>
      </c>
      <c r="M16" s="341" t="s">
        <v>378</v>
      </c>
      <c r="N16" s="341" t="s">
        <v>381</v>
      </c>
      <c r="O16" s="341" t="s">
        <v>175</v>
      </c>
      <c r="P16" s="344">
        <v>3</v>
      </c>
      <c r="Q16" s="321" t="str">
        <f t="shared" si="1"/>
        <v/>
      </c>
      <c r="R16" s="318">
        <f t="shared" si="2"/>
        <v>41874</v>
      </c>
      <c r="S16" s="318" t="str">
        <f t="shared" si="3"/>
        <v/>
      </c>
    </row>
    <row r="17" spans="3:19" s="315" customFormat="1" ht="14.25">
      <c r="C17" s="339" t="s">
        <v>98</v>
      </c>
      <c r="D17" s="340" t="s">
        <v>373</v>
      </c>
      <c r="E17" s="341" t="s">
        <v>374</v>
      </c>
      <c r="F17" s="341" t="s">
        <v>375</v>
      </c>
      <c r="G17" s="341" t="s">
        <v>376</v>
      </c>
      <c r="H17" s="339" t="s">
        <v>5</v>
      </c>
      <c r="I17" s="341" t="s">
        <v>59</v>
      </c>
      <c r="J17" s="342">
        <v>41860.859027777777</v>
      </c>
      <c r="K17" s="343">
        <v>41868.859027777777</v>
      </c>
      <c r="L17" s="341" t="s">
        <v>377</v>
      </c>
      <c r="M17" s="341" t="s">
        <v>378</v>
      </c>
      <c r="N17" s="341" t="s">
        <v>381</v>
      </c>
      <c r="O17" s="341" t="s">
        <v>175</v>
      </c>
      <c r="P17" s="344">
        <v>2</v>
      </c>
      <c r="Q17" s="321">
        <f t="shared" si="1"/>
        <v>8</v>
      </c>
      <c r="R17" s="318">
        <f t="shared" si="2"/>
        <v>41860</v>
      </c>
      <c r="S17" s="318">
        <f t="shared" si="3"/>
        <v>41868</v>
      </c>
    </row>
    <row r="18" spans="3:19" s="315" customFormat="1" ht="14.25">
      <c r="C18" s="339" t="s">
        <v>98</v>
      </c>
      <c r="D18" s="340" t="s">
        <v>373</v>
      </c>
      <c r="E18" s="341" t="s">
        <v>374</v>
      </c>
      <c r="F18" s="341" t="s">
        <v>375</v>
      </c>
      <c r="G18" s="341" t="s">
        <v>376</v>
      </c>
      <c r="H18" s="339" t="s">
        <v>14</v>
      </c>
      <c r="I18" s="341" t="s">
        <v>59</v>
      </c>
      <c r="J18" s="342">
        <v>41860.824305555558</v>
      </c>
      <c r="K18" s="343"/>
      <c r="L18" s="341" t="s">
        <v>188</v>
      </c>
      <c r="M18" s="341" t="s">
        <v>382</v>
      </c>
      <c r="N18" s="341" t="s">
        <v>382</v>
      </c>
      <c r="O18" s="341" t="s">
        <v>175</v>
      </c>
      <c r="P18" s="344">
        <v>1</v>
      </c>
      <c r="Q18" s="321" t="str">
        <f t="shared" si="1"/>
        <v/>
      </c>
      <c r="R18" s="318">
        <f t="shared" si="2"/>
        <v>41860</v>
      </c>
      <c r="S18" s="318" t="str">
        <f t="shared" si="3"/>
        <v/>
      </c>
    </row>
    <row r="19" spans="3:19" ht="27.75" customHeight="1">
      <c r="C19" s="339" t="s">
        <v>98</v>
      </c>
      <c r="D19" s="340" t="s">
        <v>373</v>
      </c>
      <c r="E19" s="341" t="s">
        <v>374</v>
      </c>
      <c r="F19" s="341" t="s">
        <v>375</v>
      </c>
      <c r="G19" s="341" t="s">
        <v>376</v>
      </c>
      <c r="H19" s="339" t="s">
        <v>14</v>
      </c>
      <c r="I19" s="341" t="s">
        <v>60</v>
      </c>
      <c r="J19" s="316">
        <v>41860.782638888886</v>
      </c>
      <c r="K19" s="343"/>
      <c r="L19" s="341" t="s">
        <v>377</v>
      </c>
      <c r="M19" s="341" t="s">
        <v>378</v>
      </c>
      <c r="N19" s="341" t="s">
        <v>381</v>
      </c>
      <c r="O19" s="341" t="s">
        <v>177</v>
      </c>
      <c r="P19" s="344">
        <v>1</v>
      </c>
      <c r="Q19" s="321" t="str">
        <f t="shared" si="1"/>
        <v/>
      </c>
      <c r="R19" s="318">
        <f t="shared" si="2"/>
        <v>41860</v>
      </c>
      <c r="S19" s="318" t="str">
        <f t="shared" si="3"/>
        <v/>
      </c>
    </row>
    <row r="20" spans="3:19" ht="27.75" customHeight="1">
      <c r="C20" s="339" t="s">
        <v>98</v>
      </c>
      <c r="D20" s="340" t="s">
        <v>373</v>
      </c>
      <c r="E20" s="341" t="s">
        <v>374</v>
      </c>
      <c r="F20" s="341" t="s">
        <v>375</v>
      </c>
      <c r="G20" s="341" t="s">
        <v>376</v>
      </c>
      <c r="H20" s="339" t="s">
        <v>14</v>
      </c>
      <c r="I20" s="341" t="s">
        <v>60</v>
      </c>
      <c r="J20" s="316">
        <v>41860.775694444441</v>
      </c>
      <c r="K20" s="343"/>
      <c r="L20" s="341" t="s">
        <v>188</v>
      </c>
      <c r="M20" s="341" t="s">
        <v>382</v>
      </c>
      <c r="N20" s="341" t="s">
        <v>382</v>
      </c>
      <c r="O20" s="341" t="s">
        <v>177</v>
      </c>
      <c r="P20" s="344">
        <v>2</v>
      </c>
      <c r="Q20" s="321" t="str">
        <f t="shared" si="1"/>
        <v/>
      </c>
      <c r="R20" s="318">
        <f t="shared" si="2"/>
        <v>41860</v>
      </c>
      <c r="S20" s="318" t="str">
        <f t="shared" si="3"/>
        <v/>
      </c>
    </row>
    <row r="21" spans="3:19" ht="27.75" customHeight="1">
      <c r="C21" s="339" t="s">
        <v>98</v>
      </c>
      <c r="D21" s="340" t="s">
        <v>373</v>
      </c>
      <c r="E21" s="341" t="s">
        <v>374</v>
      </c>
      <c r="F21" s="341" t="s">
        <v>375</v>
      </c>
      <c r="G21" s="341" t="s">
        <v>376</v>
      </c>
      <c r="H21" s="339" t="s">
        <v>5</v>
      </c>
      <c r="I21" s="341" t="s">
        <v>59</v>
      </c>
      <c r="J21" s="316">
        <v>41860.752083333333</v>
      </c>
      <c r="K21" s="343">
        <v>41870.752083333333</v>
      </c>
      <c r="L21" s="341" t="s">
        <v>188</v>
      </c>
      <c r="M21" s="341" t="s">
        <v>382</v>
      </c>
      <c r="N21" s="341" t="s">
        <v>382</v>
      </c>
      <c r="O21" s="341" t="s">
        <v>177</v>
      </c>
      <c r="P21" s="344">
        <v>3</v>
      </c>
      <c r="Q21" s="321">
        <f t="shared" si="1"/>
        <v>10</v>
      </c>
      <c r="R21" s="318">
        <f t="shared" si="2"/>
        <v>41860</v>
      </c>
      <c r="S21" s="318">
        <f t="shared" si="3"/>
        <v>41870</v>
      </c>
    </row>
    <row r="22" spans="3:19" ht="27.75" customHeight="1">
      <c r="C22" s="339" t="s">
        <v>98</v>
      </c>
      <c r="D22" s="340" t="s">
        <v>373</v>
      </c>
      <c r="E22" s="341" t="s">
        <v>374</v>
      </c>
      <c r="F22" s="341" t="s">
        <v>375</v>
      </c>
      <c r="G22" s="341" t="s">
        <v>376</v>
      </c>
      <c r="H22" s="339" t="s">
        <v>5</v>
      </c>
      <c r="I22" s="341" t="s">
        <v>59</v>
      </c>
      <c r="J22" s="316">
        <v>41860.734722222223</v>
      </c>
      <c r="K22" s="343">
        <v>41870.734722222223</v>
      </c>
      <c r="L22" s="341" t="s">
        <v>188</v>
      </c>
      <c r="M22" s="341" t="s">
        <v>382</v>
      </c>
      <c r="N22" s="341" t="s">
        <v>382</v>
      </c>
      <c r="O22" s="341" t="s">
        <v>177</v>
      </c>
      <c r="P22" s="344">
        <v>3</v>
      </c>
      <c r="Q22" s="321">
        <f t="shared" si="1"/>
        <v>10</v>
      </c>
      <c r="R22" s="318">
        <f t="shared" si="2"/>
        <v>41860</v>
      </c>
      <c r="S22" s="318">
        <f t="shared" si="3"/>
        <v>41870</v>
      </c>
    </row>
    <row r="23" spans="3:19" ht="27.75" customHeight="1">
      <c r="C23" s="339" t="s">
        <v>98</v>
      </c>
      <c r="D23" s="340" t="s">
        <v>373</v>
      </c>
      <c r="E23" s="341" t="s">
        <v>374</v>
      </c>
      <c r="F23" s="341" t="s">
        <v>375</v>
      </c>
      <c r="G23" s="341" t="s">
        <v>376</v>
      </c>
      <c r="H23" s="339" t="s">
        <v>14</v>
      </c>
      <c r="I23" s="341" t="s">
        <v>59</v>
      </c>
      <c r="J23" s="316">
        <v>41875.734722222223</v>
      </c>
      <c r="K23" s="343"/>
      <c r="L23" s="341" t="s">
        <v>188</v>
      </c>
      <c r="M23" s="341" t="s">
        <v>382</v>
      </c>
      <c r="N23" s="341" t="s">
        <v>382</v>
      </c>
      <c r="O23" s="341" t="s">
        <v>177</v>
      </c>
      <c r="P23" s="344">
        <v>3</v>
      </c>
      <c r="Q23" s="321" t="str">
        <f t="shared" si="1"/>
        <v/>
      </c>
      <c r="R23" s="318">
        <f t="shared" si="2"/>
        <v>41875</v>
      </c>
      <c r="S23" s="318" t="str">
        <f t="shared" si="3"/>
        <v/>
      </c>
    </row>
    <row r="24" spans="3:19" ht="27.75" customHeight="1">
      <c r="C24" s="339" t="s">
        <v>98</v>
      </c>
      <c r="D24" s="340" t="s">
        <v>373</v>
      </c>
      <c r="E24" s="341" t="s">
        <v>374</v>
      </c>
      <c r="F24" s="341" t="s">
        <v>375</v>
      </c>
      <c r="G24" s="341" t="s">
        <v>376</v>
      </c>
      <c r="H24" s="339" t="s">
        <v>14</v>
      </c>
      <c r="I24" s="341" t="s">
        <v>59</v>
      </c>
      <c r="J24" s="316">
        <v>41860.695833333331</v>
      </c>
      <c r="K24" s="343"/>
      <c r="L24" s="341" t="s">
        <v>188</v>
      </c>
      <c r="M24" s="341" t="s">
        <v>382</v>
      </c>
      <c r="N24" s="341" t="s">
        <v>382</v>
      </c>
      <c r="O24" s="341" t="s">
        <v>177</v>
      </c>
      <c r="P24" s="344">
        <v>3</v>
      </c>
      <c r="Q24" s="321" t="str">
        <f t="shared" si="1"/>
        <v/>
      </c>
      <c r="R24" s="318">
        <f t="shared" si="2"/>
        <v>41860</v>
      </c>
      <c r="S24" s="318" t="str">
        <f t="shared" si="3"/>
        <v/>
      </c>
    </row>
    <row r="25" spans="3:19" ht="27.75" customHeight="1">
      <c r="C25" s="345" t="s">
        <v>98</v>
      </c>
      <c r="D25" s="345" t="s">
        <v>373</v>
      </c>
      <c r="E25" s="345" t="s">
        <v>374</v>
      </c>
      <c r="F25" s="345" t="s">
        <v>375</v>
      </c>
      <c r="G25" s="346" t="s">
        <v>376</v>
      </c>
      <c r="H25" s="339" t="s">
        <v>14</v>
      </c>
      <c r="I25" s="345" t="s">
        <v>61</v>
      </c>
      <c r="J25" s="316">
        <v>41875.734722222223</v>
      </c>
      <c r="K25" s="347"/>
      <c r="L25" s="347" t="s">
        <v>377</v>
      </c>
      <c r="M25" s="348" t="s">
        <v>378</v>
      </c>
      <c r="N25" s="348" t="s">
        <v>381</v>
      </c>
      <c r="O25" s="348" t="s">
        <v>175</v>
      </c>
      <c r="P25" s="349">
        <v>2.4675324675324699</v>
      </c>
      <c r="Q25" s="321" t="str">
        <f t="shared" si="1"/>
        <v/>
      </c>
      <c r="R25" s="318">
        <f t="shared" si="2"/>
        <v>41875</v>
      </c>
      <c r="S25" s="318" t="str">
        <f t="shared" si="3"/>
        <v/>
      </c>
    </row>
    <row r="26" spans="3:19" ht="27.75" customHeight="1">
      <c r="C26" s="345" t="s">
        <v>98</v>
      </c>
      <c r="D26" s="345" t="s">
        <v>373</v>
      </c>
      <c r="E26" s="345" t="s">
        <v>374</v>
      </c>
      <c r="F26" s="345" t="s">
        <v>375</v>
      </c>
      <c r="G26" s="346" t="s">
        <v>376</v>
      </c>
      <c r="H26" s="345" t="s">
        <v>5</v>
      </c>
      <c r="I26" s="345" t="s">
        <v>61</v>
      </c>
      <c r="J26" s="316">
        <v>41860.647916666669</v>
      </c>
      <c r="K26" s="347">
        <v>41867.647916666669</v>
      </c>
      <c r="L26" s="347" t="s">
        <v>188</v>
      </c>
      <c r="M26" s="348" t="s">
        <v>382</v>
      </c>
      <c r="N26" s="348" t="s">
        <v>382</v>
      </c>
      <c r="O26" s="348" t="s">
        <v>175</v>
      </c>
      <c r="P26" s="349">
        <v>2.5002823263692799</v>
      </c>
      <c r="Q26" s="321">
        <f t="shared" ref="Q26:Q89" si="4">IF(ISERROR(DATEDIF(J26,K26,"D")),"",DATEDIF(J26,K26,"D"))</f>
        <v>7</v>
      </c>
      <c r="R26" s="318">
        <f t="shared" ref="R26:R89" si="5">DATE(YEAR(J26),MONTH(J26),DAY(J26))</f>
        <v>41860</v>
      </c>
      <c r="S26" s="318">
        <f t="shared" ref="S26:S89" si="6">IF(K26&lt;&gt;"",DATE(YEAR(K26),MONTH(K26),DAY(K26)),"")</f>
        <v>41867</v>
      </c>
    </row>
    <row r="27" spans="3:19" ht="27.75" customHeight="1">
      <c r="C27" s="345" t="s">
        <v>98</v>
      </c>
      <c r="D27" s="345" t="s">
        <v>373</v>
      </c>
      <c r="E27" s="345" t="s">
        <v>374</v>
      </c>
      <c r="F27" s="345" t="s">
        <v>375</v>
      </c>
      <c r="G27" s="346" t="s">
        <v>376</v>
      </c>
      <c r="H27" s="345" t="s">
        <v>14</v>
      </c>
      <c r="I27" s="345" t="s">
        <v>60</v>
      </c>
      <c r="J27" s="316">
        <v>41860.6</v>
      </c>
      <c r="K27" s="347"/>
      <c r="L27" s="347" t="s">
        <v>377</v>
      </c>
      <c r="M27" s="348" t="s">
        <v>378</v>
      </c>
      <c r="N27" s="348" t="s">
        <v>381</v>
      </c>
      <c r="O27" s="348" t="s">
        <v>175</v>
      </c>
      <c r="P27" s="349">
        <v>2.5330321852061002</v>
      </c>
      <c r="Q27" s="321" t="str">
        <f t="shared" si="4"/>
        <v/>
      </c>
      <c r="R27" s="318">
        <f t="shared" si="5"/>
        <v>41860</v>
      </c>
      <c r="S27" s="318" t="str">
        <f t="shared" si="6"/>
        <v/>
      </c>
    </row>
    <row r="28" spans="3:19" ht="27.75" customHeight="1">
      <c r="C28" s="345" t="s">
        <v>98</v>
      </c>
      <c r="D28" s="345" t="s">
        <v>373</v>
      </c>
      <c r="E28" s="345" t="s">
        <v>374</v>
      </c>
      <c r="F28" s="345" t="s">
        <v>375</v>
      </c>
      <c r="G28" s="346" t="s">
        <v>376</v>
      </c>
      <c r="H28" s="345" t="s">
        <v>14</v>
      </c>
      <c r="I28" s="345" t="s">
        <v>59</v>
      </c>
      <c r="J28" s="316">
        <v>41874</v>
      </c>
      <c r="K28" s="347"/>
      <c r="L28" s="347" t="s">
        <v>377</v>
      </c>
      <c r="M28" s="348" t="s">
        <v>378</v>
      </c>
      <c r="N28" s="348" t="s">
        <v>381</v>
      </c>
      <c r="O28" s="348" t="s">
        <v>175</v>
      </c>
      <c r="P28" s="349">
        <v>2.5657820440429102</v>
      </c>
      <c r="Q28" s="321" t="str">
        <f t="shared" si="4"/>
        <v/>
      </c>
      <c r="R28" s="318">
        <f t="shared" si="5"/>
        <v>41874</v>
      </c>
      <c r="S28" s="318" t="str">
        <f t="shared" si="6"/>
        <v/>
      </c>
    </row>
    <row r="29" spans="3:19" ht="27.75" customHeight="1">
      <c r="C29" s="345" t="s">
        <v>98</v>
      </c>
      <c r="D29" s="345" t="s">
        <v>373</v>
      </c>
      <c r="E29" s="345" t="s">
        <v>374</v>
      </c>
      <c r="F29" s="345" t="s">
        <v>375</v>
      </c>
      <c r="G29" s="346" t="s">
        <v>376</v>
      </c>
      <c r="H29" s="345" t="s">
        <v>5</v>
      </c>
      <c r="I29" s="345" t="s">
        <v>60</v>
      </c>
      <c r="J29" s="316">
        <v>41860.573611111111</v>
      </c>
      <c r="K29" s="347">
        <v>41868.573611111111</v>
      </c>
      <c r="L29" s="347" t="s">
        <v>188</v>
      </c>
      <c r="M29" s="348" t="s">
        <v>382</v>
      </c>
      <c r="N29" s="348" t="s">
        <v>382</v>
      </c>
      <c r="O29" s="348" t="s">
        <v>175</v>
      </c>
      <c r="P29" s="349">
        <v>2.59853190287973</v>
      </c>
      <c r="Q29" s="321">
        <f t="shared" si="4"/>
        <v>8</v>
      </c>
      <c r="R29" s="318">
        <f t="shared" si="5"/>
        <v>41860</v>
      </c>
      <c r="S29" s="318">
        <f t="shared" si="6"/>
        <v>41868</v>
      </c>
    </row>
    <row r="30" spans="3:19" ht="27.75" customHeight="1">
      <c r="C30" s="345" t="s">
        <v>98</v>
      </c>
      <c r="D30" s="345" t="s">
        <v>373</v>
      </c>
      <c r="E30" s="345" t="s">
        <v>374</v>
      </c>
      <c r="F30" s="345" t="s">
        <v>375</v>
      </c>
      <c r="G30" s="346" t="s">
        <v>376</v>
      </c>
      <c r="H30" s="345" t="s">
        <v>5</v>
      </c>
      <c r="I30" s="345" t="s">
        <v>60</v>
      </c>
      <c r="J30" s="316">
        <v>41860.534722222219</v>
      </c>
      <c r="K30" s="347">
        <v>41869.534722222219</v>
      </c>
      <c r="L30" s="347" t="s">
        <v>377</v>
      </c>
      <c r="M30" s="348" t="s">
        <v>378</v>
      </c>
      <c r="N30" s="348" t="s">
        <v>381</v>
      </c>
      <c r="O30" s="348" t="s">
        <v>175</v>
      </c>
      <c r="P30" s="349">
        <v>2.63128176171654</v>
      </c>
      <c r="Q30" s="321">
        <f t="shared" si="4"/>
        <v>9</v>
      </c>
      <c r="R30" s="318">
        <f t="shared" si="5"/>
        <v>41860</v>
      </c>
      <c r="S30" s="318">
        <f t="shared" si="6"/>
        <v>41869</v>
      </c>
    </row>
    <row r="31" spans="3:19" ht="27.75" customHeight="1">
      <c r="C31" s="345" t="s">
        <v>98</v>
      </c>
      <c r="D31" s="345" t="s">
        <v>373</v>
      </c>
      <c r="E31" s="345" t="s">
        <v>374</v>
      </c>
      <c r="F31" s="345" t="s">
        <v>375</v>
      </c>
      <c r="G31" s="346" t="s">
        <v>376</v>
      </c>
      <c r="H31" s="345" t="s">
        <v>5</v>
      </c>
      <c r="I31" s="345" t="s">
        <v>61</v>
      </c>
      <c r="J31" s="316">
        <v>41860.533333333333</v>
      </c>
      <c r="K31" s="347">
        <v>41857.533333333333</v>
      </c>
      <c r="L31" s="347" t="s">
        <v>378</v>
      </c>
      <c r="M31" s="348" t="s">
        <v>378</v>
      </c>
      <c r="N31" s="348" t="s">
        <v>381</v>
      </c>
      <c r="O31" s="348" t="s">
        <v>175</v>
      </c>
      <c r="P31" s="349">
        <v>2.6640316205533598</v>
      </c>
      <c r="Q31" s="321" t="str">
        <f t="shared" si="4"/>
        <v/>
      </c>
      <c r="R31" s="318">
        <f t="shared" si="5"/>
        <v>41860</v>
      </c>
      <c r="S31" s="318">
        <f t="shared" si="6"/>
        <v>41857</v>
      </c>
    </row>
    <row r="32" spans="3:19" ht="27.75" customHeight="1">
      <c r="C32" s="345" t="s">
        <v>98</v>
      </c>
      <c r="D32" s="345" t="s">
        <v>373</v>
      </c>
      <c r="E32" s="345" t="s">
        <v>374</v>
      </c>
      <c r="F32" s="345" t="s">
        <v>375</v>
      </c>
      <c r="G32" s="346" t="s">
        <v>376</v>
      </c>
      <c r="H32" s="345" t="s">
        <v>5</v>
      </c>
      <c r="I32" s="345" t="s">
        <v>58</v>
      </c>
      <c r="J32" s="316">
        <v>41875.734722222223</v>
      </c>
      <c r="K32" s="347">
        <v>41868.523611111108</v>
      </c>
      <c r="L32" s="347" t="s">
        <v>378</v>
      </c>
      <c r="M32" s="348" t="s">
        <v>378</v>
      </c>
      <c r="N32" s="348" t="s">
        <v>381</v>
      </c>
      <c r="O32" s="348" t="s">
        <v>175</v>
      </c>
      <c r="P32" s="349">
        <v>2.6967814793901801</v>
      </c>
      <c r="Q32" s="321" t="str">
        <f t="shared" si="4"/>
        <v/>
      </c>
      <c r="R32" s="318">
        <f t="shared" si="5"/>
        <v>41875</v>
      </c>
      <c r="S32" s="318">
        <f t="shared" si="6"/>
        <v>41868</v>
      </c>
    </row>
    <row r="33" spans="3:19" ht="27.75" customHeight="1">
      <c r="C33" s="345" t="s">
        <v>98</v>
      </c>
      <c r="D33" s="345" t="s">
        <v>373</v>
      </c>
      <c r="E33" s="345" t="s">
        <v>374</v>
      </c>
      <c r="F33" s="345" t="s">
        <v>375</v>
      </c>
      <c r="G33" s="346" t="s">
        <v>376</v>
      </c>
      <c r="H33" s="345" t="s">
        <v>14</v>
      </c>
      <c r="I33" s="345" t="s">
        <v>59</v>
      </c>
      <c r="J33" s="316">
        <v>41860.521527777775</v>
      </c>
      <c r="K33" s="347"/>
      <c r="L33" s="347" t="s">
        <v>378</v>
      </c>
      <c r="M33" s="348" t="s">
        <v>378</v>
      </c>
      <c r="N33" s="348" t="s">
        <v>381</v>
      </c>
      <c r="O33" s="348" t="s">
        <v>175</v>
      </c>
      <c r="P33" s="349">
        <v>2.7295313382269901</v>
      </c>
      <c r="Q33" s="321" t="str">
        <f t="shared" si="4"/>
        <v/>
      </c>
      <c r="R33" s="318">
        <f t="shared" si="5"/>
        <v>41860</v>
      </c>
      <c r="S33" s="318" t="str">
        <f t="shared" si="6"/>
        <v/>
      </c>
    </row>
    <row r="34" spans="3:19" ht="27.75" customHeight="1">
      <c r="C34" s="345" t="s">
        <v>98</v>
      </c>
      <c r="D34" s="345" t="s">
        <v>373</v>
      </c>
      <c r="E34" s="345" t="s">
        <v>374</v>
      </c>
      <c r="F34" s="345" t="s">
        <v>375</v>
      </c>
      <c r="G34" s="346" t="s">
        <v>376</v>
      </c>
      <c r="H34" s="345" t="s">
        <v>5</v>
      </c>
      <c r="I34" s="345" t="s">
        <v>60</v>
      </c>
      <c r="J34" s="316">
        <v>41860.480555555558</v>
      </c>
      <c r="K34" s="347">
        <v>41868.480555555558</v>
      </c>
      <c r="L34" s="347" t="s">
        <v>378</v>
      </c>
      <c r="M34" s="348" t="s">
        <v>378</v>
      </c>
      <c r="N34" s="348" t="s">
        <v>381</v>
      </c>
      <c r="O34" s="348" t="s">
        <v>175</v>
      </c>
      <c r="P34" s="349">
        <v>2.7622811970638099</v>
      </c>
      <c r="Q34" s="321">
        <f t="shared" si="4"/>
        <v>8</v>
      </c>
      <c r="R34" s="318">
        <f t="shared" si="5"/>
        <v>41860</v>
      </c>
      <c r="S34" s="318">
        <f t="shared" si="6"/>
        <v>41868</v>
      </c>
    </row>
    <row r="35" spans="3:19" ht="27.75" customHeight="1">
      <c r="C35" s="345" t="s">
        <v>98</v>
      </c>
      <c r="D35" s="345" t="s">
        <v>373</v>
      </c>
      <c r="E35" s="345" t="s">
        <v>374</v>
      </c>
      <c r="F35" s="345" t="s">
        <v>375</v>
      </c>
      <c r="G35" s="346" t="s">
        <v>376</v>
      </c>
      <c r="H35" s="345" t="s">
        <v>5</v>
      </c>
      <c r="I35" s="345" t="s">
        <v>58</v>
      </c>
      <c r="J35" s="316">
        <v>41875.734722222223</v>
      </c>
      <c r="K35" s="347">
        <v>41865.472916666666</v>
      </c>
      <c r="L35" s="347" t="s">
        <v>378</v>
      </c>
      <c r="M35" s="348" t="s">
        <v>378</v>
      </c>
      <c r="N35" s="348" t="s">
        <v>381</v>
      </c>
      <c r="O35" s="348" t="s">
        <v>175</v>
      </c>
      <c r="P35" s="349">
        <v>2.79503105590062</v>
      </c>
      <c r="Q35" s="321" t="str">
        <f t="shared" si="4"/>
        <v/>
      </c>
      <c r="R35" s="318">
        <f t="shared" si="5"/>
        <v>41875</v>
      </c>
      <c r="S35" s="318">
        <f t="shared" si="6"/>
        <v>41865</v>
      </c>
    </row>
    <row r="36" spans="3:19" ht="27.75" customHeight="1">
      <c r="C36" s="345" t="s">
        <v>98</v>
      </c>
      <c r="D36" s="345" t="s">
        <v>373</v>
      </c>
      <c r="E36" s="345" t="s">
        <v>374</v>
      </c>
      <c r="F36" s="345" t="s">
        <v>375</v>
      </c>
      <c r="G36" s="346" t="s">
        <v>376</v>
      </c>
      <c r="H36" s="345" t="s">
        <v>14</v>
      </c>
      <c r="I36" s="345" t="s">
        <v>59</v>
      </c>
      <c r="J36" s="316">
        <v>41860.46875</v>
      </c>
      <c r="K36" s="347"/>
      <c r="L36" s="347" t="s">
        <v>378</v>
      </c>
      <c r="M36" s="348" t="s">
        <v>378</v>
      </c>
      <c r="N36" s="348" t="s">
        <v>381</v>
      </c>
      <c r="O36" s="348" t="s">
        <v>177</v>
      </c>
      <c r="P36" s="349">
        <v>2.8277809147374402</v>
      </c>
      <c r="Q36" s="321" t="str">
        <f t="shared" si="4"/>
        <v/>
      </c>
      <c r="R36" s="318">
        <f t="shared" si="5"/>
        <v>41860</v>
      </c>
      <c r="S36" s="318" t="str">
        <f t="shared" si="6"/>
        <v/>
      </c>
    </row>
    <row r="37" spans="3:19" ht="27.75" customHeight="1">
      <c r="C37" s="345" t="s">
        <v>98</v>
      </c>
      <c r="D37" s="345" t="s">
        <v>373</v>
      </c>
      <c r="E37" s="345" t="s">
        <v>374</v>
      </c>
      <c r="F37" s="345" t="s">
        <v>375</v>
      </c>
      <c r="G37" s="346" t="s">
        <v>376</v>
      </c>
      <c r="H37" s="345" t="s">
        <v>5</v>
      </c>
      <c r="I37" s="345" t="s">
        <v>59</v>
      </c>
      <c r="J37" s="316">
        <v>41860.46597222222</v>
      </c>
      <c r="K37" s="347">
        <v>41867.46597222222</v>
      </c>
      <c r="L37" s="347" t="s">
        <v>378</v>
      </c>
      <c r="M37" s="348" t="s">
        <v>378</v>
      </c>
      <c r="N37" s="348" t="s">
        <v>381</v>
      </c>
      <c r="O37" s="348" t="s">
        <v>177</v>
      </c>
      <c r="P37" s="349">
        <v>2.8605307735742498</v>
      </c>
      <c r="Q37" s="321">
        <f t="shared" si="4"/>
        <v>7</v>
      </c>
      <c r="R37" s="318">
        <f t="shared" si="5"/>
        <v>41860</v>
      </c>
      <c r="S37" s="318">
        <f t="shared" si="6"/>
        <v>41867</v>
      </c>
    </row>
    <row r="38" spans="3:19" ht="27.75" customHeight="1">
      <c r="C38" s="345" t="s">
        <v>98</v>
      </c>
      <c r="D38" s="345" t="s">
        <v>373</v>
      </c>
      <c r="E38" s="345" t="s">
        <v>374</v>
      </c>
      <c r="F38" s="345" t="s">
        <v>375</v>
      </c>
      <c r="G38" s="346" t="s">
        <v>376</v>
      </c>
      <c r="H38" s="345" t="s">
        <v>383</v>
      </c>
      <c r="I38" s="345" t="s">
        <v>60</v>
      </c>
      <c r="J38" s="316">
        <v>41859.917361111111</v>
      </c>
      <c r="K38" s="347"/>
      <c r="L38" s="347" t="s">
        <v>378</v>
      </c>
      <c r="M38" s="348" t="s">
        <v>378</v>
      </c>
      <c r="N38" s="348" t="s">
        <v>381</v>
      </c>
      <c r="O38" s="348" t="s">
        <v>175</v>
      </c>
      <c r="P38" s="349">
        <v>2.89328063241107</v>
      </c>
      <c r="Q38" s="321" t="str">
        <f t="shared" si="4"/>
        <v/>
      </c>
      <c r="R38" s="318">
        <f t="shared" si="5"/>
        <v>41859</v>
      </c>
      <c r="S38" s="318" t="str">
        <f t="shared" si="6"/>
        <v/>
      </c>
    </row>
    <row r="39" spans="3:19" ht="27.75" customHeight="1">
      <c r="C39" s="345" t="s">
        <v>98</v>
      </c>
      <c r="D39" s="345" t="s">
        <v>373</v>
      </c>
      <c r="E39" s="345" t="s">
        <v>374</v>
      </c>
      <c r="F39" s="345" t="s">
        <v>375</v>
      </c>
      <c r="G39" s="346" t="s">
        <v>376</v>
      </c>
      <c r="H39" s="345" t="s">
        <v>5</v>
      </c>
      <c r="I39" s="345" t="s">
        <v>60</v>
      </c>
      <c r="J39" s="316">
        <v>41859.879861111112</v>
      </c>
      <c r="K39" s="347">
        <v>41861.879861111112</v>
      </c>
      <c r="L39" s="347" t="s">
        <v>378</v>
      </c>
      <c r="M39" s="348" t="s">
        <v>378</v>
      </c>
      <c r="N39" s="348" t="s">
        <v>381</v>
      </c>
      <c r="O39" s="348" t="s">
        <v>175</v>
      </c>
      <c r="P39" s="349">
        <v>2.9260304912478801</v>
      </c>
      <c r="Q39" s="321">
        <f t="shared" si="4"/>
        <v>2</v>
      </c>
      <c r="R39" s="318">
        <f t="shared" si="5"/>
        <v>41859</v>
      </c>
      <c r="S39" s="318">
        <f t="shared" si="6"/>
        <v>41861</v>
      </c>
    </row>
    <row r="40" spans="3:19" ht="27.75" customHeight="1">
      <c r="C40" s="345" t="s">
        <v>98</v>
      </c>
      <c r="D40" s="345" t="s">
        <v>373</v>
      </c>
      <c r="E40" s="345" t="s">
        <v>374</v>
      </c>
      <c r="F40" s="345" t="s">
        <v>375</v>
      </c>
      <c r="G40" s="346" t="s">
        <v>376</v>
      </c>
      <c r="H40" s="339" t="s">
        <v>14</v>
      </c>
      <c r="I40" s="345" t="s">
        <v>59</v>
      </c>
      <c r="J40" s="316">
        <v>41859.79583333333</v>
      </c>
      <c r="K40" s="347"/>
      <c r="L40" s="347" t="s">
        <v>378</v>
      </c>
      <c r="M40" s="348" t="s">
        <v>378</v>
      </c>
      <c r="N40" s="348" t="s">
        <v>381</v>
      </c>
      <c r="O40" s="348" t="s">
        <v>175</v>
      </c>
      <c r="P40" s="349">
        <v>2.9587803500846999</v>
      </c>
      <c r="Q40" s="321" t="str">
        <f t="shared" si="4"/>
        <v/>
      </c>
      <c r="R40" s="318">
        <f t="shared" si="5"/>
        <v>41859</v>
      </c>
      <c r="S40" s="318" t="str">
        <f t="shared" si="6"/>
        <v/>
      </c>
    </row>
    <row r="41" spans="3:19" ht="27.75" customHeight="1">
      <c r="C41" s="345" t="s">
        <v>98</v>
      </c>
      <c r="D41" s="345" t="s">
        <v>373</v>
      </c>
      <c r="E41" s="345" t="s">
        <v>374</v>
      </c>
      <c r="F41" s="345" t="s">
        <v>375</v>
      </c>
      <c r="G41" s="346" t="s">
        <v>376</v>
      </c>
      <c r="H41" s="345" t="s">
        <v>384</v>
      </c>
      <c r="I41" s="345" t="s">
        <v>60</v>
      </c>
      <c r="J41" s="316">
        <v>41859.79583333333</v>
      </c>
      <c r="K41" s="347"/>
      <c r="L41" s="347" t="s">
        <v>378</v>
      </c>
      <c r="M41" s="348" t="s">
        <v>378</v>
      </c>
      <c r="N41" s="348" t="s">
        <v>381</v>
      </c>
      <c r="O41" s="348" t="s">
        <v>177</v>
      </c>
      <c r="P41" s="349">
        <v>2.9915302089215099</v>
      </c>
      <c r="Q41" s="321" t="str">
        <f t="shared" si="4"/>
        <v/>
      </c>
      <c r="R41" s="318">
        <f t="shared" si="5"/>
        <v>41859</v>
      </c>
      <c r="S41" s="318" t="str">
        <f t="shared" si="6"/>
        <v/>
      </c>
    </row>
    <row r="42" spans="3:19" ht="27.75" customHeight="1">
      <c r="C42" s="345" t="s">
        <v>98</v>
      </c>
      <c r="D42" s="345" t="s">
        <v>373</v>
      </c>
      <c r="E42" s="345" t="s">
        <v>374</v>
      </c>
      <c r="F42" s="345" t="s">
        <v>375</v>
      </c>
      <c r="G42" s="346" t="s">
        <v>376</v>
      </c>
      <c r="H42" s="345" t="s">
        <v>5</v>
      </c>
      <c r="I42" s="345" t="s">
        <v>60</v>
      </c>
      <c r="J42" s="316">
        <v>41859.777777777781</v>
      </c>
      <c r="K42" s="347">
        <v>41874.775694444441</v>
      </c>
      <c r="L42" s="347" t="s">
        <v>377</v>
      </c>
      <c r="M42" s="348" t="s">
        <v>378</v>
      </c>
      <c r="N42" s="348" t="s">
        <v>381</v>
      </c>
      <c r="O42" s="348" t="s">
        <v>177</v>
      </c>
      <c r="P42" s="349">
        <v>3.0242800677583301</v>
      </c>
      <c r="Q42" s="321">
        <f t="shared" si="4"/>
        <v>15</v>
      </c>
      <c r="R42" s="318">
        <f t="shared" si="5"/>
        <v>41859</v>
      </c>
      <c r="S42" s="318">
        <f t="shared" si="6"/>
        <v>41874</v>
      </c>
    </row>
    <row r="43" spans="3:19" ht="27.75" customHeight="1">
      <c r="C43" s="345" t="s">
        <v>98</v>
      </c>
      <c r="D43" s="345" t="s">
        <v>373</v>
      </c>
      <c r="E43" s="345" t="s">
        <v>374</v>
      </c>
      <c r="F43" s="345" t="s">
        <v>375</v>
      </c>
      <c r="G43" s="346" t="s">
        <v>376</v>
      </c>
      <c r="H43" s="345" t="s">
        <v>5</v>
      </c>
      <c r="I43" s="345" t="s">
        <v>59</v>
      </c>
      <c r="J43" s="316">
        <v>41859.775694444441</v>
      </c>
      <c r="K43" s="347">
        <v>41879.775694444441</v>
      </c>
      <c r="L43" s="347" t="s">
        <v>377</v>
      </c>
      <c r="M43" s="348" t="s">
        <v>378</v>
      </c>
      <c r="N43" s="348" t="s">
        <v>381</v>
      </c>
      <c r="O43" s="348" t="s">
        <v>177</v>
      </c>
      <c r="P43" s="349">
        <v>3.0570299265951402</v>
      </c>
      <c r="Q43" s="321">
        <f t="shared" si="4"/>
        <v>20</v>
      </c>
      <c r="R43" s="318">
        <f t="shared" si="5"/>
        <v>41859</v>
      </c>
      <c r="S43" s="318">
        <f t="shared" si="6"/>
        <v>41879</v>
      </c>
    </row>
    <row r="44" spans="3:19" ht="27.75" customHeight="1">
      <c r="C44" s="345" t="s">
        <v>98</v>
      </c>
      <c r="D44" s="345" t="s">
        <v>373</v>
      </c>
      <c r="E44" s="345" t="s">
        <v>374</v>
      </c>
      <c r="F44" s="345" t="s">
        <v>375</v>
      </c>
      <c r="G44" s="346" t="s">
        <v>376</v>
      </c>
      <c r="H44" s="339" t="s">
        <v>14</v>
      </c>
      <c r="I44" s="345" t="s">
        <v>59</v>
      </c>
      <c r="J44" s="316">
        <v>41859.772222222222</v>
      </c>
      <c r="K44" s="347"/>
      <c r="L44" s="347" t="s">
        <v>377</v>
      </c>
      <c r="M44" s="348" t="s">
        <v>378</v>
      </c>
      <c r="N44" s="348" t="s">
        <v>381</v>
      </c>
      <c r="O44" s="348" t="s">
        <v>177</v>
      </c>
      <c r="P44" s="349">
        <v>3.08977978543196</v>
      </c>
      <c r="Q44" s="321" t="str">
        <f t="shared" si="4"/>
        <v/>
      </c>
      <c r="R44" s="318">
        <f t="shared" si="5"/>
        <v>41859</v>
      </c>
      <c r="S44" s="318" t="str">
        <f t="shared" si="6"/>
        <v/>
      </c>
    </row>
    <row r="45" spans="3:19" ht="27.75" customHeight="1">
      <c r="C45" s="345" t="s">
        <v>98</v>
      </c>
      <c r="D45" s="345" t="s">
        <v>373</v>
      </c>
      <c r="E45" s="345" t="s">
        <v>374</v>
      </c>
      <c r="F45" s="345" t="s">
        <v>375</v>
      </c>
      <c r="G45" s="346" t="s">
        <v>376</v>
      </c>
      <c r="H45" s="345" t="s">
        <v>138</v>
      </c>
      <c r="I45" s="345" t="s">
        <v>59</v>
      </c>
      <c r="J45" s="316">
        <v>41859.765277777777</v>
      </c>
      <c r="K45" s="347"/>
      <c r="L45" s="347" t="s">
        <v>378</v>
      </c>
      <c r="M45" s="348" t="s">
        <v>378</v>
      </c>
      <c r="N45" s="348" t="s">
        <v>381</v>
      </c>
      <c r="O45" s="348" t="s">
        <v>177</v>
      </c>
      <c r="P45" s="349">
        <v>3.1225296442687802</v>
      </c>
      <c r="Q45" s="321" t="str">
        <f t="shared" si="4"/>
        <v/>
      </c>
      <c r="R45" s="318">
        <f t="shared" si="5"/>
        <v>41859</v>
      </c>
      <c r="S45" s="318" t="str">
        <f t="shared" si="6"/>
        <v/>
      </c>
    </row>
    <row r="46" spans="3:19" ht="27.75" customHeight="1">
      <c r="C46" s="345" t="s">
        <v>98</v>
      </c>
      <c r="D46" s="345" t="s">
        <v>373</v>
      </c>
      <c r="E46" s="345" t="s">
        <v>374</v>
      </c>
      <c r="F46" s="345" t="s">
        <v>375</v>
      </c>
      <c r="G46" s="346" t="s">
        <v>376</v>
      </c>
      <c r="H46" s="345" t="s">
        <v>5</v>
      </c>
      <c r="I46" s="345" t="s">
        <v>61</v>
      </c>
      <c r="J46" s="316">
        <v>41859.762499999997</v>
      </c>
      <c r="K46" s="347">
        <v>41868.762499999997</v>
      </c>
      <c r="L46" s="347" t="s">
        <v>378</v>
      </c>
      <c r="M46" s="348" t="s">
        <v>378</v>
      </c>
      <c r="N46" s="348" t="s">
        <v>381</v>
      </c>
      <c r="O46" s="348" t="s">
        <v>177</v>
      </c>
      <c r="P46" s="349">
        <v>3.1552795031055898</v>
      </c>
      <c r="Q46" s="321">
        <f t="shared" si="4"/>
        <v>9</v>
      </c>
      <c r="R46" s="318">
        <f t="shared" si="5"/>
        <v>41859</v>
      </c>
      <c r="S46" s="318">
        <f t="shared" si="6"/>
        <v>41868</v>
      </c>
    </row>
    <row r="47" spans="3:19" ht="27.75" customHeight="1">
      <c r="C47" s="345" t="s">
        <v>98</v>
      </c>
      <c r="D47" s="345" t="s">
        <v>373</v>
      </c>
      <c r="E47" s="345" t="s">
        <v>374</v>
      </c>
      <c r="F47" s="345" t="s">
        <v>375</v>
      </c>
      <c r="G47" s="346" t="s">
        <v>376</v>
      </c>
      <c r="H47" s="345" t="s">
        <v>385</v>
      </c>
      <c r="I47" s="345" t="s">
        <v>60</v>
      </c>
      <c r="J47" s="316">
        <v>41859.761111111111</v>
      </c>
      <c r="K47" s="347"/>
      <c r="L47" s="347" t="s">
        <v>378</v>
      </c>
      <c r="M47" s="348" t="s">
        <v>378</v>
      </c>
      <c r="N47" s="348" t="s">
        <v>381</v>
      </c>
      <c r="O47" s="348" t="s">
        <v>175</v>
      </c>
      <c r="P47" s="349">
        <v>3.18802936194241</v>
      </c>
      <c r="Q47" s="321" t="str">
        <f t="shared" si="4"/>
        <v/>
      </c>
      <c r="R47" s="318">
        <f t="shared" si="5"/>
        <v>41859</v>
      </c>
      <c r="S47" s="318" t="str">
        <f t="shared" si="6"/>
        <v/>
      </c>
    </row>
    <row r="48" spans="3:19" ht="27.75" customHeight="1">
      <c r="C48" s="345" t="s">
        <v>98</v>
      </c>
      <c r="D48" s="345" t="s">
        <v>373</v>
      </c>
      <c r="E48" s="345" t="s">
        <v>374</v>
      </c>
      <c r="F48" s="345" t="s">
        <v>375</v>
      </c>
      <c r="G48" s="346" t="s">
        <v>376</v>
      </c>
      <c r="H48" s="339" t="s">
        <v>14</v>
      </c>
      <c r="I48" s="345" t="s">
        <v>59</v>
      </c>
      <c r="J48" s="316">
        <v>41859.757638888892</v>
      </c>
      <c r="K48" s="347"/>
      <c r="L48" s="347" t="s">
        <v>378</v>
      </c>
      <c r="M48" s="348" t="s">
        <v>381</v>
      </c>
      <c r="N48" s="348" t="s">
        <v>381</v>
      </c>
      <c r="O48" s="348" t="s">
        <v>175</v>
      </c>
      <c r="P48" s="349">
        <v>3.2207792207792201</v>
      </c>
      <c r="Q48" s="321" t="str">
        <f t="shared" si="4"/>
        <v/>
      </c>
      <c r="R48" s="318">
        <f t="shared" si="5"/>
        <v>41859</v>
      </c>
      <c r="S48" s="318" t="str">
        <f t="shared" si="6"/>
        <v/>
      </c>
    </row>
    <row r="49" spans="3:19" ht="27.75" customHeight="1">
      <c r="C49" s="345" t="s">
        <v>98</v>
      </c>
      <c r="D49" s="345" t="s">
        <v>373</v>
      </c>
      <c r="E49" s="345" t="s">
        <v>374</v>
      </c>
      <c r="F49" s="345" t="s">
        <v>375</v>
      </c>
      <c r="G49" s="346" t="s">
        <v>376</v>
      </c>
      <c r="H49" s="345" t="s">
        <v>385</v>
      </c>
      <c r="I49" s="345" t="s">
        <v>60</v>
      </c>
      <c r="J49" s="316">
        <v>41859.756944444445</v>
      </c>
      <c r="K49" s="347"/>
      <c r="L49" s="347" t="s">
        <v>377</v>
      </c>
      <c r="M49" s="348" t="s">
        <v>378</v>
      </c>
      <c r="N49" s="348" t="s">
        <v>381</v>
      </c>
      <c r="O49" s="348" t="s">
        <v>175</v>
      </c>
      <c r="P49" s="349">
        <v>3.2535290796160399</v>
      </c>
      <c r="Q49" s="321" t="str">
        <f t="shared" si="4"/>
        <v/>
      </c>
      <c r="R49" s="318">
        <f t="shared" si="5"/>
        <v>41859</v>
      </c>
      <c r="S49" s="318" t="str">
        <f t="shared" si="6"/>
        <v/>
      </c>
    </row>
    <row r="50" spans="3:19" ht="27.75" customHeight="1">
      <c r="C50" s="345" t="s">
        <v>98</v>
      </c>
      <c r="D50" s="345" t="s">
        <v>373</v>
      </c>
      <c r="E50" s="345" t="s">
        <v>374</v>
      </c>
      <c r="F50" s="345" t="s">
        <v>375</v>
      </c>
      <c r="G50" s="346" t="s">
        <v>376</v>
      </c>
      <c r="H50" s="345" t="s">
        <v>5</v>
      </c>
      <c r="I50" s="345" t="s">
        <v>59</v>
      </c>
      <c r="J50" s="316">
        <v>41859.75277777778</v>
      </c>
      <c r="K50" s="347">
        <v>41861.75277777778</v>
      </c>
      <c r="L50" s="347" t="s">
        <v>377</v>
      </c>
      <c r="M50" s="348" t="s">
        <v>378</v>
      </c>
      <c r="N50" s="348" t="s">
        <v>381</v>
      </c>
      <c r="O50" s="348" t="s">
        <v>175</v>
      </c>
      <c r="P50" s="349">
        <v>3.2862789384528499</v>
      </c>
      <c r="Q50" s="321">
        <f t="shared" si="4"/>
        <v>2</v>
      </c>
      <c r="R50" s="318">
        <f t="shared" si="5"/>
        <v>41859</v>
      </c>
      <c r="S50" s="318">
        <f t="shared" si="6"/>
        <v>41861</v>
      </c>
    </row>
    <row r="51" spans="3:19" ht="27.75" customHeight="1">
      <c r="C51" s="345" t="s">
        <v>98</v>
      </c>
      <c r="D51" s="345" t="s">
        <v>373</v>
      </c>
      <c r="E51" s="345" t="s">
        <v>374</v>
      </c>
      <c r="F51" s="345" t="s">
        <v>375</v>
      </c>
      <c r="G51" s="346" t="s">
        <v>376</v>
      </c>
      <c r="H51" s="339" t="s">
        <v>14</v>
      </c>
      <c r="I51" s="345" t="s">
        <v>59</v>
      </c>
      <c r="J51" s="316">
        <v>41859.752083333333</v>
      </c>
      <c r="K51" s="347"/>
      <c r="L51" s="347" t="s">
        <v>377</v>
      </c>
      <c r="M51" s="348" t="s">
        <v>378</v>
      </c>
      <c r="N51" s="348" t="s">
        <v>381</v>
      </c>
      <c r="O51" s="348" t="s">
        <v>175</v>
      </c>
      <c r="P51" s="349">
        <v>3.3190287972896702</v>
      </c>
      <c r="Q51" s="321" t="str">
        <f t="shared" si="4"/>
        <v/>
      </c>
      <c r="R51" s="318">
        <f t="shared" si="5"/>
        <v>41859</v>
      </c>
      <c r="S51" s="318" t="str">
        <f t="shared" si="6"/>
        <v/>
      </c>
    </row>
    <row r="52" spans="3:19" ht="27.75" customHeight="1">
      <c r="C52" s="345" t="s">
        <v>98</v>
      </c>
      <c r="D52" s="345" t="s">
        <v>373</v>
      </c>
      <c r="E52" s="345" t="s">
        <v>374</v>
      </c>
      <c r="F52" s="345" t="s">
        <v>375</v>
      </c>
      <c r="G52" s="346" t="s">
        <v>376</v>
      </c>
      <c r="H52" s="339" t="s">
        <v>14</v>
      </c>
      <c r="I52" s="345" t="s">
        <v>59</v>
      </c>
      <c r="J52" s="316">
        <v>41859.748611111114</v>
      </c>
      <c r="K52" s="347"/>
      <c r="L52" s="347" t="s">
        <v>377</v>
      </c>
      <c r="M52" s="348" t="s">
        <v>378</v>
      </c>
      <c r="N52" s="348" t="s">
        <v>381</v>
      </c>
      <c r="O52" s="348" t="s">
        <v>175</v>
      </c>
      <c r="P52" s="349">
        <v>3.3517786561264802</v>
      </c>
      <c r="Q52" s="321" t="str">
        <f t="shared" si="4"/>
        <v/>
      </c>
      <c r="R52" s="318">
        <f t="shared" si="5"/>
        <v>41859</v>
      </c>
      <c r="S52" s="318" t="str">
        <f t="shared" si="6"/>
        <v/>
      </c>
    </row>
    <row r="53" spans="3:19" ht="27.75" customHeight="1">
      <c r="C53" s="345" t="s">
        <v>98</v>
      </c>
      <c r="D53" s="345" t="s">
        <v>373</v>
      </c>
      <c r="E53" s="345" t="s">
        <v>374</v>
      </c>
      <c r="F53" s="345" t="s">
        <v>375</v>
      </c>
      <c r="G53" s="346" t="s">
        <v>376</v>
      </c>
      <c r="H53" s="345" t="s">
        <v>5</v>
      </c>
      <c r="I53" s="345" t="s">
        <v>58</v>
      </c>
      <c r="J53" s="316">
        <v>41859.746527777781</v>
      </c>
      <c r="K53" s="347">
        <v>41868.746527777781</v>
      </c>
      <c r="L53" s="347" t="s">
        <v>377</v>
      </c>
      <c r="M53" s="348" t="s">
        <v>382</v>
      </c>
      <c r="N53" s="348" t="s">
        <v>382</v>
      </c>
      <c r="O53" s="348" t="s">
        <v>175</v>
      </c>
      <c r="P53" s="349">
        <v>3.3845285149633</v>
      </c>
      <c r="Q53" s="321">
        <f t="shared" si="4"/>
        <v>9</v>
      </c>
      <c r="R53" s="318">
        <f t="shared" si="5"/>
        <v>41859</v>
      </c>
      <c r="S53" s="318">
        <f t="shared" si="6"/>
        <v>41868</v>
      </c>
    </row>
    <row r="54" spans="3:19" ht="27.75" customHeight="1">
      <c r="C54" s="345" t="s">
        <v>98</v>
      </c>
      <c r="D54" s="345" t="s">
        <v>373</v>
      </c>
      <c r="E54" s="345" t="s">
        <v>374</v>
      </c>
      <c r="F54" s="345" t="s">
        <v>375</v>
      </c>
      <c r="G54" s="346" t="s">
        <v>376</v>
      </c>
      <c r="H54" s="345" t="s">
        <v>5</v>
      </c>
      <c r="I54" s="345" t="s">
        <v>60</v>
      </c>
      <c r="J54" s="316">
        <v>41859.745138888888</v>
      </c>
      <c r="K54" s="347">
        <v>41868.745138888888</v>
      </c>
      <c r="L54" s="347" t="s">
        <v>377</v>
      </c>
      <c r="M54" s="348" t="s">
        <v>382</v>
      </c>
      <c r="N54" s="348" t="s">
        <v>382</v>
      </c>
      <c r="O54" s="348" t="s">
        <v>175</v>
      </c>
      <c r="P54" s="349">
        <v>3.41727837380011</v>
      </c>
      <c r="Q54" s="321">
        <f t="shared" si="4"/>
        <v>9</v>
      </c>
      <c r="R54" s="318">
        <f t="shared" si="5"/>
        <v>41859</v>
      </c>
      <c r="S54" s="318">
        <f t="shared" si="6"/>
        <v>41868</v>
      </c>
    </row>
    <row r="55" spans="3:19" ht="27.75" customHeight="1">
      <c r="C55" s="345" t="s">
        <v>98</v>
      </c>
      <c r="D55" s="345" t="s">
        <v>373</v>
      </c>
      <c r="E55" s="345" t="s">
        <v>374</v>
      </c>
      <c r="F55" s="345" t="s">
        <v>375</v>
      </c>
      <c r="G55" s="346" t="s">
        <v>376</v>
      </c>
      <c r="H55" s="345" t="s">
        <v>5</v>
      </c>
      <c r="I55" s="345" t="s">
        <v>60</v>
      </c>
      <c r="J55" s="316">
        <v>41859.730555555558</v>
      </c>
      <c r="K55" s="347">
        <v>41869.730555555558</v>
      </c>
      <c r="L55" s="347" t="s">
        <v>378</v>
      </c>
      <c r="M55" s="348" t="s">
        <v>378</v>
      </c>
      <c r="N55" s="348" t="s">
        <v>381</v>
      </c>
      <c r="O55" s="348" t="s">
        <v>175</v>
      </c>
      <c r="P55" s="349">
        <v>3.4500282326369298</v>
      </c>
      <c r="Q55" s="321">
        <f t="shared" si="4"/>
        <v>10</v>
      </c>
      <c r="R55" s="318">
        <f t="shared" si="5"/>
        <v>41859</v>
      </c>
      <c r="S55" s="318">
        <f t="shared" si="6"/>
        <v>41869</v>
      </c>
    </row>
    <row r="56" spans="3:19" ht="27.75" customHeight="1">
      <c r="C56" s="345" t="s">
        <v>98</v>
      </c>
      <c r="D56" s="345" t="s">
        <v>373</v>
      </c>
      <c r="E56" s="345" t="s">
        <v>374</v>
      </c>
      <c r="F56" s="345" t="s">
        <v>375</v>
      </c>
      <c r="G56" s="346" t="s">
        <v>376</v>
      </c>
      <c r="H56" s="345" t="s">
        <v>5</v>
      </c>
      <c r="I56" s="345" t="s">
        <v>60</v>
      </c>
      <c r="J56" s="316">
        <v>41859.682638888888</v>
      </c>
      <c r="K56" s="347">
        <v>41861.682638888888</v>
      </c>
      <c r="L56" s="347" t="s">
        <v>377</v>
      </c>
      <c r="M56" s="348" t="s">
        <v>378</v>
      </c>
      <c r="N56" s="348" t="s">
        <v>381</v>
      </c>
      <c r="O56" s="348" t="s">
        <v>175</v>
      </c>
      <c r="P56" s="349">
        <v>3.4827780914737398</v>
      </c>
      <c r="Q56" s="321">
        <f t="shared" si="4"/>
        <v>2</v>
      </c>
      <c r="R56" s="318">
        <f t="shared" si="5"/>
        <v>41859</v>
      </c>
      <c r="S56" s="318">
        <f t="shared" si="6"/>
        <v>41861</v>
      </c>
    </row>
    <row r="57" spans="3:19" ht="27.75" customHeight="1">
      <c r="C57" s="345" t="s">
        <v>98</v>
      </c>
      <c r="D57" s="345" t="s">
        <v>373</v>
      </c>
      <c r="E57" s="345" t="s">
        <v>374</v>
      </c>
      <c r="F57" s="345" t="s">
        <v>375</v>
      </c>
      <c r="G57" s="346" t="s">
        <v>376</v>
      </c>
      <c r="H57" s="339" t="s">
        <v>14</v>
      </c>
      <c r="I57" s="345" t="s">
        <v>58</v>
      </c>
      <c r="J57" s="316">
        <v>41859.678472222222</v>
      </c>
      <c r="K57" s="347"/>
      <c r="L57" s="347" t="s">
        <v>378</v>
      </c>
      <c r="M57" s="348" t="s">
        <v>386</v>
      </c>
      <c r="N57" s="348" t="s">
        <v>386</v>
      </c>
      <c r="O57" s="348" t="s">
        <v>175</v>
      </c>
      <c r="P57" s="349">
        <v>3.5155279503105601</v>
      </c>
      <c r="Q57" s="321" t="str">
        <f t="shared" si="4"/>
        <v/>
      </c>
      <c r="R57" s="318">
        <f t="shared" si="5"/>
        <v>41859</v>
      </c>
      <c r="S57" s="318" t="str">
        <f t="shared" si="6"/>
        <v/>
      </c>
    </row>
    <row r="58" spans="3:19" ht="27.75" customHeight="1">
      <c r="C58" s="345" t="s">
        <v>98</v>
      </c>
      <c r="D58" s="345" t="s">
        <v>373</v>
      </c>
      <c r="E58" s="345" t="s">
        <v>374</v>
      </c>
      <c r="F58" s="345" t="s">
        <v>375</v>
      </c>
      <c r="G58" s="346" t="s">
        <v>376</v>
      </c>
      <c r="H58" s="345" t="s">
        <v>5</v>
      </c>
      <c r="I58" s="345" t="s">
        <v>59</v>
      </c>
      <c r="J58" s="316">
        <v>41859.664583333331</v>
      </c>
      <c r="K58" s="347">
        <v>41864.664583333331</v>
      </c>
      <c r="L58" s="347" t="s">
        <v>377</v>
      </c>
      <c r="M58" s="348" t="s">
        <v>382</v>
      </c>
      <c r="N58" s="348" t="s">
        <v>382</v>
      </c>
      <c r="O58" s="348" t="s">
        <v>177</v>
      </c>
      <c r="P58" s="349">
        <v>3.5482778091473799</v>
      </c>
      <c r="Q58" s="321">
        <f t="shared" si="4"/>
        <v>5</v>
      </c>
      <c r="R58" s="318">
        <f t="shared" si="5"/>
        <v>41859</v>
      </c>
      <c r="S58" s="318">
        <f t="shared" si="6"/>
        <v>41864</v>
      </c>
    </row>
    <row r="59" spans="3:19" ht="27.75" customHeight="1">
      <c r="C59" s="345" t="s">
        <v>98</v>
      </c>
      <c r="D59" s="345" t="s">
        <v>373</v>
      </c>
      <c r="E59" s="345" t="s">
        <v>374</v>
      </c>
      <c r="F59" s="345" t="s">
        <v>375</v>
      </c>
      <c r="G59" s="346" t="s">
        <v>376</v>
      </c>
      <c r="H59" s="345" t="s">
        <v>5</v>
      </c>
      <c r="I59" s="345" t="s">
        <v>60</v>
      </c>
      <c r="J59" s="316">
        <v>41859.663888888892</v>
      </c>
      <c r="K59" s="347">
        <v>41868.663888888892</v>
      </c>
      <c r="L59" s="347" t="s">
        <v>377</v>
      </c>
      <c r="M59" s="348" t="s">
        <v>378</v>
      </c>
      <c r="N59" s="348" t="s">
        <v>381</v>
      </c>
      <c r="O59" s="348" t="s">
        <v>177</v>
      </c>
      <c r="P59" s="349">
        <v>3.5810276679841899</v>
      </c>
      <c r="Q59" s="321">
        <f t="shared" si="4"/>
        <v>9</v>
      </c>
      <c r="R59" s="318">
        <f t="shared" si="5"/>
        <v>41859</v>
      </c>
      <c r="S59" s="318">
        <f t="shared" si="6"/>
        <v>41868</v>
      </c>
    </row>
    <row r="60" spans="3:19" ht="27.75" customHeight="1">
      <c r="C60" s="345" t="s">
        <v>98</v>
      </c>
      <c r="D60" s="345" t="s">
        <v>373</v>
      </c>
      <c r="E60" s="345" t="s">
        <v>374</v>
      </c>
      <c r="F60" s="345" t="s">
        <v>375</v>
      </c>
      <c r="G60" s="346" t="s">
        <v>376</v>
      </c>
      <c r="H60" s="345" t="s">
        <v>14</v>
      </c>
      <c r="I60" s="345" t="s">
        <v>60</v>
      </c>
      <c r="J60" s="316">
        <v>41859.660416666666</v>
      </c>
      <c r="K60" s="347"/>
      <c r="L60" s="347" t="s">
        <v>377</v>
      </c>
      <c r="M60" s="348" t="s">
        <v>378</v>
      </c>
      <c r="N60" s="348" t="s">
        <v>381</v>
      </c>
      <c r="O60" s="348" t="s">
        <v>175</v>
      </c>
      <c r="P60" s="349">
        <v>3.6137775268210102</v>
      </c>
      <c r="Q60" s="321" t="str">
        <f t="shared" si="4"/>
        <v/>
      </c>
      <c r="R60" s="318">
        <f t="shared" si="5"/>
        <v>41859</v>
      </c>
      <c r="S60" s="318" t="str">
        <f t="shared" si="6"/>
        <v/>
      </c>
    </row>
    <row r="61" spans="3:19" ht="27.75" customHeight="1">
      <c r="C61" s="345" t="s">
        <v>98</v>
      </c>
      <c r="D61" s="345" t="s">
        <v>373</v>
      </c>
      <c r="E61" s="345" t="s">
        <v>374</v>
      </c>
      <c r="F61" s="345" t="s">
        <v>375</v>
      </c>
      <c r="G61" s="346" t="s">
        <v>376</v>
      </c>
      <c r="H61" s="339" t="s">
        <v>14</v>
      </c>
      <c r="I61" s="345" t="s">
        <v>60</v>
      </c>
      <c r="J61" s="316">
        <v>41859.65902777778</v>
      </c>
      <c r="K61" s="347"/>
      <c r="L61" s="347" t="s">
        <v>377</v>
      </c>
      <c r="M61" s="348" t="s">
        <v>378</v>
      </c>
      <c r="N61" s="348" t="s">
        <v>381</v>
      </c>
      <c r="O61" s="348" t="s">
        <v>175</v>
      </c>
      <c r="P61" s="349">
        <v>3.6465273856578202</v>
      </c>
      <c r="Q61" s="321" t="str">
        <f t="shared" si="4"/>
        <v/>
      </c>
      <c r="R61" s="318">
        <f t="shared" si="5"/>
        <v>41859</v>
      </c>
      <c r="S61" s="318" t="str">
        <f t="shared" si="6"/>
        <v/>
      </c>
    </row>
    <row r="62" spans="3:19" ht="27.75" customHeight="1">
      <c r="C62" s="345" t="s">
        <v>98</v>
      </c>
      <c r="D62" s="345" t="s">
        <v>373</v>
      </c>
      <c r="E62" s="345" t="s">
        <v>374</v>
      </c>
      <c r="F62" s="345" t="s">
        <v>375</v>
      </c>
      <c r="G62" s="346" t="s">
        <v>376</v>
      </c>
      <c r="H62" s="339" t="s">
        <v>14</v>
      </c>
      <c r="I62" s="345" t="s">
        <v>60</v>
      </c>
      <c r="J62" s="316">
        <v>41859.65625</v>
      </c>
      <c r="K62" s="347"/>
      <c r="L62" s="347" t="s">
        <v>378</v>
      </c>
      <c r="M62" s="348" t="s">
        <v>378</v>
      </c>
      <c r="N62" s="348" t="s">
        <v>381</v>
      </c>
      <c r="O62" s="348" t="s">
        <v>175</v>
      </c>
      <c r="P62" s="349">
        <v>3.67927724449464</v>
      </c>
      <c r="Q62" s="321" t="str">
        <f t="shared" si="4"/>
        <v/>
      </c>
      <c r="R62" s="318">
        <f t="shared" si="5"/>
        <v>41859</v>
      </c>
      <c r="S62" s="318" t="str">
        <f t="shared" si="6"/>
        <v/>
      </c>
    </row>
    <row r="63" spans="3:19" ht="27.75" customHeight="1">
      <c r="C63" s="345" t="s">
        <v>98</v>
      </c>
      <c r="D63" s="345" t="s">
        <v>373</v>
      </c>
      <c r="E63" s="345" t="s">
        <v>374</v>
      </c>
      <c r="F63" s="345" t="s">
        <v>375</v>
      </c>
      <c r="G63" s="346" t="s">
        <v>376</v>
      </c>
      <c r="H63" s="339" t="s">
        <v>14</v>
      </c>
      <c r="I63" s="345" t="s">
        <v>60</v>
      </c>
      <c r="J63" s="316">
        <v>41859.65347222222</v>
      </c>
      <c r="K63" s="347"/>
      <c r="L63" s="347" t="s">
        <v>377</v>
      </c>
      <c r="M63" s="348" t="s">
        <v>378</v>
      </c>
      <c r="N63" s="348" t="s">
        <v>381</v>
      </c>
      <c r="O63" s="348" t="s">
        <v>177</v>
      </c>
      <c r="P63" s="349">
        <v>3.71202710333145</v>
      </c>
      <c r="Q63" s="321" t="str">
        <f t="shared" si="4"/>
        <v/>
      </c>
      <c r="R63" s="318">
        <f t="shared" si="5"/>
        <v>41859</v>
      </c>
      <c r="S63" s="318" t="str">
        <f t="shared" si="6"/>
        <v/>
      </c>
    </row>
    <row r="64" spans="3:19" ht="27.75" customHeight="1">
      <c r="C64" s="345" t="s">
        <v>98</v>
      </c>
      <c r="D64" s="345" t="s">
        <v>373</v>
      </c>
      <c r="E64" s="345" t="s">
        <v>374</v>
      </c>
      <c r="F64" s="345" t="s">
        <v>375</v>
      </c>
      <c r="G64" s="346" t="s">
        <v>376</v>
      </c>
      <c r="H64" s="345" t="s">
        <v>14</v>
      </c>
      <c r="I64" s="345" t="s">
        <v>60</v>
      </c>
      <c r="J64" s="316">
        <v>41859.646527777775</v>
      </c>
      <c r="K64" s="347"/>
      <c r="L64" s="347" t="s">
        <v>377</v>
      </c>
      <c r="M64" s="348" t="s">
        <v>378</v>
      </c>
      <c r="N64" s="348" t="s">
        <v>381</v>
      </c>
      <c r="O64" s="348" t="s">
        <v>177</v>
      </c>
      <c r="P64" s="349">
        <v>3.7447769621682698</v>
      </c>
      <c r="Q64" s="321" t="str">
        <f t="shared" si="4"/>
        <v/>
      </c>
      <c r="R64" s="318">
        <f t="shared" si="5"/>
        <v>41859</v>
      </c>
      <c r="S64" s="318" t="str">
        <f t="shared" si="6"/>
        <v/>
      </c>
    </row>
    <row r="65" spans="3:19" ht="27.75" customHeight="1">
      <c r="C65" s="345" t="s">
        <v>98</v>
      </c>
      <c r="D65" s="345" t="s">
        <v>373</v>
      </c>
      <c r="E65" s="345" t="s">
        <v>374</v>
      </c>
      <c r="F65" s="345" t="s">
        <v>375</v>
      </c>
      <c r="G65" s="346" t="s">
        <v>376</v>
      </c>
      <c r="H65" s="345" t="s">
        <v>5</v>
      </c>
      <c r="I65" s="345" t="s">
        <v>58</v>
      </c>
      <c r="J65" s="316">
        <v>41859.638194444444</v>
      </c>
      <c r="K65" s="347">
        <v>41857.638194444444</v>
      </c>
      <c r="L65" s="347" t="s">
        <v>378</v>
      </c>
      <c r="M65" s="348" t="s">
        <v>378</v>
      </c>
      <c r="N65" s="348" t="s">
        <v>381</v>
      </c>
      <c r="O65" s="348" t="s">
        <v>177</v>
      </c>
      <c r="P65" s="349">
        <v>3.7775268210050799</v>
      </c>
      <c r="Q65" s="321" t="str">
        <f t="shared" si="4"/>
        <v/>
      </c>
      <c r="R65" s="318">
        <f t="shared" si="5"/>
        <v>41859</v>
      </c>
      <c r="S65" s="318">
        <f t="shared" si="6"/>
        <v>41857</v>
      </c>
    </row>
    <row r="66" spans="3:19" ht="27.75" customHeight="1">
      <c r="C66" s="345" t="s">
        <v>98</v>
      </c>
      <c r="D66" s="345" t="s">
        <v>373</v>
      </c>
      <c r="E66" s="345" t="s">
        <v>374</v>
      </c>
      <c r="F66" s="345" t="s">
        <v>375</v>
      </c>
      <c r="G66" s="346" t="s">
        <v>376</v>
      </c>
      <c r="H66" s="339" t="s">
        <v>14</v>
      </c>
      <c r="I66" s="345" t="s">
        <v>59</v>
      </c>
      <c r="J66" s="316">
        <v>41859.628472222219</v>
      </c>
      <c r="K66" s="347"/>
      <c r="L66" s="347" t="s">
        <v>387</v>
      </c>
      <c r="M66" s="348" t="s">
        <v>378</v>
      </c>
      <c r="N66" s="348" t="s">
        <v>381</v>
      </c>
      <c r="O66" s="348" t="s">
        <v>177</v>
      </c>
      <c r="P66" s="349">
        <v>3.8102766798419001</v>
      </c>
      <c r="Q66" s="321" t="str">
        <f t="shared" si="4"/>
        <v/>
      </c>
      <c r="R66" s="318">
        <f t="shared" si="5"/>
        <v>41859</v>
      </c>
      <c r="S66" s="318" t="str">
        <f t="shared" si="6"/>
        <v/>
      </c>
    </row>
    <row r="67" spans="3:19" ht="27.75" customHeight="1">
      <c r="C67" s="345" t="s">
        <v>98</v>
      </c>
      <c r="D67" s="345" t="s">
        <v>373</v>
      </c>
      <c r="E67" s="345" t="s">
        <v>374</v>
      </c>
      <c r="F67" s="345" t="s">
        <v>375</v>
      </c>
      <c r="G67" s="346" t="s">
        <v>376</v>
      </c>
      <c r="H67" s="339" t="s">
        <v>14</v>
      </c>
      <c r="I67" s="345" t="s">
        <v>59</v>
      </c>
      <c r="J67" s="316">
        <v>41859.588888888888</v>
      </c>
      <c r="K67" s="347"/>
      <c r="L67" s="347" t="s">
        <v>378</v>
      </c>
      <c r="M67" s="348" t="s">
        <v>378</v>
      </c>
      <c r="N67" s="348" t="s">
        <v>381</v>
      </c>
      <c r="O67" s="348" t="s">
        <v>177</v>
      </c>
      <c r="P67" s="349">
        <v>3.8430265386787101</v>
      </c>
      <c r="Q67" s="321" t="str">
        <f t="shared" si="4"/>
        <v/>
      </c>
      <c r="R67" s="318">
        <f t="shared" si="5"/>
        <v>41859</v>
      </c>
      <c r="S67" s="318" t="str">
        <f t="shared" si="6"/>
        <v/>
      </c>
    </row>
    <row r="68" spans="3:19" ht="27.75" customHeight="1">
      <c r="C68" s="345" t="s">
        <v>98</v>
      </c>
      <c r="D68" s="345" t="s">
        <v>373</v>
      </c>
      <c r="E68" s="345" t="s">
        <v>374</v>
      </c>
      <c r="F68" s="345" t="s">
        <v>375</v>
      </c>
      <c r="G68" s="346" t="s">
        <v>376</v>
      </c>
      <c r="H68" s="345" t="s">
        <v>5</v>
      </c>
      <c r="I68" s="345" t="s">
        <v>60</v>
      </c>
      <c r="J68" s="316">
        <v>41859.573611111111</v>
      </c>
      <c r="K68" s="347">
        <v>41868.573611111111</v>
      </c>
      <c r="L68" s="347" t="s">
        <v>377</v>
      </c>
      <c r="M68" s="348" t="s">
        <v>378</v>
      </c>
      <c r="N68" s="348" t="s">
        <v>381</v>
      </c>
      <c r="O68" s="348" t="s">
        <v>177</v>
      </c>
      <c r="P68" s="349">
        <v>3.8757763975155299</v>
      </c>
      <c r="Q68" s="321">
        <f t="shared" si="4"/>
        <v>9</v>
      </c>
      <c r="R68" s="318">
        <f t="shared" si="5"/>
        <v>41859</v>
      </c>
      <c r="S68" s="318">
        <f t="shared" si="6"/>
        <v>41868</v>
      </c>
    </row>
    <row r="69" spans="3:19" ht="27.75" customHeight="1">
      <c r="C69" s="345" t="s">
        <v>98</v>
      </c>
      <c r="D69" s="345" t="s">
        <v>373</v>
      </c>
      <c r="E69" s="345" t="s">
        <v>374</v>
      </c>
      <c r="F69" s="345" t="s">
        <v>375</v>
      </c>
      <c r="G69" s="346" t="s">
        <v>376</v>
      </c>
      <c r="H69" s="345" t="s">
        <v>14</v>
      </c>
      <c r="I69" s="345" t="s">
        <v>60</v>
      </c>
      <c r="J69" s="316">
        <v>41859.51666666667</v>
      </c>
      <c r="K69" s="347"/>
      <c r="L69" s="347" t="s">
        <v>377</v>
      </c>
      <c r="M69" s="348" t="s">
        <v>378</v>
      </c>
      <c r="N69" s="348" t="s">
        <v>381</v>
      </c>
      <c r="O69" s="348" t="s">
        <v>175</v>
      </c>
      <c r="P69" s="349">
        <v>3.90852625635234</v>
      </c>
      <c r="Q69" s="321" t="str">
        <f t="shared" si="4"/>
        <v/>
      </c>
      <c r="R69" s="318">
        <f t="shared" si="5"/>
        <v>41859</v>
      </c>
      <c r="S69" s="318" t="str">
        <f t="shared" si="6"/>
        <v/>
      </c>
    </row>
    <row r="70" spans="3:19" ht="27.75" customHeight="1">
      <c r="C70" s="345" t="s">
        <v>98</v>
      </c>
      <c r="D70" s="345" t="s">
        <v>373</v>
      </c>
      <c r="E70" s="345" t="s">
        <v>374</v>
      </c>
      <c r="F70" s="345" t="s">
        <v>375</v>
      </c>
      <c r="G70" s="346" t="s">
        <v>376</v>
      </c>
      <c r="H70" s="345" t="s">
        <v>14</v>
      </c>
      <c r="I70" s="345" t="s">
        <v>60</v>
      </c>
      <c r="J70" s="316">
        <v>41859.509027777778</v>
      </c>
      <c r="K70" s="347"/>
      <c r="L70" s="347" t="s">
        <v>188</v>
      </c>
      <c r="M70" s="348" t="s">
        <v>378</v>
      </c>
      <c r="N70" s="348" t="s">
        <v>381</v>
      </c>
      <c r="O70" s="348" t="s">
        <v>175</v>
      </c>
      <c r="P70" s="349">
        <v>3.9412761151891602</v>
      </c>
      <c r="Q70" s="321" t="str">
        <f t="shared" si="4"/>
        <v/>
      </c>
      <c r="R70" s="318">
        <f t="shared" si="5"/>
        <v>41859</v>
      </c>
      <c r="S70" s="318" t="str">
        <f t="shared" si="6"/>
        <v/>
      </c>
    </row>
    <row r="71" spans="3:19" ht="27.75" customHeight="1">
      <c r="C71" s="345" t="s">
        <v>98</v>
      </c>
      <c r="D71" s="345" t="s">
        <v>373</v>
      </c>
      <c r="E71" s="345" t="s">
        <v>374</v>
      </c>
      <c r="F71" s="345" t="s">
        <v>375</v>
      </c>
      <c r="G71" s="346" t="s">
        <v>376</v>
      </c>
      <c r="H71" s="345" t="s">
        <v>5</v>
      </c>
      <c r="I71" s="345" t="s">
        <v>59</v>
      </c>
      <c r="J71" s="316">
        <v>41859.505555555559</v>
      </c>
      <c r="K71" s="347">
        <v>41868.505555555559</v>
      </c>
      <c r="L71" s="347" t="s">
        <v>377</v>
      </c>
      <c r="M71" s="348" t="s">
        <v>378</v>
      </c>
      <c r="N71" s="348" t="s">
        <v>381</v>
      </c>
      <c r="O71" s="348" t="s">
        <v>175</v>
      </c>
      <c r="P71" s="349">
        <v>3.97402597402598</v>
      </c>
      <c r="Q71" s="321">
        <f t="shared" si="4"/>
        <v>9</v>
      </c>
      <c r="R71" s="318">
        <f t="shared" si="5"/>
        <v>41859</v>
      </c>
      <c r="S71" s="318">
        <f t="shared" si="6"/>
        <v>41868</v>
      </c>
    </row>
    <row r="72" spans="3:19" ht="27.75" customHeight="1">
      <c r="C72" s="345" t="s">
        <v>98</v>
      </c>
      <c r="D72" s="345" t="s">
        <v>373</v>
      </c>
      <c r="E72" s="345" t="s">
        <v>374</v>
      </c>
      <c r="F72" s="345" t="s">
        <v>375</v>
      </c>
      <c r="G72" s="346" t="s">
        <v>376</v>
      </c>
      <c r="H72" s="345" t="s">
        <v>14</v>
      </c>
      <c r="I72" s="345" t="s">
        <v>60</v>
      </c>
      <c r="J72" s="316">
        <v>41859.491666666669</v>
      </c>
      <c r="K72" s="347"/>
      <c r="L72" s="347" t="s">
        <v>377</v>
      </c>
      <c r="M72" s="348" t="s">
        <v>378</v>
      </c>
      <c r="N72" s="348" t="s">
        <v>388</v>
      </c>
      <c r="O72" s="348" t="s">
        <v>175</v>
      </c>
      <c r="P72" s="349">
        <v>4.0067758328627896</v>
      </c>
      <c r="Q72" s="321" t="str">
        <f t="shared" si="4"/>
        <v/>
      </c>
      <c r="R72" s="318">
        <f t="shared" si="5"/>
        <v>41859</v>
      </c>
      <c r="S72" s="318" t="str">
        <f t="shared" si="6"/>
        <v/>
      </c>
    </row>
    <row r="73" spans="3:19" ht="27.75" customHeight="1">
      <c r="C73" s="345" t="s">
        <v>98</v>
      </c>
      <c r="D73" s="345" t="s">
        <v>373</v>
      </c>
      <c r="E73" s="345" t="s">
        <v>374</v>
      </c>
      <c r="F73" s="345" t="s">
        <v>375</v>
      </c>
      <c r="G73" s="346" t="s">
        <v>376</v>
      </c>
      <c r="H73" s="339" t="s">
        <v>14</v>
      </c>
      <c r="I73" s="345" t="s">
        <v>59</v>
      </c>
      <c r="J73" s="316">
        <v>41859.484027777777</v>
      </c>
      <c r="K73" s="347"/>
      <c r="L73" s="347" t="s">
        <v>377</v>
      </c>
      <c r="M73" s="348" t="s">
        <v>382</v>
      </c>
      <c r="N73" s="348" t="s">
        <v>382</v>
      </c>
      <c r="O73" s="348" t="s">
        <v>175</v>
      </c>
      <c r="P73" s="349">
        <v>4.0395256916996098</v>
      </c>
      <c r="Q73" s="321" t="str">
        <f t="shared" si="4"/>
        <v/>
      </c>
      <c r="R73" s="318">
        <f t="shared" si="5"/>
        <v>41859</v>
      </c>
      <c r="S73" s="318" t="str">
        <f t="shared" si="6"/>
        <v/>
      </c>
    </row>
    <row r="74" spans="3:19" ht="27.75" customHeight="1">
      <c r="C74" s="345" t="s">
        <v>98</v>
      </c>
      <c r="D74" s="345" t="s">
        <v>373</v>
      </c>
      <c r="E74" s="345" t="s">
        <v>374</v>
      </c>
      <c r="F74" s="345" t="s">
        <v>375</v>
      </c>
      <c r="G74" s="346" t="s">
        <v>376</v>
      </c>
      <c r="H74" s="345" t="s">
        <v>5</v>
      </c>
      <c r="I74" s="345" t="s">
        <v>59</v>
      </c>
      <c r="J74" s="316">
        <v>41859.481944444444</v>
      </c>
      <c r="K74" s="347">
        <v>41865.481944444444</v>
      </c>
      <c r="L74" s="347" t="s">
        <v>377</v>
      </c>
      <c r="M74" s="348" t="s">
        <v>382</v>
      </c>
      <c r="N74" s="348" t="s">
        <v>382</v>
      </c>
      <c r="O74" s="348" t="s">
        <v>175</v>
      </c>
      <c r="P74" s="349">
        <v>4.0722755505364203</v>
      </c>
      <c r="Q74" s="321">
        <f t="shared" si="4"/>
        <v>6</v>
      </c>
      <c r="R74" s="318">
        <f t="shared" si="5"/>
        <v>41859</v>
      </c>
      <c r="S74" s="318">
        <f t="shared" si="6"/>
        <v>41865</v>
      </c>
    </row>
    <row r="75" spans="3:19" ht="27.75" customHeight="1">
      <c r="C75" s="345" t="s">
        <v>98</v>
      </c>
      <c r="D75" s="345" t="s">
        <v>373</v>
      </c>
      <c r="E75" s="345" t="s">
        <v>374</v>
      </c>
      <c r="F75" s="345" t="s">
        <v>375</v>
      </c>
      <c r="G75" s="346" t="s">
        <v>376</v>
      </c>
      <c r="H75" s="345" t="s">
        <v>14</v>
      </c>
      <c r="I75" s="345" t="s">
        <v>60</v>
      </c>
      <c r="J75" s="316">
        <v>41859.46875</v>
      </c>
      <c r="K75" s="347"/>
      <c r="L75" s="347" t="s">
        <v>377</v>
      </c>
      <c r="M75" s="348" t="s">
        <v>378</v>
      </c>
      <c r="N75" s="348" t="s">
        <v>388</v>
      </c>
      <c r="O75" s="348" t="s">
        <v>175</v>
      </c>
      <c r="P75" s="349">
        <v>4.1050254093732397</v>
      </c>
      <c r="Q75" s="321" t="str">
        <f t="shared" si="4"/>
        <v/>
      </c>
      <c r="R75" s="318">
        <f t="shared" si="5"/>
        <v>41859</v>
      </c>
      <c r="S75" s="318" t="str">
        <f t="shared" si="6"/>
        <v/>
      </c>
    </row>
    <row r="76" spans="3:19" ht="27.75" customHeight="1">
      <c r="C76" s="345" t="s">
        <v>98</v>
      </c>
      <c r="D76" s="345" t="s">
        <v>373</v>
      </c>
      <c r="E76" s="345" t="s">
        <v>374</v>
      </c>
      <c r="F76" s="345" t="s">
        <v>375</v>
      </c>
      <c r="G76" s="346" t="s">
        <v>376</v>
      </c>
      <c r="H76" s="345" t="s">
        <v>5</v>
      </c>
      <c r="I76" s="345" t="s">
        <v>60</v>
      </c>
      <c r="J76" s="316">
        <v>41857.852777777778</v>
      </c>
      <c r="K76" s="347">
        <v>41867.852777777778</v>
      </c>
      <c r="L76" s="347" t="s">
        <v>378</v>
      </c>
      <c r="M76" s="348" t="s">
        <v>378</v>
      </c>
      <c r="N76" s="348" t="s">
        <v>388</v>
      </c>
      <c r="O76" s="348" t="s">
        <v>175</v>
      </c>
      <c r="P76" s="349">
        <v>4.1377752682100502</v>
      </c>
      <c r="Q76" s="321">
        <f t="shared" si="4"/>
        <v>10</v>
      </c>
      <c r="R76" s="318">
        <f t="shared" si="5"/>
        <v>41857</v>
      </c>
      <c r="S76" s="318">
        <f t="shared" si="6"/>
        <v>41867</v>
      </c>
    </row>
    <row r="77" spans="3:19" ht="27.75" customHeight="1">
      <c r="C77" s="345" t="s">
        <v>98</v>
      </c>
      <c r="D77" s="345" t="s">
        <v>373</v>
      </c>
      <c r="E77" s="345" t="s">
        <v>374</v>
      </c>
      <c r="F77" s="345" t="s">
        <v>375</v>
      </c>
      <c r="G77" s="346" t="s">
        <v>376</v>
      </c>
      <c r="H77" s="345" t="s">
        <v>5</v>
      </c>
      <c r="I77" s="345" t="s">
        <v>58</v>
      </c>
      <c r="J77" s="316">
        <v>41857.822222222225</v>
      </c>
      <c r="K77" s="347">
        <v>41866.822222222225</v>
      </c>
      <c r="L77" s="347" t="s">
        <v>378</v>
      </c>
      <c r="M77" s="348" t="s">
        <v>378</v>
      </c>
      <c r="N77" s="348" t="s">
        <v>388</v>
      </c>
      <c r="O77" s="348" t="s">
        <v>175</v>
      </c>
      <c r="P77" s="349">
        <v>4.1705251270468704</v>
      </c>
      <c r="Q77" s="321">
        <f t="shared" si="4"/>
        <v>9</v>
      </c>
      <c r="R77" s="318">
        <f t="shared" si="5"/>
        <v>41857</v>
      </c>
      <c r="S77" s="318">
        <f t="shared" si="6"/>
        <v>41866</v>
      </c>
    </row>
    <row r="78" spans="3:19" ht="27.75" customHeight="1">
      <c r="C78" s="345" t="s">
        <v>98</v>
      </c>
      <c r="D78" s="345" t="s">
        <v>373</v>
      </c>
      <c r="E78" s="345" t="s">
        <v>374</v>
      </c>
      <c r="F78" s="345" t="s">
        <v>375</v>
      </c>
      <c r="G78" s="346" t="s">
        <v>376</v>
      </c>
      <c r="H78" s="345" t="s">
        <v>5</v>
      </c>
      <c r="I78" s="345" t="s">
        <v>60</v>
      </c>
      <c r="J78" s="316">
        <v>41857.804166666669</v>
      </c>
      <c r="K78" s="347">
        <v>41864.804166666669</v>
      </c>
      <c r="L78" s="347" t="s">
        <v>378</v>
      </c>
      <c r="M78" s="348" t="s">
        <v>378</v>
      </c>
      <c r="N78" s="348" t="s">
        <v>388</v>
      </c>
      <c r="O78" s="348" t="s">
        <v>175</v>
      </c>
      <c r="P78" s="349">
        <v>4.20327498588368</v>
      </c>
      <c r="Q78" s="321">
        <f t="shared" si="4"/>
        <v>7</v>
      </c>
      <c r="R78" s="318">
        <f t="shared" si="5"/>
        <v>41857</v>
      </c>
      <c r="S78" s="318">
        <f t="shared" si="6"/>
        <v>41864</v>
      </c>
    </row>
    <row r="79" spans="3:19" ht="27.75" customHeight="1">
      <c r="C79" s="345" t="s">
        <v>98</v>
      </c>
      <c r="D79" s="345" t="s">
        <v>373</v>
      </c>
      <c r="E79" s="345" t="s">
        <v>374</v>
      </c>
      <c r="F79" s="345" t="s">
        <v>375</v>
      </c>
      <c r="G79" s="346" t="s">
        <v>376</v>
      </c>
      <c r="H79" s="345" t="s">
        <v>5</v>
      </c>
      <c r="I79" s="345" t="s">
        <v>60</v>
      </c>
      <c r="J79" s="316">
        <v>41857.800694444442</v>
      </c>
      <c r="K79" s="347">
        <v>41864.800694444442</v>
      </c>
      <c r="L79" s="347" t="s">
        <v>378</v>
      </c>
      <c r="M79" s="348" t="s">
        <v>378</v>
      </c>
      <c r="N79" s="348" t="s">
        <v>388</v>
      </c>
      <c r="O79" s="348" t="s">
        <v>175</v>
      </c>
      <c r="P79" s="349">
        <v>4.2360248447205002</v>
      </c>
      <c r="Q79" s="321">
        <f t="shared" si="4"/>
        <v>7</v>
      </c>
      <c r="R79" s="318">
        <f t="shared" si="5"/>
        <v>41857</v>
      </c>
      <c r="S79" s="318">
        <f t="shared" si="6"/>
        <v>41864</v>
      </c>
    </row>
    <row r="80" spans="3:19" ht="27.75" customHeight="1">
      <c r="C80" s="345" t="s">
        <v>98</v>
      </c>
      <c r="D80" s="345" t="s">
        <v>373</v>
      </c>
      <c r="E80" s="345" t="s">
        <v>374</v>
      </c>
      <c r="F80" s="345" t="s">
        <v>375</v>
      </c>
      <c r="G80" s="346" t="s">
        <v>376</v>
      </c>
      <c r="H80" s="345" t="s">
        <v>384</v>
      </c>
      <c r="I80" s="345" t="s">
        <v>60</v>
      </c>
      <c r="J80" s="316">
        <v>41857.794444444444</v>
      </c>
      <c r="K80" s="347"/>
      <c r="L80" s="347" t="s">
        <v>378</v>
      </c>
      <c r="M80" s="348" t="s">
        <v>378</v>
      </c>
      <c r="N80" s="348" t="s">
        <v>388</v>
      </c>
      <c r="O80" s="348" t="s">
        <v>177</v>
      </c>
      <c r="P80" s="349">
        <v>4.2687747035573098</v>
      </c>
      <c r="Q80" s="321" t="str">
        <f t="shared" si="4"/>
        <v/>
      </c>
      <c r="R80" s="318">
        <f t="shared" si="5"/>
        <v>41857</v>
      </c>
      <c r="S80" s="318" t="str">
        <f t="shared" si="6"/>
        <v/>
      </c>
    </row>
    <row r="81" spans="3:19" ht="27.75" customHeight="1">
      <c r="C81" s="345" t="s">
        <v>98</v>
      </c>
      <c r="D81" s="345" t="s">
        <v>373</v>
      </c>
      <c r="E81" s="345" t="s">
        <v>374</v>
      </c>
      <c r="F81" s="345" t="s">
        <v>375</v>
      </c>
      <c r="G81" s="346" t="s">
        <v>376</v>
      </c>
      <c r="H81" s="339" t="s">
        <v>14</v>
      </c>
      <c r="I81" s="345" t="s">
        <v>58</v>
      </c>
      <c r="J81" s="316">
        <v>41857.720138888886</v>
      </c>
      <c r="K81" s="347"/>
      <c r="L81" s="347" t="s">
        <v>378</v>
      </c>
      <c r="M81" s="348" t="s">
        <v>378</v>
      </c>
      <c r="N81" s="348" t="s">
        <v>388</v>
      </c>
      <c r="O81" s="348" t="s">
        <v>177</v>
      </c>
      <c r="P81" s="349">
        <v>4.3015245623941301</v>
      </c>
      <c r="Q81" s="321" t="str">
        <f t="shared" si="4"/>
        <v/>
      </c>
      <c r="R81" s="318">
        <f t="shared" si="5"/>
        <v>41857</v>
      </c>
      <c r="S81" s="318" t="str">
        <f t="shared" si="6"/>
        <v/>
      </c>
    </row>
    <row r="82" spans="3:19" ht="27.75" customHeight="1">
      <c r="C82" s="345" t="s">
        <v>98</v>
      </c>
      <c r="D82" s="345" t="s">
        <v>373</v>
      </c>
      <c r="E82" s="345" t="s">
        <v>374</v>
      </c>
      <c r="F82" s="345" t="s">
        <v>375</v>
      </c>
      <c r="G82" s="346" t="s">
        <v>376</v>
      </c>
      <c r="H82" s="345" t="s">
        <v>14</v>
      </c>
      <c r="I82" s="345" t="s">
        <v>61</v>
      </c>
      <c r="J82" s="316">
        <v>41857.71597222222</v>
      </c>
      <c r="K82" s="347"/>
      <c r="L82" s="347" t="s">
        <v>378</v>
      </c>
      <c r="M82" s="348" t="s">
        <v>378</v>
      </c>
      <c r="N82" s="348" t="s">
        <v>388</v>
      </c>
      <c r="O82" s="348" t="s">
        <v>175</v>
      </c>
      <c r="P82" s="349">
        <v>4.3342744212309396</v>
      </c>
      <c r="Q82" s="321" t="str">
        <f t="shared" si="4"/>
        <v/>
      </c>
      <c r="R82" s="318">
        <f t="shared" si="5"/>
        <v>41857</v>
      </c>
      <c r="S82" s="318" t="str">
        <f t="shared" si="6"/>
        <v/>
      </c>
    </row>
    <row r="83" spans="3:19" ht="27.75" customHeight="1">
      <c r="C83" s="345" t="s">
        <v>98</v>
      </c>
      <c r="D83" s="345" t="s">
        <v>373</v>
      </c>
      <c r="E83" s="345" t="s">
        <v>374</v>
      </c>
      <c r="F83" s="345" t="s">
        <v>375</v>
      </c>
      <c r="G83" s="346" t="s">
        <v>376</v>
      </c>
      <c r="H83" s="345" t="s">
        <v>14</v>
      </c>
      <c r="I83" s="345" t="s">
        <v>61</v>
      </c>
      <c r="J83" s="316">
        <v>41857.703472222223</v>
      </c>
      <c r="K83" s="347"/>
      <c r="L83" s="347" t="s">
        <v>378</v>
      </c>
      <c r="M83" s="348" t="s">
        <v>378</v>
      </c>
      <c r="N83" s="348" t="s">
        <v>388</v>
      </c>
      <c r="O83" s="348" t="s">
        <v>175</v>
      </c>
      <c r="P83" s="349">
        <v>4.3670242800677599</v>
      </c>
      <c r="Q83" s="321" t="str">
        <f t="shared" si="4"/>
        <v/>
      </c>
      <c r="R83" s="318">
        <f t="shared" si="5"/>
        <v>41857</v>
      </c>
      <c r="S83" s="318" t="str">
        <f t="shared" si="6"/>
        <v/>
      </c>
    </row>
    <row r="84" spans="3:19" ht="27.75" customHeight="1">
      <c r="C84" s="345" t="s">
        <v>98</v>
      </c>
      <c r="D84" s="345" t="s">
        <v>373</v>
      </c>
      <c r="E84" s="345" t="s">
        <v>374</v>
      </c>
      <c r="F84" s="345" t="s">
        <v>375</v>
      </c>
      <c r="G84" s="346" t="s">
        <v>376</v>
      </c>
      <c r="H84" s="345" t="s">
        <v>5</v>
      </c>
      <c r="I84" s="345" t="s">
        <v>59</v>
      </c>
      <c r="J84" s="316">
        <v>41857.638194444444</v>
      </c>
      <c r="K84" s="347">
        <v>41859.638194444444</v>
      </c>
      <c r="L84" s="347" t="s">
        <v>378</v>
      </c>
      <c r="M84" s="348" t="s">
        <v>378</v>
      </c>
      <c r="N84" s="348" t="s">
        <v>388</v>
      </c>
      <c r="O84" s="348" t="s">
        <v>175</v>
      </c>
      <c r="P84" s="349">
        <v>4.3997741389045801</v>
      </c>
      <c r="Q84" s="321">
        <f t="shared" si="4"/>
        <v>2</v>
      </c>
      <c r="R84" s="318">
        <f t="shared" si="5"/>
        <v>41857</v>
      </c>
      <c r="S84" s="318">
        <f t="shared" si="6"/>
        <v>41859</v>
      </c>
    </row>
    <row r="85" spans="3:19" ht="27.75" customHeight="1">
      <c r="C85" s="345" t="s">
        <v>98</v>
      </c>
      <c r="D85" s="345" t="s">
        <v>373</v>
      </c>
      <c r="E85" s="345" t="s">
        <v>374</v>
      </c>
      <c r="F85" s="345" t="s">
        <v>375</v>
      </c>
      <c r="G85" s="346" t="s">
        <v>376</v>
      </c>
      <c r="H85" s="345" t="s">
        <v>5</v>
      </c>
      <c r="I85" s="345" t="s">
        <v>59</v>
      </c>
      <c r="J85" s="316">
        <v>41857.627083333333</v>
      </c>
      <c r="K85" s="347">
        <v>41867.627083333333</v>
      </c>
      <c r="L85" s="347" t="s">
        <v>378</v>
      </c>
      <c r="M85" s="348" t="s">
        <v>378</v>
      </c>
      <c r="N85" s="348" t="s">
        <v>388</v>
      </c>
      <c r="O85" s="348" t="s">
        <v>177</v>
      </c>
      <c r="P85" s="349">
        <v>4.4325239977413897</v>
      </c>
      <c r="Q85" s="321">
        <f t="shared" si="4"/>
        <v>10</v>
      </c>
      <c r="R85" s="318">
        <f t="shared" si="5"/>
        <v>41857</v>
      </c>
      <c r="S85" s="318">
        <f t="shared" si="6"/>
        <v>41867</v>
      </c>
    </row>
    <row r="86" spans="3:19" ht="27.75" customHeight="1">
      <c r="C86" s="345" t="s">
        <v>98</v>
      </c>
      <c r="D86" s="345" t="s">
        <v>373</v>
      </c>
      <c r="E86" s="345" t="s">
        <v>374</v>
      </c>
      <c r="F86" s="345" t="s">
        <v>375</v>
      </c>
      <c r="G86" s="346" t="s">
        <v>376</v>
      </c>
      <c r="H86" s="345" t="s">
        <v>5</v>
      </c>
      <c r="I86" s="345" t="s">
        <v>59</v>
      </c>
      <c r="J86" s="316">
        <v>41857.614583333336</v>
      </c>
      <c r="K86" s="347">
        <v>41859.614583333336</v>
      </c>
      <c r="L86" s="347" t="s">
        <v>378</v>
      </c>
      <c r="M86" s="348" t="s">
        <v>378</v>
      </c>
      <c r="N86" s="348" t="s">
        <v>388</v>
      </c>
      <c r="O86" s="348" t="s">
        <v>177</v>
      </c>
      <c r="P86" s="349">
        <v>4.46527385657821</v>
      </c>
      <c r="Q86" s="321">
        <f t="shared" si="4"/>
        <v>2</v>
      </c>
      <c r="R86" s="318">
        <f t="shared" si="5"/>
        <v>41857</v>
      </c>
      <c r="S86" s="318">
        <f t="shared" si="6"/>
        <v>41859</v>
      </c>
    </row>
    <row r="87" spans="3:19" ht="27.75" customHeight="1">
      <c r="C87" s="345" t="s">
        <v>98</v>
      </c>
      <c r="D87" s="345" t="s">
        <v>373</v>
      </c>
      <c r="E87" s="345" t="s">
        <v>374</v>
      </c>
      <c r="F87" s="345" t="s">
        <v>375</v>
      </c>
      <c r="G87" s="346" t="s">
        <v>376</v>
      </c>
      <c r="H87" s="339" t="s">
        <v>14</v>
      </c>
      <c r="I87" s="345" t="s">
        <v>59</v>
      </c>
      <c r="J87" s="316">
        <v>41857.560416666667</v>
      </c>
      <c r="K87" s="347"/>
      <c r="L87" s="347" t="s">
        <v>378</v>
      </c>
      <c r="M87" s="348" t="s">
        <v>378</v>
      </c>
      <c r="N87" s="348" t="s">
        <v>388</v>
      </c>
      <c r="O87" s="348" t="s">
        <v>177</v>
      </c>
      <c r="P87" s="349">
        <v>4.4980237154150204</v>
      </c>
      <c r="Q87" s="321" t="str">
        <f t="shared" si="4"/>
        <v/>
      </c>
      <c r="R87" s="318">
        <f t="shared" si="5"/>
        <v>41857</v>
      </c>
      <c r="S87" s="318" t="str">
        <f t="shared" si="6"/>
        <v/>
      </c>
    </row>
    <row r="88" spans="3:19" ht="27.75" customHeight="1">
      <c r="C88" s="345" t="s">
        <v>98</v>
      </c>
      <c r="D88" s="345" t="s">
        <v>373</v>
      </c>
      <c r="E88" s="345" t="s">
        <v>374</v>
      </c>
      <c r="F88" s="345" t="s">
        <v>375</v>
      </c>
      <c r="G88" s="346" t="s">
        <v>376</v>
      </c>
      <c r="H88" s="345" t="s">
        <v>14</v>
      </c>
      <c r="I88" s="345" t="s">
        <v>59</v>
      </c>
      <c r="J88" s="316">
        <v>41857.548611111109</v>
      </c>
      <c r="K88" s="347"/>
      <c r="L88" s="347" t="s">
        <v>378</v>
      </c>
      <c r="M88" s="348" t="s">
        <v>378</v>
      </c>
      <c r="N88" s="348" t="s">
        <v>388</v>
      </c>
      <c r="O88" s="348" t="s">
        <v>177</v>
      </c>
      <c r="P88" s="349">
        <v>4.5307735742518398</v>
      </c>
      <c r="Q88" s="321" t="str">
        <f t="shared" si="4"/>
        <v/>
      </c>
      <c r="R88" s="318">
        <f t="shared" si="5"/>
        <v>41857</v>
      </c>
      <c r="S88" s="318" t="str">
        <f t="shared" si="6"/>
        <v/>
      </c>
    </row>
    <row r="89" spans="3:19" ht="27.75" customHeight="1">
      <c r="C89" s="345" t="s">
        <v>98</v>
      </c>
      <c r="D89" s="345" t="s">
        <v>373</v>
      </c>
      <c r="E89" s="345" t="s">
        <v>374</v>
      </c>
      <c r="F89" s="345" t="s">
        <v>375</v>
      </c>
      <c r="G89" s="346" t="s">
        <v>376</v>
      </c>
      <c r="H89" s="339" t="s">
        <v>14</v>
      </c>
      <c r="I89" s="345" t="s">
        <v>60</v>
      </c>
      <c r="J89" s="316">
        <v>41857.539583333331</v>
      </c>
      <c r="K89" s="347"/>
      <c r="L89" s="347" t="s">
        <v>378</v>
      </c>
      <c r="M89" s="348" t="s">
        <v>389</v>
      </c>
      <c r="N89" s="348" t="s">
        <v>389</v>
      </c>
      <c r="O89" s="348" t="s">
        <v>177</v>
      </c>
      <c r="P89" s="349">
        <v>4.5635234330886503</v>
      </c>
      <c r="Q89" s="321" t="str">
        <f t="shared" si="4"/>
        <v/>
      </c>
      <c r="R89" s="318">
        <f t="shared" si="5"/>
        <v>41857</v>
      </c>
      <c r="S89" s="318" t="str">
        <f t="shared" si="6"/>
        <v/>
      </c>
    </row>
    <row r="90" spans="3:19" ht="27.75" customHeight="1">
      <c r="C90" s="345" t="s">
        <v>98</v>
      </c>
      <c r="D90" s="345" t="s">
        <v>373</v>
      </c>
      <c r="E90" s="345" t="s">
        <v>374</v>
      </c>
      <c r="F90" s="345" t="s">
        <v>375</v>
      </c>
      <c r="G90" s="346" t="s">
        <v>376</v>
      </c>
      <c r="H90" s="339" t="s">
        <v>14</v>
      </c>
      <c r="I90" s="345" t="s">
        <v>59</v>
      </c>
      <c r="J90" s="316">
        <v>41857.536805555559</v>
      </c>
      <c r="K90" s="347"/>
      <c r="L90" s="347" t="s">
        <v>378</v>
      </c>
      <c r="M90" s="348" t="s">
        <v>378</v>
      </c>
      <c r="N90" s="348" t="s">
        <v>388</v>
      </c>
      <c r="O90" s="348" t="s">
        <v>177</v>
      </c>
      <c r="P90" s="349">
        <v>4.5962732919254696</v>
      </c>
      <c r="Q90" s="321" t="str">
        <f t="shared" ref="Q90:Q153" si="7">IF(ISERROR(DATEDIF(J90,K90,"D")),"",DATEDIF(J90,K90,"D"))</f>
        <v/>
      </c>
      <c r="R90" s="318">
        <f t="shared" ref="R90:R153" si="8">DATE(YEAR(J90),MONTH(J90),DAY(J90))</f>
        <v>41857</v>
      </c>
      <c r="S90" s="318" t="str">
        <f t="shared" ref="S90:S153" si="9">IF(K90&lt;&gt;"",DATE(YEAR(K90),MONTH(K90),DAY(K90)),"")</f>
        <v/>
      </c>
    </row>
    <row r="91" spans="3:19" ht="27.75" customHeight="1">
      <c r="C91" s="345" t="s">
        <v>98</v>
      </c>
      <c r="D91" s="345" t="s">
        <v>373</v>
      </c>
      <c r="E91" s="345" t="s">
        <v>374</v>
      </c>
      <c r="F91" s="345" t="s">
        <v>375</v>
      </c>
      <c r="G91" s="346" t="s">
        <v>376</v>
      </c>
      <c r="H91" s="345" t="s">
        <v>14</v>
      </c>
      <c r="I91" s="345" t="s">
        <v>60</v>
      </c>
      <c r="J91" s="316">
        <v>41857.481944444444</v>
      </c>
      <c r="K91" s="347"/>
      <c r="L91" s="347" t="s">
        <v>378</v>
      </c>
      <c r="M91" s="348" t="s">
        <v>378</v>
      </c>
      <c r="N91" s="348" t="s">
        <v>388</v>
      </c>
      <c r="O91" s="348" t="s">
        <v>175</v>
      </c>
      <c r="P91" s="349">
        <v>4.6290231507622801</v>
      </c>
      <c r="Q91" s="321" t="str">
        <f t="shared" si="7"/>
        <v/>
      </c>
      <c r="R91" s="318">
        <f t="shared" si="8"/>
        <v>41857</v>
      </c>
      <c r="S91" s="318" t="str">
        <f t="shared" si="9"/>
        <v/>
      </c>
    </row>
    <row r="92" spans="3:19" ht="27.75" customHeight="1">
      <c r="C92" s="345" t="s">
        <v>98</v>
      </c>
      <c r="D92" s="345" t="s">
        <v>373</v>
      </c>
      <c r="E92" s="345" t="s">
        <v>374</v>
      </c>
      <c r="F92" s="345" t="s">
        <v>375</v>
      </c>
      <c r="G92" s="346" t="s">
        <v>376</v>
      </c>
      <c r="H92" s="339" t="s">
        <v>14</v>
      </c>
      <c r="I92" s="345" t="s">
        <v>59</v>
      </c>
      <c r="J92" s="316">
        <v>41856.856249999997</v>
      </c>
      <c r="K92" s="347"/>
      <c r="L92" s="347" t="s">
        <v>378</v>
      </c>
      <c r="M92" s="348" t="s">
        <v>386</v>
      </c>
      <c r="N92" s="348" t="s">
        <v>386</v>
      </c>
      <c r="O92" s="348" t="s">
        <v>175</v>
      </c>
      <c r="P92" s="349">
        <v>4.6617730095991003</v>
      </c>
      <c r="Q92" s="321" t="str">
        <f t="shared" si="7"/>
        <v/>
      </c>
      <c r="R92" s="318">
        <f t="shared" si="8"/>
        <v>41856</v>
      </c>
      <c r="S92" s="318" t="str">
        <f t="shared" si="9"/>
        <v/>
      </c>
    </row>
    <row r="93" spans="3:19" ht="27.75" customHeight="1">
      <c r="C93" s="345" t="s">
        <v>98</v>
      </c>
      <c r="D93" s="345" t="s">
        <v>373</v>
      </c>
      <c r="E93" s="345" t="s">
        <v>374</v>
      </c>
      <c r="F93" s="345" t="s">
        <v>375</v>
      </c>
      <c r="G93" s="346" t="s">
        <v>376</v>
      </c>
      <c r="H93" s="339" t="s">
        <v>14</v>
      </c>
      <c r="I93" s="345" t="s">
        <v>59</v>
      </c>
      <c r="J93" s="316">
        <v>41856.843055555553</v>
      </c>
      <c r="K93" s="347"/>
      <c r="L93" s="347" t="s">
        <v>377</v>
      </c>
      <c r="M93" s="348" t="s">
        <v>378</v>
      </c>
      <c r="N93" s="348" t="s">
        <v>388</v>
      </c>
      <c r="O93" s="348" t="s">
        <v>175</v>
      </c>
      <c r="P93" s="349">
        <v>4.6945228684359099</v>
      </c>
      <c r="Q93" s="321" t="str">
        <f t="shared" si="7"/>
        <v/>
      </c>
      <c r="R93" s="318">
        <f t="shared" si="8"/>
        <v>41856</v>
      </c>
      <c r="S93" s="318" t="str">
        <f t="shared" si="9"/>
        <v/>
      </c>
    </row>
    <row r="94" spans="3:19" ht="27.75" customHeight="1">
      <c r="C94" s="345" t="s">
        <v>98</v>
      </c>
      <c r="D94" s="345" t="s">
        <v>373</v>
      </c>
      <c r="E94" s="345" t="s">
        <v>374</v>
      </c>
      <c r="F94" s="345" t="s">
        <v>375</v>
      </c>
      <c r="G94" s="346" t="s">
        <v>376</v>
      </c>
      <c r="H94" s="345" t="s">
        <v>5</v>
      </c>
      <c r="I94" s="345" t="s">
        <v>59</v>
      </c>
      <c r="J94" s="316">
        <v>41856.835416666669</v>
      </c>
      <c r="K94" s="347">
        <v>41857.835416666669</v>
      </c>
      <c r="L94" s="347" t="s">
        <v>377</v>
      </c>
      <c r="M94" s="348" t="s">
        <v>378</v>
      </c>
      <c r="N94" s="348" t="s">
        <v>388</v>
      </c>
      <c r="O94" s="348" t="s">
        <v>175</v>
      </c>
      <c r="P94" s="349">
        <v>4.7272727272727302</v>
      </c>
      <c r="Q94" s="321">
        <f t="shared" si="7"/>
        <v>1</v>
      </c>
      <c r="R94" s="318">
        <f t="shared" si="8"/>
        <v>41856</v>
      </c>
      <c r="S94" s="318">
        <f t="shared" si="9"/>
        <v>41857</v>
      </c>
    </row>
    <row r="95" spans="3:19" ht="27.75" customHeight="1">
      <c r="C95" s="345" t="s">
        <v>98</v>
      </c>
      <c r="D95" s="345" t="s">
        <v>373</v>
      </c>
      <c r="E95" s="345" t="s">
        <v>374</v>
      </c>
      <c r="F95" s="345" t="s">
        <v>375</v>
      </c>
      <c r="G95" s="346" t="s">
        <v>376</v>
      </c>
      <c r="H95" s="345" t="s">
        <v>5</v>
      </c>
      <c r="I95" s="345" t="s">
        <v>60</v>
      </c>
      <c r="J95" s="316">
        <v>41856.824305555558</v>
      </c>
      <c r="K95" s="347">
        <v>41864.824305555558</v>
      </c>
      <c r="L95" s="347" t="s">
        <v>377</v>
      </c>
      <c r="M95" s="348" t="s">
        <v>378</v>
      </c>
      <c r="N95" s="348" t="s">
        <v>388</v>
      </c>
      <c r="O95" s="348" t="s">
        <v>175</v>
      </c>
      <c r="P95" s="349">
        <v>4.7600225861095398</v>
      </c>
      <c r="Q95" s="321">
        <f t="shared" si="7"/>
        <v>8</v>
      </c>
      <c r="R95" s="318">
        <f t="shared" si="8"/>
        <v>41856</v>
      </c>
      <c r="S95" s="318">
        <f t="shared" si="9"/>
        <v>41864</v>
      </c>
    </row>
    <row r="96" spans="3:19" ht="27.75" customHeight="1">
      <c r="C96" s="345" t="s">
        <v>98</v>
      </c>
      <c r="D96" s="345" t="s">
        <v>373</v>
      </c>
      <c r="E96" s="345" t="s">
        <v>374</v>
      </c>
      <c r="F96" s="345" t="s">
        <v>375</v>
      </c>
      <c r="G96" s="346" t="s">
        <v>376</v>
      </c>
      <c r="H96" s="345" t="s">
        <v>5</v>
      </c>
      <c r="I96" s="345" t="s">
        <v>58</v>
      </c>
      <c r="J96" s="316">
        <v>41856.80972222222</v>
      </c>
      <c r="K96" s="347">
        <v>41868.80972222222</v>
      </c>
      <c r="L96" s="347" t="s">
        <v>377</v>
      </c>
      <c r="M96" s="348" t="s">
        <v>378</v>
      </c>
      <c r="N96" s="348" t="s">
        <v>388</v>
      </c>
      <c r="O96" s="348" t="s">
        <v>175</v>
      </c>
      <c r="P96" s="349">
        <v>4.79277244494636</v>
      </c>
      <c r="Q96" s="321">
        <f t="shared" si="7"/>
        <v>12</v>
      </c>
      <c r="R96" s="318">
        <f t="shared" si="8"/>
        <v>41856</v>
      </c>
      <c r="S96" s="318">
        <f t="shared" si="9"/>
        <v>41868</v>
      </c>
    </row>
    <row r="97" spans="3:19" ht="27.75" customHeight="1">
      <c r="C97" s="345" t="s">
        <v>98</v>
      </c>
      <c r="D97" s="345" t="s">
        <v>373</v>
      </c>
      <c r="E97" s="345" t="s">
        <v>374</v>
      </c>
      <c r="F97" s="345" t="s">
        <v>375</v>
      </c>
      <c r="G97" s="346" t="s">
        <v>376</v>
      </c>
      <c r="H97" s="345" t="s">
        <v>5</v>
      </c>
      <c r="I97" s="345" t="s">
        <v>60</v>
      </c>
      <c r="J97" s="316">
        <v>41856.799305555556</v>
      </c>
      <c r="K97" s="347">
        <v>41859.799305555556</v>
      </c>
      <c r="L97" s="347" t="s">
        <v>378</v>
      </c>
      <c r="M97" s="348" t="s">
        <v>378</v>
      </c>
      <c r="N97" s="348" t="s">
        <v>388</v>
      </c>
      <c r="O97" s="348" t="s">
        <v>175</v>
      </c>
      <c r="P97" s="349">
        <v>4.8255223037831803</v>
      </c>
      <c r="Q97" s="321">
        <f t="shared" si="7"/>
        <v>3</v>
      </c>
      <c r="R97" s="318">
        <f t="shared" si="8"/>
        <v>41856</v>
      </c>
      <c r="S97" s="318">
        <f t="shared" si="9"/>
        <v>41859</v>
      </c>
    </row>
    <row r="98" spans="3:19" ht="27.75" customHeight="1">
      <c r="C98" s="345" t="s">
        <v>98</v>
      </c>
      <c r="D98" s="345" t="s">
        <v>373</v>
      </c>
      <c r="E98" s="345" t="s">
        <v>374</v>
      </c>
      <c r="F98" s="345" t="s">
        <v>375</v>
      </c>
      <c r="G98" s="346" t="s">
        <v>376</v>
      </c>
      <c r="H98" s="339" t="s">
        <v>14</v>
      </c>
      <c r="I98" s="345" t="s">
        <v>58</v>
      </c>
      <c r="J98" s="316">
        <v>41856.726388888892</v>
      </c>
      <c r="K98" s="347"/>
      <c r="L98" s="347" t="s">
        <v>377</v>
      </c>
      <c r="M98" s="348" t="s">
        <v>378</v>
      </c>
      <c r="N98" s="348" t="s">
        <v>388</v>
      </c>
      <c r="O98" s="348" t="s">
        <v>175</v>
      </c>
      <c r="P98" s="349">
        <v>4.8582721626199898</v>
      </c>
      <c r="Q98" s="321" t="str">
        <f t="shared" si="7"/>
        <v/>
      </c>
      <c r="R98" s="318">
        <f t="shared" si="8"/>
        <v>41856</v>
      </c>
      <c r="S98" s="318" t="str">
        <f t="shared" si="9"/>
        <v/>
      </c>
    </row>
    <row r="99" spans="3:19" ht="27.75" customHeight="1">
      <c r="C99" s="345" t="s">
        <v>98</v>
      </c>
      <c r="D99" s="345" t="s">
        <v>373</v>
      </c>
      <c r="E99" s="345" t="s">
        <v>374</v>
      </c>
      <c r="F99" s="345" t="s">
        <v>375</v>
      </c>
      <c r="G99" s="346" t="s">
        <v>376</v>
      </c>
      <c r="H99" s="345" t="s">
        <v>5</v>
      </c>
      <c r="I99" s="345" t="s">
        <v>58</v>
      </c>
      <c r="J99" s="316">
        <v>41856.714583333334</v>
      </c>
      <c r="K99" s="347">
        <v>41868.714583333334</v>
      </c>
      <c r="L99" s="347" t="s">
        <v>378</v>
      </c>
      <c r="M99" s="348" t="s">
        <v>381</v>
      </c>
      <c r="N99" s="348" t="s">
        <v>381</v>
      </c>
      <c r="O99" s="348" t="s">
        <v>175</v>
      </c>
      <c r="P99" s="349">
        <v>4.8910220214568101</v>
      </c>
      <c r="Q99" s="321">
        <f t="shared" si="7"/>
        <v>12</v>
      </c>
      <c r="R99" s="318">
        <f t="shared" si="8"/>
        <v>41856</v>
      </c>
      <c r="S99" s="318">
        <f t="shared" si="9"/>
        <v>41868</v>
      </c>
    </row>
    <row r="100" spans="3:19" ht="27.75" customHeight="1">
      <c r="C100" s="345" t="s">
        <v>98</v>
      </c>
      <c r="D100" s="345" t="s">
        <v>373</v>
      </c>
      <c r="E100" s="345" t="s">
        <v>374</v>
      </c>
      <c r="F100" s="345" t="s">
        <v>375</v>
      </c>
      <c r="G100" s="346" t="s">
        <v>376</v>
      </c>
      <c r="H100" s="345" t="s">
        <v>140</v>
      </c>
      <c r="I100" s="345" t="s">
        <v>58</v>
      </c>
      <c r="J100" s="316">
        <v>41856.692361111112</v>
      </c>
      <c r="K100" s="347"/>
      <c r="L100" s="347" t="s">
        <v>378</v>
      </c>
      <c r="M100" s="348" t="s">
        <v>381</v>
      </c>
      <c r="N100" s="348" t="s">
        <v>381</v>
      </c>
      <c r="O100" s="348" t="s">
        <v>175</v>
      </c>
      <c r="P100" s="349">
        <v>4.9237718802936197</v>
      </c>
      <c r="Q100" s="321" t="str">
        <f t="shared" si="7"/>
        <v/>
      </c>
      <c r="R100" s="318">
        <f t="shared" si="8"/>
        <v>41856</v>
      </c>
      <c r="S100" s="318" t="str">
        <f t="shared" si="9"/>
        <v/>
      </c>
    </row>
    <row r="101" spans="3:19" ht="27.75" customHeight="1">
      <c r="C101" s="345" t="s">
        <v>98</v>
      </c>
      <c r="D101" s="345" t="s">
        <v>373</v>
      </c>
      <c r="E101" s="345" t="s">
        <v>374</v>
      </c>
      <c r="F101" s="345" t="s">
        <v>375</v>
      </c>
      <c r="G101" s="346" t="s">
        <v>376</v>
      </c>
      <c r="H101" s="345" t="s">
        <v>5</v>
      </c>
      <c r="I101" s="345" t="s">
        <v>59</v>
      </c>
      <c r="J101" s="316">
        <v>41856.691666666666</v>
      </c>
      <c r="K101" s="347">
        <v>41864.691666666666</v>
      </c>
      <c r="L101" s="347" t="s">
        <v>378</v>
      </c>
      <c r="M101" s="348" t="s">
        <v>381</v>
      </c>
      <c r="N101" s="348" t="s">
        <v>381</v>
      </c>
      <c r="O101" s="348" t="s">
        <v>175</v>
      </c>
      <c r="P101" s="349">
        <v>4.9565217391304399</v>
      </c>
      <c r="Q101" s="321">
        <f t="shared" si="7"/>
        <v>8</v>
      </c>
      <c r="R101" s="318">
        <f t="shared" si="8"/>
        <v>41856</v>
      </c>
      <c r="S101" s="318">
        <f t="shared" si="9"/>
        <v>41864</v>
      </c>
    </row>
    <row r="102" spans="3:19" ht="27.75" customHeight="1">
      <c r="C102" s="345" t="s">
        <v>98</v>
      </c>
      <c r="D102" s="345" t="s">
        <v>373</v>
      </c>
      <c r="E102" s="345" t="s">
        <v>374</v>
      </c>
      <c r="F102" s="345" t="s">
        <v>375</v>
      </c>
      <c r="G102" s="346" t="s">
        <v>376</v>
      </c>
      <c r="H102" s="345" t="s">
        <v>5</v>
      </c>
      <c r="I102" s="345" t="s">
        <v>58</v>
      </c>
      <c r="J102" s="316">
        <v>41856.689583333333</v>
      </c>
      <c r="K102" s="347">
        <v>41865.689583333333</v>
      </c>
      <c r="L102" s="347" t="s">
        <v>377</v>
      </c>
      <c r="M102" s="348" t="s">
        <v>378</v>
      </c>
      <c r="N102" s="348" t="s">
        <v>388</v>
      </c>
      <c r="O102" s="348" t="s">
        <v>177</v>
      </c>
      <c r="P102" s="349">
        <v>4.9892715979672504</v>
      </c>
      <c r="Q102" s="321">
        <f t="shared" si="7"/>
        <v>9</v>
      </c>
      <c r="R102" s="318">
        <f t="shared" si="8"/>
        <v>41856</v>
      </c>
      <c r="S102" s="318">
        <f t="shared" si="9"/>
        <v>41865</v>
      </c>
    </row>
    <row r="103" spans="3:19" ht="27.75" customHeight="1">
      <c r="C103" s="345" t="s">
        <v>98</v>
      </c>
      <c r="D103" s="345" t="s">
        <v>373</v>
      </c>
      <c r="E103" s="345" t="s">
        <v>374</v>
      </c>
      <c r="F103" s="345" t="s">
        <v>375</v>
      </c>
      <c r="G103" s="346" t="s">
        <v>376</v>
      </c>
      <c r="H103" s="345" t="s">
        <v>14</v>
      </c>
      <c r="I103" s="345" t="s">
        <v>59</v>
      </c>
      <c r="J103" s="316">
        <v>41856.68472222222</v>
      </c>
      <c r="K103" s="347"/>
      <c r="L103" s="347" t="s">
        <v>378</v>
      </c>
      <c r="M103" s="348" t="s">
        <v>381</v>
      </c>
      <c r="N103" s="348" t="s">
        <v>381</v>
      </c>
      <c r="O103" s="348" t="s">
        <v>177</v>
      </c>
      <c r="P103" s="349">
        <v>5.0220214568040698</v>
      </c>
      <c r="Q103" s="321" t="str">
        <f t="shared" si="7"/>
        <v/>
      </c>
      <c r="R103" s="318">
        <f t="shared" si="8"/>
        <v>41856</v>
      </c>
      <c r="S103" s="318" t="str">
        <f t="shared" si="9"/>
        <v/>
      </c>
    </row>
    <row r="104" spans="3:19" ht="27.75" customHeight="1">
      <c r="C104" s="345" t="s">
        <v>98</v>
      </c>
      <c r="D104" s="345" t="s">
        <v>373</v>
      </c>
      <c r="E104" s="345" t="s">
        <v>374</v>
      </c>
      <c r="F104" s="345" t="s">
        <v>375</v>
      </c>
      <c r="G104" s="346" t="s">
        <v>376</v>
      </c>
      <c r="H104" s="345" t="s">
        <v>14</v>
      </c>
      <c r="I104" s="345" t="s">
        <v>61</v>
      </c>
      <c r="J104" s="316">
        <v>41856.619444444441</v>
      </c>
      <c r="K104" s="347"/>
      <c r="L104" s="347" t="s">
        <v>377</v>
      </c>
      <c r="M104" s="348" t="s">
        <v>378</v>
      </c>
      <c r="N104" s="348" t="s">
        <v>388</v>
      </c>
      <c r="O104" s="348" t="s">
        <v>175</v>
      </c>
      <c r="P104" s="349">
        <v>5.0547713156408802</v>
      </c>
      <c r="Q104" s="321" t="str">
        <f t="shared" si="7"/>
        <v/>
      </c>
      <c r="R104" s="318">
        <f t="shared" si="8"/>
        <v>41856</v>
      </c>
      <c r="S104" s="318" t="str">
        <f t="shared" si="9"/>
        <v/>
      </c>
    </row>
    <row r="105" spans="3:19" ht="27.75" customHeight="1">
      <c r="C105" s="345" t="s">
        <v>98</v>
      </c>
      <c r="D105" s="345" t="s">
        <v>373</v>
      </c>
      <c r="E105" s="345" t="s">
        <v>374</v>
      </c>
      <c r="F105" s="345" t="s">
        <v>375</v>
      </c>
      <c r="G105" s="346" t="s">
        <v>376</v>
      </c>
      <c r="H105" s="345" t="s">
        <v>5</v>
      </c>
      <c r="I105" s="345" t="s">
        <v>60</v>
      </c>
      <c r="J105" s="316">
        <v>41856.616666666669</v>
      </c>
      <c r="K105" s="347">
        <v>41860.616666666669</v>
      </c>
      <c r="L105" s="347" t="s">
        <v>377</v>
      </c>
      <c r="M105" s="348" t="s">
        <v>378</v>
      </c>
      <c r="N105" s="348" t="s">
        <v>388</v>
      </c>
      <c r="O105" s="348" t="s">
        <v>175</v>
      </c>
      <c r="P105" s="349">
        <v>5.0875211744776996</v>
      </c>
      <c r="Q105" s="321">
        <f t="shared" si="7"/>
        <v>4</v>
      </c>
      <c r="R105" s="318">
        <f t="shared" si="8"/>
        <v>41856</v>
      </c>
      <c r="S105" s="318">
        <f t="shared" si="9"/>
        <v>41860</v>
      </c>
    </row>
    <row r="106" spans="3:19" ht="27.75" customHeight="1">
      <c r="C106" s="345" t="s">
        <v>98</v>
      </c>
      <c r="D106" s="345" t="s">
        <v>373</v>
      </c>
      <c r="E106" s="345" t="s">
        <v>374</v>
      </c>
      <c r="F106" s="345" t="s">
        <v>375</v>
      </c>
      <c r="G106" s="346" t="s">
        <v>376</v>
      </c>
      <c r="H106" s="345" t="s">
        <v>140</v>
      </c>
      <c r="I106" s="345" t="s">
        <v>59</v>
      </c>
      <c r="J106" s="316">
        <v>41856.615277777775</v>
      </c>
      <c r="K106" s="347"/>
      <c r="L106" s="347" t="s">
        <v>377</v>
      </c>
      <c r="M106" s="348" t="s">
        <v>378</v>
      </c>
      <c r="N106" s="348" t="s">
        <v>388</v>
      </c>
      <c r="O106" s="348" t="s">
        <v>175</v>
      </c>
      <c r="P106" s="349">
        <v>5.1202710333145101</v>
      </c>
      <c r="Q106" s="321" t="str">
        <f t="shared" si="7"/>
        <v/>
      </c>
      <c r="R106" s="318">
        <f t="shared" si="8"/>
        <v>41856</v>
      </c>
      <c r="S106" s="318" t="str">
        <f t="shared" si="9"/>
        <v/>
      </c>
    </row>
    <row r="107" spans="3:19" ht="27.75" customHeight="1">
      <c r="C107" s="345" t="s">
        <v>98</v>
      </c>
      <c r="D107" s="345" t="s">
        <v>373</v>
      </c>
      <c r="E107" s="345" t="s">
        <v>374</v>
      </c>
      <c r="F107" s="345" t="s">
        <v>375</v>
      </c>
      <c r="G107" s="346" t="s">
        <v>376</v>
      </c>
      <c r="H107" s="345" t="s">
        <v>140</v>
      </c>
      <c r="I107" s="345" t="s">
        <v>59</v>
      </c>
      <c r="J107" s="316">
        <v>41856.613888888889</v>
      </c>
      <c r="K107" s="347"/>
      <c r="L107" s="347" t="s">
        <v>377</v>
      </c>
      <c r="M107" s="348" t="s">
        <v>378</v>
      </c>
      <c r="N107" s="348" t="s">
        <v>388</v>
      </c>
      <c r="O107" s="348" t="s">
        <v>177</v>
      </c>
      <c r="P107" s="349">
        <v>5.1530208921513303</v>
      </c>
      <c r="Q107" s="321" t="str">
        <f t="shared" si="7"/>
        <v/>
      </c>
      <c r="R107" s="318">
        <f t="shared" si="8"/>
        <v>41856</v>
      </c>
      <c r="S107" s="318" t="str">
        <f t="shared" si="9"/>
        <v/>
      </c>
    </row>
    <row r="108" spans="3:19" ht="27.75" customHeight="1">
      <c r="C108" s="345" t="s">
        <v>98</v>
      </c>
      <c r="D108" s="345" t="s">
        <v>373</v>
      </c>
      <c r="E108" s="345" t="s">
        <v>374</v>
      </c>
      <c r="F108" s="345" t="s">
        <v>375</v>
      </c>
      <c r="G108" s="346" t="s">
        <v>376</v>
      </c>
      <c r="H108" s="345" t="s">
        <v>5</v>
      </c>
      <c r="I108" s="345" t="s">
        <v>59</v>
      </c>
      <c r="J108" s="316">
        <v>41856.613888888889</v>
      </c>
      <c r="K108" s="347">
        <v>41858.613888888889</v>
      </c>
      <c r="L108" s="347" t="s">
        <v>377</v>
      </c>
      <c r="M108" s="348" t="s">
        <v>378</v>
      </c>
      <c r="N108" s="348" t="s">
        <v>388</v>
      </c>
      <c r="O108" s="348" t="s">
        <v>177</v>
      </c>
      <c r="P108" s="349">
        <v>5.1857707509881399</v>
      </c>
      <c r="Q108" s="321">
        <f t="shared" si="7"/>
        <v>2</v>
      </c>
      <c r="R108" s="318">
        <f t="shared" si="8"/>
        <v>41856</v>
      </c>
      <c r="S108" s="318">
        <f t="shared" si="9"/>
        <v>41858</v>
      </c>
    </row>
    <row r="109" spans="3:19" ht="27.75" customHeight="1">
      <c r="C109" s="345" t="s">
        <v>98</v>
      </c>
      <c r="D109" s="345" t="s">
        <v>373</v>
      </c>
      <c r="E109" s="345" t="s">
        <v>374</v>
      </c>
      <c r="F109" s="345" t="s">
        <v>375</v>
      </c>
      <c r="G109" s="346" t="s">
        <v>376</v>
      </c>
      <c r="H109" s="345" t="s">
        <v>5</v>
      </c>
      <c r="I109" s="345" t="s">
        <v>59</v>
      </c>
      <c r="J109" s="316">
        <v>41856.609027777777</v>
      </c>
      <c r="K109" s="347">
        <v>41860.609027777777</v>
      </c>
      <c r="L109" s="347" t="s">
        <v>377</v>
      </c>
      <c r="M109" s="348" t="s">
        <v>390</v>
      </c>
      <c r="N109" s="348" t="s">
        <v>390</v>
      </c>
      <c r="O109" s="348" t="s">
        <v>177</v>
      </c>
      <c r="P109" s="349">
        <v>5.2185206098249601</v>
      </c>
      <c r="Q109" s="321">
        <f t="shared" si="7"/>
        <v>4</v>
      </c>
      <c r="R109" s="318">
        <f t="shared" si="8"/>
        <v>41856</v>
      </c>
      <c r="S109" s="318">
        <f t="shared" si="9"/>
        <v>41860</v>
      </c>
    </row>
    <row r="110" spans="3:19" ht="27.75" customHeight="1">
      <c r="C110" s="345" t="s">
        <v>98</v>
      </c>
      <c r="D110" s="345" t="s">
        <v>373</v>
      </c>
      <c r="E110" s="345" t="s">
        <v>374</v>
      </c>
      <c r="F110" s="345" t="s">
        <v>375</v>
      </c>
      <c r="G110" s="346" t="s">
        <v>376</v>
      </c>
      <c r="H110" s="345" t="s">
        <v>14</v>
      </c>
      <c r="I110" s="345" t="s">
        <v>59</v>
      </c>
      <c r="J110" s="316">
        <v>41856.606249999997</v>
      </c>
      <c r="K110" s="347"/>
      <c r="L110" s="347" t="s">
        <v>188</v>
      </c>
      <c r="M110" s="348" t="s">
        <v>382</v>
      </c>
      <c r="N110" s="348" t="s">
        <v>382</v>
      </c>
      <c r="O110" s="348" t="s">
        <v>177</v>
      </c>
      <c r="P110" s="349">
        <v>5.2512704686617697</v>
      </c>
      <c r="Q110" s="321" t="str">
        <f t="shared" si="7"/>
        <v/>
      </c>
      <c r="R110" s="318">
        <f t="shared" si="8"/>
        <v>41856</v>
      </c>
      <c r="S110" s="318" t="str">
        <f t="shared" si="9"/>
        <v/>
      </c>
    </row>
    <row r="111" spans="3:19" ht="27.75" customHeight="1">
      <c r="C111" s="345" t="s">
        <v>98</v>
      </c>
      <c r="D111" s="345" t="s">
        <v>373</v>
      </c>
      <c r="E111" s="345" t="s">
        <v>374</v>
      </c>
      <c r="F111" s="345" t="s">
        <v>375</v>
      </c>
      <c r="G111" s="346" t="s">
        <v>376</v>
      </c>
      <c r="H111" s="345" t="s">
        <v>5</v>
      </c>
      <c r="I111" s="345" t="s">
        <v>60</v>
      </c>
      <c r="J111" s="316">
        <v>41856.605555555558</v>
      </c>
      <c r="K111" s="347">
        <v>41858.605555555558</v>
      </c>
      <c r="L111" s="347" t="s">
        <v>378</v>
      </c>
      <c r="M111" s="348" t="s">
        <v>378</v>
      </c>
      <c r="N111" s="348" t="s">
        <v>388</v>
      </c>
      <c r="O111" s="348" t="s">
        <v>177</v>
      </c>
      <c r="P111" s="349">
        <v>5.28402032749859</v>
      </c>
      <c r="Q111" s="321">
        <f t="shared" si="7"/>
        <v>2</v>
      </c>
      <c r="R111" s="318">
        <f t="shared" si="8"/>
        <v>41856</v>
      </c>
      <c r="S111" s="318">
        <f t="shared" si="9"/>
        <v>41858</v>
      </c>
    </row>
    <row r="112" spans="3:19" ht="27.75" customHeight="1">
      <c r="C112" s="345" t="s">
        <v>98</v>
      </c>
      <c r="D112" s="345" t="s">
        <v>373</v>
      </c>
      <c r="E112" s="345" t="s">
        <v>374</v>
      </c>
      <c r="F112" s="345" t="s">
        <v>375</v>
      </c>
      <c r="G112" s="346" t="s">
        <v>376</v>
      </c>
      <c r="H112" s="345" t="s">
        <v>14</v>
      </c>
      <c r="I112" s="345" t="s">
        <v>60</v>
      </c>
      <c r="J112" s="316">
        <v>41856.602777777778</v>
      </c>
      <c r="K112" s="347"/>
      <c r="L112" s="347" t="s">
        <v>188</v>
      </c>
      <c r="M112" s="348" t="s">
        <v>378</v>
      </c>
      <c r="N112" s="348" t="s">
        <v>388</v>
      </c>
      <c r="O112" s="348" t="s">
        <v>177</v>
      </c>
      <c r="P112" s="349">
        <v>5.3167701863354102</v>
      </c>
      <c r="Q112" s="321" t="str">
        <f t="shared" si="7"/>
        <v/>
      </c>
      <c r="R112" s="318">
        <f t="shared" si="8"/>
        <v>41856</v>
      </c>
      <c r="S112" s="318" t="str">
        <f t="shared" si="9"/>
        <v/>
      </c>
    </row>
    <row r="113" spans="3:19" ht="27.75" customHeight="1">
      <c r="C113" s="345" t="s">
        <v>98</v>
      </c>
      <c r="D113" s="345" t="s">
        <v>373</v>
      </c>
      <c r="E113" s="345" t="s">
        <v>374</v>
      </c>
      <c r="F113" s="345" t="s">
        <v>375</v>
      </c>
      <c r="G113" s="346" t="s">
        <v>376</v>
      </c>
      <c r="H113" s="339" t="s">
        <v>14</v>
      </c>
      <c r="I113" s="345" t="s">
        <v>58</v>
      </c>
      <c r="J113" s="316">
        <v>41856.601388888892</v>
      </c>
      <c r="K113" s="347"/>
      <c r="L113" s="347" t="s">
        <v>188</v>
      </c>
      <c r="M113" s="348" t="s">
        <v>382</v>
      </c>
      <c r="N113" s="348" t="s">
        <v>382</v>
      </c>
      <c r="O113" s="348" t="s">
        <v>175</v>
      </c>
      <c r="P113" s="349">
        <v>5.3495200451722198</v>
      </c>
      <c r="Q113" s="321" t="str">
        <f t="shared" si="7"/>
        <v/>
      </c>
      <c r="R113" s="318">
        <f t="shared" si="8"/>
        <v>41856</v>
      </c>
      <c r="S113" s="318" t="str">
        <f t="shared" si="9"/>
        <v/>
      </c>
    </row>
    <row r="114" spans="3:19" ht="27.75" customHeight="1">
      <c r="C114" s="345" t="s">
        <v>98</v>
      </c>
      <c r="D114" s="345" t="s">
        <v>373</v>
      </c>
      <c r="E114" s="345" t="s">
        <v>374</v>
      </c>
      <c r="F114" s="345" t="s">
        <v>375</v>
      </c>
      <c r="G114" s="346" t="s">
        <v>376</v>
      </c>
      <c r="H114" s="345" t="s">
        <v>5</v>
      </c>
      <c r="I114" s="345" t="s">
        <v>58</v>
      </c>
      <c r="J114" s="316">
        <v>41856.547222222223</v>
      </c>
      <c r="K114" s="347">
        <v>41861.547222222223</v>
      </c>
      <c r="L114" s="347" t="s">
        <v>188</v>
      </c>
      <c r="M114" s="348" t="s">
        <v>382</v>
      </c>
      <c r="N114" s="348" t="s">
        <v>382</v>
      </c>
      <c r="O114" s="348" t="s">
        <v>175</v>
      </c>
      <c r="P114" s="349">
        <v>5.38226990400904</v>
      </c>
      <c r="Q114" s="321">
        <f t="shared" si="7"/>
        <v>5</v>
      </c>
      <c r="R114" s="318">
        <f t="shared" si="8"/>
        <v>41856</v>
      </c>
      <c r="S114" s="318">
        <f t="shared" si="9"/>
        <v>41861</v>
      </c>
    </row>
    <row r="115" spans="3:19" ht="27.75" customHeight="1">
      <c r="C115" s="345" t="s">
        <v>98</v>
      </c>
      <c r="D115" s="345" t="s">
        <v>373</v>
      </c>
      <c r="E115" s="345" t="s">
        <v>374</v>
      </c>
      <c r="F115" s="345" t="s">
        <v>375</v>
      </c>
      <c r="G115" s="346" t="s">
        <v>376</v>
      </c>
      <c r="H115" s="339" t="s">
        <v>14</v>
      </c>
      <c r="I115" s="345" t="s">
        <v>58</v>
      </c>
      <c r="J115" s="316">
        <v>41856.543749999997</v>
      </c>
      <c r="K115" s="347"/>
      <c r="L115" s="347" t="s">
        <v>377</v>
      </c>
      <c r="M115" s="348" t="s">
        <v>378</v>
      </c>
      <c r="N115" s="348" t="s">
        <v>388</v>
      </c>
      <c r="O115" s="348" t="s">
        <v>175</v>
      </c>
      <c r="P115" s="349">
        <v>5.4150197628458496</v>
      </c>
      <c r="Q115" s="321" t="str">
        <f t="shared" si="7"/>
        <v/>
      </c>
      <c r="R115" s="318">
        <f t="shared" si="8"/>
        <v>41856</v>
      </c>
      <c r="S115" s="318" t="str">
        <f t="shared" si="9"/>
        <v/>
      </c>
    </row>
    <row r="116" spans="3:19" ht="27.75" customHeight="1">
      <c r="C116" s="345" t="s">
        <v>98</v>
      </c>
      <c r="D116" s="345" t="s">
        <v>373</v>
      </c>
      <c r="E116" s="345" t="s">
        <v>374</v>
      </c>
      <c r="F116" s="345" t="s">
        <v>375</v>
      </c>
      <c r="G116" s="346" t="s">
        <v>376</v>
      </c>
      <c r="H116" s="345" t="s">
        <v>5</v>
      </c>
      <c r="I116" s="345" t="s">
        <v>59</v>
      </c>
      <c r="J116" s="316">
        <v>41856.536111111112</v>
      </c>
      <c r="K116" s="347">
        <v>41866.536111111112</v>
      </c>
      <c r="L116" s="347" t="s">
        <v>188</v>
      </c>
      <c r="M116" s="348" t="s">
        <v>378</v>
      </c>
      <c r="N116" s="348" t="s">
        <v>388</v>
      </c>
      <c r="O116" s="348" t="s">
        <v>175</v>
      </c>
      <c r="P116" s="349">
        <v>5.4477696216826699</v>
      </c>
      <c r="Q116" s="321">
        <f t="shared" si="7"/>
        <v>10</v>
      </c>
      <c r="R116" s="318">
        <f t="shared" si="8"/>
        <v>41856</v>
      </c>
      <c r="S116" s="318">
        <f t="shared" si="9"/>
        <v>41866</v>
      </c>
    </row>
    <row r="117" spans="3:19" ht="27.75" customHeight="1">
      <c r="C117" s="345" t="s">
        <v>98</v>
      </c>
      <c r="D117" s="345" t="s">
        <v>373</v>
      </c>
      <c r="E117" s="345" t="s">
        <v>374</v>
      </c>
      <c r="F117" s="345" t="s">
        <v>375</v>
      </c>
      <c r="G117" s="346" t="s">
        <v>376</v>
      </c>
      <c r="H117" s="339" t="s">
        <v>14</v>
      </c>
      <c r="I117" s="345" t="s">
        <v>58</v>
      </c>
      <c r="J117" s="316">
        <v>41856.536111111112</v>
      </c>
      <c r="K117" s="347"/>
      <c r="L117" s="347" t="s">
        <v>377</v>
      </c>
      <c r="M117" s="348" t="s">
        <v>378</v>
      </c>
      <c r="N117" s="348" t="s">
        <v>388</v>
      </c>
      <c r="O117" s="348" t="s">
        <v>175</v>
      </c>
      <c r="P117" s="349">
        <v>5.4805194805194803</v>
      </c>
      <c r="Q117" s="321" t="str">
        <f t="shared" si="7"/>
        <v/>
      </c>
      <c r="R117" s="318">
        <f t="shared" si="8"/>
        <v>41856</v>
      </c>
      <c r="S117" s="318" t="str">
        <f t="shared" si="9"/>
        <v/>
      </c>
    </row>
    <row r="118" spans="3:19" ht="27.75" customHeight="1">
      <c r="C118" s="345" t="s">
        <v>98</v>
      </c>
      <c r="D118" s="345" t="s">
        <v>373</v>
      </c>
      <c r="E118" s="345" t="s">
        <v>374</v>
      </c>
      <c r="F118" s="345" t="s">
        <v>375</v>
      </c>
      <c r="G118" s="346" t="s">
        <v>376</v>
      </c>
      <c r="H118" s="345" t="s">
        <v>5</v>
      </c>
      <c r="I118" s="345" t="s">
        <v>61</v>
      </c>
      <c r="J118" s="316">
        <v>41856.536111111112</v>
      </c>
      <c r="K118" s="347">
        <v>41860.536111111112</v>
      </c>
      <c r="L118" s="347" t="s">
        <v>377</v>
      </c>
      <c r="M118" s="348" t="s">
        <v>378</v>
      </c>
      <c r="N118" s="348" t="s">
        <v>388</v>
      </c>
      <c r="O118" s="348" t="s">
        <v>175</v>
      </c>
      <c r="P118" s="349">
        <v>5.5132693393562997</v>
      </c>
      <c r="Q118" s="321">
        <f t="shared" si="7"/>
        <v>4</v>
      </c>
      <c r="R118" s="318">
        <f t="shared" si="8"/>
        <v>41856</v>
      </c>
      <c r="S118" s="318">
        <f t="shared" si="9"/>
        <v>41860</v>
      </c>
    </row>
    <row r="119" spans="3:19" ht="27.75" customHeight="1">
      <c r="C119" s="345" t="s">
        <v>98</v>
      </c>
      <c r="D119" s="345" t="s">
        <v>373</v>
      </c>
      <c r="E119" s="345" t="s">
        <v>374</v>
      </c>
      <c r="F119" s="345" t="s">
        <v>375</v>
      </c>
      <c r="G119" s="346" t="s">
        <v>376</v>
      </c>
      <c r="H119" s="345" t="s">
        <v>5</v>
      </c>
      <c r="I119" s="345" t="s">
        <v>59</v>
      </c>
      <c r="J119" s="316">
        <v>41856.526388888888</v>
      </c>
      <c r="K119" s="347">
        <v>41864.526388888888</v>
      </c>
      <c r="L119" s="347" t="s">
        <v>377</v>
      </c>
      <c r="M119" s="348" t="s">
        <v>378</v>
      </c>
      <c r="N119" s="348" t="s">
        <v>388</v>
      </c>
      <c r="O119" s="348" t="s">
        <v>175</v>
      </c>
      <c r="P119" s="349">
        <v>5.5460191981931102</v>
      </c>
      <c r="Q119" s="321">
        <f t="shared" si="7"/>
        <v>8</v>
      </c>
      <c r="R119" s="318">
        <f t="shared" si="8"/>
        <v>41856</v>
      </c>
      <c r="S119" s="318">
        <f t="shared" si="9"/>
        <v>41864</v>
      </c>
    </row>
    <row r="120" spans="3:19" ht="27.75" customHeight="1">
      <c r="C120" s="345" t="s">
        <v>98</v>
      </c>
      <c r="D120" s="345" t="s">
        <v>373</v>
      </c>
      <c r="E120" s="345" t="s">
        <v>374</v>
      </c>
      <c r="F120" s="345" t="s">
        <v>375</v>
      </c>
      <c r="G120" s="346" t="s">
        <v>376</v>
      </c>
      <c r="H120" s="345" t="s">
        <v>5</v>
      </c>
      <c r="I120" s="345" t="s">
        <v>60</v>
      </c>
      <c r="J120" s="316">
        <v>41856.518750000003</v>
      </c>
      <c r="K120" s="347">
        <v>41858.518750000003</v>
      </c>
      <c r="L120" s="347" t="s">
        <v>377</v>
      </c>
      <c r="M120" s="348" t="s">
        <v>378</v>
      </c>
      <c r="N120" s="348" t="s">
        <v>388</v>
      </c>
      <c r="O120" s="348" t="s">
        <v>175</v>
      </c>
      <c r="P120" s="349">
        <v>5.5787690570299304</v>
      </c>
      <c r="Q120" s="321">
        <f t="shared" si="7"/>
        <v>2</v>
      </c>
      <c r="R120" s="318">
        <f t="shared" si="8"/>
        <v>41856</v>
      </c>
      <c r="S120" s="318">
        <f t="shared" si="9"/>
        <v>41858</v>
      </c>
    </row>
    <row r="121" spans="3:19" ht="27.75" customHeight="1">
      <c r="C121" s="345" t="s">
        <v>98</v>
      </c>
      <c r="D121" s="345" t="s">
        <v>373</v>
      </c>
      <c r="E121" s="345" t="s">
        <v>374</v>
      </c>
      <c r="F121" s="345" t="s">
        <v>375</v>
      </c>
      <c r="G121" s="346" t="s">
        <v>376</v>
      </c>
      <c r="H121" s="339" t="s">
        <v>14</v>
      </c>
      <c r="I121" s="345" t="s">
        <v>59</v>
      </c>
      <c r="J121" s="316">
        <v>41856.510416666664</v>
      </c>
      <c r="K121" s="347"/>
      <c r="L121" s="347" t="s">
        <v>188</v>
      </c>
      <c r="M121" s="348" t="s">
        <v>378</v>
      </c>
      <c r="N121" s="348" t="s">
        <v>388</v>
      </c>
      <c r="O121" s="348" t="s">
        <v>175</v>
      </c>
      <c r="P121" s="349">
        <v>5.61151891586674</v>
      </c>
      <c r="Q121" s="321" t="str">
        <f t="shared" si="7"/>
        <v/>
      </c>
      <c r="R121" s="318">
        <f t="shared" si="8"/>
        <v>41856</v>
      </c>
      <c r="S121" s="318" t="str">
        <f t="shared" si="9"/>
        <v/>
      </c>
    </row>
    <row r="122" spans="3:19" ht="27.75" customHeight="1">
      <c r="C122" s="345" t="s">
        <v>98</v>
      </c>
      <c r="D122" s="345" t="s">
        <v>373</v>
      </c>
      <c r="E122" s="345" t="s">
        <v>374</v>
      </c>
      <c r="F122" s="345" t="s">
        <v>375</v>
      </c>
      <c r="G122" s="346" t="s">
        <v>376</v>
      </c>
      <c r="H122" s="345" t="s">
        <v>14</v>
      </c>
      <c r="I122" s="345" t="s">
        <v>58</v>
      </c>
      <c r="J122" s="316">
        <v>41856.496527777781</v>
      </c>
      <c r="K122" s="347"/>
      <c r="L122" s="347" t="s">
        <v>377</v>
      </c>
      <c r="M122" s="348" t="s">
        <v>378</v>
      </c>
      <c r="N122" s="348" t="s">
        <v>388</v>
      </c>
      <c r="O122" s="348" t="s">
        <v>175</v>
      </c>
      <c r="P122" s="349">
        <v>5.6442687747035603</v>
      </c>
      <c r="Q122" s="321" t="str">
        <f t="shared" si="7"/>
        <v/>
      </c>
      <c r="R122" s="318">
        <f t="shared" si="8"/>
        <v>41856</v>
      </c>
      <c r="S122" s="318" t="str">
        <f t="shared" si="9"/>
        <v/>
      </c>
    </row>
    <row r="123" spans="3:19" ht="27.75" customHeight="1">
      <c r="C123" s="345" t="s">
        <v>98</v>
      </c>
      <c r="D123" s="345" t="s">
        <v>373</v>
      </c>
      <c r="E123" s="345" t="s">
        <v>374</v>
      </c>
      <c r="F123" s="345" t="s">
        <v>375</v>
      </c>
      <c r="G123" s="346" t="s">
        <v>376</v>
      </c>
      <c r="H123" s="345" t="s">
        <v>5</v>
      </c>
      <c r="I123" s="345" t="s">
        <v>58</v>
      </c>
      <c r="J123" s="316">
        <v>41856.493750000001</v>
      </c>
      <c r="K123" s="347">
        <v>41857.493750000001</v>
      </c>
      <c r="L123" s="347" t="s">
        <v>377</v>
      </c>
      <c r="M123" s="348" t="s">
        <v>378</v>
      </c>
      <c r="N123" s="348" t="s">
        <v>388</v>
      </c>
      <c r="O123" s="348" t="s">
        <v>175</v>
      </c>
      <c r="P123" s="349">
        <v>5.6770186335403698</v>
      </c>
      <c r="Q123" s="321">
        <f t="shared" si="7"/>
        <v>1</v>
      </c>
      <c r="R123" s="318">
        <f t="shared" si="8"/>
        <v>41856</v>
      </c>
      <c r="S123" s="318">
        <f t="shared" si="9"/>
        <v>41857</v>
      </c>
    </row>
    <row r="124" spans="3:19" ht="27.75" customHeight="1">
      <c r="C124" s="345" t="s">
        <v>98</v>
      </c>
      <c r="D124" s="345" t="s">
        <v>373</v>
      </c>
      <c r="E124" s="345" t="s">
        <v>374</v>
      </c>
      <c r="F124" s="345" t="s">
        <v>375</v>
      </c>
      <c r="G124" s="346" t="s">
        <v>376</v>
      </c>
      <c r="H124" s="345" t="s">
        <v>5</v>
      </c>
      <c r="I124" s="345" t="s">
        <v>58</v>
      </c>
      <c r="J124" s="316">
        <v>41856.488888888889</v>
      </c>
      <c r="K124" s="347">
        <v>41868.488888888889</v>
      </c>
      <c r="L124" s="347" t="s">
        <v>377</v>
      </c>
      <c r="M124" s="348" t="s">
        <v>378</v>
      </c>
      <c r="N124" s="348" t="s">
        <v>388</v>
      </c>
      <c r="O124" s="348" t="s">
        <v>177</v>
      </c>
      <c r="P124" s="349">
        <v>5.7097684923771901</v>
      </c>
      <c r="Q124" s="321">
        <f t="shared" si="7"/>
        <v>12</v>
      </c>
      <c r="R124" s="318">
        <f t="shared" si="8"/>
        <v>41856</v>
      </c>
      <c r="S124" s="318">
        <f t="shared" si="9"/>
        <v>41868</v>
      </c>
    </row>
    <row r="125" spans="3:19" ht="27.75" customHeight="1">
      <c r="C125" s="345" t="s">
        <v>98</v>
      </c>
      <c r="D125" s="345" t="s">
        <v>373</v>
      </c>
      <c r="E125" s="345" t="s">
        <v>374</v>
      </c>
      <c r="F125" s="345" t="s">
        <v>375</v>
      </c>
      <c r="G125" s="346" t="s">
        <v>376</v>
      </c>
      <c r="H125" s="345" t="s">
        <v>5</v>
      </c>
      <c r="I125" s="345" t="s">
        <v>58</v>
      </c>
      <c r="J125" s="316">
        <v>41856.465277777781</v>
      </c>
      <c r="K125" s="347">
        <v>41860.465277777781</v>
      </c>
      <c r="L125" s="347" t="s">
        <v>377</v>
      </c>
      <c r="M125" s="348" t="s">
        <v>378</v>
      </c>
      <c r="N125" s="348" t="s">
        <v>388</v>
      </c>
      <c r="O125" s="348" t="s">
        <v>177</v>
      </c>
      <c r="P125" s="349">
        <v>5.7425183512140103</v>
      </c>
      <c r="Q125" s="321">
        <f t="shared" si="7"/>
        <v>4</v>
      </c>
      <c r="R125" s="318">
        <f t="shared" si="8"/>
        <v>41856</v>
      </c>
      <c r="S125" s="318">
        <f t="shared" si="9"/>
        <v>41860</v>
      </c>
    </row>
    <row r="126" spans="3:19" ht="27.75" customHeight="1">
      <c r="C126" s="345" t="s">
        <v>98</v>
      </c>
      <c r="D126" s="345" t="s">
        <v>373</v>
      </c>
      <c r="E126" s="345" t="s">
        <v>374</v>
      </c>
      <c r="F126" s="345" t="s">
        <v>375</v>
      </c>
      <c r="G126" s="346" t="s">
        <v>376</v>
      </c>
      <c r="H126" s="345" t="s">
        <v>5</v>
      </c>
      <c r="I126" s="345" t="s">
        <v>59</v>
      </c>
      <c r="J126" s="316">
        <v>41855.853472222225</v>
      </c>
      <c r="K126" s="347">
        <v>41857.853472222225</v>
      </c>
      <c r="L126" s="347" t="s">
        <v>377</v>
      </c>
      <c r="M126" s="348" t="s">
        <v>378</v>
      </c>
      <c r="N126" s="348" t="s">
        <v>388</v>
      </c>
      <c r="O126" s="348" t="s">
        <v>175</v>
      </c>
      <c r="P126" s="349">
        <v>5.7752682100508199</v>
      </c>
      <c r="Q126" s="321">
        <f t="shared" si="7"/>
        <v>2</v>
      </c>
      <c r="R126" s="318">
        <f t="shared" si="8"/>
        <v>41855</v>
      </c>
      <c r="S126" s="318">
        <f t="shared" si="9"/>
        <v>41857</v>
      </c>
    </row>
    <row r="127" spans="3:19" ht="27.75" customHeight="1">
      <c r="C127" s="345" t="s">
        <v>98</v>
      </c>
      <c r="D127" s="345" t="s">
        <v>373</v>
      </c>
      <c r="E127" s="345" t="s">
        <v>374</v>
      </c>
      <c r="F127" s="345" t="s">
        <v>375</v>
      </c>
      <c r="G127" s="346" t="s">
        <v>376</v>
      </c>
      <c r="H127" s="345" t="s">
        <v>14</v>
      </c>
      <c r="I127" s="345" t="s">
        <v>60</v>
      </c>
      <c r="J127" s="316">
        <v>41855.848611111112</v>
      </c>
      <c r="K127" s="347"/>
      <c r="L127" s="347" t="s">
        <v>377</v>
      </c>
      <c r="M127" s="348" t="s">
        <v>378</v>
      </c>
      <c r="N127" s="348" t="s">
        <v>388</v>
      </c>
      <c r="O127" s="348" t="s">
        <v>175</v>
      </c>
      <c r="P127" s="349">
        <v>5.8080180688876402</v>
      </c>
      <c r="Q127" s="321" t="str">
        <f t="shared" si="7"/>
        <v/>
      </c>
      <c r="R127" s="318">
        <f t="shared" si="8"/>
        <v>41855</v>
      </c>
      <c r="S127" s="318" t="str">
        <f t="shared" si="9"/>
        <v/>
      </c>
    </row>
    <row r="128" spans="3:19" ht="27.75" customHeight="1">
      <c r="C128" s="345" t="s">
        <v>98</v>
      </c>
      <c r="D128" s="345" t="s">
        <v>373</v>
      </c>
      <c r="E128" s="345" t="s">
        <v>374</v>
      </c>
      <c r="F128" s="345" t="s">
        <v>375</v>
      </c>
      <c r="G128" s="346" t="s">
        <v>376</v>
      </c>
      <c r="H128" s="345" t="s">
        <v>5</v>
      </c>
      <c r="I128" s="345" t="s">
        <v>59</v>
      </c>
      <c r="J128" s="316">
        <v>41855.838194444441</v>
      </c>
      <c r="K128" s="347">
        <v>41857.838194444441</v>
      </c>
      <c r="L128" s="347" t="s">
        <v>377</v>
      </c>
      <c r="M128" s="348" t="s">
        <v>378</v>
      </c>
      <c r="N128" s="348" t="s">
        <v>388</v>
      </c>
      <c r="O128" s="348" t="s">
        <v>175</v>
      </c>
      <c r="P128" s="349">
        <v>5.8407679277244497</v>
      </c>
      <c r="Q128" s="321">
        <f t="shared" si="7"/>
        <v>2</v>
      </c>
      <c r="R128" s="318">
        <f t="shared" si="8"/>
        <v>41855</v>
      </c>
      <c r="S128" s="318">
        <f t="shared" si="9"/>
        <v>41857</v>
      </c>
    </row>
    <row r="129" spans="3:19" ht="27.75" customHeight="1">
      <c r="C129" s="345" t="s">
        <v>98</v>
      </c>
      <c r="D129" s="345" t="s">
        <v>373</v>
      </c>
      <c r="E129" s="345" t="s">
        <v>374</v>
      </c>
      <c r="F129" s="345" t="s">
        <v>375</v>
      </c>
      <c r="G129" s="346" t="s">
        <v>376</v>
      </c>
      <c r="H129" s="345" t="s">
        <v>14</v>
      </c>
      <c r="I129" s="345" t="s">
        <v>60</v>
      </c>
      <c r="J129" s="316">
        <v>41855.81527777778</v>
      </c>
      <c r="K129" s="347"/>
      <c r="L129" s="347" t="s">
        <v>377</v>
      </c>
      <c r="M129" s="348" t="s">
        <v>378</v>
      </c>
      <c r="N129" s="348" t="s">
        <v>388</v>
      </c>
      <c r="O129" s="348" t="s">
        <v>177</v>
      </c>
      <c r="P129" s="349">
        <v>5.87351778656127</v>
      </c>
      <c r="Q129" s="321" t="str">
        <f t="shared" si="7"/>
        <v/>
      </c>
      <c r="R129" s="318">
        <f t="shared" si="8"/>
        <v>41855</v>
      </c>
      <c r="S129" s="318" t="str">
        <f t="shared" si="9"/>
        <v/>
      </c>
    </row>
    <row r="130" spans="3:19" ht="27.75" customHeight="1">
      <c r="C130" s="345" t="s">
        <v>98</v>
      </c>
      <c r="D130" s="345" t="s">
        <v>373</v>
      </c>
      <c r="E130" s="345" t="s">
        <v>374</v>
      </c>
      <c r="F130" s="345" t="s">
        <v>375</v>
      </c>
      <c r="G130" s="346" t="s">
        <v>376</v>
      </c>
      <c r="H130" s="339" t="s">
        <v>14</v>
      </c>
      <c r="I130" s="345" t="s">
        <v>59</v>
      </c>
      <c r="J130" s="316">
        <v>41855.811111111114</v>
      </c>
      <c r="K130" s="347"/>
      <c r="L130" s="347" t="s">
        <v>377</v>
      </c>
      <c r="M130" s="348" t="s">
        <v>378</v>
      </c>
      <c r="N130" s="348" t="s">
        <v>388</v>
      </c>
      <c r="O130" s="348" t="s">
        <v>177</v>
      </c>
      <c r="P130" s="349">
        <v>5.9062676453980796</v>
      </c>
      <c r="Q130" s="321" t="str">
        <f t="shared" si="7"/>
        <v/>
      </c>
      <c r="R130" s="318">
        <f t="shared" si="8"/>
        <v>41855</v>
      </c>
      <c r="S130" s="318" t="str">
        <f t="shared" si="9"/>
        <v/>
      </c>
    </row>
    <row r="131" spans="3:19" ht="27.75" customHeight="1">
      <c r="C131" s="345" t="s">
        <v>98</v>
      </c>
      <c r="D131" s="345" t="s">
        <v>373</v>
      </c>
      <c r="E131" s="345" t="s">
        <v>374</v>
      </c>
      <c r="F131" s="345" t="s">
        <v>375</v>
      </c>
      <c r="G131" s="346" t="s">
        <v>376</v>
      </c>
      <c r="H131" s="345" t="s">
        <v>5</v>
      </c>
      <c r="I131" s="345" t="s">
        <v>59</v>
      </c>
      <c r="J131" s="316">
        <v>41855.804166666669</v>
      </c>
      <c r="K131" s="347">
        <v>41858.804166666669</v>
      </c>
      <c r="L131" s="347" t="s">
        <v>377</v>
      </c>
      <c r="M131" s="348" t="s">
        <v>378</v>
      </c>
      <c r="N131" s="348" t="s">
        <v>388</v>
      </c>
      <c r="O131" s="348" t="s">
        <v>177</v>
      </c>
      <c r="P131" s="349">
        <v>5.9390175042348998</v>
      </c>
      <c r="Q131" s="321">
        <f t="shared" si="7"/>
        <v>3</v>
      </c>
      <c r="R131" s="318">
        <f t="shared" si="8"/>
        <v>41855</v>
      </c>
      <c r="S131" s="318">
        <f t="shared" si="9"/>
        <v>41858</v>
      </c>
    </row>
    <row r="132" spans="3:19" ht="27.75" customHeight="1">
      <c r="C132" s="345" t="s">
        <v>98</v>
      </c>
      <c r="D132" s="345" t="s">
        <v>373</v>
      </c>
      <c r="E132" s="345" t="s">
        <v>374</v>
      </c>
      <c r="F132" s="345" t="s">
        <v>375</v>
      </c>
      <c r="G132" s="346" t="s">
        <v>376</v>
      </c>
      <c r="H132" s="345" t="s">
        <v>14</v>
      </c>
      <c r="I132" s="345" t="s">
        <v>60</v>
      </c>
      <c r="J132" s="316">
        <v>41855.785416666666</v>
      </c>
      <c r="K132" s="347"/>
      <c r="L132" s="347" t="s">
        <v>188</v>
      </c>
      <c r="M132" s="348" t="s">
        <v>378</v>
      </c>
      <c r="N132" s="348" t="s">
        <v>388</v>
      </c>
      <c r="O132" s="348" t="s">
        <v>177</v>
      </c>
      <c r="P132" s="349">
        <v>5.9717673630717103</v>
      </c>
      <c r="Q132" s="321" t="str">
        <f t="shared" si="7"/>
        <v/>
      </c>
      <c r="R132" s="318">
        <f t="shared" si="8"/>
        <v>41855</v>
      </c>
      <c r="S132" s="318" t="str">
        <f t="shared" si="9"/>
        <v/>
      </c>
    </row>
    <row r="133" spans="3:19" ht="27.75" customHeight="1">
      <c r="C133" s="345" t="s">
        <v>98</v>
      </c>
      <c r="D133" s="345" t="s">
        <v>373</v>
      </c>
      <c r="E133" s="345" t="s">
        <v>374</v>
      </c>
      <c r="F133" s="345" t="s">
        <v>375</v>
      </c>
      <c r="G133" s="346" t="s">
        <v>376</v>
      </c>
      <c r="H133" s="339" t="s">
        <v>14</v>
      </c>
      <c r="I133" s="345" t="s">
        <v>59</v>
      </c>
      <c r="J133" s="316">
        <v>41855.671527777777</v>
      </c>
      <c r="K133" s="347"/>
      <c r="L133" s="347" t="s">
        <v>377</v>
      </c>
      <c r="M133" s="348" t="s">
        <v>378</v>
      </c>
      <c r="N133" s="348" t="s">
        <v>388</v>
      </c>
      <c r="O133" s="348" t="s">
        <v>177</v>
      </c>
      <c r="P133" s="349">
        <v>6.0045172219085297</v>
      </c>
      <c r="Q133" s="321" t="str">
        <f t="shared" si="7"/>
        <v/>
      </c>
      <c r="R133" s="318">
        <f t="shared" si="8"/>
        <v>41855</v>
      </c>
      <c r="S133" s="318" t="str">
        <f t="shared" si="9"/>
        <v/>
      </c>
    </row>
    <row r="134" spans="3:19" ht="27.75" customHeight="1">
      <c r="C134" s="345" t="s">
        <v>98</v>
      </c>
      <c r="D134" s="345" t="s">
        <v>373</v>
      </c>
      <c r="E134" s="345" t="s">
        <v>374</v>
      </c>
      <c r="F134" s="345" t="s">
        <v>408</v>
      </c>
      <c r="G134" s="346" t="s">
        <v>376</v>
      </c>
      <c r="H134" s="345" t="s">
        <v>140</v>
      </c>
      <c r="I134" s="345" t="s">
        <v>59</v>
      </c>
      <c r="J134" s="316">
        <v>41855.665277777778</v>
      </c>
      <c r="K134" s="347"/>
      <c r="L134" s="347" t="s">
        <v>377</v>
      </c>
      <c r="M134" s="348" t="s">
        <v>378</v>
      </c>
      <c r="N134" s="348" t="s">
        <v>388</v>
      </c>
      <c r="O134" s="348" t="s">
        <v>177</v>
      </c>
      <c r="P134" s="349">
        <v>6.0372670807453401</v>
      </c>
      <c r="Q134" s="321" t="str">
        <f t="shared" si="7"/>
        <v/>
      </c>
      <c r="R134" s="318">
        <f t="shared" si="8"/>
        <v>41855</v>
      </c>
      <c r="S134" s="318" t="str">
        <f t="shared" si="9"/>
        <v/>
      </c>
    </row>
    <row r="135" spans="3:19" ht="27.75" customHeight="1">
      <c r="C135" s="345" t="s">
        <v>98</v>
      </c>
      <c r="D135" s="345" t="s">
        <v>373</v>
      </c>
      <c r="E135" s="345" t="s">
        <v>374</v>
      </c>
      <c r="F135" s="345" t="s">
        <v>407</v>
      </c>
      <c r="G135" s="346" t="s">
        <v>376</v>
      </c>
      <c r="H135" s="345" t="s">
        <v>140</v>
      </c>
      <c r="I135" s="345" t="s">
        <v>59</v>
      </c>
      <c r="J135" s="316">
        <v>41855.663194444445</v>
      </c>
      <c r="K135" s="347"/>
      <c r="L135" s="347" t="s">
        <v>377</v>
      </c>
      <c r="M135" s="348" t="s">
        <v>378</v>
      </c>
      <c r="N135" s="348" t="s">
        <v>388</v>
      </c>
      <c r="O135" s="348" t="s">
        <v>175</v>
      </c>
      <c r="P135" s="349">
        <v>6.0700169395821604</v>
      </c>
      <c r="Q135" s="321" t="str">
        <f t="shared" si="7"/>
        <v/>
      </c>
      <c r="R135" s="318">
        <f t="shared" si="8"/>
        <v>41855</v>
      </c>
      <c r="S135" s="318" t="str">
        <f t="shared" si="9"/>
        <v/>
      </c>
    </row>
    <row r="136" spans="3:19" ht="27.75" customHeight="1">
      <c r="C136" s="345" t="s">
        <v>98</v>
      </c>
      <c r="D136" s="345" t="s">
        <v>373</v>
      </c>
      <c r="E136" s="345" t="s">
        <v>374</v>
      </c>
      <c r="F136" s="345" t="s">
        <v>407</v>
      </c>
      <c r="G136" s="346" t="s">
        <v>376</v>
      </c>
      <c r="H136" s="345" t="s">
        <v>391</v>
      </c>
      <c r="I136" s="345" t="s">
        <v>59</v>
      </c>
      <c r="J136" s="316">
        <v>41855.661111111112</v>
      </c>
      <c r="K136" s="347"/>
      <c r="L136" s="347" t="s">
        <v>377</v>
      </c>
      <c r="M136" s="348" t="s">
        <v>378</v>
      </c>
      <c r="N136" s="348" t="s">
        <v>388</v>
      </c>
      <c r="O136" s="348" t="s">
        <v>175</v>
      </c>
      <c r="P136" s="349">
        <v>6.1027667984189797</v>
      </c>
      <c r="Q136" s="321" t="str">
        <f t="shared" si="7"/>
        <v/>
      </c>
      <c r="R136" s="318">
        <f t="shared" si="8"/>
        <v>41855</v>
      </c>
      <c r="S136" s="318" t="str">
        <f t="shared" si="9"/>
        <v/>
      </c>
    </row>
    <row r="137" spans="3:19" ht="27.75" customHeight="1">
      <c r="C137" s="345" t="s">
        <v>98</v>
      </c>
      <c r="D137" s="345" t="s">
        <v>373</v>
      </c>
      <c r="E137" s="345" t="s">
        <v>374</v>
      </c>
      <c r="F137" s="345" t="s">
        <v>375</v>
      </c>
      <c r="G137" s="346" t="s">
        <v>376</v>
      </c>
      <c r="H137" s="345" t="s">
        <v>5</v>
      </c>
      <c r="I137" s="345" t="s">
        <v>59</v>
      </c>
      <c r="J137" s="316">
        <v>41855.65902777778</v>
      </c>
      <c r="K137" s="347">
        <v>41857.65902777778</v>
      </c>
      <c r="L137" s="347" t="s">
        <v>377</v>
      </c>
      <c r="M137" s="348" t="s">
        <v>378</v>
      </c>
      <c r="N137" s="348" t="s">
        <v>388</v>
      </c>
      <c r="O137" s="348" t="s">
        <v>175</v>
      </c>
      <c r="P137" s="349">
        <v>6.1355166572557902</v>
      </c>
      <c r="Q137" s="321">
        <f t="shared" si="7"/>
        <v>2</v>
      </c>
      <c r="R137" s="318">
        <f t="shared" si="8"/>
        <v>41855</v>
      </c>
      <c r="S137" s="318">
        <f t="shared" si="9"/>
        <v>41857</v>
      </c>
    </row>
    <row r="138" spans="3:19" ht="27.75" customHeight="1">
      <c r="C138" s="345" t="s">
        <v>98</v>
      </c>
      <c r="D138" s="345" t="s">
        <v>373</v>
      </c>
      <c r="E138" s="345" t="s">
        <v>374</v>
      </c>
      <c r="F138" s="345" t="s">
        <v>375</v>
      </c>
      <c r="G138" s="346" t="s">
        <v>376</v>
      </c>
      <c r="H138" s="345" t="s">
        <v>5</v>
      </c>
      <c r="I138" s="345" t="s">
        <v>59</v>
      </c>
      <c r="J138" s="316">
        <v>41855.656944444447</v>
      </c>
      <c r="K138" s="347">
        <v>41859.656944444447</v>
      </c>
      <c r="L138" s="347" t="s">
        <v>377</v>
      </c>
      <c r="M138" s="348" t="s">
        <v>378</v>
      </c>
      <c r="N138" s="348" t="s">
        <v>388</v>
      </c>
      <c r="O138" s="348" t="s">
        <v>175</v>
      </c>
      <c r="P138" s="349">
        <v>6.1682665160926096</v>
      </c>
      <c r="Q138" s="321">
        <f t="shared" si="7"/>
        <v>4</v>
      </c>
      <c r="R138" s="318">
        <f t="shared" si="8"/>
        <v>41855</v>
      </c>
      <c r="S138" s="318">
        <f t="shared" si="9"/>
        <v>41859</v>
      </c>
    </row>
    <row r="139" spans="3:19" ht="27.75" customHeight="1">
      <c r="C139" s="345" t="s">
        <v>98</v>
      </c>
      <c r="D139" s="345" t="s">
        <v>373</v>
      </c>
      <c r="E139" s="345" t="s">
        <v>374</v>
      </c>
      <c r="F139" s="345" t="s">
        <v>375</v>
      </c>
      <c r="G139" s="346" t="s">
        <v>376</v>
      </c>
      <c r="H139" s="345" t="s">
        <v>5</v>
      </c>
      <c r="I139" s="345" t="s">
        <v>59</v>
      </c>
      <c r="J139" s="316">
        <v>41855.654166666667</v>
      </c>
      <c r="K139" s="347">
        <v>41859.654166666667</v>
      </c>
      <c r="L139" s="347" t="s">
        <v>377</v>
      </c>
      <c r="M139" s="348" t="s">
        <v>378</v>
      </c>
      <c r="N139" s="348" t="s">
        <v>388</v>
      </c>
      <c r="O139" s="348" t="s">
        <v>175</v>
      </c>
      <c r="P139" s="349">
        <v>6.20101637492942</v>
      </c>
      <c r="Q139" s="321">
        <f t="shared" si="7"/>
        <v>4</v>
      </c>
      <c r="R139" s="318">
        <f t="shared" si="8"/>
        <v>41855</v>
      </c>
      <c r="S139" s="318">
        <f t="shared" si="9"/>
        <v>41859</v>
      </c>
    </row>
    <row r="140" spans="3:19" ht="27.75" customHeight="1">
      <c r="C140" s="345" t="s">
        <v>98</v>
      </c>
      <c r="D140" s="345" t="s">
        <v>373</v>
      </c>
      <c r="E140" s="345" t="s">
        <v>374</v>
      </c>
      <c r="F140" s="345" t="s">
        <v>375</v>
      </c>
      <c r="G140" s="346" t="s">
        <v>376</v>
      </c>
      <c r="H140" s="345" t="s">
        <v>5</v>
      </c>
      <c r="I140" s="345" t="s">
        <v>59</v>
      </c>
      <c r="J140" s="316">
        <v>41855.652083333334</v>
      </c>
      <c r="K140" s="347">
        <v>41857.652083333334</v>
      </c>
      <c r="L140" s="347" t="s">
        <v>377</v>
      </c>
      <c r="M140" s="348" t="s">
        <v>378</v>
      </c>
      <c r="N140" s="348" t="s">
        <v>388</v>
      </c>
      <c r="O140" s="348" t="s">
        <v>175</v>
      </c>
      <c r="P140" s="349">
        <v>6.2337662337662403</v>
      </c>
      <c r="Q140" s="321">
        <f t="shared" si="7"/>
        <v>2</v>
      </c>
      <c r="R140" s="318">
        <f t="shared" si="8"/>
        <v>41855</v>
      </c>
      <c r="S140" s="318">
        <f t="shared" si="9"/>
        <v>41857</v>
      </c>
    </row>
    <row r="141" spans="3:19" ht="27.75" customHeight="1">
      <c r="C141" s="345" t="s">
        <v>98</v>
      </c>
      <c r="D141" s="345" t="s">
        <v>373</v>
      </c>
      <c r="E141" s="345" t="s">
        <v>374</v>
      </c>
      <c r="F141" s="345" t="s">
        <v>407</v>
      </c>
      <c r="G141" s="346" t="s">
        <v>376</v>
      </c>
      <c r="H141" s="339" t="s">
        <v>14</v>
      </c>
      <c r="I141" s="345" t="s">
        <v>58</v>
      </c>
      <c r="J141" s="316">
        <v>41855.624305555553</v>
      </c>
      <c r="K141" s="347"/>
      <c r="L141" s="347" t="s">
        <v>377</v>
      </c>
      <c r="M141" s="348" t="s">
        <v>378</v>
      </c>
      <c r="N141" s="348" t="s">
        <v>388</v>
      </c>
      <c r="O141" s="348" t="s">
        <v>175</v>
      </c>
      <c r="P141" s="349">
        <v>6.2665160926030499</v>
      </c>
      <c r="Q141" s="321" t="str">
        <f t="shared" si="7"/>
        <v/>
      </c>
      <c r="R141" s="318">
        <f t="shared" si="8"/>
        <v>41855</v>
      </c>
      <c r="S141" s="318" t="str">
        <f t="shared" si="9"/>
        <v/>
      </c>
    </row>
    <row r="142" spans="3:19" ht="27.75" customHeight="1">
      <c r="C142" s="345" t="s">
        <v>98</v>
      </c>
      <c r="D142" s="345" t="s">
        <v>373</v>
      </c>
      <c r="E142" s="345" t="s">
        <v>374</v>
      </c>
      <c r="F142" s="345" t="s">
        <v>375</v>
      </c>
      <c r="G142" s="346" t="s">
        <v>376</v>
      </c>
      <c r="H142" s="339" t="s">
        <v>14</v>
      </c>
      <c r="I142" s="345" t="s">
        <v>58</v>
      </c>
      <c r="J142" s="316">
        <v>41855.62222222222</v>
      </c>
      <c r="K142" s="347"/>
      <c r="L142" s="347" t="s">
        <v>188</v>
      </c>
      <c r="M142" s="348" t="s">
        <v>378</v>
      </c>
      <c r="N142" s="348" t="s">
        <v>388</v>
      </c>
      <c r="O142" s="348" t="s">
        <v>175</v>
      </c>
      <c r="P142" s="349">
        <v>6.2992659514398701</v>
      </c>
      <c r="Q142" s="321" t="str">
        <f t="shared" si="7"/>
        <v/>
      </c>
      <c r="R142" s="318">
        <f t="shared" si="8"/>
        <v>41855</v>
      </c>
      <c r="S142" s="318" t="str">
        <f t="shared" si="9"/>
        <v/>
      </c>
    </row>
    <row r="143" spans="3:19" ht="27.75" customHeight="1">
      <c r="C143" s="345" t="s">
        <v>98</v>
      </c>
      <c r="D143" s="345" t="s">
        <v>373</v>
      </c>
      <c r="E143" s="345" t="s">
        <v>374</v>
      </c>
      <c r="F143" s="345" t="s">
        <v>375</v>
      </c>
      <c r="G143" s="346" t="s">
        <v>376</v>
      </c>
      <c r="H143" s="339" t="s">
        <v>14</v>
      </c>
      <c r="I143" s="345" t="s">
        <v>59</v>
      </c>
      <c r="J143" s="316">
        <v>41855.595138888886</v>
      </c>
      <c r="K143" s="347"/>
      <c r="L143" s="347" t="s">
        <v>377</v>
      </c>
      <c r="M143" s="348" t="s">
        <v>378</v>
      </c>
      <c r="N143" s="348" t="s">
        <v>388</v>
      </c>
      <c r="O143" s="348" t="s">
        <v>175</v>
      </c>
      <c r="P143" s="349">
        <v>6.3320158102766797</v>
      </c>
      <c r="Q143" s="321" t="str">
        <f t="shared" si="7"/>
        <v/>
      </c>
      <c r="R143" s="318">
        <f t="shared" si="8"/>
        <v>41855</v>
      </c>
      <c r="S143" s="318" t="str">
        <f t="shared" si="9"/>
        <v/>
      </c>
    </row>
    <row r="144" spans="3:19" ht="27.75" customHeight="1">
      <c r="C144" s="345" t="s">
        <v>98</v>
      </c>
      <c r="D144" s="345" t="s">
        <v>373</v>
      </c>
      <c r="E144" s="345" t="s">
        <v>374</v>
      </c>
      <c r="F144" s="345" t="s">
        <v>375</v>
      </c>
      <c r="G144" s="346" t="s">
        <v>376</v>
      </c>
      <c r="H144" s="345" t="s">
        <v>14</v>
      </c>
      <c r="I144" s="345" t="s">
        <v>60</v>
      </c>
      <c r="J144" s="316">
        <v>41855.591666666667</v>
      </c>
      <c r="K144" s="347"/>
      <c r="L144" s="347" t="s">
        <v>377</v>
      </c>
      <c r="M144" s="348" t="s">
        <v>378</v>
      </c>
      <c r="N144" s="348" t="s">
        <v>388</v>
      </c>
      <c r="O144" s="348" t="s">
        <v>175</v>
      </c>
      <c r="P144" s="349">
        <v>6.3647656691134999</v>
      </c>
      <c r="Q144" s="321" t="str">
        <f t="shared" si="7"/>
        <v/>
      </c>
      <c r="R144" s="318">
        <f t="shared" si="8"/>
        <v>41855</v>
      </c>
      <c r="S144" s="318" t="str">
        <f t="shared" si="9"/>
        <v/>
      </c>
    </row>
    <row r="145" spans="3:19" ht="27.75" customHeight="1">
      <c r="C145" s="345" t="s">
        <v>98</v>
      </c>
      <c r="D145" s="345" t="s">
        <v>373</v>
      </c>
      <c r="E145" s="345" t="s">
        <v>374</v>
      </c>
      <c r="F145" s="345" t="s">
        <v>375</v>
      </c>
      <c r="G145" s="346" t="s">
        <v>376</v>
      </c>
      <c r="H145" s="345" t="s">
        <v>14</v>
      </c>
      <c r="I145" s="345" t="s">
        <v>60</v>
      </c>
      <c r="J145" s="316">
        <v>41855.558333333334</v>
      </c>
      <c r="K145" s="347"/>
      <c r="L145" s="347" t="s">
        <v>377</v>
      </c>
      <c r="M145" s="348" t="s">
        <v>378</v>
      </c>
      <c r="N145" s="348" t="s">
        <v>388</v>
      </c>
      <c r="O145" s="348" t="s">
        <v>175</v>
      </c>
      <c r="P145" s="349">
        <v>6.3975155279503104</v>
      </c>
      <c r="Q145" s="321" t="str">
        <f t="shared" si="7"/>
        <v/>
      </c>
      <c r="R145" s="318">
        <f t="shared" si="8"/>
        <v>41855</v>
      </c>
      <c r="S145" s="318" t="str">
        <f t="shared" si="9"/>
        <v/>
      </c>
    </row>
    <row r="146" spans="3:19" ht="27.75" customHeight="1">
      <c r="C146" s="345" t="s">
        <v>98</v>
      </c>
      <c r="D146" s="345" t="s">
        <v>373</v>
      </c>
      <c r="E146" s="345" t="s">
        <v>374</v>
      </c>
      <c r="F146" s="345" t="s">
        <v>375</v>
      </c>
      <c r="G146" s="346" t="s">
        <v>376</v>
      </c>
      <c r="H146" s="345" t="s">
        <v>14</v>
      </c>
      <c r="I146" s="345" t="s">
        <v>61</v>
      </c>
      <c r="J146" s="316">
        <v>41855.54583333333</v>
      </c>
      <c r="K146" s="347"/>
      <c r="L146" s="347" t="s">
        <v>377</v>
      </c>
      <c r="M146" s="348" t="s">
        <v>378</v>
      </c>
      <c r="N146" s="348" t="s">
        <v>388</v>
      </c>
      <c r="O146" s="348" t="s">
        <v>177</v>
      </c>
      <c r="P146" s="349">
        <v>6.4302653867871298</v>
      </c>
      <c r="Q146" s="321" t="str">
        <f t="shared" si="7"/>
        <v/>
      </c>
      <c r="R146" s="318">
        <f t="shared" si="8"/>
        <v>41855</v>
      </c>
      <c r="S146" s="318" t="str">
        <f t="shared" si="9"/>
        <v/>
      </c>
    </row>
    <row r="147" spans="3:19" ht="27.75" customHeight="1">
      <c r="C147" s="345" t="s">
        <v>98</v>
      </c>
      <c r="D147" s="345" t="s">
        <v>373</v>
      </c>
      <c r="E147" s="345" t="s">
        <v>374</v>
      </c>
      <c r="F147" s="345" t="s">
        <v>375</v>
      </c>
      <c r="G147" s="346" t="s">
        <v>376</v>
      </c>
      <c r="H147" s="345" t="s">
        <v>14</v>
      </c>
      <c r="I147" s="345" t="s">
        <v>60</v>
      </c>
      <c r="J147" s="316">
        <v>41855.537499999999</v>
      </c>
      <c r="K147" s="347"/>
      <c r="L147" s="347" t="s">
        <v>377</v>
      </c>
      <c r="M147" s="348" t="s">
        <v>378</v>
      </c>
      <c r="N147" s="348" t="s">
        <v>388</v>
      </c>
      <c r="O147" s="348" t="s">
        <v>177</v>
      </c>
      <c r="P147" s="349">
        <v>6.4630152456239403</v>
      </c>
      <c r="Q147" s="321" t="str">
        <f t="shared" si="7"/>
        <v/>
      </c>
      <c r="R147" s="318">
        <f t="shared" si="8"/>
        <v>41855</v>
      </c>
      <c r="S147" s="318" t="str">
        <f t="shared" si="9"/>
        <v/>
      </c>
    </row>
    <row r="148" spans="3:19" ht="27.75" customHeight="1">
      <c r="C148" s="345" t="s">
        <v>98</v>
      </c>
      <c r="D148" s="345" t="s">
        <v>373</v>
      </c>
      <c r="E148" s="345" t="s">
        <v>374</v>
      </c>
      <c r="F148" s="345" t="s">
        <v>375</v>
      </c>
      <c r="G148" s="346" t="s">
        <v>376</v>
      </c>
      <c r="H148" s="345" t="s">
        <v>5</v>
      </c>
      <c r="I148" s="345" t="s">
        <v>59</v>
      </c>
      <c r="J148" s="316">
        <v>41855.512499999997</v>
      </c>
      <c r="K148" s="347">
        <v>41858.512499999997</v>
      </c>
      <c r="L148" s="347" t="s">
        <v>377</v>
      </c>
      <c r="M148" s="348" t="s">
        <v>378</v>
      </c>
      <c r="N148" s="348" t="s">
        <v>388</v>
      </c>
      <c r="O148" s="348" t="s">
        <v>175</v>
      </c>
      <c r="P148" s="349">
        <v>6.4957651044607596</v>
      </c>
      <c r="Q148" s="321">
        <f t="shared" si="7"/>
        <v>3</v>
      </c>
      <c r="R148" s="318">
        <f t="shared" si="8"/>
        <v>41855</v>
      </c>
      <c r="S148" s="318">
        <f t="shared" si="9"/>
        <v>41858</v>
      </c>
    </row>
    <row r="149" spans="3:19" ht="27.75" customHeight="1">
      <c r="C149" s="345" t="s">
        <v>98</v>
      </c>
      <c r="D149" s="345" t="s">
        <v>373</v>
      </c>
      <c r="E149" s="345" t="s">
        <v>374</v>
      </c>
      <c r="F149" s="345" t="s">
        <v>375</v>
      </c>
      <c r="G149" s="346" t="s">
        <v>376</v>
      </c>
      <c r="H149" s="339" t="s">
        <v>14</v>
      </c>
      <c r="I149" s="345" t="s">
        <v>58</v>
      </c>
      <c r="J149" s="316">
        <v>41855.502083333333</v>
      </c>
      <c r="K149" s="347"/>
      <c r="L149" s="347" t="s">
        <v>377</v>
      </c>
      <c r="M149" s="348" t="s">
        <v>378</v>
      </c>
      <c r="N149" s="348" t="s">
        <v>388</v>
      </c>
      <c r="O149" s="348" t="s">
        <v>175</v>
      </c>
      <c r="P149" s="349">
        <v>6.5285149632975701</v>
      </c>
      <c r="Q149" s="321" t="str">
        <f t="shared" si="7"/>
        <v/>
      </c>
      <c r="R149" s="318">
        <f t="shared" si="8"/>
        <v>41855</v>
      </c>
      <c r="S149" s="318" t="str">
        <f t="shared" si="9"/>
        <v/>
      </c>
    </row>
    <row r="150" spans="3:19" ht="27.75" customHeight="1">
      <c r="C150" s="345" t="s">
        <v>98</v>
      </c>
      <c r="D150" s="345" t="s">
        <v>373</v>
      </c>
      <c r="E150" s="345" t="s">
        <v>374</v>
      </c>
      <c r="F150" s="345" t="s">
        <v>375</v>
      </c>
      <c r="G150" s="346" t="s">
        <v>376</v>
      </c>
      <c r="H150" s="345" t="s">
        <v>5</v>
      </c>
      <c r="I150" s="345" t="s">
        <v>58</v>
      </c>
      <c r="J150" s="316">
        <v>41855.384027777778</v>
      </c>
      <c r="K150" s="347">
        <v>41858.384027777778</v>
      </c>
      <c r="L150" s="347" t="s">
        <v>377</v>
      </c>
      <c r="M150" s="348" t="s">
        <v>378</v>
      </c>
      <c r="N150" s="348" t="s">
        <v>388</v>
      </c>
      <c r="O150" s="348" t="s">
        <v>175</v>
      </c>
      <c r="P150" s="349">
        <v>6.5612648221343903</v>
      </c>
      <c r="Q150" s="321">
        <f t="shared" si="7"/>
        <v>3</v>
      </c>
      <c r="R150" s="318">
        <f t="shared" si="8"/>
        <v>41855</v>
      </c>
      <c r="S150" s="318">
        <f t="shared" si="9"/>
        <v>41858</v>
      </c>
    </row>
    <row r="151" spans="3:19" ht="27.75" customHeight="1">
      <c r="C151" s="345" t="s">
        <v>98</v>
      </c>
      <c r="D151" s="345" t="s">
        <v>373</v>
      </c>
      <c r="E151" s="345" t="s">
        <v>374</v>
      </c>
      <c r="F151" s="345" t="s">
        <v>375</v>
      </c>
      <c r="G151" s="346" t="s">
        <v>376</v>
      </c>
      <c r="H151" s="339" t="s">
        <v>14</v>
      </c>
      <c r="I151" s="345" t="s">
        <v>59</v>
      </c>
      <c r="J151" s="316">
        <v>41855.383333333331</v>
      </c>
      <c r="K151" s="347"/>
      <c r="L151" s="347" t="s">
        <v>377</v>
      </c>
      <c r="M151" s="348" t="s">
        <v>378</v>
      </c>
      <c r="N151" s="348" t="s">
        <v>388</v>
      </c>
      <c r="O151" s="348" t="s">
        <v>177</v>
      </c>
      <c r="P151" s="349">
        <v>6.5940146809712097</v>
      </c>
      <c r="Q151" s="321" t="str">
        <f t="shared" si="7"/>
        <v/>
      </c>
      <c r="R151" s="318">
        <f t="shared" si="8"/>
        <v>41855</v>
      </c>
      <c r="S151" s="318" t="str">
        <f t="shared" si="9"/>
        <v/>
      </c>
    </row>
    <row r="152" spans="3:19" ht="27.75" customHeight="1">
      <c r="C152" s="345" t="s">
        <v>98</v>
      </c>
      <c r="D152" s="345" t="s">
        <v>373</v>
      </c>
      <c r="E152" s="345" t="s">
        <v>374</v>
      </c>
      <c r="F152" s="345" t="s">
        <v>375</v>
      </c>
      <c r="G152" s="346" t="s">
        <v>376</v>
      </c>
      <c r="H152" s="345" t="s">
        <v>5</v>
      </c>
      <c r="I152" s="345" t="s">
        <v>60</v>
      </c>
      <c r="J152" s="316">
        <v>41854.911805555559</v>
      </c>
      <c r="K152" s="347">
        <v>41860.911805555559</v>
      </c>
      <c r="L152" s="347" t="s">
        <v>188</v>
      </c>
      <c r="M152" s="348" t="s">
        <v>378</v>
      </c>
      <c r="N152" s="348" t="s">
        <v>388</v>
      </c>
      <c r="O152" s="348" t="s">
        <v>177</v>
      </c>
      <c r="P152" s="349">
        <v>6.6267645398080202</v>
      </c>
      <c r="Q152" s="321">
        <f t="shared" si="7"/>
        <v>6</v>
      </c>
      <c r="R152" s="318">
        <f t="shared" si="8"/>
        <v>41854</v>
      </c>
      <c r="S152" s="318">
        <f t="shared" si="9"/>
        <v>41860</v>
      </c>
    </row>
    <row r="153" spans="3:19" ht="27.75" customHeight="1">
      <c r="C153" s="345" t="s">
        <v>98</v>
      </c>
      <c r="D153" s="345" t="s">
        <v>373</v>
      </c>
      <c r="E153" s="345" t="s">
        <v>374</v>
      </c>
      <c r="F153" s="345" t="s">
        <v>375</v>
      </c>
      <c r="G153" s="346" t="s">
        <v>376</v>
      </c>
      <c r="H153" s="339" t="s">
        <v>14</v>
      </c>
      <c r="I153" s="345" t="s">
        <v>59</v>
      </c>
      <c r="J153" s="316">
        <v>41854.908333333333</v>
      </c>
      <c r="K153" s="347"/>
      <c r="L153" s="347" t="s">
        <v>377</v>
      </c>
      <c r="M153" s="348" t="s">
        <v>378</v>
      </c>
      <c r="N153" s="348" t="s">
        <v>388</v>
      </c>
      <c r="O153" s="348" t="s">
        <v>177</v>
      </c>
      <c r="P153" s="349">
        <v>6.6595143986448404</v>
      </c>
      <c r="Q153" s="321" t="str">
        <f t="shared" si="7"/>
        <v/>
      </c>
      <c r="R153" s="318">
        <f t="shared" si="8"/>
        <v>41854</v>
      </c>
      <c r="S153" s="318" t="str">
        <f t="shared" si="9"/>
        <v/>
      </c>
    </row>
    <row r="154" spans="3:19" ht="27.75" customHeight="1">
      <c r="C154" s="345" t="s">
        <v>98</v>
      </c>
      <c r="D154" s="345" t="s">
        <v>373</v>
      </c>
      <c r="E154" s="345" t="s">
        <v>374</v>
      </c>
      <c r="F154" s="345" t="s">
        <v>375</v>
      </c>
      <c r="G154" s="346" t="s">
        <v>376</v>
      </c>
      <c r="H154" s="339" t="s">
        <v>14</v>
      </c>
      <c r="I154" s="345" t="s">
        <v>59</v>
      </c>
      <c r="J154" s="316">
        <v>41854.904861111114</v>
      </c>
      <c r="K154" s="347"/>
      <c r="L154" s="347" t="s">
        <v>377</v>
      </c>
      <c r="M154" s="348" t="s">
        <v>378</v>
      </c>
      <c r="N154" s="348" t="s">
        <v>388</v>
      </c>
      <c r="O154" s="348" t="s">
        <v>177</v>
      </c>
      <c r="P154" s="349">
        <v>6.69226425748165</v>
      </c>
      <c r="Q154" s="321" t="str">
        <f t="shared" ref="Q154:Q217" si="10">IF(ISERROR(DATEDIF(J154,K154,"D")),"",DATEDIF(J154,K154,"D"))</f>
        <v/>
      </c>
      <c r="R154" s="318">
        <f t="shared" ref="R154:R217" si="11">DATE(YEAR(J154),MONTH(J154),DAY(J154))</f>
        <v>41854</v>
      </c>
      <c r="S154" s="318" t="str">
        <f t="shared" ref="S154:S217" si="12">IF(K154&lt;&gt;"",DATE(YEAR(K154),MONTH(K154),DAY(K154)),"")</f>
        <v/>
      </c>
    </row>
    <row r="155" spans="3:19" ht="27.75" customHeight="1">
      <c r="C155" s="345" t="s">
        <v>98</v>
      </c>
      <c r="D155" s="345" t="s">
        <v>373</v>
      </c>
      <c r="E155" s="345" t="s">
        <v>374</v>
      </c>
      <c r="F155" s="345" t="s">
        <v>375</v>
      </c>
      <c r="G155" s="346" t="s">
        <v>376</v>
      </c>
      <c r="H155" s="345" t="s">
        <v>5</v>
      </c>
      <c r="I155" s="345" t="s">
        <v>59</v>
      </c>
      <c r="J155" s="316">
        <v>41854.902777777781</v>
      </c>
      <c r="K155" s="347">
        <v>41857.902777777781</v>
      </c>
      <c r="L155" s="347" t="s">
        <v>377</v>
      </c>
      <c r="M155" s="348" t="s">
        <v>378</v>
      </c>
      <c r="N155" s="348" t="s">
        <v>388</v>
      </c>
      <c r="O155" s="348" t="s">
        <v>177</v>
      </c>
      <c r="P155" s="349">
        <v>6.7250141163184702</v>
      </c>
      <c r="Q155" s="321">
        <f t="shared" si="10"/>
        <v>3</v>
      </c>
      <c r="R155" s="318">
        <f t="shared" si="11"/>
        <v>41854</v>
      </c>
      <c r="S155" s="318">
        <f t="shared" si="12"/>
        <v>41857</v>
      </c>
    </row>
    <row r="156" spans="3:19" ht="27.75" customHeight="1">
      <c r="C156" s="345" t="s">
        <v>98</v>
      </c>
      <c r="D156" s="345" t="s">
        <v>373</v>
      </c>
      <c r="E156" s="345" t="s">
        <v>374</v>
      </c>
      <c r="F156" s="345" t="s">
        <v>375</v>
      </c>
      <c r="G156" s="346" t="s">
        <v>376</v>
      </c>
      <c r="H156" s="345" t="s">
        <v>5</v>
      </c>
      <c r="I156" s="345" t="s">
        <v>58</v>
      </c>
      <c r="J156" s="316">
        <v>41854.876388888886</v>
      </c>
      <c r="K156" s="347">
        <v>41859.876388888886</v>
      </c>
      <c r="L156" s="347" t="s">
        <v>377</v>
      </c>
      <c r="M156" s="348" t="s">
        <v>378</v>
      </c>
      <c r="N156" s="348" t="s">
        <v>388</v>
      </c>
      <c r="O156" s="348" t="s">
        <v>177</v>
      </c>
      <c r="P156" s="349">
        <v>6.7577639751552798</v>
      </c>
      <c r="Q156" s="321">
        <f t="shared" si="10"/>
        <v>5</v>
      </c>
      <c r="R156" s="318">
        <f t="shared" si="11"/>
        <v>41854</v>
      </c>
      <c r="S156" s="318">
        <f t="shared" si="12"/>
        <v>41859</v>
      </c>
    </row>
    <row r="157" spans="3:19" ht="27.75" customHeight="1">
      <c r="C157" s="345" t="s">
        <v>98</v>
      </c>
      <c r="D157" s="345" t="s">
        <v>373</v>
      </c>
      <c r="E157" s="345" t="s">
        <v>374</v>
      </c>
      <c r="F157" s="345" t="s">
        <v>375</v>
      </c>
      <c r="G157" s="346" t="s">
        <v>376</v>
      </c>
      <c r="H157" s="345" t="s">
        <v>5</v>
      </c>
      <c r="I157" s="345" t="s">
        <v>59</v>
      </c>
      <c r="J157" s="316">
        <v>41854.84097222222</v>
      </c>
      <c r="K157" s="347">
        <v>41858.84097222222</v>
      </c>
      <c r="L157" s="347" t="s">
        <v>377</v>
      </c>
      <c r="M157" s="348" t="s">
        <v>378</v>
      </c>
      <c r="N157" s="348" t="s">
        <v>388</v>
      </c>
      <c r="O157" s="348" t="s">
        <v>175</v>
      </c>
      <c r="P157" s="349">
        <v>6.7905138339921001</v>
      </c>
      <c r="Q157" s="321">
        <f t="shared" si="10"/>
        <v>4</v>
      </c>
      <c r="R157" s="318">
        <f t="shared" si="11"/>
        <v>41854</v>
      </c>
      <c r="S157" s="318">
        <f t="shared" si="12"/>
        <v>41858</v>
      </c>
    </row>
    <row r="158" spans="3:19" ht="27.75" customHeight="1">
      <c r="C158" s="345" t="s">
        <v>98</v>
      </c>
      <c r="D158" s="345" t="s">
        <v>373</v>
      </c>
      <c r="E158" s="345" t="s">
        <v>374</v>
      </c>
      <c r="F158" s="345" t="s">
        <v>375</v>
      </c>
      <c r="G158" s="346" t="s">
        <v>376</v>
      </c>
      <c r="H158" s="339" t="s">
        <v>14</v>
      </c>
      <c r="I158" s="345" t="s">
        <v>59</v>
      </c>
      <c r="J158" s="316">
        <v>41854.835416666669</v>
      </c>
      <c r="K158" s="347"/>
      <c r="L158" s="347" t="s">
        <v>377</v>
      </c>
      <c r="M158" s="348" t="s">
        <v>378</v>
      </c>
      <c r="N158" s="348" t="s">
        <v>388</v>
      </c>
      <c r="O158" s="348" t="s">
        <v>175</v>
      </c>
      <c r="P158" s="349">
        <v>6.8232636928289097</v>
      </c>
      <c r="Q158" s="321" t="str">
        <f t="shared" si="10"/>
        <v/>
      </c>
      <c r="R158" s="318">
        <f t="shared" si="11"/>
        <v>41854</v>
      </c>
      <c r="S158" s="318" t="str">
        <f t="shared" si="12"/>
        <v/>
      </c>
    </row>
    <row r="159" spans="3:19" ht="27.75" customHeight="1">
      <c r="C159" s="345" t="s">
        <v>98</v>
      </c>
      <c r="D159" s="345" t="s">
        <v>373</v>
      </c>
      <c r="E159" s="345" t="s">
        <v>374</v>
      </c>
      <c r="F159" s="345" t="s">
        <v>375</v>
      </c>
      <c r="G159" s="346" t="s">
        <v>376</v>
      </c>
      <c r="H159" s="339" t="s">
        <v>14</v>
      </c>
      <c r="I159" s="345" t="s">
        <v>59</v>
      </c>
      <c r="J159" s="316">
        <v>41854.772222222222</v>
      </c>
      <c r="K159" s="347"/>
      <c r="L159" s="347" t="s">
        <v>377</v>
      </c>
      <c r="M159" s="348" t="s">
        <v>378</v>
      </c>
      <c r="N159" s="348" t="s">
        <v>388</v>
      </c>
      <c r="O159" s="348" t="s">
        <v>175</v>
      </c>
      <c r="P159" s="349">
        <v>6.8560135516657299</v>
      </c>
      <c r="Q159" s="321" t="str">
        <f t="shared" si="10"/>
        <v/>
      </c>
      <c r="R159" s="318">
        <f t="shared" si="11"/>
        <v>41854</v>
      </c>
      <c r="S159" s="318" t="str">
        <f t="shared" si="12"/>
        <v/>
      </c>
    </row>
    <row r="160" spans="3:19" ht="27.75" customHeight="1">
      <c r="C160" s="345" t="s">
        <v>98</v>
      </c>
      <c r="D160" s="345" t="s">
        <v>373</v>
      </c>
      <c r="E160" s="345" t="s">
        <v>374</v>
      </c>
      <c r="F160" s="345" t="s">
        <v>375</v>
      </c>
      <c r="G160" s="346" t="s">
        <v>376</v>
      </c>
      <c r="H160" s="345" t="s">
        <v>5</v>
      </c>
      <c r="I160" s="345" t="s">
        <v>58</v>
      </c>
      <c r="J160" s="316">
        <v>41854.771527777775</v>
      </c>
      <c r="K160" s="347">
        <v>41864.771527777775</v>
      </c>
      <c r="L160" s="347" t="s">
        <v>377</v>
      </c>
      <c r="M160" s="348" t="s">
        <v>378</v>
      </c>
      <c r="N160" s="348" t="s">
        <v>388</v>
      </c>
      <c r="O160" s="348" t="s">
        <v>175</v>
      </c>
      <c r="P160" s="349">
        <v>6.8887634105025404</v>
      </c>
      <c r="Q160" s="321">
        <f t="shared" si="10"/>
        <v>10</v>
      </c>
      <c r="R160" s="318">
        <f t="shared" si="11"/>
        <v>41854</v>
      </c>
      <c r="S160" s="318">
        <f t="shared" si="12"/>
        <v>41864</v>
      </c>
    </row>
    <row r="161" spans="3:19" ht="27.75" customHeight="1">
      <c r="C161" s="345" t="s">
        <v>98</v>
      </c>
      <c r="D161" s="345" t="s">
        <v>373</v>
      </c>
      <c r="E161" s="345" t="s">
        <v>374</v>
      </c>
      <c r="F161" s="345" t="s">
        <v>375</v>
      </c>
      <c r="G161" s="346" t="s">
        <v>376</v>
      </c>
      <c r="H161" s="345" t="s">
        <v>5</v>
      </c>
      <c r="I161" s="345" t="s">
        <v>59</v>
      </c>
      <c r="J161" s="316">
        <v>41854.76458333333</v>
      </c>
      <c r="K161" s="347">
        <v>41860.76458333333</v>
      </c>
      <c r="L161" s="347" t="s">
        <v>377</v>
      </c>
      <c r="M161" s="348" t="s">
        <v>378</v>
      </c>
      <c r="N161" s="348" t="s">
        <v>388</v>
      </c>
      <c r="O161" s="348" t="s">
        <v>175</v>
      </c>
      <c r="P161" s="349">
        <v>6.9215132693393597</v>
      </c>
      <c r="Q161" s="321">
        <f t="shared" si="10"/>
        <v>6</v>
      </c>
      <c r="R161" s="318">
        <f t="shared" si="11"/>
        <v>41854</v>
      </c>
      <c r="S161" s="318">
        <f t="shared" si="12"/>
        <v>41860</v>
      </c>
    </row>
    <row r="162" spans="3:19" ht="27.75" customHeight="1">
      <c r="C162" s="345" t="s">
        <v>98</v>
      </c>
      <c r="D162" s="345" t="s">
        <v>373</v>
      </c>
      <c r="E162" s="345" t="s">
        <v>374</v>
      </c>
      <c r="F162" s="345" t="s">
        <v>375</v>
      </c>
      <c r="G162" s="346" t="s">
        <v>376</v>
      </c>
      <c r="H162" s="345" t="s">
        <v>14</v>
      </c>
      <c r="I162" s="345" t="s">
        <v>59</v>
      </c>
      <c r="J162" s="316">
        <v>41854.751388888886</v>
      </c>
      <c r="K162" s="347"/>
      <c r="L162" s="347" t="s">
        <v>377</v>
      </c>
      <c r="M162" s="348" t="s">
        <v>378</v>
      </c>
      <c r="N162" s="348" t="s">
        <v>388</v>
      </c>
      <c r="O162" s="348" t="s">
        <v>175</v>
      </c>
      <c r="P162" s="349">
        <v>6.9542631281761702</v>
      </c>
      <c r="Q162" s="321" t="str">
        <f t="shared" si="10"/>
        <v/>
      </c>
      <c r="R162" s="318">
        <f t="shared" si="11"/>
        <v>41854</v>
      </c>
      <c r="S162" s="318" t="str">
        <f t="shared" si="12"/>
        <v/>
      </c>
    </row>
    <row r="163" spans="3:19" ht="27.75" customHeight="1">
      <c r="C163" s="345" t="s">
        <v>98</v>
      </c>
      <c r="D163" s="345" t="s">
        <v>373</v>
      </c>
      <c r="E163" s="345" t="s">
        <v>374</v>
      </c>
      <c r="F163" s="345" t="s">
        <v>375</v>
      </c>
      <c r="G163" s="346" t="s">
        <v>376</v>
      </c>
      <c r="H163" s="345" t="s">
        <v>5</v>
      </c>
      <c r="I163" s="345" t="s">
        <v>61</v>
      </c>
      <c r="J163" s="316">
        <v>41854.742361111108</v>
      </c>
      <c r="K163" s="347">
        <v>41864.742361111108</v>
      </c>
      <c r="L163" s="347" t="s">
        <v>377</v>
      </c>
      <c r="M163" s="348" t="s">
        <v>378</v>
      </c>
      <c r="N163" s="348" t="s">
        <v>388</v>
      </c>
      <c r="O163" s="348" t="s">
        <v>175</v>
      </c>
      <c r="P163" s="349">
        <v>6.9870129870129896</v>
      </c>
      <c r="Q163" s="321">
        <f t="shared" si="10"/>
        <v>10</v>
      </c>
      <c r="R163" s="318">
        <f t="shared" si="11"/>
        <v>41854</v>
      </c>
      <c r="S163" s="318">
        <f t="shared" si="12"/>
        <v>41864</v>
      </c>
    </row>
    <row r="164" spans="3:19" ht="27.75" customHeight="1">
      <c r="C164" s="345" t="s">
        <v>98</v>
      </c>
      <c r="D164" s="345" t="s">
        <v>373</v>
      </c>
      <c r="E164" s="345" t="s">
        <v>374</v>
      </c>
      <c r="F164" s="345" t="s">
        <v>375</v>
      </c>
      <c r="G164" s="346" t="s">
        <v>376</v>
      </c>
      <c r="H164" s="345" t="s">
        <v>14</v>
      </c>
      <c r="I164" s="345" t="s">
        <v>60</v>
      </c>
      <c r="J164" s="316">
        <v>41854.734027777777</v>
      </c>
      <c r="K164" s="347"/>
      <c r="L164" s="347" t="s">
        <v>377</v>
      </c>
      <c r="M164" s="348" t="s">
        <v>378</v>
      </c>
      <c r="N164" s="348" t="s">
        <v>388</v>
      </c>
      <c r="O164" s="348" t="s">
        <v>175</v>
      </c>
      <c r="P164" s="349">
        <v>7.0197628458498098</v>
      </c>
      <c r="Q164" s="321" t="str">
        <f t="shared" si="10"/>
        <v/>
      </c>
      <c r="R164" s="318">
        <f t="shared" si="11"/>
        <v>41854</v>
      </c>
      <c r="S164" s="318" t="str">
        <f t="shared" si="12"/>
        <v/>
      </c>
    </row>
    <row r="165" spans="3:19" ht="27.75" customHeight="1">
      <c r="C165" s="345" t="s">
        <v>98</v>
      </c>
      <c r="D165" s="345" t="s">
        <v>373</v>
      </c>
      <c r="E165" s="345" t="s">
        <v>374</v>
      </c>
      <c r="F165" s="345" t="s">
        <v>375</v>
      </c>
      <c r="G165" s="346" t="s">
        <v>376</v>
      </c>
      <c r="H165" s="345" t="s">
        <v>14</v>
      </c>
      <c r="I165" s="345" t="s">
        <v>60</v>
      </c>
      <c r="J165" s="316">
        <v>41854.690972222219</v>
      </c>
      <c r="K165" s="347"/>
      <c r="L165" s="347" t="s">
        <v>377</v>
      </c>
      <c r="M165" s="348" t="s">
        <v>378</v>
      </c>
      <c r="N165" s="348" t="s">
        <v>388</v>
      </c>
      <c r="O165" s="348" t="s">
        <v>175</v>
      </c>
      <c r="P165" s="349">
        <v>7.0525127046866203</v>
      </c>
      <c r="Q165" s="321" t="str">
        <f t="shared" si="10"/>
        <v/>
      </c>
      <c r="R165" s="318">
        <f t="shared" si="11"/>
        <v>41854</v>
      </c>
      <c r="S165" s="318" t="str">
        <f t="shared" si="12"/>
        <v/>
      </c>
    </row>
    <row r="166" spans="3:19" ht="27.75" customHeight="1">
      <c r="C166" s="345" t="s">
        <v>98</v>
      </c>
      <c r="D166" s="345" t="s">
        <v>373</v>
      </c>
      <c r="E166" s="345" t="s">
        <v>374</v>
      </c>
      <c r="F166" s="345" t="s">
        <v>375</v>
      </c>
      <c r="G166" s="346" t="s">
        <v>376</v>
      </c>
      <c r="H166" s="345" t="s">
        <v>14</v>
      </c>
      <c r="I166" s="345" t="s">
        <v>60</v>
      </c>
      <c r="J166" s="316">
        <v>41854.65625</v>
      </c>
      <c r="K166" s="347"/>
      <c r="L166" s="347" t="s">
        <v>377</v>
      </c>
      <c r="M166" s="348" t="s">
        <v>378</v>
      </c>
      <c r="N166" s="348" t="s">
        <v>392</v>
      </c>
      <c r="O166" s="348" t="s">
        <v>175</v>
      </c>
      <c r="P166" s="349">
        <v>7.0852625635234396</v>
      </c>
      <c r="Q166" s="321" t="str">
        <f t="shared" si="10"/>
        <v/>
      </c>
      <c r="R166" s="318">
        <f t="shared" si="11"/>
        <v>41854</v>
      </c>
      <c r="S166" s="318" t="str">
        <f t="shared" si="12"/>
        <v/>
      </c>
    </row>
    <row r="167" spans="3:19" ht="27.75" customHeight="1">
      <c r="C167" s="345" t="s">
        <v>98</v>
      </c>
      <c r="D167" s="345" t="s">
        <v>373</v>
      </c>
      <c r="E167" s="345" t="s">
        <v>374</v>
      </c>
      <c r="F167" s="345" t="s">
        <v>375</v>
      </c>
      <c r="G167" s="346" t="s">
        <v>376</v>
      </c>
      <c r="H167" s="345" t="s">
        <v>5</v>
      </c>
      <c r="I167" s="345" t="s">
        <v>59</v>
      </c>
      <c r="J167" s="316">
        <v>41854.642361111109</v>
      </c>
      <c r="K167" s="347">
        <v>41864.642361111109</v>
      </c>
      <c r="L167" s="347" t="s">
        <v>377</v>
      </c>
      <c r="M167" s="348" t="s">
        <v>378</v>
      </c>
      <c r="N167" s="348" t="s">
        <v>392</v>
      </c>
      <c r="O167" s="348" t="s">
        <v>175</v>
      </c>
      <c r="P167" s="349">
        <v>7.1180124223602501</v>
      </c>
      <c r="Q167" s="321">
        <f t="shared" si="10"/>
        <v>10</v>
      </c>
      <c r="R167" s="318">
        <f t="shared" si="11"/>
        <v>41854</v>
      </c>
      <c r="S167" s="318">
        <f t="shared" si="12"/>
        <v>41864</v>
      </c>
    </row>
    <row r="168" spans="3:19" ht="27.75" customHeight="1">
      <c r="C168" s="345" t="s">
        <v>98</v>
      </c>
      <c r="D168" s="345" t="s">
        <v>373</v>
      </c>
      <c r="E168" s="345" t="s">
        <v>374</v>
      </c>
      <c r="F168" s="345" t="s">
        <v>375</v>
      </c>
      <c r="G168" s="346" t="s">
        <v>376</v>
      </c>
      <c r="H168" s="345" t="s">
        <v>5</v>
      </c>
      <c r="I168" s="345" t="s">
        <v>58</v>
      </c>
      <c r="J168" s="316">
        <v>41854.586111111108</v>
      </c>
      <c r="K168" s="347">
        <v>41868.586111111108</v>
      </c>
      <c r="L168" s="347" t="s">
        <v>377</v>
      </c>
      <c r="M168" s="348" t="s">
        <v>378</v>
      </c>
      <c r="N168" s="348" t="s">
        <v>392</v>
      </c>
      <c r="O168" s="348" t="s">
        <v>177</v>
      </c>
      <c r="P168" s="349">
        <v>7.1507622811970704</v>
      </c>
      <c r="Q168" s="321">
        <f t="shared" si="10"/>
        <v>14</v>
      </c>
      <c r="R168" s="318">
        <f t="shared" si="11"/>
        <v>41854</v>
      </c>
      <c r="S168" s="318">
        <f t="shared" si="12"/>
        <v>41868</v>
      </c>
    </row>
    <row r="169" spans="3:19" ht="27.75" customHeight="1">
      <c r="C169" s="345" t="s">
        <v>98</v>
      </c>
      <c r="D169" s="345" t="s">
        <v>373</v>
      </c>
      <c r="E169" s="345" t="s">
        <v>374</v>
      </c>
      <c r="F169" s="345" t="s">
        <v>375</v>
      </c>
      <c r="G169" s="346" t="s">
        <v>376</v>
      </c>
      <c r="H169" s="339" t="s">
        <v>14</v>
      </c>
      <c r="I169" s="345" t="s">
        <v>59</v>
      </c>
      <c r="J169" s="316">
        <v>41854.564583333333</v>
      </c>
      <c r="K169" s="347"/>
      <c r="L169" s="347" t="s">
        <v>377</v>
      </c>
      <c r="M169" s="348" t="s">
        <v>378</v>
      </c>
      <c r="N169" s="348" t="s">
        <v>392</v>
      </c>
      <c r="O169" s="348" t="s">
        <v>177</v>
      </c>
      <c r="P169" s="349">
        <v>7.1835121400338799</v>
      </c>
      <c r="Q169" s="321" t="str">
        <f t="shared" si="10"/>
        <v/>
      </c>
      <c r="R169" s="318">
        <f t="shared" si="11"/>
        <v>41854</v>
      </c>
      <c r="S169" s="318" t="str">
        <f t="shared" si="12"/>
        <v/>
      </c>
    </row>
    <row r="170" spans="3:19" ht="27.75" customHeight="1">
      <c r="C170" s="345" t="s">
        <v>98</v>
      </c>
      <c r="D170" s="345" t="s">
        <v>373</v>
      </c>
      <c r="E170" s="345" t="s">
        <v>374</v>
      </c>
      <c r="F170" s="345" t="s">
        <v>375</v>
      </c>
      <c r="G170" s="346" t="s">
        <v>376</v>
      </c>
      <c r="H170" s="345" t="s">
        <v>14</v>
      </c>
      <c r="I170" s="345" t="s">
        <v>60</v>
      </c>
      <c r="J170" s="316">
        <v>41854.368055555555</v>
      </c>
      <c r="K170" s="347"/>
      <c r="L170" s="347" t="s">
        <v>377</v>
      </c>
      <c r="M170" s="348" t="s">
        <v>378</v>
      </c>
      <c r="N170" s="348" t="s">
        <v>392</v>
      </c>
      <c r="O170" s="348" t="s">
        <v>175</v>
      </c>
      <c r="P170" s="349">
        <v>7.2162619988707002</v>
      </c>
      <c r="Q170" s="321" t="str">
        <f t="shared" si="10"/>
        <v/>
      </c>
      <c r="R170" s="318">
        <f t="shared" si="11"/>
        <v>41854</v>
      </c>
      <c r="S170" s="318" t="str">
        <f t="shared" si="12"/>
        <v/>
      </c>
    </row>
    <row r="171" spans="3:19" ht="27.75" customHeight="1">
      <c r="C171" s="345" t="s">
        <v>98</v>
      </c>
      <c r="D171" s="345" t="s">
        <v>373</v>
      </c>
      <c r="E171" s="345" t="s">
        <v>374</v>
      </c>
      <c r="F171" s="345" t="s">
        <v>375</v>
      </c>
      <c r="G171" s="346" t="s">
        <v>376</v>
      </c>
      <c r="H171" s="345" t="s">
        <v>5</v>
      </c>
      <c r="I171" s="345" t="s">
        <v>61</v>
      </c>
      <c r="J171" s="316">
        <v>41854.367361111108</v>
      </c>
      <c r="K171" s="347">
        <v>41858.367361111108</v>
      </c>
      <c r="L171" s="347" t="s">
        <v>377</v>
      </c>
      <c r="M171" s="348" t="s">
        <v>378</v>
      </c>
      <c r="N171" s="348" t="s">
        <v>392</v>
      </c>
      <c r="O171" s="348" t="s">
        <v>175</v>
      </c>
      <c r="P171" s="349">
        <v>7.2490118577075098</v>
      </c>
      <c r="Q171" s="321">
        <f t="shared" si="10"/>
        <v>4</v>
      </c>
      <c r="R171" s="318">
        <f t="shared" si="11"/>
        <v>41854</v>
      </c>
      <c r="S171" s="318">
        <f t="shared" si="12"/>
        <v>41858</v>
      </c>
    </row>
    <row r="172" spans="3:19" ht="27.75" customHeight="1">
      <c r="C172" s="345" t="s">
        <v>98</v>
      </c>
      <c r="D172" s="345" t="s">
        <v>373</v>
      </c>
      <c r="E172" s="345" t="s">
        <v>374</v>
      </c>
      <c r="F172" s="345" t="s">
        <v>375</v>
      </c>
      <c r="G172" s="346" t="s">
        <v>376</v>
      </c>
      <c r="H172" s="339" t="s">
        <v>14</v>
      </c>
      <c r="I172" s="345" t="s">
        <v>58</v>
      </c>
      <c r="J172" s="316">
        <v>41851.824305555558</v>
      </c>
      <c r="K172" s="347"/>
      <c r="L172" s="347" t="s">
        <v>377</v>
      </c>
      <c r="M172" s="348" t="s">
        <v>378</v>
      </c>
      <c r="N172" s="348" t="s">
        <v>392</v>
      </c>
      <c r="O172" s="348" t="s">
        <v>175</v>
      </c>
      <c r="P172" s="349">
        <v>7.28176171654433</v>
      </c>
      <c r="Q172" s="321" t="str">
        <f t="shared" si="10"/>
        <v/>
      </c>
      <c r="R172" s="318">
        <f t="shared" si="11"/>
        <v>41851</v>
      </c>
      <c r="S172" s="318" t="str">
        <f t="shared" si="12"/>
        <v/>
      </c>
    </row>
    <row r="173" spans="3:19" ht="27.75" customHeight="1">
      <c r="C173" s="345" t="s">
        <v>98</v>
      </c>
      <c r="D173" s="345" t="s">
        <v>373</v>
      </c>
      <c r="E173" s="345" t="s">
        <v>374</v>
      </c>
      <c r="F173" s="345" t="s">
        <v>375</v>
      </c>
      <c r="G173" s="346" t="s">
        <v>376</v>
      </c>
      <c r="H173" s="345" t="s">
        <v>5</v>
      </c>
      <c r="I173" s="345" t="s">
        <v>60</v>
      </c>
      <c r="J173" s="316">
        <v>41851.727777777778</v>
      </c>
      <c r="K173" s="347">
        <v>41859.727777777778</v>
      </c>
      <c r="L173" s="347" t="s">
        <v>377</v>
      </c>
      <c r="M173" s="348" t="s">
        <v>378</v>
      </c>
      <c r="N173" s="348" t="s">
        <v>392</v>
      </c>
      <c r="O173" s="348" t="s">
        <v>177</v>
      </c>
      <c r="P173" s="349">
        <v>7.3145115753811396</v>
      </c>
      <c r="Q173" s="321">
        <f t="shared" si="10"/>
        <v>8</v>
      </c>
      <c r="R173" s="318">
        <f t="shared" si="11"/>
        <v>41851</v>
      </c>
      <c r="S173" s="318">
        <f t="shared" si="12"/>
        <v>41859</v>
      </c>
    </row>
    <row r="174" spans="3:19" ht="27.75" customHeight="1">
      <c r="C174" s="345" t="s">
        <v>98</v>
      </c>
      <c r="D174" s="345" t="s">
        <v>373</v>
      </c>
      <c r="E174" s="345" t="s">
        <v>374</v>
      </c>
      <c r="F174" s="345" t="s">
        <v>375</v>
      </c>
      <c r="G174" s="346" t="s">
        <v>376</v>
      </c>
      <c r="H174" s="345" t="s">
        <v>5</v>
      </c>
      <c r="I174" s="345" t="s">
        <v>60</v>
      </c>
      <c r="J174" s="316">
        <v>41851.718055555553</v>
      </c>
      <c r="K174" s="347">
        <v>41860.718055555553</v>
      </c>
      <c r="L174" s="347" t="s">
        <v>377</v>
      </c>
      <c r="M174" s="348" t="s">
        <v>378</v>
      </c>
      <c r="N174" s="348" t="s">
        <v>392</v>
      </c>
      <c r="O174" s="348" t="s">
        <v>177</v>
      </c>
      <c r="P174" s="349">
        <v>7.3472614342179599</v>
      </c>
      <c r="Q174" s="321">
        <f t="shared" si="10"/>
        <v>9</v>
      </c>
      <c r="R174" s="318">
        <f t="shared" si="11"/>
        <v>41851</v>
      </c>
      <c r="S174" s="318">
        <f t="shared" si="12"/>
        <v>41860</v>
      </c>
    </row>
    <row r="175" spans="3:19" ht="27.75" customHeight="1">
      <c r="C175" s="345" t="s">
        <v>98</v>
      </c>
      <c r="D175" s="345" t="s">
        <v>373</v>
      </c>
      <c r="E175" s="345" t="s">
        <v>374</v>
      </c>
      <c r="F175" s="345" t="s">
        <v>375</v>
      </c>
      <c r="G175" s="346" t="s">
        <v>376</v>
      </c>
      <c r="H175" s="339" t="s">
        <v>14</v>
      </c>
      <c r="I175" s="345" t="s">
        <v>59</v>
      </c>
      <c r="J175" s="316">
        <v>41851.709027777775</v>
      </c>
      <c r="K175" s="347"/>
      <c r="L175" s="347" t="s">
        <v>377</v>
      </c>
      <c r="M175" s="348" t="s">
        <v>378</v>
      </c>
      <c r="N175" s="348" t="s">
        <v>392</v>
      </c>
      <c r="O175" s="348" t="s">
        <v>177</v>
      </c>
      <c r="P175" s="349">
        <v>7.3800112930547703</v>
      </c>
      <c r="Q175" s="321" t="str">
        <f t="shared" si="10"/>
        <v/>
      </c>
      <c r="R175" s="318">
        <f t="shared" si="11"/>
        <v>41851</v>
      </c>
      <c r="S175" s="318" t="str">
        <f t="shared" si="12"/>
        <v/>
      </c>
    </row>
    <row r="176" spans="3:19" ht="27.75" customHeight="1">
      <c r="C176" s="345" t="s">
        <v>98</v>
      </c>
      <c r="D176" s="345" t="s">
        <v>373</v>
      </c>
      <c r="E176" s="345" t="s">
        <v>374</v>
      </c>
      <c r="F176" s="345" t="s">
        <v>375</v>
      </c>
      <c r="G176" s="346" t="s">
        <v>376</v>
      </c>
      <c r="H176" s="339" t="s">
        <v>14</v>
      </c>
      <c r="I176" s="345" t="s">
        <v>59</v>
      </c>
      <c r="J176" s="316">
        <v>41851.704861111109</v>
      </c>
      <c r="K176" s="347"/>
      <c r="L176" s="347" t="s">
        <v>377</v>
      </c>
      <c r="M176" s="348" t="s">
        <v>378</v>
      </c>
      <c r="N176" s="348" t="s">
        <v>392</v>
      </c>
      <c r="O176" s="348" t="s">
        <v>177</v>
      </c>
      <c r="P176" s="349">
        <v>7.4127611518915897</v>
      </c>
      <c r="Q176" s="321" t="str">
        <f t="shared" si="10"/>
        <v/>
      </c>
      <c r="R176" s="318">
        <f t="shared" si="11"/>
        <v>41851</v>
      </c>
      <c r="S176" s="318" t="str">
        <f t="shared" si="12"/>
        <v/>
      </c>
    </row>
    <row r="177" spans="3:19" ht="27.75" customHeight="1">
      <c r="C177" s="345" t="s">
        <v>98</v>
      </c>
      <c r="D177" s="345" t="s">
        <v>373</v>
      </c>
      <c r="E177" s="345" t="s">
        <v>374</v>
      </c>
      <c r="F177" s="345" t="s">
        <v>375</v>
      </c>
      <c r="G177" s="346" t="s">
        <v>376</v>
      </c>
      <c r="H177" s="345" t="s">
        <v>5</v>
      </c>
      <c r="I177" s="345" t="s">
        <v>60</v>
      </c>
      <c r="J177" s="316">
        <v>41851.695138888892</v>
      </c>
      <c r="K177" s="347">
        <v>41859.695138888892</v>
      </c>
      <c r="L177" s="347" t="s">
        <v>377</v>
      </c>
      <c r="M177" s="348" t="s">
        <v>378</v>
      </c>
      <c r="N177" s="348" t="s">
        <v>392</v>
      </c>
      <c r="O177" s="348" t="s">
        <v>177</v>
      </c>
      <c r="P177" s="349">
        <v>7.4455110107284099</v>
      </c>
      <c r="Q177" s="321">
        <f t="shared" si="10"/>
        <v>8</v>
      </c>
      <c r="R177" s="318">
        <f t="shared" si="11"/>
        <v>41851</v>
      </c>
      <c r="S177" s="318">
        <f t="shared" si="12"/>
        <v>41859</v>
      </c>
    </row>
    <row r="178" spans="3:19" ht="27.75" customHeight="1">
      <c r="C178" s="345" t="s">
        <v>98</v>
      </c>
      <c r="D178" s="345" t="s">
        <v>373</v>
      </c>
      <c r="E178" s="345" t="s">
        <v>374</v>
      </c>
      <c r="F178" s="345" t="s">
        <v>375</v>
      </c>
      <c r="G178" s="346" t="s">
        <v>376</v>
      </c>
      <c r="H178" s="345" t="s">
        <v>5</v>
      </c>
      <c r="I178" s="345" t="s">
        <v>60</v>
      </c>
      <c r="J178" s="316">
        <v>41851.675694444442</v>
      </c>
      <c r="K178" s="347">
        <v>41856.675694444442</v>
      </c>
      <c r="L178" s="347" t="s">
        <v>377</v>
      </c>
      <c r="M178" s="348" t="s">
        <v>378</v>
      </c>
      <c r="N178" s="348" t="s">
        <v>392</v>
      </c>
      <c r="O178" s="348" t="s">
        <v>177</v>
      </c>
      <c r="P178" s="349">
        <v>7.4782608695652204</v>
      </c>
      <c r="Q178" s="321">
        <f t="shared" si="10"/>
        <v>5</v>
      </c>
      <c r="R178" s="318">
        <f t="shared" si="11"/>
        <v>41851</v>
      </c>
      <c r="S178" s="318">
        <f t="shared" si="12"/>
        <v>41856</v>
      </c>
    </row>
    <row r="179" spans="3:19" ht="27.75" customHeight="1">
      <c r="C179" s="345" t="s">
        <v>98</v>
      </c>
      <c r="D179" s="345" t="s">
        <v>373</v>
      </c>
      <c r="E179" s="345" t="s">
        <v>374</v>
      </c>
      <c r="F179" s="345" t="s">
        <v>375</v>
      </c>
      <c r="G179" s="346" t="s">
        <v>376</v>
      </c>
      <c r="H179" s="339" t="s">
        <v>14</v>
      </c>
      <c r="I179" s="345" t="s">
        <v>60</v>
      </c>
      <c r="J179" s="316">
        <v>41851.655555555553</v>
      </c>
      <c r="K179" s="347"/>
      <c r="L179" s="347" t="s">
        <v>377</v>
      </c>
      <c r="M179" s="348" t="s">
        <v>378</v>
      </c>
      <c r="N179" s="348" t="s">
        <v>392</v>
      </c>
      <c r="O179" s="348" t="s">
        <v>175</v>
      </c>
      <c r="P179" s="349">
        <v>7.5110107284020398</v>
      </c>
      <c r="Q179" s="321" t="str">
        <f t="shared" si="10"/>
        <v/>
      </c>
      <c r="R179" s="318">
        <f t="shared" si="11"/>
        <v>41851</v>
      </c>
      <c r="S179" s="318" t="str">
        <f t="shared" si="12"/>
        <v/>
      </c>
    </row>
    <row r="180" spans="3:19" ht="27.75" customHeight="1">
      <c r="C180" s="345" t="s">
        <v>98</v>
      </c>
      <c r="D180" s="345" t="s">
        <v>373</v>
      </c>
      <c r="E180" s="345" t="s">
        <v>374</v>
      </c>
      <c r="F180" s="345" t="s">
        <v>375</v>
      </c>
      <c r="G180" s="346" t="s">
        <v>376</v>
      </c>
      <c r="H180" s="345" t="s">
        <v>5</v>
      </c>
      <c r="I180" s="345" t="s">
        <v>60</v>
      </c>
      <c r="J180" s="316">
        <v>41851.588888888888</v>
      </c>
      <c r="K180" s="347">
        <v>41860.588888888888</v>
      </c>
      <c r="L180" s="347" t="s">
        <v>377</v>
      </c>
      <c r="M180" s="348" t="s">
        <v>378</v>
      </c>
      <c r="N180" s="348" t="s">
        <v>392</v>
      </c>
      <c r="O180" s="348" t="s">
        <v>175</v>
      </c>
      <c r="P180" s="349">
        <v>7.5437605872388502</v>
      </c>
      <c r="Q180" s="321">
        <f t="shared" si="10"/>
        <v>9</v>
      </c>
      <c r="R180" s="318">
        <f t="shared" si="11"/>
        <v>41851</v>
      </c>
      <c r="S180" s="318">
        <f t="shared" si="12"/>
        <v>41860</v>
      </c>
    </row>
    <row r="181" spans="3:19" ht="27.75" customHeight="1">
      <c r="C181" s="345" t="s">
        <v>98</v>
      </c>
      <c r="D181" s="345" t="s">
        <v>373</v>
      </c>
      <c r="E181" s="345" t="s">
        <v>374</v>
      </c>
      <c r="F181" s="345" t="s">
        <v>375</v>
      </c>
      <c r="G181" s="346" t="s">
        <v>376</v>
      </c>
      <c r="H181" s="345" t="s">
        <v>14</v>
      </c>
      <c r="I181" s="345" t="s">
        <v>60</v>
      </c>
      <c r="J181" s="316">
        <v>41851.544444444444</v>
      </c>
      <c r="K181" s="347"/>
      <c r="L181" s="347" t="s">
        <v>377</v>
      </c>
      <c r="M181" s="348" t="s">
        <v>378</v>
      </c>
      <c r="N181" s="348" t="s">
        <v>392</v>
      </c>
      <c r="O181" s="348" t="s">
        <v>175</v>
      </c>
      <c r="P181" s="349">
        <v>7.5765104460756696</v>
      </c>
      <c r="Q181" s="321" t="str">
        <f t="shared" si="10"/>
        <v/>
      </c>
      <c r="R181" s="318">
        <f t="shared" si="11"/>
        <v>41851</v>
      </c>
      <c r="S181" s="318" t="str">
        <f t="shared" si="12"/>
        <v/>
      </c>
    </row>
    <row r="182" spans="3:19" ht="27.75" customHeight="1">
      <c r="C182" s="345" t="s">
        <v>98</v>
      </c>
      <c r="D182" s="345" t="s">
        <v>373</v>
      </c>
      <c r="E182" s="345" t="s">
        <v>374</v>
      </c>
      <c r="F182" s="345" t="s">
        <v>375</v>
      </c>
      <c r="G182" s="346" t="s">
        <v>376</v>
      </c>
      <c r="H182" s="345" t="s">
        <v>5</v>
      </c>
      <c r="I182" s="345" t="s">
        <v>59</v>
      </c>
      <c r="J182" s="316">
        <v>41851.543749999997</v>
      </c>
      <c r="K182" s="347">
        <v>41857.543749999997</v>
      </c>
      <c r="L182" s="347" t="s">
        <v>377</v>
      </c>
      <c r="M182" s="348" t="s">
        <v>378</v>
      </c>
      <c r="N182" s="348" t="s">
        <v>392</v>
      </c>
      <c r="O182" s="348" t="s">
        <v>175</v>
      </c>
      <c r="P182" s="349">
        <v>7.6092603049124801</v>
      </c>
      <c r="Q182" s="321">
        <f t="shared" si="10"/>
        <v>6</v>
      </c>
      <c r="R182" s="318">
        <f t="shared" si="11"/>
        <v>41851</v>
      </c>
      <c r="S182" s="318">
        <f t="shared" si="12"/>
        <v>41857</v>
      </c>
    </row>
    <row r="183" spans="3:19" ht="27.75" customHeight="1">
      <c r="C183" s="345" t="s">
        <v>98</v>
      </c>
      <c r="D183" s="345" t="s">
        <v>373</v>
      </c>
      <c r="E183" s="345" t="s">
        <v>374</v>
      </c>
      <c r="F183" s="345" t="s">
        <v>375</v>
      </c>
      <c r="G183" s="346" t="s">
        <v>376</v>
      </c>
      <c r="H183" s="339" t="s">
        <v>14</v>
      </c>
      <c r="I183" s="345" t="s">
        <v>59</v>
      </c>
      <c r="J183" s="316">
        <v>41851.538194444445</v>
      </c>
      <c r="K183" s="347"/>
      <c r="L183" s="347" t="s">
        <v>377</v>
      </c>
      <c r="M183" s="348" t="s">
        <v>378</v>
      </c>
      <c r="N183" s="348" t="s">
        <v>392</v>
      </c>
      <c r="O183" s="348" t="s">
        <v>175</v>
      </c>
      <c r="P183" s="349">
        <v>7.6420101637493003</v>
      </c>
      <c r="Q183" s="321" t="str">
        <f t="shared" si="10"/>
        <v/>
      </c>
      <c r="R183" s="318">
        <f t="shared" si="11"/>
        <v>41851</v>
      </c>
      <c r="S183" s="318" t="str">
        <f t="shared" si="12"/>
        <v/>
      </c>
    </row>
    <row r="184" spans="3:19" ht="27.75" customHeight="1">
      <c r="C184" s="345" t="s">
        <v>98</v>
      </c>
      <c r="D184" s="345" t="s">
        <v>373</v>
      </c>
      <c r="E184" s="345" t="s">
        <v>374</v>
      </c>
      <c r="F184" s="345" t="s">
        <v>375</v>
      </c>
      <c r="G184" s="346" t="s">
        <v>376</v>
      </c>
      <c r="H184" s="345" t="s">
        <v>5</v>
      </c>
      <c r="I184" s="345" t="s">
        <v>59</v>
      </c>
      <c r="J184" s="316">
        <v>41851.524305555555</v>
      </c>
      <c r="K184" s="347">
        <v>41854.524305555555</v>
      </c>
      <c r="L184" s="347" t="s">
        <v>188</v>
      </c>
      <c r="M184" s="348" t="s">
        <v>378</v>
      </c>
      <c r="N184" s="348" t="s">
        <v>392</v>
      </c>
      <c r="O184" s="348" t="s">
        <v>175</v>
      </c>
      <c r="P184" s="349">
        <v>7.6747600225861099</v>
      </c>
      <c r="Q184" s="321">
        <f t="shared" si="10"/>
        <v>3</v>
      </c>
      <c r="R184" s="318">
        <f t="shared" si="11"/>
        <v>41851</v>
      </c>
      <c r="S184" s="318">
        <f t="shared" si="12"/>
        <v>41854</v>
      </c>
    </row>
    <row r="185" spans="3:19" ht="27.75" customHeight="1">
      <c r="C185" s="345" t="s">
        <v>98</v>
      </c>
      <c r="D185" s="345" t="s">
        <v>373</v>
      </c>
      <c r="E185" s="345" t="s">
        <v>374</v>
      </c>
      <c r="F185" s="345" t="s">
        <v>375</v>
      </c>
      <c r="G185" s="346" t="s">
        <v>376</v>
      </c>
      <c r="H185" s="339" t="s">
        <v>14</v>
      </c>
      <c r="I185" s="345" t="s">
        <v>59</v>
      </c>
      <c r="J185" s="316">
        <v>41851.512499999997</v>
      </c>
      <c r="K185" s="347"/>
      <c r="L185" s="347" t="s">
        <v>377</v>
      </c>
      <c r="M185" s="348" t="s">
        <v>378</v>
      </c>
      <c r="N185" s="348" t="s">
        <v>392</v>
      </c>
      <c r="O185" s="348" t="s">
        <v>175</v>
      </c>
      <c r="P185" s="349">
        <v>7.7075098814229301</v>
      </c>
      <c r="Q185" s="321" t="str">
        <f t="shared" si="10"/>
        <v/>
      </c>
      <c r="R185" s="318">
        <f t="shared" si="11"/>
        <v>41851</v>
      </c>
      <c r="S185" s="318" t="str">
        <f t="shared" si="12"/>
        <v/>
      </c>
    </row>
    <row r="186" spans="3:19" ht="27.75" customHeight="1">
      <c r="C186" s="345" t="s">
        <v>98</v>
      </c>
      <c r="D186" s="345" t="s">
        <v>373</v>
      </c>
      <c r="E186" s="345" t="s">
        <v>374</v>
      </c>
      <c r="F186" s="345" t="s">
        <v>375</v>
      </c>
      <c r="G186" s="346" t="s">
        <v>376</v>
      </c>
      <c r="H186" s="345" t="s">
        <v>5</v>
      </c>
      <c r="I186" s="345" t="s">
        <v>58</v>
      </c>
      <c r="J186" s="316">
        <v>41851.492361111108</v>
      </c>
      <c r="K186" s="347">
        <v>41858.492361111108</v>
      </c>
      <c r="L186" s="347" t="s">
        <v>377</v>
      </c>
      <c r="M186" s="348" t="s">
        <v>378</v>
      </c>
      <c r="N186" s="348" t="s">
        <v>392</v>
      </c>
      <c r="O186" s="348" t="s">
        <v>175</v>
      </c>
      <c r="P186" s="349">
        <v>7.7402597402597397</v>
      </c>
      <c r="Q186" s="321">
        <f t="shared" si="10"/>
        <v>7</v>
      </c>
      <c r="R186" s="318">
        <f t="shared" si="11"/>
        <v>41851</v>
      </c>
      <c r="S186" s="318">
        <f t="shared" si="12"/>
        <v>41858</v>
      </c>
    </row>
    <row r="187" spans="3:19" ht="27.75" customHeight="1">
      <c r="C187" s="345" t="s">
        <v>98</v>
      </c>
      <c r="D187" s="345" t="s">
        <v>373</v>
      </c>
      <c r="E187" s="345" t="s">
        <v>374</v>
      </c>
      <c r="F187" s="345" t="s">
        <v>375</v>
      </c>
      <c r="G187" s="346" t="s">
        <v>376</v>
      </c>
      <c r="H187" s="345" t="s">
        <v>14</v>
      </c>
      <c r="I187" s="345" t="s">
        <v>60</v>
      </c>
      <c r="J187" s="316">
        <v>41851.476388888892</v>
      </c>
      <c r="K187" s="347"/>
      <c r="L187" s="347" t="s">
        <v>377</v>
      </c>
      <c r="M187" s="348" t="s">
        <v>378</v>
      </c>
      <c r="N187" s="348" t="s">
        <v>392</v>
      </c>
      <c r="O187" s="348" t="s">
        <v>175</v>
      </c>
      <c r="P187" s="349">
        <v>7.77300959909656</v>
      </c>
      <c r="Q187" s="321" t="str">
        <f t="shared" si="10"/>
        <v/>
      </c>
      <c r="R187" s="318">
        <f t="shared" si="11"/>
        <v>41851</v>
      </c>
      <c r="S187" s="318" t="str">
        <f t="shared" si="12"/>
        <v/>
      </c>
    </row>
    <row r="188" spans="3:19" ht="27.75" customHeight="1">
      <c r="C188" s="345" t="s">
        <v>98</v>
      </c>
      <c r="D188" s="345" t="s">
        <v>373</v>
      </c>
      <c r="E188" s="345" t="s">
        <v>374</v>
      </c>
      <c r="F188" s="345" t="s">
        <v>375</v>
      </c>
      <c r="G188" s="346" t="s">
        <v>376</v>
      </c>
      <c r="H188" s="345" t="s">
        <v>391</v>
      </c>
      <c r="I188" s="345" t="s">
        <v>60</v>
      </c>
      <c r="J188" s="316">
        <v>41851.439583333333</v>
      </c>
      <c r="K188" s="347"/>
      <c r="L188" s="347" t="s">
        <v>377</v>
      </c>
      <c r="M188" s="348" t="s">
        <v>378</v>
      </c>
      <c r="N188" s="348" t="s">
        <v>392</v>
      </c>
      <c r="O188" s="348" t="s">
        <v>175</v>
      </c>
      <c r="P188" s="349">
        <v>7.8057594579333696</v>
      </c>
      <c r="Q188" s="321" t="str">
        <f t="shared" si="10"/>
        <v/>
      </c>
      <c r="R188" s="318">
        <f t="shared" si="11"/>
        <v>41851</v>
      </c>
      <c r="S188" s="318" t="str">
        <f t="shared" si="12"/>
        <v/>
      </c>
    </row>
    <row r="189" spans="3:19" ht="27.75" customHeight="1">
      <c r="C189" s="345" t="s">
        <v>98</v>
      </c>
      <c r="D189" s="345" t="s">
        <v>373</v>
      </c>
      <c r="E189" s="345" t="s">
        <v>374</v>
      </c>
      <c r="F189" s="345" t="s">
        <v>375</v>
      </c>
      <c r="G189" s="346" t="s">
        <v>376</v>
      </c>
      <c r="H189" s="345" t="s">
        <v>5</v>
      </c>
      <c r="I189" s="345" t="s">
        <v>59</v>
      </c>
      <c r="J189" s="316">
        <v>41851.383333333331</v>
      </c>
      <c r="K189" s="347">
        <v>41859.383333333331</v>
      </c>
      <c r="L189" s="347" t="s">
        <v>377</v>
      </c>
      <c r="M189" s="348" t="s">
        <v>378</v>
      </c>
      <c r="N189" s="348" t="s">
        <v>392</v>
      </c>
      <c r="O189" s="348" t="s">
        <v>175</v>
      </c>
      <c r="P189" s="349">
        <v>7.8385093167701898</v>
      </c>
      <c r="Q189" s="321">
        <f t="shared" si="10"/>
        <v>8</v>
      </c>
      <c r="R189" s="318">
        <f t="shared" si="11"/>
        <v>41851</v>
      </c>
      <c r="S189" s="318">
        <f t="shared" si="12"/>
        <v>41859</v>
      </c>
    </row>
    <row r="190" spans="3:19" ht="27.75" customHeight="1">
      <c r="C190" s="345" t="s">
        <v>98</v>
      </c>
      <c r="D190" s="345" t="s">
        <v>373</v>
      </c>
      <c r="E190" s="345" t="s">
        <v>374</v>
      </c>
      <c r="F190" s="345" t="s">
        <v>375</v>
      </c>
      <c r="G190" s="346" t="s">
        <v>376</v>
      </c>
      <c r="H190" s="345" t="s">
        <v>5</v>
      </c>
      <c r="I190" s="345" t="s">
        <v>59</v>
      </c>
      <c r="J190" s="316">
        <v>41850.856944444444</v>
      </c>
      <c r="K190" s="347">
        <v>41858.856944444444</v>
      </c>
      <c r="L190" s="347" t="s">
        <v>377</v>
      </c>
      <c r="M190" s="348" t="s">
        <v>378</v>
      </c>
      <c r="N190" s="348" t="s">
        <v>392</v>
      </c>
      <c r="O190" s="348" t="s">
        <v>177</v>
      </c>
      <c r="P190" s="349">
        <v>7.8712591756070003</v>
      </c>
      <c r="Q190" s="321">
        <f t="shared" si="10"/>
        <v>8</v>
      </c>
      <c r="R190" s="318">
        <f t="shared" si="11"/>
        <v>41850</v>
      </c>
      <c r="S190" s="318">
        <f t="shared" si="12"/>
        <v>41858</v>
      </c>
    </row>
    <row r="191" spans="3:19" ht="27.75" customHeight="1">
      <c r="C191" s="345" t="s">
        <v>98</v>
      </c>
      <c r="D191" s="345" t="s">
        <v>373</v>
      </c>
      <c r="E191" s="345" t="s">
        <v>374</v>
      </c>
      <c r="F191" s="345" t="s">
        <v>375</v>
      </c>
      <c r="G191" s="346" t="s">
        <v>376</v>
      </c>
      <c r="H191" s="345" t="s">
        <v>5</v>
      </c>
      <c r="I191" s="345" t="s">
        <v>60</v>
      </c>
      <c r="J191" s="316">
        <v>41850.79791666667</v>
      </c>
      <c r="K191" s="347">
        <v>41856.79791666667</v>
      </c>
      <c r="L191" s="347" t="s">
        <v>377</v>
      </c>
      <c r="M191" s="348" t="s">
        <v>378</v>
      </c>
      <c r="N191" s="348" t="s">
        <v>392</v>
      </c>
      <c r="O191" s="348" t="s">
        <v>177</v>
      </c>
      <c r="P191" s="349">
        <v>7.9040090344438196</v>
      </c>
      <c r="Q191" s="321">
        <f t="shared" si="10"/>
        <v>6</v>
      </c>
      <c r="R191" s="318">
        <f t="shared" si="11"/>
        <v>41850</v>
      </c>
      <c r="S191" s="318">
        <f t="shared" si="12"/>
        <v>41856</v>
      </c>
    </row>
    <row r="192" spans="3:19" ht="27.75" customHeight="1">
      <c r="C192" s="345" t="s">
        <v>98</v>
      </c>
      <c r="D192" s="345" t="s">
        <v>373</v>
      </c>
      <c r="E192" s="345" t="s">
        <v>374</v>
      </c>
      <c r="F192" s="345" t="s">
        <v>375</v>
      </c>
      <c r="G192" s="346" t="s">
        <v>376</v>
      </c>
      <c r="H192" s="339" t="s">
        <v>14</v>
      </c>
      <c r="I192" s="345" t="s">
        <v>60</v>
      </c>
      <c r="J192" s="316">
        <v>41850.793055555558</v>
      </c>
      <c r="K192" s="347"/>
      <c r="L192" s="347" t="s">
        <v>377</v>
      </c>
      <c r="M192" s="348" t="s">
        <v>378</v>
      </c>
      <c r="N192" s="348" t="s">
        <v>392</v>
      </c>
      <c r="O192" s="348" t="s">
        <v>175</v>
      </c>
      <c r="P192" s="349">
        <v>7.9367588932806399</v>
      </c>
      <c r="Q192" s="321" t="str">
        <f t="shared" si="10"/>
        <v/>
      </c>
      <c r="R192" s="318">
        <f t="shared" si="11"/>
        <v>41850</v>
      </c>
      <c r="S192" s="318" t="str">
        <f t="shared" si="12"/>
        <v/>
      </c>
    </row>
    <row r="193" spans="3:19" ht="27.75" customHeight="1">
      <c r="C193" s="345" t="s">
        <v>98</v>
      </c>
      <c r="D193" s="345" t="s">
        <v>373</v>
      </c>
      <c r="E193" s="345" t="s">
        <v>374</v>
      </c>
      <c r="F193" s="345" t="s">
        <v>375</v>
      </c>
      <c r="G193" s="346" t="s">
        <v>376</v>
      </c>
      <c r="H193" s="345" t="s">
        <v>140</v>
      </c>
      <c r="I193" s="345" t="s">
        <v>60</v>
      </c>
      <c r="J193" s="316">
        <v>41850.780555555553</v>
      </c>
      <c r="K193" s="347"/>
      <c r="L193" s="347" t="s">
        <v>377</v>
      </c>
      <c r="M193" s="348" t="s">
        <v>378</v>
      </c>
      <c r="N193" s="348" t="s">
        <v>392</v>
      </c>
      <c r="O193" s="348" t="s">
        <v>175</v>
      </c>
      <c r="P193" s="349">
        <v>7.9695087521174504</v>
      </c>
      <c r="Q193" s="321" t="str">
        <f t="shared" si="10"/>
        <v/>
      </c>
      <c r="R193" s="318">
        <f t="shared" si="11"/>
        <v>41850</v>
      </c>
      <c r="S193" s="318" t="str">
        <f t="shared" si="12"/>
        <v/>
      </c>
    </row>
    <row r="194" spans="3:19" ht="27.75" customHeight="1">
      <c r="C194" s="345" t="s">
        <v>98</v>
      </c>
      <c r="D194" s="345" t="s">
        <v>373</v>
      </c>
      <c r="E194" s="345" t="s">
        <v>374</v>
      </c>
      <c r="F194" s="345" t="s">
        <v>375</v>
      </c>
      <c r="G194" s="346" t="s">
        <v>376</v>
      </c>
      <c r="H194" s="345" t="s">
        <v>5</v>
      </c>
      <c r="I194" s="345" t="s">
        <v>60</v>
      </c>
      <c r="J194" s="316">
        <v>41850.763194444444</v>
      </c>
      <c r="K194" s="347">
        <v>41854.763194444444</v>
      </c>
      <c r="L194" s="347" t="s">
        <v>377</v>
      </c>
      <c r="M194" s="348" t="s">
        <v>378</v>
      </c>
      <c r="N194" s="348" t="s">
        <v>392</v>
      </c>
      <c r="O194" s="348" t="s">
        <v>175</v>
      </c>
      <c r="P194" s="349">
        <v>8.0022586109542697</v>
      </c>
      <c r="Q194" s="321">
        <f t="shared" si="10"/>
        <v>4</v>
      </c>
      <c r="R194" s="318">
        <f t="shared" si="11"/>
        <v>41850</v>
      </c>
      <c r="S194" s="318">
        <f t="shared" si="12"/>
        <v>41854</v>
      </c>
    </row>
    <row r="195" spans="3:19" ht="27.75" customHeight="1">
      <c r="C195" s="345" t="s">
        <v>98</v>
      </c>
      <c r="D195" s="345" t="s">
        <v>373</v>
      </c>
      <c r="E195" s="345" t="s">
        <v>374</v>
      </c>
      <c r="F195" s="345" t="s">
        <v>375</v>
      </c>
      <c r="G195" s="346" t="s">
        <v>376</v>
      </c>
      <c r="H195" s="339" t="s">
        <v>14</v>
      </c>
      <c r="I195" s="345" t="s">
        <v>58</v>
      </c>
      <c r="J195" s="316">
        <v>41850.740277777775</v>
      </c>
      <c r="K195" s="347"/>
      <c r="L195" s="347" t="s">
        <v>377</v>
      </c>
      <c r="M195" s="348" t="s">
        <v>378</v>
      </c>
      <c r="N195" s="348" t="s">
        <v>392</v>
      </c>
      <c r="O195" s="348" t="s">
        <v>177</v>
      </c>
      <c r="P195" s="349">
        <v>8.0350084697910802</v>
      </c>
      <c r="Q195" s="321" t="str">
        <f t="shared" si="10"/>
        <v/>
      </c>
      <c r="R195" s="318">
        <f t="shared" si="11"/>
        <v>41850</v>
      </c>
      <c r="S195" s="318" t="str">
        <f t="shared" si="12"/>
        <v/>
      </c>
    </row>
    <row r="196" spans="3:19" ht="27.75" customHeight="1">
      <c r="C196" s="345" t="s">
        <v>98</v>
      </c>
      <c r="D196" s="345" t="s">
        <v>373</v>
      </c>
      <c r="E196" s="345" t="s">
        <v>374</v>
      </c>
      <c r="F196" s="345" t="s">
        <v>375</v>
      </c>
      <c r="G196" s="346" t="s">
        <v>376</v>
      </c>
      <c r="H196" s="345" t="s">
        <v>140</v>
      </c>
      <c r="I196" s="345" t="s">
        <v>60</v>
      </c>
      <c r="J196" s="316">
        <v>41850.730555555558</v>
      </c>
      <c r="K196" s="347"/>
      <c r="L196" s="347" t="s">
        <v>377</v>
      </c>
      <c r="M196" s="348" t="s">
        <v>378</v>
      </c>
      <c r="N196" s="348" t="s">
        <v>392</v>
      </c>
      <c r="O196" s="348" t="s">
        <v>177</v>
      </c>
      <c r="P196" s="349">
        <v>8.0677583286278995</v>
      </c>
      <c r="Q196" s="321" t="str">
        <f t="shared" si="10"/>
        <v/>
      </c>
      <c r="R196" s="318">
        <f t="shared" si="11"/>
        <v>41850</v>
      </c>
      <c r="S196" s="318" t="str">
        <f t="shared" si="12"/>
        <v/>
      </c>
    </row>
    <row r="197" spans="3:19" ht="27.75" customHeight="1">
      <c r="C197" s="345" t="s">
        <v>98</v>
      </c>
      <c r="D197" s="345" t="s">
        <v>373</v>
      </c>
      <c r="E197" s="345" t="s">
        <v>374</v>
      </c>
      <c r="F197" s="345" t="s">
        <v>375</v>
      </c>
      <c r="G197" s="346" t="s">
        <v>376</v>
      </c>
      <c r="H197" s="345" t="s">
        <v>5</v>
      </c>
      <c r="I197" s="345" t="s">
        <v>59</v>
      </c>
      <c r="J197" s="316">
        <v>41850.703472222223</v>
      </c>
      <c r="K197" s="347">
        <v>41856.703472222223</v>
      </c>
      <c r="L197" s="347" t="s">
        <v>378</v>
      </c>
      <c r="M197" s="348" t="s">
        <v>378</v>
      </c>
      <c r="N197" s="348" t="s">
        <v>392</v>
      </c>
      <c r="O197" s="348" t="s">
        <v>177</v>
      </c>
      <c r="P197" s="349">
        <v>8.10050818746471</v>
      </c>
      <c r="Q197" s="321">
        <f t="shared" si="10"/>
        <v>6</v>
      </c>
      <c r="R197" s="318">
        <f t="shared" si="11"/>
        <v>41850</v>
      </c>
      <c r="S197" s="318">
        <f t="shared" si="12"/>
        <v>41856</v>
      </c>
    </row>
    <row r="198" spans="3:19" ht="27.75" customHeight="1">
      <c r="C198" s="345" t="s">
        <v>98</v>
      </c>
      <c r="D198" s="345" t="s">
        <v>373</v>
      </c>
      <c r="E198" s="345" t="s">
        <v>374</v>
      </c>
      <c r="F198" s="345" t="s">
        <v>375</v>
      </c>
      <c r="G198" s="346" t="s">
        <v>376</v>
      </c>
      <c r="H198" s="345" t="s">
        <v>14</v>
      </c>
      <c r="I198" s="345" t="s">
        <v>60</v>
      </c>
      <c r="J198" s="316">
        <v>41850.699305555558</v>
      </c>
      <c r="K198" s="347"/>
      <c r="L198" s="347" t="s">
        <v>188</v>
      </c>
      <c r="M198" s="348" t="s">
        <v>382</v>
      </c>
      <c r="N198" s="348" t="s">
        <v>382</v>
      </c>
      <c r="O198" s="348" t="s">
        <v>177</v>
      </c>
      <c r="P198" s="349">
        <v>8.1332580463015294</v>
      </c>
      <c r="Q198" s="321" t="str">
        <f t="shared" si="10"/>
        <v/>
      </c>
      <c r="R198" s="318">
        <f t="shared" si="11"/>
        <v>41850</v>
      </c>
      <c r="S198" s="318" t="str">
        <f t="shared" si="12"/>
        <v/>
      </c>
    </row>
    <row r="199" spans="3:19" ht="27.75" customHeight="1">
      <c r="C199" s="345" t="s">
        <v>98</v>
      </c>
      <c r="D199" s="345" t="s">
        <v>373</v>
      </c>
      <c r="E199" s="345" t="s">
        <v>374</v>
      </c>
      <c r="F199" s="345" t="s">
        <v>375</v>
      </c>
      <c r="G199" s="346" t="s">
        <v>376</v>
      </c>
      <c r="H199" s="339" t="s">
        <v>14</v>
      </c>
      <c r="I199" s="345" t="s">
        <v>59</v>
      </c>
      <c r="J199" s="316">
        <v>41850.696527777778</v>
      </c>
      <c r="K199" s="347"/>
      <c r="L199" s="347" t="s">
        <v>188</v>
      </c>
      <c r="M199" s="348" t="s">
        <v>378</v>
      </c>
      <c r="N199" s="348" t="s">
        <v>392</v>
      </c>
      <c r="O199" s="348" t="s">
        <v>177</v>
      </c>
      <c r="P199" s="349">
        <v>8.1660079051383399</v>
      </c>
      <c r="Q199" s="321" t="str">
        <f t="shared" si="10"/>
        <v/>
      </c>
      <c r="R199" s="318">
        <f t="shared" si="11"/>
        <v>41850</v>
      </c>
      <c r="S199" s="318" t="str">
        <f t="shared" si="12"/>
        <v/>
      </c>
    </row>
    <row r="200" spans="3:19" ht="27.75" customHeight="1">
      <c r="C200" s="345" t="s">
        <v>98</v>
      </c>
      <c r="D200" s="345" t="s">
        <v>373</v>
      </c>
      <c r="E200" s="345" t="s">
        <v>374</v>
      </c>
      <c r="F200" s="345" t="s">
        <v>375</v>
      </c>
      <c r="G200" s="346" t="s">
        <v>376</v>
      </c>
      <c r="H200" s="345" t="s">
        <v>5</v>
      </c>
      <c r="I200" s="345" t="s">
        <v>61</v>
      </c>
      <c r="J200" s="316">
        <v>41850.693749999999</v>
      </c>
      <c r="K200" s="347">
        <v>41858.693749999999</v>
      </c>
      <c r="L200" s="347" t="s">
        <v>378</v>
      </c>
      <c r="M200" s="348" t="s">
        <v>378</v>
      </c>
      <c r="N200" s="348" t="s">
        <v>392</v>
      </c>
      <c r="O200" s="348" t="s">
        <v>177</v>
      </c>
      <c r="P200" s="349">
        <v>8.1987577639751592</v>
      </c>
      <c r="Q200" s="321">
        <f t="shared" si="10"/>
        <v>8</v>
      </c>
      <c r="R200" s="318">
        <f t="shared" si="11"/>
        <v>41850</v>
      </c>
      <c r="S200" s="318">
        <f t="shared" si="12"/>
        <v>41858</v>
      </c>
    </row>
    <row r="201" spans="3:19" ht="27.75" customHeight="1">
      <c r="C201" s="345" t="s">
        <v>98</v>
      </c>
      <c r="D201" s="345" t="s">
        <v>373</v>
      </c>
      <c r="E201" s="345" t="s">
        <v>374</v>
      </c>
      <c r="F201" s="345" t="s">
        <v>375</v>
      </c>
      <c r="G201" s="346" t="s">
        <v>376</v>
      </c>
      <c r="H201" s="345" t="s">
        <v>5</v>
      </c>
      <c r="I201" s="345" t="s">
        <v>60</v>
      </c>
      <c r="J201" s="316">
        <v>41850.684027777781</v>
      </c>
      <c r="K201" s="347">
        <v>41856.684027777781</v>
      </c>
      <c r="L201" s="347" t="s">
        <v>378</v>
      </c>
      <c r="M201" s="348" t="s">
        <v>378</v>
      </c>
      <c r="N201" s="348" t="s">
        <v>392</v>
      </c>
      <c r="O201" s="348" t="s">
        <v>175</v>
      </c>
      <c r="P201" s="349">
        <v>8.2315076228119697</v>
      </c>
      <c r="Q201" s="321">
        <f t="shared" si="10"/>
        <v>6</v>
      </c>
      <c r="R201" s="318">
        <f t="shared" si="11"/>
        <v>41850</v>
      </c>
      <c r="S201" s="318">
        <f t="shared" si="12"/>
        <v>41856</v>
      </c>
    </row>
    <row r="202" spans="3:19" ht="27.75" customHeight="1">
      <c r="C202" s="345" t="s">
        <v>98</v>
      </c>
      <c r="D202" s="345" t="s">
        <v>373</v>
      </c>
      <c r="E202" s="345" t="s">
        <v>374</v>
      </c>
      <c r="F202" s="345" t="s">
        <v>375</v>
      </c>
      <c r="G202" s="346" t="s">
        <v>376</v>
      </c>
      <c r="H202" s="345" t="s">
        <v>5</v>
      </c>
      <c r="I202" s="345" t="s">
        <v>60</v>
      </c>
      <c r="J202" s="316">
        <v>41850.675694444442</v>
      </c>
      <c r="K202" s="347">
        <v>41857.675694444442</v>
      </c>
      <c r="L202" s="347" t="s">
        <v>378</v>
      </c>
      <c r="M202" s="348" t="s">
        <v>378</v>
      </c>
      <c r="N202" s="348" t="s">
        <v>392</v>
      </c>
      <c r="O202" s="348" t="s">
        <v>175</v>
      </c>
      <c r="P202" s="349">
        <v>8.2642574816487908</v>
      </c>
      <c r="Q202" s="321">
        <f t="shared" si="10"/>
        <v>7</v>
      </c>
      <c r="R202" s="318">
        <f t="shared" si="11"/>
        <v>41850</v>
      </c>
      <c r="S202" s="318">
        <f t="shared" si="12"/>
        <v>41857</v>
      </c>
    </row>
    <row r="203" spans="3:19" ht="27.75" customHeight="1">
      <c r="C203" s="345" t="s">
        <v>98</v>
      </c>
      <c r="D203" s="345" t="s">
        <v>373</v>
      </c>
      <c r="E203" s="345" t="s">
        <v>374</v>
      </c>
      <c r="F203" s="345" t="s">
        <v>375</v>
      </c>
      <c r="G203" s="346" t="s">
        <v>376</v>
      </c>
      <c r="H203" s="345" t="s">
        <v>5</v>
      </c>
      <c r="I203" s="345" t="s">
        <v>59</v>
      </c>
      <c r="J203" s="316">
        <v>41850.665972222225</v>
      </c>
      <c r="K203" s="347">
        <v>41859.665972222225</v>
      </c>
      <c r="L203" s="347" t="s">
        <v>378</v>
      </c>
      <c r="M203" s="348" t="s">
        <v>387</v>
      </c>
      <c r="N203" s="348" t="s">
        <v>392</v>
      </c>
      <c r="O203" s="348" t="s">
        <v>175</v>
      </c>
      <c r="P203" s="349">
        <v>8.2970073404855995</v>
      </c>
      <c r="Q203" s="321">
        <f t="shared" si="10"/>
        <v>9</v>
      </c>
      <c r="R203" s="318">
        <f t="shared" si="11"/>
        <v>41850</v>
      </c>
      <c r="S203" s="318">
        <f t="shared" si="12"/>
        <v>41859</v>
      </c>
    </row>
    <row r="204" spans="3:19" ht="27.75" customHeight="1">
      <c r="C204" s="345" t="s">
        <v>98</v>
      </c>
      <c r="D204" s="345" t="s">
        <v>373</v>
      </c>
      <c r="E204" s="345" t="s">
        <v>374</v>
      </c>
      <c r="F204" s="345" t="s">
        <v>375</v>
      </c>
      <c r="G204" s="346" t="s">
        <v>376</v>
      </c>
      <c r="H204" s="345" t="s">
        <v>5</v>
      </c>
      <c r="I204" s="345" t="s">
        <v>59</v>
      </c>
      <c r="J204" s="316">
        <v>41850.654861111114</v>
      </c>
      <c r="K204" s="347">
        <v>41860.654861111114</v>
      </c>
      <c r="L204" s="347" t="s">
        <v>188</v>
      </c>
      <c r="M204" s="348" t="s">
        <v>378</v>
      </c>
      <c r="N204" s="348" t="s">
        <v>392</v>
      </c>
      <c r="O204" s="348" t="s">
        <v>175</v>
      </c>
      <c r="P204" s="349">
        <v>8.3297571993224206</v>
      </c>
      <c r="Q204" s="321">
        <f t="shared" si="10"/>
        <v>10</v>
      </c>
      <c r="R204" s="318">
        <f t="shared" si="11"/>
        <v>41850</v>
      </c>
      <c r="S204" s="318">
        <f t="shared" si="12"/>
        <v>41860</v>
      </c>
    </row>
    <row r="205" spans="3:19" ht="27.75" customHeight="1">
      <c r="C205" s="345" t="s">
        <v>98</v>
      </c>
      <c r="D205" s="345" t="s">
        <v>373</v>
      </c>
      <c r="E205" s="345" t="s">
        <v>374</v>
      </c>
      <c r="F205" s="345" t="s">
        <v>375</v>
      </c>
      <c r="G205" s="346" t="s">
        <v>376</v>
      </c>
      <c r="H205" s="345" t="s">
        <v>5</v>
      </c>
      <c r="I205" s="345" t="s">
        <v>58</v>
      </c>
      <c r="J205" s="316">
        <v>41850.648611111108</v>
      </c>
      <c r="K205" s="347">
        <v>41854.648611111108</v>
      </c>
      <c r="L205" s="347" t="s">
        <v>188</v>
      </c>
      <c r="M205" s="348" t="s">
        <v>378</v>
      </c>
      <c r="N205" s="348" t="s">
        <v>392</v>
      </c>
      <c r="O205" s="348" t="s">
        <v>175</v>
      </c>
      <c r="P205" s="349">
        <v>8.36250705815924</v>
      </c>
      <c r="Q205" s="321">
        <f t="shared" si="10"/>
        <v>4</v>
      </c>
      <c r="R205" s="318">
        <f t="shared" si="11"/>
        <v>41850</v>
      </c>
      <c r="S205" s="318">
        <f t="shared" si="12"/>
        <v>41854</v>
      </c>
    </row>
    <row r="206" spans="3:19" ht="27.75" customHeight="1">
      <c r="C206" s="345" t="s">
        <v>98</v>
      </c>
      <c r="D206" s="345" t="s">
        <v>373</v>
      </c>
      <c r="E206" s="345" t="s">
        <v>374</v>
      </c>
      <c r="F206" s="345" t="s">
        <v>375</v>
      </c>
      <c r="G206" s="346" t="s">
        <v>376</v>
      </c>
      <c r="H206" s="345" t="s">
        <v>5</v>
      </c>
      <c r="I206" s="345" t="s">
        <v>61</v>
      </c>
      <c r="J206" s="316">
        <v>41850.638194444444</v>
      </c>
      <c r="K206" s="347">
        <v>41858.638194444444</v>
      </c>
      <c r="L206" s="347" t="s">
        <v>188</v>
      </c>
      <c r="M206" s="348" t="s">
        <v>378</v>
      </c>
      <c r="N206" s="348" t="s">
        <v>392</v>
      </c>
      <c r="O206" s="348" t="s">
        <v>175</v>
      </c>
      <c r="P206" s="349">
        <v>8.3952569169960505</v>
      </c>
      <c r="Q206" s="321">
        <f t="shared" si="10"/>
        <v>8</v>
      </c>
      <c r="R206" s="318">
        <f t="shared" si="11"/>
        <v>41850</v>
      </c>
      <c r="S206" s="318">
        <f t="shared" si="12"/>
        <v>41858</v>
      </c>
    </row>
    <row r="207" spans="3:19" ht="27.75" customHeight="1">
      <c r="C207" s="345" t="s">
        <v>98</v>
      </c>
      <c r="D207" s="345" t="s">
        <v>373</v>
      </c>
      <c r="E207" s="345" t="s">
        <v>374</v>
      </c>
      <c r="F207" s="345" t="s">
        <v>375</v>
      </c>
      <c r="G207" s="346" t="s">
        <v>376</v>
      </c>
      <c r="H207" s="345" t="s">
        <v>383</v>
      </c>
      <c r="I207" s="345" t="s">
        <v>60</v>
      </c>
      <c r="J207" s="316">
        <v>41850.637499999997</v>
      </c>
      <c r="K207" s="347"/>
      <c r="L207" s="347" t="s">
        <v>188</v>
      </c>
      <c r="M207" s="348" t="s">
        <v>378</v>
      </c>
      <c r="N207" s="348" t="s">
        <v>392</v>
      </c>
      <c r="O207" s="348" t="s">
        <v>175</v>
      </c>
      <c r="P207" s="349">
        <v>8.4280067758328698</v>
      </c>
      <c r="Q207" s="321" t="str">
        <f t="shared" si="10"/>
        <v/>
      </c>
      <c r="R207" s="318">
        <f t="shared" si="11"/>
        <v>41850</v>
      </c>
      <c r="S207" s="318" t="str">
        <f t="shared" si="12"/>
        <v/>
      </c>
    </row>
    <row r="208" spans="3:19" ht="27.75" customHeight="1">
      <c r="C208" s="345" t="s">
        <v>98</v>
      </c>
      <c r="D208" s="345" t="s">
        <v>373</v>
      </c>
      <c r="E208" s="345" t="s">
        <v>374</v>
      </c>
      <c r="F208" s="345" t="s">
        <v>375</v>
      </c>
      <c r="G208" s="346" t="s">
        <v>376</v>
      </c>
      <c r="H208" s="345" t="s">
        <v>140</v>
      </c>
      <c r="I208" s="345" t="s">
        <v>60</v>
      </c>
      <c r="J208" s="316">
        <v>41850.605555555558</v>
      </c>
      <c r="K208" s="347"/>
      <c r="L208" s="347" t="s">
        <v>188</v>
      </c>
      <c r="M208" s="348" t="s">
        <v>378</v>
      </c>
      <c r="N208" s="348" t="s">
        <v>392</v>
      </c>
      <c r="O208" s="348" t="s">
        <v>175</v>
      </c>
      <c r="P208" s="349">
        <v>8.4607566346696803</v>
      </c>
      <c r="Q208" s="321" t="str">
        <f t="shared" si="10"/>
        <v/>
      </c>
      <c r="R208" s="318">
        <f t="shared" si="11"/>
        <v>41850</v>
      </c>
      <c r="S208" s="318" t="str">
        <f t="shared" si="12"/>
        <v/>
      </c>
    </row>
    <row r="209" spans="3:19" ht="27.75" customHeight="1">
      <c r="C209" s="345" t="s">
        <v>98</v>
      </c>
      <c r="D209" s="345" t="s">
        <v>373</v>
      </c>
      <c r="E209" s="345" t="s">
        <v>374</v>
      </c>
      <c r="F209" s="345" t="s">
        <v>375</v>
      </c>
      <c r="G209" s="346" t="s">
        <v>376</v>
      </c>
      <c r="H209" s="345" t="s">
        <v>5</v>
      </c>
      <c r="I209" s="345" t="s">
        <v>60</v>
      </c>
      <c r="J209" s="316">
        <v>41850.597916666666</v>
      </c>
      <c r="K209" s="347">
        <v>41857.597916666666</v>
      </c>
      <c r="L209" s="347" t="s">
        <v>377</v>
      </c>
      <c r="M209" s="348" t="s">
        <v>387</v>
      </c>
      <c r="N209" s="348" t="s">
        <v>392</v>
      </c>
      <c r="O209" s="348" t="s">
        <v>175</v>
      </c>
      <c r="P209" s="349">
        <v>8.4935064935064997</v>
      </c>
      <c r="Q209" s="321">
        <f t="shared" si="10"/>
        <v>7</v>
      </c>
      <c r="R209" s="318">
        <f t="shared" si="11"/>
        <v>41850</v>
      </c>
      <c r="S209" s="318">
        <f t="shared" si="12"/>
        <v>41857</v>
      </c>
    </row>
    <row r="210" spans="3:19" ht="27.75" customHeight="1">
      <c r="C210" s="345" t="s">
        <v>98</v>
      </c>
      <c r="D210" s="345" t="s">
        <v>373</v>
      </c>
      <c r="E210" s="345" t="s">
        <v>374</v>
      </c>
      <c r="F210" s="345" t="s">
        <v>375</v>
      </c>
      <c r="G210" s="346" t="s">
        <v>376</v>
      </c>
      <c r="H210" s="345" t="s">
        <v>384</v>
      </c>
      <c r="I210" s="345" t="s">
        <v>60</v>
      </c>
      <c r="J210" s="316">
        <v>41850.59652777778</v>
      </c>
      <c r="K210" s="347"/>
      <c r="L210" s="347" t="s">
        <v>188</v>
      </c>
      <c r="M210" s="348" t="s">
        <v>378</v>
      </c>
      <c r="N210" s="348" t="s">
        <v>392</v>
      </c>
      <c r="O210" s="348" t="s">
        <v>175</v>
      </c>
      <c r="P210" s="349">
        <v>8.5262563523433101</v>
      </c>
      <c r="Q210" s="321" t="str">
        <f t="shared" si="10"/>
        <v/>
      </c>
      <c r="R210" s="318">
        <f t="shared" si="11"/>
        <v>41850</v>
      </c>
      <c r="S210" s="318" t="str">
        <f t="shared" si="12"/>
        <v/>
      </c>
    </row>
    <row r="211" spans="3:19" ht="27.75" customHeight="1">
      <c r="C211" s="345" t="s">
        <v>98</v>
      </c>
      <c r="D211" s="345" t="s">
        <v>373</v>
      </c>
      <c r="E211" s="345" t="s">
        <v>374</v>
      </c>
      <c r="F211" s="345" t="s">
        <v>375</v>
      </c>
      <c r="G211" s="346" t="s">
        <v>376</v>
      </c>
      <c r="H211" s="345" t="s">
        <v>140</v>
      </c>
      <c r="I211" s="345" t="s">
        <v>60</v>
      </c>
      <c r="J211" s="316">
        <v>41850.572222222225</v>
      </c>
      <c r="K211" s="347"/>
      <c r="L211" s="347" t="s">
        <v>188</v>
      </c>
      <c r="M211" s="348" t="s">
        <v>378</v>
      </c>
      <c r="N211" s="348" t="s">
        <v>392</v>
      </c>
      <c r="O211" s="348" t="s">
        <v>175</v>
      </c>
      <c r="P211" s="349">
        <v>8.5590062111801295</v>
      </c>
      <c r="Q211" s="321" t="str">
        <f t="shared" si="10"/>
        <v/>
      </c>
      <c r="R211" s="318">
        <f t="shared" si="11"/>
        <v>41850</v>
      </c>
      <c r="S211" s="318" t="str">
        <f t="shared" si="12"/>
        <v/>
      </c>
    </row>
    <row r="212" spans="3:19" ht="27.75" customHeight="1">
      <c r="C212" s="345" t="s">
        <v>98</v>
      </c>
      <c r="D212" s="345" t="s">
        <v>373</v>
      </c>
      <c r="E212" s="345" t="s">
        <v>374</v>
      </c>
      <c r="F212" s="345" t="s">
        <v>375</v>
      </c>
      <c r="G212" s="346" t="s">
        <v>376</v>
      </c>
      <c r="H212" s="345" t="s">
        <v>5</v>
      </c>
      <c r="I212" s="345" t="s">
        <v>59</v>
      </c>
      <c r="J212" s="316">
        <v>41850.570833333331</v>
      </c>
      <c r="K212" s="347">
        <v>41858.570833333331</v>
      </c>
      <c r="L212" s="347" t="s">
        <v>378</v>
      </c>
      <c r="M212" s="348" t="s">
        <v>387</v>
      </c>
      <c r="N212" s="348" t="s">
        <v>392</v>
      </c>
      <c r="O212" s="348" t="s">
        <v>177</v>
      </c>
      <c r="P212" s="349">
        <v>8.59175607001694</v>
      </c>
      <c r="Q212" s="321">
        <f t="shared" si="10"/>
        <v>8</v>
      </c>
      <c r="R212" s="318">
        <f t="shared" si="11"/>
        <v>41850</v>
      </c>
      <c r="S212" s="318">
        <f t="shared" si="12"/>
        <v>41858</v>
      </c>
    </row>
    <row r="213" spans="3:19" ht="27.75" customHeight="1">
      <c r="C213" s="345" t="s">
        <v>98</v>
      </c>
      <c r="D213" s="345" t="s">
        <v>373</v>
      </c>
      <c r="E213" s="345" t="s">
        <v>374</v>
      </c>
      <c r="F213" s="345" t="s">
        <v>375</v>
      </c>
      <c r="G213" s="346" t="s">
        <v>376</v>
      </c>
      <c r="H213" s="345" t="s">
        <v>5</v>
      </c>
      <c r="I213" s="345" t="s">
        <v>59</v>
      </c>
      <c r="J213" s="316">
        <v>41850.557638888888</v>
      </c>
      <c r="K213" s="347">
        <v>41854.557638888888</v>
      </c>
      <c r="L213" s="347" t="s">
        <v>188</v>
      </c>
      <c r="M213" s="348" t="s">
        <v>378</v>
      </c>
      <c r="N213" s="348" t="s">
        <v>392</v>
      </c>
      <c r="O213" s="348" t="s">
        <v>177</v>
      </c>
      <c r="P213" s="349">
        <v>8.6245059288537593</v>
      </c>
      <c r="Q213" s="321">
        <f t="shared" si="10"/>
        <v>4</v>
      </c>
      <c r="R213" s="318">
        <f t="shared" si="11"/>
        <v>41850</v>
      </c>
      <c r="S213" s="318">
        <f t="shared" si="12"/>
        <v>41854</v>
      </c>
    </row>
    <row r="214" spans="3:19" ht="27.75" customHeight="1">
      <c r="C214" s="345" t="s">
        <v>98</v>
      </c>
      <c r="D214" s="345" t="s">
        <v>373</v>
      </c>
      <c r="E214" s="345" t="s">
        <v>374</v>
      </c>
      <c r="F214" s="345" t="s">
        <v>375</v>
      </c>
      <c r="G214" s="346" t="s">
        <v>376</v>
      </c>
      <c r="H214" s="339" t="s">
        <v>14</v>
      </c>
      <c r="I214" s="345" t="s">
        <v>59</v>
      </c>
      <c r="J214" s="316">
        <v>41850.556250000001</v>
      </c>
      <c r="K214" s="347"/>
      <c r="L214" s="347" t="s">
        <v>188</v>
      </c>
      <c r="M214" s="348" t="s">
        <v>378</v>
      </c>
      <c r="N214" s="348" t="s">
        <v>392</v>
      </c>
      <c r="O214" s="348" t="s">
        <v>175</v>
      </c>
      <c r="P214" s="349">
        <v>8.6572557876905698</v>
      </c>
      <c r="Q214" s="321" t="str">
        <f t="shared" si="10"/>
        <v/>
      </c>
      <c r="R214" s="318">
        <f t="shared" si="11"/>
        <v>41850</v>
      </c>
      <c r="S214" s="318" t="str">
        <f t="shared" si="12"/>
        <v/>
      </c>
    </row>
    <row r="215" spans="3:19" ht="27.75" customHeight="1">
      <c r="C215" s="345" t="s">
        <v>98</v>
      </c>
      <c r="D215" s="345" t="s">
        <v>373</v>
      </c>
      <c r="E215" s="345" t="s">
        <v>374</v>
      </c>
      <c r="F215" s="345" t="s">
        <v>375</v>
      </c>
      <c r="G215" s="346" t="s">
        <v>376</v>
      </c>
      <c r="H215" s="339" t="s">
        <v>14</v>
      </c>
      <c r="I215" s="345" t="s">
        <v>59</v>
      </c>
      <c r="J215" s="316">
        <v>41850.556250000001</v>
      </c>
      <c r="K215" s="347"/>
      <c r="L215" s="347" t="s">
        <v>188</v>
      </c>
      <c r="M215" s="348" t="s">
        <v>378</v>
      </c>
      <c r="N215" s="348" t="s">
        <v>392</v>
      </c>
      <c r="O215" s="348" t="s">
        <v>175</v>
      </c>
      <c r="P215" s="349">
        <v>8.6900056465273892</v>
      </c>
      <c r="Q215" s="321" t="str">
        <f t="shared" si="10"/>
        <v/>
      </c>
      <c r="R215" s="318">
        <f t="shared" si="11"/>
        <v>41850</v>
      </c>
      <c r="S215" s="318" t="str">
        <f t="shared" si="12"/>
        <v/>
      </c>
    </row>
    <row r="216" spans="3:19" ht="27.75" customHeight="1">
      <c r="C216" s="345" t="s">
        <v>98</v>
      </c>
      <c r="D216" s="345" t="s">
        <v>373</v>
      </c>
      <c r="E216" s="345" t="s">
        <v>374</v>
      </c>
      <c r="F216" s="345" t="s">
        <v>375</v>
      </c>
      <c r="G216" s="346" t="s">
        <v>376</v>
      </c>
      <c r="H216" s="339" t="s">
        <v>14</v>
      </c>
      <c r="I216" s="345" t="s">
        <v>59</v>
      </c>
      <c r="J216" s="316">
        <v>41850.545138888891</v>
      </c>
      <c r="K216" s="347"/>
      <c r="L216" s="347" t="s">
        <v>188</v>
      </c>
      <c r="M216" s="348" t="s">
        <v>378</v>
      </c>
      <c r="N216" s="348" t="s">
        <v>392</v>
      </c>
      <c r="O216" s="348" t="s">
        <v>175</v>
      </c>
      <c r="P216" s="349">
        <v>8.7227555053641996</v>
      </c>
      <c r="Q216" s="321" t="str">
        <f t="shared" si="10"/>
        <v/>
      </c>
      <c r="R216" s="318">
        <f t="shared" si="11"/>
        <v>41850</v>
      </c>
      <c r="S216" s="318" t="str">
        <f t="shared" si="12"/>
        <v/>
      </c>
    </row>
    <row r="217" spans="3:19" ht="27.75" customHeight="1">
      <c r="C217" s="345" t="s">
        <v>98</v>
      </c>
      <c r="D217" s="345" t="s">
        <v>373</v>
      </c>
      <c r="E217" s="345" t="s">
        <v>374</v>
      </c>
      <c r="F217" s="345" t="s">
        <v>375</v>
      </c>
      <c r="G217" s="346" t="s">
        <v>376</v>
      </c>
      <c r="H217" s="345" t="s">
        <v>5</v>
      </c>
      <c r="I217" s="345" t="s">
        <v>59</v>
      </c>
      <c r="J217" s="316">
        <v>41850.540972222225</v>
      </c>
      <c r="K217" s="347">
        <v>41856.540972222225</v>
      </c>
      <c r="L217" s="347" t="s">
        <v>188</v>
      </c>
      <c r="M217" s="348" t="s">
        <v>378</v>
      </c>
      <c r="N217" s="348" t="s">
        <v>392</v>
      </c>
      <c r="O217" s="348" t="s">
        <v>177</v>
      </c>
      <c r="P217" s="349">
        <v>8.7555053642010208</v>
      </c>
      <c r="Q217" s="321">
        <f t="shared" si="10"/>
        <v>6</v>
      </c>
      <c r="R217" s="318">
        <f t="shared" si="11"/>
        <v>41850</v>
      </c>
      <c r="S217" s="318">
        <f t="shared" si="12"/>
        <v>41856</v>
      </c>
    </row>
    <row r="218" spans="3:19" ht="27.75" customHeight="1">
      <c r="C218" s="345" t="s">
        <v>98</v>
      </c>
      <c r="D218" s="345" t="s">
        <v>373</v>
      </c>
      <c r="E218" s="345" t="s">
        <v>374</v>
      </c>
      <c r="F218" s="345" t="s">
        <v>375</v>
      </c>
      <c r="G218" s="346" t="s">
        <v>376</v>
      </c>
      <c r="H218" s="339" t="s">
        <v>14</v>
      </c>
      <c r="I218" s="345" t="s">
        <v>60</v>
      </c>
      <c r="J218" s="316">
        <v>41850.540277777778</v>
      </c>
      <c r="K218" s="347"/>
      <c r="L218" s="347" t="s">
        <v>378</v>
      </c>
      <c r="M218" s="348" t="s">
        <v>387</v>
      </c>
      <c r="N218" s="348" t="s">
        <v>392</v>
      </c>
      <c r="O218" s="348" t="s">
        <v>177</v>
      </c>
      <c r="P218" s="349">
        <v>8.7882552230378401</v>
      </c>
      <c r="Q218" s="321" t="str">
        <f t="shared" ref="Q218:Q281" si="13">IF(ISERROR(DATEDIF(J218,K218,"D")),"",DATEDIF(J218,K218,"D"))</f>
        <v/>
      </c>
      <c r="R218" s="318">
        <f t="shared" ref="R218:R281" si="14">DATE(YEAR(J218),MONTH(J218),DAY(J218))</f>
        <v>41850</v>
      </c>
      <c r="S218" s="318" t="str">
        <f t="shared" ref="S218:S281" si="15">IF(K218&lt;&gt;"",DATE(YEAR(K218),MONTH(K218),DAY(K218)),"")</f>
        <v/>
      </c>
    </row>
    <row r="219" spans="3:19" ht="27.75" customHeight="1">
      <c r="C219" s="345" t="s">
        <v>98</v>
      </c>
      <c r="D219" s="345" t="s">
        <v>373</v>
      </c>
      <c r="E219" s="345" t="s">
        <v>374</v>
      </c>
      <c r="F219" s="345" t="s">
        <v>375</v>
      </c>
      <c r="G219" s="346" t="s">
        <v>376</v>
      </c>
      <c r="H219" s="339" t="s">
        <v>14</v>
      </c>
      <c r="I219" s="345" t="s">
        <v>59</v>
      </c>
      <c r="J219" s="316">
        <v>41850.532638888886</v>
      </c>
      <c r="K219" s="347"/>
      <c r="L219" s="347" t="s">
        <v>378</v>
      </c>
      <c r="M219" s="348" t="s">
        <v>387</v>
      </c>
      <c r="N219" s="348" t="s">
        <v>392</v>
      </c>
      <c r="O219" s="348" t="s">
        <v>177</v>
      </c>
      <c r="P219" s="349">
        <v>8.8210050818746506</v>
      </c>
      <c r="Q219" s="321" t="str">
        <f t="shared" si="13"/>
        <v/>
      </c>
      <c r="R219" s="318">
        <f t="shared" si="14"/>
        <v>41850</v>
      </c>
      <c r="S219" s="318" t="str">
        <f t="shared" si="15"/>
        <v/>
      </c>
    </row>
    <row r="220" spans="3:19" ht="27.75" customHeight="1">
      <c r="C220" s="345" t="s">
        <v>98</v>
      </c>
      <c r="D220" s="345" t="s">
        <v>373</v>
      </c>
      <c r="E220" s="345" t="s">
        <v>374</v>
      </c>
      <c r="F220" s="345" t="s">
        <v>375</v>
      </c>
      <c r="G220" s="346" t="s">
        <v>376</v>
      </c>
      <c r="H220" s="339" t="s">
        <v>14</v>
      </c>
      <c r="I220" s="345" t="s">
        <v>58</v>
      </c>
      <c r="J220" s="316">
        <v>41850.511111111111</v>
      </c>
      <c r="K220" s="347"/>
      <c r="L220" s="347" t="s">
        <v>378</v>
      </c>
      <c r="M220" s="348" t="s">
        <v>378</v>
      </c>
      <c r="N220" s="348" t="s">
        <v>392</v>
      </c>
      <c r="O220" s="348" t="s">
        <v>177</v>
      </c>
      <c r="P220" s="349">
        <v>8.85375494071147</v>
      </c>
      <c r="Q220" s="321" t="str">
        <f t="shared" si="13"/>
        <v/>
      </c>
      <c r="R220" s="318">
        <f t="shared" si="14"/>
        <v>41850</v>
      </c>
      <c r="S220" s="318" t="str">
        <f t="shared" si="15"/>
        <v/>
      </c>
    </row>
    <row r="221" spans="3:19" ht="27.75" customHeight="1">
      <c r="C221" s="345" t="s">
        <v>98</v>
      </c>
      <c r="D221" s="345" t="s">
        <v>373</v>
      </c>
      <c r="E221" s="345" t="s">
        <v>374</v>
      </c>
      <c r="F221" s="345" t="s">
        <v>375</v>
      </c>
      <c r="G221" s="346" t="s">
        <v>376</v>
      </c>
      <c r="H221" s="345" t="s">
        <v>140</v>
      </c>
      <c r="I221" s="345" t="s">
        <v>60</v>
      </c>
      <c r="J221" s="316">
        <v>41850.499305555553</v>
      </c>
      <c r="K221" s="347"/>
      <c r="L221" s="347" t="s">
        <v>188</v>
      </c>
      <c r="M221" s="348" t="s">
        <v>378</v>
      </c>
      <c r="N221" s="348" t="s">
        <v>392</v>
      </c>
      <c r="O221" s="348" t="s">
        <v>177</v>
      </c>
      <c r="P221" s="349">
        <v>8.8865047995482804</v>
      </c>
      <c r="Q221" s="321" t="str">
        <f t="shared" si="13"/>
        <v/>
      </c>
      <c r="R221" s="318">
        <f t="shared" si="14"/>
        <v>41850</v>
      </c>
      <c r="S221" s="318" t="str">
        <f t="shared" si="15"/>
        <v/>
      </c>
    </row>
    <row r="222" spans="3:19" ht="27.75" customHeight="1">
      <c r="C222" s="345" t="s">
        <v>98</v>
      </c>
      <c r="D222" s="345" t="s">
        <v>373</v>
      </c>
      <c r="E222" s="345" t="s">
        <v>374</v>
      </c>
      <c r="F222" s="345" t="s">
        <v>375</v>
      </c>
      <c r="G222" s="346" t="s">
        <v>376</v>
      </c>
      <c r="H222" s="345" t="s">
        <v>5</v>
      </c>
      <c r="I222" s="345" t="s">
        <v>60</v>
      </c>
      <c r="J222" s="316">
        <v>41849.802777777775</v>
      </c>
      <c r="K222" s="347">
        <v>41857.802777777775</v>
      </c>
      <c r="L222" s="347" t="s">
        <v>188</v>
      </c>
      <c r="M222" s="348" t="s">
        <v>378</v>
      </c>
      <c r="N222" s="348" t="s">
        <v>392</v>
      </c>
      <c r="O222" s="348" t="s">
        <v>177</v>
      </c>
      <c r="P222" s="349">
        <v>8.9192546583850998</v>
      </c>
      <c r="Q222" s="321">
        <f t="shared" si="13"/>
        <v>8</v>
      </c>
      <c r="R222" s="318">
        <f t="shared" si="14"/>
        <v>41849</v>
      </c>
      <c r="S222" s="318">
        <f t="shared" si="15"/>
        <v>41857</v>
      </c>
    </row>
    <row r="223" spans="3:19" ht="27.75" customHeight="1">
      <c r="C223" s="345" t="s">
        <v>98</v>
      </c>
      <c r="D223" s="345" t="s">
        <v>373</v>
      </c>
      <c r="E223" s="345" t="s">
        <v>374</v>
      </c>
      <c r="F223" s="345" t="s">
        <v>375</v>
      </c>
      <c r="G223" s="346" t="s">
        <v>376</v>
      </c>
      <c r="H223" s="339" t="s">
        <v>14</v>
      </c>
      <c r="I223" s="345" t="s">
        <v>59</v>
      </c>
      <c r="J223" s="316">
        <v>41849.800694444442</v>
      </c>
      <c r="K223" s="347"/>
      <c r="L223" s="347" t="s">
        <v>188</v>
      </c>
      <c r="M223" s="348" t="s">
        <v>378</v>
      </c>
      <c r="N223" s="348" t="s">
        <v>392</v>
      </c>
      <c r="O223" s="348" t="s">
        <v>175</v>
      </c>
      <c r="P223" s="349">
        <v>8.9520045172219103</v>
      </c>
      <c r="Q223" s="321" t="str">
        <f t="shared" si="13"/>
        <v/>
      </c>
      <c r="R223" s="318">
        <f t="shared" si="14"/>
        <v>41849</v>
      </c>
      <c r="S223" s="318" t="str">
        <f t="shared" si="15"/>
        <v/>
      </c>
    </row>
    <row r="224" spans="3:19" ht="27.75" customHeight="1">
      <c r="C224" s="345" t="s">
        <v>98</v>
      </c>
      <c r="D224" s="345" t="s">
        <v>373</v>
      </c>
      <c r="E224" s="345" t="s">
        <v>374</v>
      </c>
      <c r="F224" s="345" t="s">
        <v>375</v>
      </c>
      <c r="G224" s="346" t="s">
        <v>376</v>
      </c>
      <c r="H224" s="345" t="s">
        <v>5</v>
      </c>
      <c r="I224" s="345" t="s">
        <v>59</v>
      </c>
      <c r="J224" s="316">
        <v>41849.777777777781</v>
      </c>
      <c r="K224" s="347">
        <v>41854.777777777781</v>
      </c>
      <c r="L224" s="347" t="s">
        <v>377</v>
      </c>
      <c r="M224" s="348" t="s">
        <v>378</v>
      </c>
      <c r="N224" s="348" t="s">
        <v>392</v>
      </c>
      <c r="O224" s="348" t="s">
        <v>175</v>
      </c>
      <c r="P224" s="349">
        <v>8.9847543760587296</v>
      </c>
      <c r="Q224" s="321">
        <f t="shared" si="13"/>
        <v>5</v>
      </c>
      <c r="R224" s="318">
        <f t="shared" si="14"/>
        <v>41849</v>
      </c>
      <c r="S224" s="318">
        <f t="shared" si="15"/>
        <v>41854</v>
      </c>
    </row>
    <row r="225" spans="3:19" ht="27.75" customHeight="1">
      <c r="C225" s="345" t="s">
        <v>98</v>
      </c>
      <c r="D225" s="345" t="s">
        <v>373</v>
      </c>
      <c r="E225" s="345" t="s">
        <v>374</v>
      </c>
      <c r="F225" s="345" t="s">
        <v>375</v>
      </c>
      <c r="G225" s="346" t="s">
        <v>376</v>
      </c>
      <c r="H225" s="345" t="s">
        <v>140</v>
      </c>
      <c r="I225" s="345" t="s">
        <v>61</v>
      </c>
      <c r="J225" s="316">
        <v>41849.770833333336</v>
      </c>
      <c r="K225" s="347"/>
      <c r="L225" s="347" t="s">
        <v>377</v>
      </c>
      <c r="M225" s="348" t="s">
        <v>378</v>
      </c>
      <c r="N225" s="348" t="s">
        <v>392</v>
      </c>
      <c r="O225" s="348" t="s">
        <v>175</v>
      </c>
      <c r="P225" s="349">
        <v>9.0175042348955401</v>
      </c>
      <c r="Q225" s="321" t="str">
        <f t="shared" si="13"/>
        <v/>
      </c>
      <c r="R225" s="318">
        <f t="shared" si="14"/>
        <v>41849</v>
      </c>
      <c r="S225" s="318" t="str">
        <f t="shared" si="15"/>
        <v/>
      </c>
    </row>
    <row r="226" spans="3:19" ht="27.75" customHeight="1">
      <c r="C226" s="345" t="s">
        <v>98</v>
      </c>
      <c r="D226" s="345" t="s">
        <v>373</v>
      </c>
      <c r="E226" s="345" t="s">
        <v>374</v>
      </c>
      <c r="F226" s="345" t="s">
        <v>375</v>
      </c>
      <c r="G226" s="346" t="s">
        <v>376</v>
      </c>
      <c r="H226" s="339" t="s">
        <v>14</v>
      </c>
      <c r="I226" s="345" t="s">
        <v>59</v>
      </c>
      <c r="J226" s="316">
        <v>41849.722916666666</v>
      </c>
      <c r="K226" s="347"/>
      <c r="L226" s="347" t="s">
        <v>377</v>
      </c>
      <c r="M226" s="348" t="s">
        <v>378</v>
      </c>
      <c r="N226" s="348" t="s">
        <v>392</v>
      </c>
      <c r="O226" s="348" t="s">
        <v>175</v>
      </c>
      <c r="P226" s="349">
        <v>9.0502540937323595</v>
      </c>
      <c r="Q226" s="321" t="str">
        <f t="shared" si="13"/>
        <v/>
      </c>
      <c r="R226" s="318">
        <f t="shared" si="14"/>
        <v>41849</v>
      </c>
      <c r="S226" s="318" t="str">
        <f t="shared" si="15"/>
        <v/>
      </c>
    </row>
    <row r="227" spans="3:19" ht="27.75" customHeight="1">
      <c r="C227" s="345" t="s">
        <v>98</v>
      </c>
      <c r="D227" s="345" t="s">
        <v>373</v>
      </c>
      <c r="E227" s="345" t="s">
        <v>374</v>
      </c>
      <c r="F227" s="345" t="s">
        <v>375</v>
      </c>
      <c r="G227" s="346" t="s">
        <v>376</v>
      </c>
      <c r="H227" s="345" t="s">
        <v>5</v>
      </c>
      <c r="I227" s="345" t="s">
        <v>59</v>
      </c>
      <c r="J227" s="316">
        <v>41849.720138888886</v>
      </c>
      <c r="K227" s="347">
        <v>41858.720138888886</v>
      </c>
      <c r="L227" s="347" t="s">
        <v>377</v>
      </c>
      <c r="M227" s="348" t="s">
        <v>378</v>
      </c>
      <c r="N227" s="348" t="s">
        <v>392</v>
      </c>
      <c r="O227" s="348" t="s">
        <v>175</v>
      </c>
      <c r="P227" s="349">
        <v>9.0830039525691699</v>
      </c>
      <c r="Q227" s="321">
        <f t="shared" si="13"/>
        <v>9</v>
      </c>
      <c r="R227" s="318">
        <f t="shared" si="14"/>
        <v>41849</v>
      </c>
      <c r="S227" s="318">
        <f t="shared" si="15"/>
        <v>41858</v>
      </c>
    </row>
    <row r="228" spans="3:19" ht="27.75" customHeight="1">
      <c r="C228" s="345" t="s">
        <v>98</v>
      </c>
      <c r="D228" s="345" t="s">
        <v>373</v>
      </c>
      <c r="E228" s="345" t="s">
        <v>374</v>
      </c>
      <c r="F228" s="345" t="s">
        <v>375</v>
      </c>
      <c r="G228" s="346" t="s">
        <v>376</v>
      </c>
      <c r="H228" s="345" t="s">
        <v>383</v>
      </c>
      <c r="I228" s="345" t="s">
        <v>58</v>
      </c>
      <c r="J228" s="316">
        <v>41849.719444444447</v>
      </c>
      <c r="K228" s="347"/>
      <c r="L228" s="347" t="s">
        <v>377</v>
      </c>
      <c r="M228" s="348" t="s">
        <v>378</v>
      </c>
      <c r="N228" s="348" t="s">
        <v>392</v>
      </c>
      <c r="O228" s="348" t="s">
        <v>175</v>
      </c>
      <c r="P228" s="349">
        <v>9.1157538114059893</v>
      </c>
      <c r="Q228" s="321" t="str">
        <f t="shared" si="13"/>
        <v/>
      </c>
      <c r="R228" s="318">
        <f t="shared" si="14"/>
        <v>41849</v>
      </c>
      <c r="S228" s="318" t="str">
        <f t="shared" si="15"/>
        <v/>
      </c>
    </row>
    <row r="229" spans="3:19" ht="27.75" customHeight="1">
      <c r="C229" s="345" t="s">
        <v>98</v>
      </c>
      <c r="D229" s="345" t="s">
        <v>373</v>
      </c>
      <c r="E229" s="345" t="s">
        <v>374</v>
      </c>
      <c r="F229" s="345" t="s">
        <v>375</v>
      </c>
      <c r="G229" s="346" t="s">
        <v>376</v>
      </c>
      <c r="H229" s="345" t="s">
        <v>5</v>
      </c>
      <c r="I229" s="345" t="s">
        <v>59</v>
      </c>
      <c r="J229" s="316">
        <v>41849.706944444442</v>
      </c>
      <c r="K229" s="347">
        <v>41858.706944444442</v>
      </c>
      <c r="L229" s="347" t="s">
        <v>377</v>
      </c>
      <c r="M229" s="348" t="s">
        <v>378</v>
      </c>
      <c r="N229" s="348" t="s">
        <v>392</v>
      </c>
      <c r="O229" s="348" t="s">
        <v>175</v>
      </c>
      <c r="P229" s="349">
        <v>9.1485036702427998</v>
      </c>
      <c r="Q229" s="321">
        <f t="shared" si="13"/>
        <v>9</v>
      </c>
      <c r="R229" s="318">
        <f t="shared" si="14"/>
        <v>41849</v>
      </c>
      <c r="S229" s="318">
        <f t="shared" si="15"/>
        <v>41858</v>
      </c>
    </row>
    <row r="230" spans="3:19" ht="27.75" customHeight="1">
      <c r="C230" s="345" t="s">
        <v>98</v>
      </c>
      <c r="D230" s="345" t="s">
        <v>373</v>
      </c>
      <c r="E230" s="345" t="s">
        <v>374</v>
      </c>
      <c r="F230" s="345" t="s">
        <v>375</v>
      </c>
      <c r="G230" s="346" t="s">
        <v>376</v>
      </c>
      <c r="H230" s="345" t="s">
        <v>5</v>
      </c>
      <c r="I230" s="345" t="s">
        <v>60</v>
      </c>
      <c r="J230" s="316">
        <v>41849.704861111109</v>
      </c>
      <c r="K230" s="347">
        <v>41857.704861111109</v>
      </c>
      <c r="L230" s="347" t="s">
        <v>377</v>
      </c>
      <c r="M230" s="348" t="s">
        <v>378</v>
      </c>
      <c r="N230" s="348" t="s">
        <v>392</v>
      </c>
      <c r="O230" s="348" t="s">
        <v>175</v>
      </c>
      <c r="P230" s="349">
        <v>9.1812535290796191</v>
      </c>
      <c r="Q230" s="321">
        <f t="shared" si="13"/>
        <v>8</v>
      </c>
      <c r="R230" s="318">
        <f t="shared" si="14"/>
        <v>41849</v>
      </c>
      <c r="S230" s="318">
        <f t="shared" si="15"/>
        <v>41857</v>
      </c>
    </row>
    <row r="231" spans="3:19" ht="27.75" customHeight="1">
      <c r="C231" s="345" t="s">
        <v>98</v>
      </c>
      <c r="D231" s="345" t="s">
        <v>373</v>
      </c>
      <c r="E231" s="345" t="s">
        <v>374</v>
      </c>
      <c r="F231" s="345" t="s">
        <v>375</v>
      </c>
      <c r="G231" s="346" t="s">
        <v>376</v>
      </c>
      <c r="H231" s="339" t="s">
        <v>14</v>
      </c>
      <c r="I231" s="345" t="s">
        <v>60</v>
      </c>
      <c r="J231" s="316">
        <v>41849.675000000003</v>
      </c>
      <c r="K231" s="347"/>
      <c r="L231" s="347" t="s">
        <v>377</v>
      </c>
      <c r="M231" s="348" t="s">
        <v>378</v>
      </c>
      <c r="N231" s="348" t="s">
        <v>392</v>
      </c>
      <c r="O231" s="348" t="s">
        <v>175</v>
      </c>
      <c r="P231" s="349">
        <v>9.2140033879164402</v>
      </c>
      <c r="Q231" s="321" t="str">
        <f t="shared" si="13"/>
        <v/>
      </c>
      <c r="R231" s="318">
        <f t="shared" si="14"/>
        <v>41849</v>
      </c>
      <c r="S231" s="318" t="str">
        <f t="shared" si="15"/>
        <v/>
      </c>
    </row>
    <row r="232" spans="3:19" ht="27.75" customHeight="1">
      <c r="C232" s="345" t="s">
        <v>98</v>
      </c>
      <c r="D232" s="345" t="s">
        <v>373</v>
      </c>
      <c r="E232" s="345" t="s">
        <v>374</v>
      </c>
      <c r="F232" s="345" t="s">
        <v>375</v>
      </c>
      <c r="G232" s="346" t="s">
        <v>376</v>
      </c>
      <c r="H232" s="345" t="s">
        <v>138</v>
      </c>
      <c r="I232" s="345" t="s">
        <v>60</v>
      </c>
      <c r="J232" s="316">
        <v>41849.652777777781</v>
      </c>
      <c r="K232" s="347"/>
      <c r="L232" s="347" t="s">
        <v>377</v>
      </c>
      <c r="M232" s="348" t="s">
        <v>378</v>
      </c>
      <c r="N232" s="348" t="s">
        <v>392</v>
      </c>
      <c r="O232" s="348" t="s">
        <v>175</v>
      </c>
      <c r="P232" s="349">
        <v>9.2467532467532507</v>
      </c>
      <c r="Q232" s="321" t="str">
        <f t="shared" si="13"/>
        <v/>
      </c>
      <c r="R232" s="318">
        <f t="shared" si="14"/>
        <v>41849</v>
      </c>
      <c r="S232" s="318" t="str">
        <f t="shared" si="15"/>
        <v/>
      </c>
    </row>
    <row r="233" spans="3:19" ht="27.75" customHeight="1">
      <c r="C233" s="345" t="s">
        <v>98</v>
      </c>
      <c r="D233" s="345" t="s">
        <v>373</v>
      </c>
      <c r="E233" s="345" t="s">
        <v>374</v>
      </c>
      <c r="F233" s="345" t="s">
        <v>375</v>
      </c>
      <c r="G233" s="346" t="s">
        <v>376</v>
      </c>
      <c r="H233" s="345" t="s">
        <v>5</v>
      </c>
      <c r="I233" s="345" t="s">
        <v>59</v>
      </c>
      <c r="J233" s="316">
        <v>41849.648611111108</v>
      </c>
      <c r="K233" s="347">
        <v>41851.648611111108</v>
      </c>
      <c r="L233" s="347" t="s">
        <v>188</v>
      </c>
      <c r="M233" s="348" t="s">
        <v>378</v>
      </c>
      <c r="N233" s="348" t="s">
        <v>392</v>
      </c>
      <c r="O233" s="348" t="s">
        <v>175</v>
      </c>
      <c r="P233" s="349">
        <v>9.2795031055900701</v>
      </c>
      <c r="Q233" s="321">
        <f t="shared" si="13"/>
        <v>2</v>
      </c>
      <c r="R233" s="318">
        <f t="shared" si="14"/>
        <v>41849</v>
      </c>
      <c r="S233" s="318">
        <f t="shared" si="15"/>
        <v>41851</v>
      </c>
    </row>
    <row r="234" spans="3:19" ht="27.75" customHeight="1">
      <c r="C234" s="345" t="s">
        <v>98</v>
      </c>
      <c r="D234" s="345" t="s">
        <v>373</v>
      </c>
      <c r="E234" s="345" t="s">
        <v>374</v>
      </c>
      <c r="F234" s="345" t="s">
        <v>375</v>
      </c>
      <c r="G234" s="346" t="s">
        <v>376</v>
      </c>
      <c r="H234" s="339" t="s">
        <v>14</v>
      </c>
      <c r="I234" s="345" t="s">
        <v>58</v>
      </c>
      <c r="J234" s="316">
        <v>41849.645833333336</v>
      </c>
      <c r="K234" s="347"/>
      <c r="L234" s="347" t="s">
        <v>188</v>
      </c>
      <c r="M234" s="348" t="s">
        <v>378</v>
      </c>
      <c r="N234" s="348" t="s">
        <v>392</v>
      </c>
      <c r="O234" s="348" t="s">
        <v>177</v>
      </c>
      <c r="P234" s="349">
        <v>9.3122529644268806</v>
      </c>
      <c r="Q234" s="321" t="str">
        <f t="shared" si="13"/>
        <v/>
      </c>
      <c r="R234" s="318">
        <f t="shared" si="14"/>
        <v>41849</v>
      </c>
      <c r="S234" s="318" t="str">
        <f t="shared" si="15"/>
        <v/>
      </c>
    </row>
    <row r="235" spans="3:19" ht="27.75" customHeight="1">
      <c r="C235" s="345" t="s">
        <v>98</v>
      </c>
      <c r="D235" s="345" t="s">
        <v>373</v>
      </c>
      <c r="E235" s="345" t="s">
        <v>374</v>
      </c>
      <c r="F235" s="345" t="s">
        <v>375</v>
      </c>
      <c r="G235" s="346" t="s">
        <v>376</v>
      </c>
      <c r="H235" s="345" t="s">
        <v>14</v>
      </c>
      <c r="I235" s="345" t="s">
        <v>60</v>
      </c>
      <c r="J235" s="316">
        <v>41849.63958333333</v>
      </c>
      <c r="K235" s="347"/>
      <c r="L235" s="347" t="s">
        <v>377</v>
      </c>
      <c r="M235" s="348" t="s">
        <v>378</v>
      </c>
      <c r="N235" s="348" t="s">
        <v>392</v>
      </c>
      <c r="O235" s="348" t="s">
        <v>177</v>
      </c>
      <c r="P235" s="349">
        <v>9.3450028232636999</v>
      </c>
      <c r="Q235" s="321" t="str">
        <f t="shared" si="13"/>
        <v/>
      </c>
      <c r="R235" s="318">
        <f t="shared" si="14"/>
        <v>41849</v>
      </c>
      <c r="S235" s="318" t="str">
        <f t="shared" si="15"/>
        <v/>
      </c>
    </row>
    <row r="236" spans="3:19" ht="27.75" customHeight="1">
      <c r="C236" s="345" t="s">
        <v>98</v>
      </c>
      <c r="D236" s="345" t="s">
        <v>373</v>
      </c>
      <c r="E236" s="345" t="s">
        <v>374</v>
      </c>
      <c r="F236" s="345" t="s">
        <v>375</v>
      </c>
      <c r="G236" s="346" t="s">
        <v>376</v>
      </c>
      <c r="H236" s="339" t="s">
        <v>14</v>
      </c>
      <c r="I236" s="345" t="s">
        <v>60</v>
      </c>
      <c r="J236" s="316">
        <v>41849.575694444444</v>
      </c>
      <c r="K236" s="347"/>
      <c r="L236" s="347" t="s">
        <v>377</v>
      </c>
      <c r="M236" s="348" t="s">
        <v>378</v>
      </c>
      <c r="N236" s="348" t="s">
        <v>392</v>
      </c>
      <c r="O236" s="348" t="s">
        <v>175</v>
      </c>
      <c r="P236" s="349">
        <v>9.3777526821005104</v>
      </c>
      <c r="Q236" s="321" t="str">
        <f t="shared" si="13"/>
        <v/>
      </c>
      <c r="R236" s="318">
        <f t="shared" si="14"/>
        <v>41849</v>
      </c>
      <c r="S236" s="318" t="str">
        <f t="shared" si="15"/>
        <v/>
      </c>
    </row>
    <row r="237" spans="3:19" ht="27.75" customHeight="1">
      <c r="C237" s="345" t="s">
        <v>98</v>
      </c>
      <c r="D237" s="345" t="s">
        <v>373</v>
      </c>
      <c r="E237" s="345" t="s">
        <v>374</v>
      </c>
      <c r="F237" s="345" t="s">
        <v>375</v>
      </c>
      <c r="G237" s="346" t="s">
        <v>376</v>
      </c>
      <c r="H237" s="339" t="s">
        <v>14</v>
      </c>
      <c r="I237" s="345" t="s">
        <v>58</v>
      </c>
      <c r="J237" s="316">
        <v>41849.547222222223</v>
      </c>
      <c r="K237" s="347"/>
      <c r="L237" s="347" t="s">
        <v>377</v>
      </c>
      <c r="M237" s="348" t="s">
        <v>378</v>
      </c>
      <c r="N237" s="348" t="s">
        <v>392</v>
      </c>
      <c r="O237" s="348" t="s">
        <v>175</v>
      </c>
      <c r="P237" s="349">
        <v>9.4105025409373297</v>
      </c>
      <c r="Q237" s="321" t="str">
        <f t="shared" si="13"/>
        <v/>
      </c>
      <c r="R237" s="318">
        <f t="shared" si="14"/>
        <v>41849</v>
      </c>
      <c r="S237" s="318" t="str">
        <f t="shared" si="15"/>
        <v/>
      </c>
    </row>
    <row r="238" spans="3:19" ht="27.75" customHeight="1">
      <c r="C238" s="345" t="s">
        <v>98</v>
      </c>
      <c r="D238" s="345" t="s">
        <v>373</v>
      </c>
      <c r="E238" s="345" t="s">
        <v>374</v>
      </c>
      <c r="F238" s="345" t="s">
        <v>375</v>
      </c>
      <c r="G238" s="346" t="s">
        <v>376</v>
      </c>
      <c r="H238" s="345" t="s">
        <v>138</v>
      </c>
      <c r="I238" s="345" t="s">
        <v>58</v>
      </c>
      <c r="J238" s="316">
        <v>41849.546527777777</v>
      </c>
      <c r="K238" s="347"/>
      <c r="L238" s="347" t="s">
        <v>377</v>
      </c>
      <c r="M238" s="348" t="s">
        <v>378</v>
      </c>
      <c r="N238" s="348" t="s">
        <v>392</v>
      </c>
      <c r="O238" s="348" t="s">
        <v>175</v>
      </c>
      <c r="P238" s="349">
        <v>9.4432523997741402</v>
      </c>
      <c r="Q238" s="321" t="str">
        <f t="shared" si="13"/>
        <v/>
      </c>
      <c r="R238" s="318">
        <f t="shared" si="14"/>
        <v>41849</v>
      </c>
      <c r="S238" s="318" t="str">
        <f t="shared" si="15"/>
        <v/>
      </c>
    </row>
    <row r="239" spans="3:19" ht="27.75" customHeight="1">
      <c r="C239" s="345" t="s">
        <v>98</v>
      </c>
      <c r="D239" s="345" t="s">
        <v>373</v>
      </c>
      <c r="E239" s="345" t="s">
        <v>374</v>
      </c>
      <c r="F239" s="345" t="s">
        <v>375</v>
      </c>
      <c r="G239" s="346" t="s">
        <v>376</v>
      </c>
      <c r="H239" s="345" t="s">
        <v>14</v>
      </c>
      <c r="I239" s="345" t="s">
        <v>60</v>
      </c>
      <c r="J239" s="316">
        <v>41849.531944444447</v>
      </c>
      <c r="K239" s="347"/>
      <c r="L239" s="347" t="s">
        <v>377</v>
      </c>
      <c r="M239" s="348" t="s">
        <v>393</v>
      </c>
      <c r="N239" s="348" t="s">
        <v>390</v>
      </c>
      <c r="O239" s="348" t="s">
        <v>177</v>
      </c>
      <c r="P239" s="349">
        <v>9.4760022586109596</v>
      </c>
      <c r="Q239" s="321" t="str">
        <f t="shared" si="13"/>
        <v/>
      </c>
      <c r="R239" s="318">
        <f t="shared" si="14"/>
        <v>41849</v>
      </c>
      <c r="S239" s="318" t="str">
        <f t="shared" si="15"/>
        <v/>
      </c>
    </row>
    <row r="240" spans="3:19" ht="27.75" customHeight="1">
      <c r="C240" s="345" t="s">
        <v>98</v>
      </c>
      <c r="D240" s="345" t="s">
        <v>373</v>
      </c>
      <c r="E240" s="345" t="s">
        <v>374</v>
      </c>
      <c r="F240" s="345" t="s">
        <v>375</v>
      </c>
      <c r="G240" s="346" t="s">
        <v>376</v>
      </c>
      <c r="H240" s="339" t="s">
        <v>14</v>
      </c>
      <c r="I240" s="345" t="s">
        <v>58</v>
      </c>
      <c r="J240" s="316">
        <v>41849.484722222223</v>
      </c>
      <c r="K240" s="347"/>
      <c r="L240" s="347" t="s">
        <v>378</v>
      </c>
      <c r="M240" s="348" t="s">
        <v>394</v>
      </c>
      <c r="N240" s="348" t="s">
        <v>381</v>
      </c>
      <c r="O240" s="348" t="s">
        <v>177</v>
      </c>
      <c r="P240" s="349">
        <v>9.50875211744777</v>
      </c>
      <c r="Q240" s="321" t="str">
        <f t="shared" si="13"/>
        <v/>
      </c>
      <c r="R240" s="318">
        <f t="shared" si="14"/>
        <v>41849</v>
      </c>
      <c r="S240" s="318" t="str">
        <f t="shared" si="15"/>
        <v/>
      </c>
    </row>
    <row r="241" spans="3:19" ht="27.75" customHeight="1">
      <c r="C241" s="345" t="s">
        <v>98</v>
      </c>
      <c r="D241" s="345" t="s">
        <v>373</v>
      </c>
      <c r="E241" s="345" t="s">
        <v>374</v>
      </c>
      <c r="F241" s="345" t="s">
        <v>375</v>
      </c>
      <c r="G241" s="346" t="s">
        <v>376</v>
      </c>
      <c r="H241" s="345" t="s">
        <v>5</v>
      </c>
      <c r="I241" s="345" t="s">
        <v>60</v>
      </c>
      <c r="J241" s="316">
        <v>41849.402083333334</v>
      </c>
      <c r="K241" s="347">
        <v>41855.402083333334</v>
      </c>
      <c r="L241" s="347" t="s">
        <v>377</v>
      </c>
      <c r="M241" s="348" t="s">
        <v>378</v>
      </c>
      <c r="N241" s="348" t="s">
        <v>392</v>
      </c>
      <c r="O241" s="348" t="s">
        <v>177</v>
      </c>
      <c r="P241" s="349">
        <v>9.5415019762845894</v>
      </c>
      <c r="Q241" s="321">
        <f t="shared" si="13"/>
        <v>6</v>
      </c>
      <c r="R241" s="318">
        <f t="shared" si="14"/>
        <v>41849</v>
      </c>
      <c r="S241" s="318">
        <f t="shared" si="15"/>
        <v>41855</v>
      </c>
    </row>
    <row r="242" spans="3:19" ht="27.75" customHeight="1">
      <c r="C242" s="345" t="s">
        <v>98</v>
      </c>
      <c r="D242" s="345" t="s">
        <v>373</v>
      </c>
      <c r="E242" s="345" t="s">
        <v>374</v>
      </c>
      <c r="F242" s="345" t="s">
        <v>375</v>
      </c>
      <c r="G242" s="346" t="s">
        <v>376</v>
      </c>
      <c r="H242" s="345" t="s">
        <v>138</v>
      </c>
      <c r="I242" s="345" t="s">
        <v>58</v>
      </c>
      <c r="J242" s="316">
        <v>41848.8125</v>
      </c>
      <c r="K242" s="347"/>
      <c r="L242" s="347" t="s">
        <v>377</v>
      </c>
      <c r="M242" s="348" t="s">
        <v>378</v>
      </c>
      <c r="N242" s="348" t="s">
        <v>392</v>
      </c>
      <c r="O242" s="348" t="s">
        <v>177</v>
      </c>
      <c r="P242" s="349">
        <v>9.5742518351213999</v>
      </c>
      <c r="Q242" s="321" t="str">
        <f t="shared" si="13"/>
        <v/>
      </c>
      <c r="R242" s="318">
        <f t="shared" si="14"/>
        <v>41848</v>
      </c>
      <c r="S242" s="318" t="str">
        <f t="shared" si="15"/>
        <v/>
      </c>
    </row>
    <row r="243" spans="3:19" ht="27.75" customHeight="1">
      <c r="C243" s="345" t="s">
        <v>98</v>
      </c>
      <c r="D243" s="345" t="s">
        <v>373</v>
      </c>
      <c r="E243" s="345" t="s">
        <v>374</v>
      </c>
      <c r="F243" s="345" t="s">
        <v>375</v>
      </c>
      <c r="G243" s="346" t="s">
        <v>376</v>
      </c>
      <c r="H243" s="345" t="s">
        <v>14</v>
      </c>
      <c r="I243" s="345" t="s">
        <v>61</v>
      </c>
      <c r="J243" s="316">
        <v>41848.79791666667</v>
      </c>
      <c r="K243" s="347"/>
      <c r="L243" s="347" t="s">
        <v>378</v>
      </c>
      <c r="M243" s="348" t="s">
        <v>395</v>
      </c>
      <c r="N243" s="348" t="s">
        <v>381</v>
      </c>
      <c r="O243" s="348" t="s">
        <v>177</v>
      </c>
      <c r="P243" s="349">
        <v>9.6070016939582192</v>
      </c>
      <c r="Q243" s="321" t="str">
        <f t="shared" si="13"/>
        <v/>
      </c>
      <c r="R243" s="318">
        <f t="shared" si="14"/>
        <v>41848</v>
      </c>
      <c r="S243" s="318" t="str">
        <f t="shared" si="15"/>
        <v/>
      </c>
    </row>
    <row r="244" spans="3:19" ht="27.75" customHeight="1">
      <c r="C244" s="345" t="s">
        <v>98</v>
      </c>
      <c r="D244" s="345" t="s">
        <v>373</v>
      </c>
      <c r="E244" s="345" t="s">
        <v>374</v>
      </c>
      <c r="F244" s="345" t="s">
        <v>375</v>
      </c>
      <c r="G244" s="346" t="s">
        <v>376</v>
      </c>
      <c r="H244" s="345" t="s">
        <v>5</v>
      </c>
      <c r="I244" s="345" t="s">
        <v>58</v>
      </c>
      <c r="J244" s="316">
        <v>41848.79791666667</v>
      </c>
      <c r="K244" s="347">
        <v>41855.79791666667</v>
      </c>
      <c r="L244" s="347" t="s">
        <v>378</v>
      </c>
      <c r="M244" s="348" t="s">
        <v>395</v>
      </c>
      <c r="N244" s="348" t="s">
        <v>381</v>
      </c>
      <c r="O244" s="348" t="s">
        <v>177</v>
      </c>
      <c r="P244" s="349">
        <v>9.6397515527950297</v>
      </c>
      <c r="Q244" s="321">
        <f t="shared" si="13"/>
        <v>7</v>
      </c>
      <c r="R244" s="318">
        <f t="shared" si="14"/>
        <v>41848</v>
      </c>
      <c r="S244" s="318">
        <f t="shared" si="15"/>
        <v>41855</v>
      </c>
    </row>
    <row r="245" spans="3:19" ht="27.75" customHeight="1">
      <c r="C245" s="345" t="s">
        <v>98</v>
      </c>
      <c r="D245" s="345" t="s">
        <v>373</v>
      </c>
      <c r="E245" s="345" t="s">
        <v>374</v>
      </c>
      <c r="F245" s="345" t="s">
        <v>375</v>
      </c>
      <c r="G245" s="346" t="s">
        <v>376</v>
      </c>
      <c r="H245" s="339" t="s">
        <v>14</v>
      </c>
      <c r="I245" s="345" t="s">
        <v>59</v>
      </c>
      <c r="J245" s="316">
        <v>41848.738888888889</v>
      </c>
      <c r="K245" s="347"/>
      <c r="L245" s="347" t="s">
        <v>377</v>
      </c>
      <c r="M245" s="348" t="s">
        <v>378</v>
      </c>
      <c r="N245" s="348" t="s">
        <v>392</v>
      </c>
      <c r="O245" s="348" t="s">
        <v>175</v>
      </c>
      <c r="P245" s="349">
        <v>9.6725014116318508</v>
      </c>
      <c r="Q245" s="321" t="str">
        <f t="shared" si="13"/>
        <v/>
      </c>
      <c r="R245" s="318">
        <f t="shared" si="14"/>
        <v>41848</v>
      </c>
      <c r="S245" s="318" t="str">
        <f t="shared" si="15"/>
        <v/>
      </c>
    </row>
    <row r="246" spans="3:19" ht="27.75" customHeight="1">
      <c r="C246" s="345" t="s">
        <v>98</v>
      </c>
      <c r="D246" s="345" t="s">
        <v>373</v>
      </c>
      <c r="E246" s="345" t="s">
        <v>374</v>
      </c>
      <c r="F246" s="345" t="s">
        <v>375</v>
      </c>
      <c r="G246" s="346" t="s">
        <v>376</v>
      </c>
      <c r="H246" s="345" t="s">
        <v>5</v>
      </c>
      <c r="I246" s="345" t="s">
        <v>59</v>
      </c>
      <c r="J246" s="316">
        <v>41848.720138888886</v>
      </c>
      <c r="K246" s="347">
        <v>41858.720138888886</v>
      </c>
      <c r="L246" s="347" t="s">
        <v>377</v>
      </c>
      <c r="M246" s="348" t="s">
        <v>378</v>
      </c>
      <c r="N246" s="348" t="s">
        <v>392</v>
      </c>
      <c r="O246" s="348" t="s">
        <v>175</v>
      </c>
      <c r="P246" s="349">
        <v>9.7052512704686702</v>
      </c>
      <c r="Q246" s="321">
        <f t="shared" si="13"/>
        <v>10</v>
      </c>
      <c r="R246" s="318">
        <f t="shared" si="14"/>
        <v>41848</v>
      </c>
      <c r="S246" s="318">
        <f t="shared" si="15"/>
        <v>41858</v>
      </c>
    </row>
    <row r="247" spans="3:19" ht="27.75" customHeight="1">
      <c r="C247" s="345" t="s">
        <v>98</v>
      </c>
      <c r="D247" s="345" t="s">
        <v>373</v>
      </c>
      <c r="E247" s="345" t="s">
        <v>374</v>
      </c>
      <c r="F247" s="345" t="s">
        <v>375</v>
      </c>
      <c r="G247" s="346" t="s">
        <v>376</v>
      </c>
      <c r="H247" s="345" t="s">
        <v>140</v>
      </c>
      <c r="I247" s="345" t="s">
        <v>60</v>
      </c>
      <c r="J247" s="316">
        <v>41848.709027777775</v>
      </c>
      <c r="K247" s="347"/>
      <c r="L247" s="347" t="s">
        <v>378</v>
      </c>
      <c r="M247" s="348" t="s">
        <v>395</v>
      </c>
      <c r="N247" s="348" t="s">
        <v>381</v>
      </c>
      <c r="O247" s="348" t="s">
        <v>175</v>
      </c>
      <c r="P247" s="349">
        <v>9.7380011293054807</v>
      </c>
      <c r="Q247" s="321" t="str">
        <f t="shared" si="13"/>
        <v/>
      </c>
      <c r="R247" s="318">
        <f t="shared" si="14"/>
        <v>41848</v>
      </c>
      <c r="S247" s="318" t="str">
        <f t="shared" si="15"/>
        <v/>
      </c>
    </row>
    <row r="248" spans="3:19" ht="27.75" customHeight="1">
      <c r="C248" s="345" t="s">
        <v>98</v>
      </c>
      <c r="D248" s="345" t="s">
        <v>373</v>
      </c>
      <c r="E248" s="345" t="s">
        <v>374</v>
      </c>
      <c r="F248" s="345" t="s">
        <v>375</v>
      </c>
      <c r="G248" s="346" t="s">
        <v>376</v>
      </c>
      <c r="H248" s="339" t="s">
        <v>14</v>
      </c>
      <c r="I248" s="345" t="s">
        <v>59</v>
      </c>
      <c r="J248" s="316">
        <v>41848.693055555559</v>
      </c>
      <c r="K248" s="347"/>
      <c r="L248" s="347" t="s">
        <v>378</v>
      </c>
      <c r="M248" s="348" t="s">
        <v>395</v>
      </c>
      <c r="N248" s="348" t="s">
        <v>381</v>
      </c>
      <c r="O248" s="348" t="s">
        <v>175</v>
      </c>
      <c r="P248" s="349">
        <v>9.7707509881423</v>
      </c>
      <c r="Q248" s="321" t="str">
        <f t="shared" si="13"/>
        <v/>
      </c>
      <c r="R248" s="318">
        <f t="shared" si="14"/>
        <v>41848</v>
      </c>
      <c r="S248" s="318" t="str">
        <f t="shared" si="15"/>
        <v/>
      </c>
    </row>
    <row r="249" spans="3:19" ht="27.75" customHeight="1">
      <c r="C249" s="345" t="s">
        <v>98</v>
      </c>
      <c r="D249" s="345" t="s">
        <v>373</v>
      </c>
      <c r="E249" s="345" t="s">
        <v>374</v>
      </c>
      <c r="F249" s="345" t="s">
        <v>375</v>
      </c>
      <c r="G249" s="346" t="s">
        <v>376</v>
      </c>
      <c r="H249" s="339" t="s">
        <v>14</v>
      </c>
      <c r="I249" s="345" t="s">
        <v>59</v>
      </c>
      <c r="J249" s="316">
        <v>41848.692361111112</v>
      </c>
      <c r="K249" s="347"/>
      <c r="L249" s="347" t="s">
        <v>377</v>
      </c>
      <c r="M249" s="348" t="s">
        <v>378</v>
      </c>
      <c r="N249" s="348" t="s">
        <v>392</v>
      </c>
      <c r="O249" s="348" t="s">
        <v>175</v>
      </c>
      <c r="P249" s="349">
        <v>9.8035008469791105</v>
      </c>
      <c r="Q249" s="321" t="str">
        <f t="shared" si="13"/>
        <v/>
      </c>
      <c r="R249" s="318">
        <f t="shared" si="14"/>
        <v>41848</v>
      </c>
      <c r="S249" s="318" t="str">
        <f t="shared" si="15"/>
        <v/>
      </c>
    </row>
    <row r="250" spans="3:19" ht="27.75" customHeight="1">
      <c r="C250" s="345" t="s">
        <v>98</v>
      </c>
      <c r="D250" s="345" t="s">
        <v>373</v>
      </c>
      <c r="E250" s="345" t="s">
        <v>374</v>
      </c>
      <c r="F250" s="345" t="s">
        <v>375</v>
      </c>
      <c r="G250" s="346" t="s">
        <v>376</v>
      </c>
      <c r="H250" s="345" t="s">
        <v>5</v>
      </c>
      <c r="I250" s="345" t="s">
        <v>60</v>
      </c>
      <c r="J250" s="316">
        <v>41848.680555555555</v>
      </c>
      <c r="K250" s="347">
        <v>41858.680555555555</v>
      </c>
      <c r="L250" s="347" t="s">
        <v>377</v>
      </c>
      <c r="M250" s="348" t="s">
        <v>378</v>
      </c>
      <c r="N250" s="348" t="s">
        <v>392</v>
      </c>
      <c r="O250" s="348" t="s">
        <v>175</v>
      </c>
      <c r="P250" s="349">
        <v>9.8362507058159299</v>
      </c>
      <c r="Q250" s="321">
        <f t="shared" si="13"/>
        <v>10</v>
      </c>
      <c r="R250" s="318">
        <f t="shared" si="14"/>
        <v>41848</v>
      </c>
      <c r="S250" s="318">
        <f t="shared" si="15"/>
        <v>41858</v>
      </c>
    </row>
    <row r="251" spans="3:19" ht="27.75" customHeight="1">
      <c r="C251" s="345" t="s">
        <v>98</v>
      </c>
      <c r="D251" s="345" t="s">
        <v>373</v>
      </c>
      <c r="E251" s="345" t="s">
        <v>374</v>
      </c>
      <c r="F251" s="345" t="s">
        <v>375</v>
      </c>
      <c r="G251" s="346" t="s">
        <v>376</v>
      </c>
      <c r="H251" s="339" t="s">
        <v>14</v>
      </c>
      <c r="I251" s="345" t="s">
        <v>59</v>
      </c>
      <c r="J251" s="316">
        <v>41848.677777777775</v>
      </c>
      <c r="K251" s="347"/>
      <c r="L251" s="347" t="s">
        <v>378</v>
      </c>
      <c r="M251" s="348" t="s">
        <v>378</v>
      </c>
      <c r="N251" s="348" t="s">
        <v>392</v>
      </c>
      <c r="O251" s="348" t="s">
        <v>175</v>
      </c>
      <c r="P251" s="349">
        <v>9.8690005646527403</v>
      </c>
      <c r="Q251" s="321" t="str">
        <f t="shared" si="13"/>
        <v/>
      </c>
      <c r="R251" s="318">
        <f t="shared" si="14"/>
        <v>41848</v>
      </c>
      <c r="S251" s="318" t="str">
        <f t="shared" si="15"/>
        <v/>
      </c>
    </row>
    <row r="252" spans="3:19" ht="27.75" customHeight="1">
      <c r="C252" s="345" t="s">
        <v>98</v>
      </c>
      <c r="D252" s="345" t="s">
        <v>373</v>
      </c>
      <c r="E252" s="345" t="s">
        <v>374</v>
      </c>
      <c r="F252" s="345" t="s">
        <v>375</v>
      </c>
      <c r="G252" s="346" t="s">
        <v>376</v>
      </c>
      <c r="H252" s="345" t="s">
        <v>5</v>
      </c>
      <c r="I252" s="345" t="s">
        <v>59</v>
      </c>
      <c r="J252" s="316">
        <v>41848.670138888891</v>
      </c>
      <c r="K252" s="347">
        <v>41850.670138888891</v>
      </c>
      <c r="L252" s="347" t="s">
        <v>378</v>
      </c>
      <c r="M252" s="348" t="s">
        <v>396</v>
      </c>
      <c r="N252" s="348" t="s">
        <v>381</v>
      </c>
      <c r="O252" s="348" t="s">
        <v>175</v>
      </c>
      <c r="P252" s="349">
        <v>9.9017504234895597</v>
      </c>
      <c r="Q252" s="321">
        <f t="shared" si="13"/>
        <v>2</v>
      </c>
      <c r="R252" s="318">
        <f t="shared" si="14"/>
        <v>41848</v>
      </c>
      <c r="S252" s="318">
        <f t="shared" si="15"/>
        <v>41850</v>
      </c>
    </row>
    <row r="253" spans="3:19" ht="27.75" customHeight="1">
      <c r="C253" s="345" t="s">
        <v>98</v>
      </c>
      <c r="D253" s="345" t="s">
        <v>373</v>
      </c>
      <c r="E253" s="345" t="s">
        <v>374</v>
      </c>
      <c r="F253" s="345" t="s">
        <v>375</v>
      </c>
      <c r="G253" s="346" t="s">
        <v>376</v>
      </c>
      <c r="H253" s="345" t="s">
        <v>5</v>
      </c>
      <c r="I253" s="345" t="s">
        <v>58</v>
      </c>
      <c r="J253" s="316">
        <v>41848.666666666664</v>
      </c>
      <c r="K253" s="347">
        <v>41854.666666666664</v>
      </c>
      <c r="L253" s="347" t="s">
        <v>378</v>
      </c>
      <c r="M253" s="348" t="s">
        <v>378</v>
      </c>
      <c r="N253" s="348" t="s">
        <v>392</v>
      </c>
      <c r="O253" s="348" t="s">
        <v>175</v>
      </c>
      <c r="P253" s="349">
        <v>9.9345002823263702</v>
      </c>
      <c r="Q253" s="321">
        <f t="shared" si="13"/>
        <v>6</v>
      </c>
      <c r="R253" s="318">
        <f t="shared" si="14"/>
        <v>41848</v>
      </c>
      <c r="S253" s="318">
        <f t="shared" si="15"/>
        <v>41854</v>
      </c>
    </row>
    <row r="254" spans="3:19" ht="27.75" customHeight="1">
      <c r="C254" s="345" t="s">
        <v>98</v>
      </c>
      <c r="D254" s="345" t="s">
        <v>373</v>
      </c>
      <c r="E254" s="345" t="s">
        <v>374</v>
      </c>
      <c r="F254" s="345" t="s">
        <v>375</v>
      </c>
      <c r="G254" s="346" t="s">
        <v>376</v>
      </c>
      <c r="H254" s="339" t="s">
        <v>14</v>
      </c>
      <c r="I254" s="345" t="s">
        <v>59</v>
      </c>
      <c r="J254" s="316">
        <v>41848.654861111114</v>
      </c>
      <c r="K254" s="347"/>
      <c r="L254" s="347" t="s">
        <v>378</v>
      </c>
      <c r="M254" s="348" t="s">
        <v>397</v>
      </c>
      <c r="N254" s="348" t="s">
        <v>397</v>
      </c>
      <c r="O254" s="348" t="s">
        <v>175</v>
      </c>
      <c r="P254" s="349">
        <v>9.9672501411631895</v>
      </c>
      <c r="Q254" s="321" t="str">
        <f t="shared" si="13"/>
        <v/>
      </c>
      <c r="R254" s="318">
        <f t="shared" si="14"/>
        <v>41848</v>
      </c>
      <c r="S254" s="318" t="str">
        <f t="shared" si="15"/>
        <v/>
      </c>
    </row>
    <row r="255" spans="3:19" ht="27.75" customHeight="1">
      <c r="C255" s="345" t="s">
        <v>98</v>
      </c>
      <c r="D255" s="345" t="s">
        <v>373</v>
      </c>
      <c r="E255" s="345" t="s">
        <v>374</v>
      </c>
      <c r="F255" s="345" t="s">
        <v>375</v>
      </c>
      <c r="G255" s="346" t="s">
        <v>376</v>
      </c>
      <c r="H255" s="345" t="s">
        <v>5</v>
      </c>
      <c r="I255" s="345" t="s">
        <v>59</v>
      </c>
      <c r="J255" s="316">
        <v>41848.651388888888</v>
      </c>
      <c r="K255" s="347">
        <v>41858.651388888888</v>
      </c>
      <c r="L255" s="347" t="s">
        <v>378</v>
      </c>
      <c r="M255" s="348" t="s">
        <v>378</v>
      </c>
      <c r="N255" s="348" t="s">
        <v>392</v>
      </c>
      <c r="O255" s="348" t="s">
        <v>175</v>
      </c>
      <c r="P255" s="349">
        <v>10</v>
      </c>
      <c r="Q255" s="321">
        <f t="shared" si="13"/>
        <v>10</v>
      </c>
      <c r="R255" s="318">
        <f t="shared" si="14"/>
        <v>41848</v>
      </c>
      <c r="S255" s="318">
        <f t="shared" si="15"/>
        <v>41858</v>
      </c>
    </row>
    <row r="256" spans="3:19" ht="27.75" customHeight="1">
      <c r="C256" s="345" t="s">
        <v>98</v>
      </c>
      <c r="D256" s="345" t="s">
        <v>373</v>
      </c>
      <c r="E256" s="345" t="s">
        <v>374</v>
      </c>
      <c r="F256" s="345" t="s">
        <v>375</v>
      </c>
      <c r="G256" s="346" t="s">
        <v>376</v>
      </c>
      <c r="H256" s="345" t="s">
        <v>5</v>
      </c>
      <c r="I256" s="345" t="s">
        <v>58</v>
      </c>
      <c r="J256" s="316">
        <v>41848.645833333336</v>
      </c>
      <c r="K256" s="347">
        <v>41858.645833333336</v>
      </c>
      <c r="L256" s="347" t="s">
        <v>377</v>
      </c>
      <c r="M256" s="348" t="s">
        <v>378</v>
      </c>
      <c r="N256" s="348" t="s">
        <v>392</v>
      </c>
      <c r="O256" s="348" t="s">
        <v>177</v>
      </c>
      <c r="P256" s="349">
        <v>10.0327498588368</v>
      </c>
      <c r="Q256" s="321">
        <f t="shared" si="13"/>
        <v>10</v>
      </c>
      <c r="R256" s="318">
        <f t="shared" si="14"/>
        <v>41848</v>
      </c>
      <c r="S256" s="318">
        <f t="shared" si="15"/>
        <v>41858</v>
      </c>
    </row>
    <row r="257" spans="3:19" ht="27.75" customHeight="1">
      <c r="C257" s="345" t="s">
        <v>98</v>
      </c>
      <c r="D257" s="345" t="s">
        <v>373</v>
      </c>
      <c r="E257" s="345" t="s">
        <v>374</v>
      </c>
      <c r="F257" s="345" t="s">
        <v>375</v>
      </c>
      <c r="G257" s="346" t="s">
        <v>376</v>
      </c>
      <c r="H257" s="339" t="s">
        <v>14</v>
      </c>
      <c r="I257" s="345" t="s">
        <v>60</v>
      </c>
      <c r="J257" s="316">
        <v>41848.643750000003</v>
      </c>
      <c r="K257" s="347"/>
      <c r="L257" s="347" t="s">
        <v>378</v>
      </c>
      <c r="M257" s="348" t="s">
        <v>378</v>
      </c>
      <c r="N257" s="348" t="s">
        <v>392</v>
      </c>
      <c r="O257" s="348" t="s">
        <v>177</v>
      </c>
      <c r="P257" s="349">
        <v>10.0654997176736</v>
      </c>
      <c r="Q257" s="321" t="str">
        <f t="shared" si="13"/>
        <v/>
      </c>
      <c r="R257" s="318">
        <f t="shared" si="14"/>
        <v>41848</v>
      </c>
      <c r="S257" s="318" t="str">
        <f t="shared" si="15"/>
        <v/>
      </c>
    </row>
    <row r="258" spans="3:19" ht="27.75" customHeight="1">
      <c r="C258" s="345" t="s">
        <v>98</v>
      </c>
      <c r="D258" s="345" t="s">
        <v>373</v>
      </c>
      <c r="E258" s="345" t="s">
        <v>374</v>
      </c>
      <c r="F258" s="345" t="s">
        <v>375</v>
      </c>
      <c r="G258" s="346" t="s">
        <v>376</v>
      </c>
      <c r="H258" s="339" t="s">
        <v>14</v>
      </c>
      <c r="I258" s="345" t="s">
        <v>59</v>
      </c>
      <c r="J258" s="316">
        <v>41848.636111111111</v>
      </c>
      <c r="K258" s="347"/>
      <c r="L258" s="347" t="s">
        <v>378</v>
      </c>
      <c r="M258" s="348" t="s">
        <v>378</v>
      </c>
      <c r="N258" s="348" t="s">
        <v>392</v>
      </c>
      <c r="O258" s="348" t="s">
        <v>175</v>
      </c>
      <c r="P258" s="349">
        <v>10.098249576510399</v>
      </c>
      <c r="Q258" s="321" t="str">
        <f t="shared" si="13"/>
        <v/>
      </c>
      <c r="R258" s="318">
        <f t="shared" si="14"/>
        <v>41848</v>
      </c>
      <c r="S258" s="318" t="str">
        <f t="shared" si="15"/>
        <v/>
      </c>
    </row>
    <row r="259" spans="3:19" ht="27.75" customHeight="1">
      <c r="C259" s="345" t="s">
        <v>98</v>
      </c>
      <c r="D259" s="345" t="s">
        <v>373</v>
      </c>
      <c r="E259" s="345" t="s">
        <v>374</v>
      </c>
      <c r="F259" s="345" t="s">
        <v>375</v>
      </c>
      <c r="G259" s="346" t="s">
        <v>376</v>
      </c>
      <c r="H259" s="339" t="s">
        <v>14</v>
      </c>
      <c r="I259" s="345" t="s">
        <v>59</v>
      </c>
      <c r="J259" s="316">
        <v>41848.634027777778</v>
      </c>
      <c r="K259" s="347"/>
      <c r="L259" s="347" t="s">
        <v>378</v>
      </c>
      <c r="M259" s="348" t="s">
        <v>395</v>
      </c>
      <c r="N259" s="348" t="s">
        <v>381</v>
      </c>
      <c r="O259" s="348" t="s">
        <v>175</v>
      </c>
      <c r="P259" s="349">
        <v>10.130999435347301</v>
      </c>
      <c r="Q259" s="321" t="str">
        <f t="shared" si="13"/>
        <v/>
      </c>
      <c r="R259" s="318">
        <f t="shared" si="14"/>
        <v>41848</v>
      </c>
      <c r="S259" s="318" t="str">
        <f t="shared" si="15"/>
        <v/>
      </c>
    </row>
    <row r="260" spans="3:19" ht="27.75" customHeight="1">
      <c r="C260" s="345" t="s">
        <v>98</v>
      </c>
      <c r="D260" s="345" t="s">
        <v>373</v>
      </c>
      <c r="E260" s="345" t="s">
        <v>374</v>
      </c>
      <c r="F260" s="345" t="s">
        <v>375</v>
      </c>
      <c r="G260" s="346" t="s">
        <v>376</v>
      </c>
      <c r="H260" s="345" t="s">
        <v>5</v>
      </c>
      <c r="I260" s="345" t="s">
        <v>58</v>
      </c>
      <c r="J260" s="316">
        <v>41848.631249999999</v>
      </c>
      <c r="K260" s="347">
        <v>41850.631249999999</v>
      </c>
      <c r="L260" s="347" t="s">
        <v>377</v>
      </c>
      <c r="M260" s="348" t="s">
        <v>378</v>
      </c>
      <c r="N260" s="348" t="s">
        <v>392</v>
      </c>
      <c r="O260" s="348" t="s">
        <v>175</v>
      </c>
      <c r="P260" s="349">
        <v>10.1637492941841</v>
      </c>
      <c r="Q260" s="321">
        <f t="shared" si="13"/>
        <v>2</v>
      </c>
      <c r="R260" s="318">
        <f t="shared" si="14"/>
        <v>41848</v>
      </c>
      <c r="S260" s="318">
        <f t="shared" si="15"/>
        <v>41850</v>
      </c>
    </row>
    <row r="261" spans="3:19" ht="27.75" customHeight="1">
      <c r="C261" s="345" t="s">
        <v>98</v>
      </c>
      <c r="D261" s="345" t="s">
        <v>373</v>
      </c>
      <c r="E261" s="345" t="s">
        <v>374</v>
      </c>
      <c r="F261" s="345" t="s">
        <v>375</v>
      </c>
      <c r="G261" s="346" t="s">
        <v>376</v>
      </c>
      <c r="H261" s="339" t="s">
        <v>14</v>
      </c>
      <c r="I261" s="345" t="s">
        <v>58</v>
      </c>
      <c r="J261" s="316">
        <v>41848.615972222222</v>
      </c>
      <c r="K261" s="347"/>
      <c r="L261" s="347" t="s">
        <v>377</v>
      </c>
      <c r="M261" s="348" t="s">
        <v>378</v>
      </c>
      <c r="N261" s="348" t="s">
        <v>392</v>
      </c>
      <c r="O261" s="348" t="s">
        <v>177</v>
      </c>
      <c r="P261" s="349">
        <v>10.1964991530209</v>
      </c>
      <c r="Q261" s="321" t="str">
        <f t="shared" si="13"/>
        <v/>
      </c>
      <c r="R261" s="318">
        <f t="shared" si="14"/>
        <v>41848</v>
      </c>
      <c r="S261" s="318" t="str">
        <f t="shared" si="15"/>
        <v/>
      </c>
    </row>
    <row r="262" spans="3:19" ht="27.75" customHeight="1">
      <c r="C262" s="345" t="s">
        <v>98</v>
      </c>
      <c r="D262" s="345" t="s">
        <v>373</v>
      </c>
      <c r="E262" s="345" t="s">
        <v>374</v>
      </c>
      <c r="F262" s="345" t="s">
        <v>375</v>
      </c>
      <c r="G262" s="346" t="s">
        <v>376</v>
      </c>
      <c r="H262" s="339" t="s">
        <v>14</v>
      </c>
      <c r="I262" s="345" t="s">
        <v>59</v>
      </c>
      <c r="J262" s="316">
        <v>41848.609722222223</v>
      </c>
      <c r="K262" s="347"/>
      <c r="L262" s="347" t="s">
        <v>377</v>
      </c>
      <c r="M262" s="348" t="s">
        <v>378</v>
      </c>
      <c r="N262" s="348" t="s">
        <v>392</v>
      </c>
      <c r="O262" s="348" t="s">
        <v>177</v>
      </c>
      <c r="P262" s="349">
        <v>10.2292490118577</v>
      </c>
      <c r="Q262" s="321" t="str">
        <f t="shared" si="13"/>
        <v/>
      </c>
      <c r="R262" s="318">
        <f t="shared" si="14"/>
        <v>41848</v>
      </c>
      <c r="S262" s="318" t="str">
        <f t="shared" si="15"/>
        <v/>
      </c>
    </row>
    <row r="263" spans="3:19" ht="27.75" customHeight="1">
      <c r="C263" s="345" t="s">
        <v>98</v>
      </c>
      <c r="D263" s="345" t="s">
        <v>373</v>
      </c>
      <c r="E263" s="345" t="s">
        <v>374</v>
      </c>
      <c r="F263" s="345" t="s">
        <v>375</v>
      </c>
      <c r="G263" s="346" t="s">
        <v>376</v>
      </c>
      <c r="H263" s="339" t="s">
        <v>14</v>
      </c>
      <c r="I263" s="345" t="s">
        <v>58</v>
      </c>
      <c r="J263" s="316">
        <v>41848.605555555558</v>
      </c>
      <c r="K263" s="347"/>
      <c r="L263" s="347" t="s">
        <v>377</v>
      </c>
      <c r="M263" s="348" t="s">
        <v>378</v>
      </c>
      <c r="N263" s="348" t="s">
        <v>392</v>
      </c>
      <c r="O263" s="348" t="s">
        <v>177</v>
      </c>
      <c r="P263" s="349">
        <v>10.2619988706945</v>
      </c>
      <c r="Q263" s="321" t="str">
        <f t="shared" si="13"/>
        <v/>
      </c>
      <c r="R263" s="318">
        <f t="shared" si="14"/>
        <v>41848</v>
      </c>
      <c r="S263" s="318" t="str">
        <f t="shared" si="15"/>
        <v/>
      </c>
    </row>
    <row r="264" spans="3:19" ht="27.75" customHeight="1">
      <c r="C264" s="345" t="s">
        <v>98</v>
      </c>
      <c r="D264" s="345" t="s">
        <v>373</v>
      </c>
      <c r="E264" s="345" t="s">
        <v>374</v>
      </c>
      <c r="F264" s="345" t="s">
        <v>375</v>
      </c>
      <c r="G264" s="346" t="s">
        <v>376</v>
      </c>
      <c r="H264" s="339" t="s">
        <v>14</v>
      </c>
      <c r="I264" s="345" t="s">
        <v>58</v>
      </c>
      <c r="J264" s="316">
        <v>41848.604861111111</v>
      </c>
      <c r="K264" s="347"/>
      <c r="L264" s="347" t="s">
        <v>377</v>
      </c>
      <c r="M264" s="348" t="s">
        <v>378</v>
      </c>
      <c r="N264" s="348" t="s">
        <v>392</v>
      </c>
      <c r="O264" s="348" t="s">
        <v>177</v>
      </c>
      <c r="P264" s="349">
        <v>10.2947487295313</v>
      </c>
      <c r="Q264" s="321" t="str">
        <f t="shared" si="13"/>
        <v/>
      </c>
      <c r="R264" s="318">
        <f t="shared" si="14"/>
        <v>41848</v>
      </c>
      <c r="S264" s="318" t="str">
        <f t="shared" si="15"/>
        <v/>
      </c>
    </row>
    <row r="265" spans="3:19" ht="27.75" customHeight="1">
      <c r="C265" s="345" t="s">
        <v>98</v>
      </c>
      <c r="D265" s="345" t="s">
        <v>373</v>
      </c>
      <c r="E265" s="345" t="s">
        <v>374</v>
      </c>
      <c r="F265" s="345" t="s">
        <v>375</v>
      </c>
      <c r="G265" s="346" t="s">
        <v>376</v>
      </c>
      <c r="H265" s="339" t="s">
        <v>14</v>
      </c>
      <c r="I265" s="345" t="s">
        <v>59</v>
      </c>
      <c r="J265" s="316">
        <v>41848.602777777778</v>
      </c>
      <c r="K265" s="347"/>
      <c r="L265" s="347" t="s">
        <v>377</v>
      </c>
      <c r="M265" s="348" t="s">
        <v>378</v>
      </c>
      <c r="N265" s="348" t="s">
        <v>392</v>
      </c>
      <c r="O265" s="348" t="s">
        <v>177</v>
      </c>
      <c r="P265" s="349">
        <v>10.327498588368201</v>
      </c>
      <c r="Q265" s="321" t="str">
        <f t="shared" si="13"/>
        <v/>
      </c>
      <c r="R265" s="318">
        <f t="shared" si="14"/>
        <v>41848</v>
      </c>
      <c r="S265" s="318" t="str">
        <f t="shared" si="15"/>
        <v/>
      </c>
    </row>
    <row r="266" spans="3:19" ht="27.75" customHeight="1">
      <c r="C266" s="345" t="s">
        <v>98</v>
      </c>
      <c r="D266" s="345" t="s">
        <v>373</v>
      </c>
      <c r="E266" s="345" t="s">
        <v>374</v>
      </c>
      <c r="F266" s="345" t="s">
        <v>375</v>
      </c>
      <c r="G266" s="346" t="s">
        <v>376</v>
      </c>
      <c r="H266" s="339" t="s">
        <v>14</v>
      </c>
      <c r="I266" s="345" t="s">
        <v>59</v>
      </c>
      <c r="J266" s="316">
        <v>41848.6</v>
      </c>
      <c r="K266" s="347"/>
      <c r="L266" s="347" t="s">
        <v>377</v>
      </c>
      <c r="M266" s="348" t="s">
        <v>378</v>
      </c>
      <c r="N266" s="348" t="s">
        <v>392</v>
      </c>
      <c r="O266" s="348" t="s">
        <v>177</v>
      </c>
      <c r="P266" s="349">
        <v>10.360248447205</v>
      </c>
      <c r="Q266" s="321" t="str">
        <f t="shared" si="13"/>
        <v/>
      </c>
      <c r="R266" s="318">
        <f t="shared" si="14"/>
        <v>41848</v>
      </c>
      <c r="S266" s="318" t="str">
        <f t="shared" si="15"/>
        <v/>
      </c>
    </row>
    <row r="267" spans="3:19" ht="27.75" customHeight="1">
      <c r="C267" s="345" t="s">
        <v>98</v>
      </c>
      <c r="D267" s="345" t="s">
        <v>373</v>
      </c>
      <c r="E267" s="345" t="s">
        <v>374</v>
      </c>
      <c r="F267" s="345" t="s">
        <v>375</v>
      </c>
      <c r="G267" s="346" t="s">
        <v>376</v>
      </c>
      <c r="H267" s="345" t="s">
        <v>5</v>
      </c>
      <c r="I267" s="345" t="s">
        <v>59</v>
      </c>
      <c r="J267" s="316">
        <v>41848.59097222222</v>
      </c>
      <c r="K267" s="347">
        <v>41857.59097222222</v>
      </c>
      <c r="L267" s="347" t="s">
        <v>377</v>
      </c>
      <c r="M267" s="348" t="s">
        <v>378</v>
      </c>
      <c r="N267" s="348" t="s">
        <v>392</v>
      </c>
      <c r="O267" s="348" t="s">
        <v>175</v>
      </c>
      <c r="P267" s="349">
        <v>10.3929983060418</v>
      </c>
      <c r="Q267" s="321">
        <f t="shared" si="13"/>
        <v>9</v>
      </c>
      <c r="R267" s="318">
        <f t="shared" si="14"/>
        <v>41848</v>
      </c>
      <c r="S267" s="318">
        <f t="shared" si="15"/>
        <v>41857</v>
      </c>
    </row>
    <row r="268" spans="3:19" ht="27.75" customHeight="1">
      <c r="C268" s="345" t="s">
        <v>98</v>
      </c>
      <c r="D268" s="345" t="s">
        <v>373</v>
      </c>
      <c r="E268" s="345" t="s">
        <v>374</v>
      </c>
      <c r="F268" s="345" t="s">
        <v>375</v>
      </c>
      <c r="G268" s="346" t="s">
        <v>376</v>
      </c>
      <c r="H268" s="345" t="s">
        <v>5</v>
      </c>
      <c r="I268" s="345" t="s">
        <v>60</v>
      </c>
      <c r="J268" s="316">
        <v>41848.586805555555</v>
      </c>
      <c r="K268" s="347">
        <v>41858.586805555555</v>
      </c>
      <c r="L268" s="347" t="s">
        <v>378</v>
      </c>
      <c r="M268" s="348" t="s">
        <v>378</v>
      </c>
      <c r="N268" s="348" t="s">
        <v>378</v>
      </c>
      <c r="O268" s="348" t="s">
        <v>175</v>
      </c>
      <c r="P268" s="349">
        <v>10.4257481648786</v>
      </c>
      <c r="Q268" s="321">
        <f t="shared" si="13"/>
        <v>10</v>
      </c>
      <c r="R268" s="318">
        <f t="shared" si="14"/>
        <v>41848</v>
      </c>
      <c r="S268" s="318">
        <f t="shared" si="15"/>
        <v>41858</v>
      </c>
    </row>
    <row r="269" spans="3:19" ht="27.75" customHeight="1">
      <c r="C269" s="345" t="s">
        <v>98</v>
      </c>
      <c r="D269" s="345" t="s">
        <v>373</v>
      </c>
      <c r="E269" s="345" t="s">
        <v>374</v>
      </c>
      <c r="F269" s="345" t="s">
        <v>375</v>
      </c>
      <c r="G269" s="346" t="s">
        <v>376</v>
      </c>
      <c r="H269" s="345" t="s">
        <v>140</v>
      </c>
      <c r="I269" s="345" t="s">
        <v>60</v>
      </c>
      <c r="J269" s="316">
        <v>41848.573611111111</v>
      </c>
      <c r="K269" s="347"/>
      <c r="L269" s="347" t="s">
        <v>377</v>
      </c>
      <c r="M269" s="348" t="s">
        <v>378</v>
      </c>
      <c r="N269" s="348" t="s">
        <v>190</v>
      </c>
      <c r="O269" s="348" t="s">
        <v>175</v>
      </c>
      <c r="P269" s="349">
        <v>10.4584980237154</v>
      </c>
      <c r="Q269" s="321" t="str">
        <f t="shared" si="13"/>
        <v/>
      </c>
      <c r="R269" s="318">
        <f t="shared" si="14"/>
        <v>41848</v>
      </c>
      <c r="S269" s="318" t="str">
        <f t="shared" si="15"/>
        <v/>
      </c>
    </row>
    <row r="270" spans="3:19" ht="27.75" customHeight="1">
      <c r="C270" s="345" t="s">
        <v>98</v>
      </c>
      <c r="D270" s="345" t="s">
        <v>373</v>
      </c>
      <c r="E270" s="345" t="s">
        <v>374</v>
      </c>
      <c r="F270" s="345" t="s">
        <v>375</v>
      </c>
      <c r="G270" s="346" t="s">
        <v>376</v>
      </c>
      <c r="H270" s="345" t="s">
        <v>5</v>
      </c>
      <c r="I270" s="345" t="s">
        <v>60</v>
      </c>
      <c r="J270" s="316">
        <v>41848.570138888892</v>
      </c>
      <c r="K270" s="347">
        <v>41858.570138888892</v>
      </c>
      <c r="L270" s="347" t="s">
        <v>377</v>
      </c>
      <c r="M270" s="348" t="s">
        <v>378</v>
      </c>
      <c r="N270" s="348" t="s">
        <v>190</v>
      </c>
      <c r="O270" s="348" t="s">
        <v>175</v>
      </c>
      <c r="P270" s="349">
        <v>10.4912478825522</v>
      </c>
      <c r="Q270" s="321">
        <f t="shared" si="13"/>
        <v>10</v>
      </c>
      <c r="R270" s="318">
        <f t="shared" si="14"/>
        <v>41848</v>
      </c>
      <c r="S270" s="318">
        <f t="shared" si="15"/>
        <v>41858</v>
      </c>
    </row>
    <row r="271" spans="3:19" ht="27.75" customHeight="1">
      <c r="C271" s="345" t="s">
        <v>98</v>
      </c>
      <c r="D271" s="345" t="s">
        <v>373</v>
      </c>
      <c r="E271" s="345" t="s">
        <v>374</v>
      </c>
      <c r="F271" s="345" t="s">
        <v>375</v>
      </c>
      <c r="G271" s="346" t="s">
        <v>376</v>
      </c>
      <c r="H271" s="345" t="s">
        <v>5</v>
      </c>
      <c r="I271" s="345" t="s">
        <v>60</v>
      </c>
      <c r="J271" s="316">
        <v>41848.559027777781</v>
      </c>
      <c r="K271" s="347">
        <v>41851.559027777781</v>
      </c>
      <c r="L271" s="347" t="s">
        <v>377</v>
      </c>
      <c r="M271" s="348" t="s">
        <v>378</v>
      </c>
      <c r="N271" s="348" t="s">
        <v>190</v>
      </c>
      <c r="O271" s="348" t="s">
        <v>175</v>
      </c>
      <c r="P271" s="349">
        <v>10.523997741389</v>
      </c>
      <c r="Q271" s="321">
        <f t="shared" si="13"/>
        <v>3</v>
      </c>
      <c r="R271" s="318">
        <f t="shared" si="14"/>
        <v>41848</v>
      </c>
      <c r="S271" s="318">
        <f t="shared" si="15"/>
        <v>41851</v>
      </c>
    </row>
    <row r="272" spans="3:19" ht="27.75" customHeight="1">
      <c r="C272" s="345" t="s">
        <v>98</v>
      </c>
      <c r="D272" s="345" t="s">
        <v>373</v>
      </c>
      <c r="E272" s="345" t="s">
        <v>374</v>
      </c>
      <c r="F272" s="345" t="s">
        <v>375</v>
      </c>
      <c r="G272" s="346" t="s">
        <v>376</v>
      </c>
      <c r="H272" s="339" t="s">
        <v>14</v>
      </c>
      <c r="I272" s="345" t="s">
        <v>59</v>
      </c>
      <c r="J272" s="316">
        <v>41848.555555555555</v>
      </c>
      <c r="K272" s="347"/>
      <c r="L272" s="347" t="s">
        <v>377</v>
      </c>
      <c r="M272" s="348" t="s">
        <v>378</v>
      </c>
      <c r="N272" s="348" t="s">
        <v>190</v>
      </c>
      <c r="O272" s="348" t="s">
        <v>175</v>
      </c>
      <c r="P272" s="349">
        <v>10.556747600225901</v>
      </c>
      <c r="Q272" s="321" t="str">
        <f t="shared" si="13"/>
        <v/>
      </c>
      <c r="R272" s="318">
        <f t="shared" si="14"/>
        <v>41848</v>
      </c>
      <c r="S272" s="318" t="str">
        <f t="shared" si="15"/>
        <v/>
      </c>
    </row>
    <row r="273" spans="3:19" ht="27.75" customHeight="1">
      <c r="C273" s="345" t="s">
        <v>98</v>
      </c>
      <c r="D273" s="345" t="s">
        <v>373</v>
      </c>
      <c r="E273" s="345" t="s">
        <v>374</v>
      </c>
      <c r="F273" s="345" t="s">
        <v>375</v>
      </c>
      <c r="G273" s="346" t="s">
        <v>376</v>
      </c>
      <c r="H273" s="345" t="s">
        <v>14</v>
      </c>
      <c r="I273" s="345" t="s">
        <v>60</v>
      </c>
      <c r="J273" s="316">
        <v>41847.834722222222</v>
      </c>
      <c r="K273" s="347"/>
      <c r="L273" s="347" t="s">
        <v>377</v>
      </c>
      <c r="M273" s="348" t="s">
        <v>378</v>
      </c>
      <c r="N273" s="348" t="s">
        <v>190</v>
      </c>
      <c r="O273" s="348" t="s">
        <v>175</v>
      </c>
      <c r="P273" s="349">
        <v>10.5894974590627</v>
      </c>
      <c r="Q273" s="321" t="str">
        <f t="shared" si="13"/>
        <v/>
      </c>
      <c r="R273" s="318">
        <f t="shared" si="14"/>
        <v>41847</v>
      </c>
      <c r="S273" s="318" t="str">
        <f t="shared" si="15"/>
        <v/>
      </c>
    </row>
    <row r="274" spans="3:19" ht="27.75" customHeight="1">
      <c r="C274" s="345" t="s">
        <v>98</v>
      </c>
      <c r="D274" s="345" t="s">
        <v>373</v>
      </c>
      <c r="E274" s="345" t="s">
        <v>374</v>
      </c>
      <c r="F274" s="345" t="s">
        <v>375</v>
      </c>
      <c r="G274" s="346" t="s">
        <v>376</v>
      </c>
      <c r="H274" s="345" t="s">
        <v>5</v>
      </c>
      <c r="I274" s="345" t="s">
        <v>60</v>
      </c>
      <c r="J274" s="316">
        <v>41847.722916666666</v>
      </c>
      <c r="K274" s="347">
        <v>41856.722916666666</v>
      </c>
      <c r="L274" s="347" t="s">
        <v>377</v>
      </c>
      <c r="M274" s="348" t="s">
        <v>378</v>
      </c>
      <c r="N274" s="348" t="s">
        <v>190</v>
      </c>
      <c r="O274" s="348" t="s">
        <v>175</v>
      </c>
      <c r="P274" s="349">
        <v>10.6222473178995</v>
      </c>
      <c r="Q274" s="321">
        <f t="shared" si="13"/>
        <v>9</v>
      </c>
      <c r="R274" s="318">
        <f t="shared" si="14"/>
        <v>41847</v>
      </c>
      <c r="S274" s="318">
        <f t="shared" si="15"/>
        <v>41856</v>
      </c>
    </row>
    <row r="275" spans="3:19" ht="27.75" customHeight="1">
      <c r="C275" s="345" t="s">
        <v>98</v>
      </c>
      <c r="D275" s="345" t="s">
        <v>373</v>
      </c>
      <c r="E275" s="345" t="s">
        <v>374</v>
      </c>
      <c r="F275" s="345" t="s">
        <v>375</v>
      </c>
      <c r="G275" s="346" t="s">
        <v>376</v>
      </c>
      <c r="H275" s="345" t="s">
        <v>5</v>
      </c>
      <c r="I275" s="345" t="s">
        <v>60</v>
      </c>
      <c r="J275" s="316">
        <v>41847.699305555558</v>
      </c>
      <c r="K275" s="347">
        <v>41849.699305555558</v>
      </c>
      <c r="L275" s="347" t="s">
        <v>377</v>
      </c>
      <c r="M275" s="348" t="s">
        <v>378</v>
      </c>
      <c r="N275" s="348" t="s">
        <v>190</v>
      </c>
      <c r="O275" s="348" t="s">
        <v>175</v>
      </c>
      <c r="P275" s="349">
        <v>10.6549971767363</v>
      </c>
      <c r="Q275" s="321">
        <f t="shared" si="13"/>
        <v>2</v>
      </c>
      <c r="R275" s="318">
        <f t="shared" si="14"/>
        <v>41847</v>
      </c>
      <c r="S275" s="318">
        <f t="shared" si="15"/>
        <v>41849</v>
      </c>
    </row>
    <row r="276" spans="3:19" ht="27.75" customHeight="1">
      <c r="C276" s="345" t="s">
        <v>98</v>
      </c>
      <c r="D276" s="345" t="s">
        <v>373</v>
      </c>
      <c r="E276" s="345" t="s">
        <v>374</v>
      </c>
      <c r="F276" s="345" t="s">
        <v>375</v>
      </c>
      <c r="G276" s="346" t="s">
        <v>376</v>
      </c>
      <c r="H276" s="339" t="s">
        <v>14</v>
      </c>
      <c r="I276" s="345" t="s">
        <v>59</v>
      </c>
      <c r="J276" s="316">
        <v>41847.62222222222</v>
      </c>
      <c r="K276" s="347"/>
      <c r="L276" s="347" t="s">
        <v>377</v>
      </c>
      <c r="M276" s="348" t="s">
        <v>378</v>
      </c>
      <c r="N276" s="348" t="s">
        <v>190</v>
      </c>
      <c r="O276" s="348" t="s">
        <v>175</v>
      </c>
      <c r="P276" s="349">
        <v>10.6877470355731</v>
      </c>
      <c r="Q276" s="321" t="str">
        <f t="shared" si="13"/>
        <v/>
      </c>
      <c r="R276" s="318">
        <f t="shared" si="14"/>
        <v>41847</v>
      </c>
      <c r="S276" s="318" t="str">
        <f t="shared" si="15"/>
        <v/>
      </c>
    </row>
    <row r="277" spans="3:19" ht="27.75" customHeight="1">
      <c r="C277" s="345" t="s">
        <v>98</v>
      </c>
      <c r="D277" s="345" t="s">
        <v>373</v>
      </c>
      <c r="E277" s="345" t="s">
        <v>374</v>
      </c>
      <c r="F277" s="345" t="s">
        <v>375</v>
      </c>
      <c r="G277" s="346" t="s">
        <v>376</v>
      </c>
      <c r="H277" s="339" t="s">
        <v>14</v>
      </c>
      <c r="I277" s="345" t="s">
        <v>59</v>
      </c>
      <c r="J277" s="316">
        <v>41847.573611111111</v>
      </c>
      <c r="K277" s="347"/>
      <c r="L277" s="347" t="s">
        <v>377</v>
      </c>
      <c r="M277" s="348" t="s">
        <v>378</v>
      </c>
      <c r="N277" s="348" t="s">
        <v>190</v>
      </c>
      <c r="O277" s="348" t="s">
        <v>175</v>
      </c>
      <c r="P277" s="349">
        <v>10.7204968944099</v>
      </c>
      <c r="Q277" s="321" t="str">
        <f t="shared" si="13"/>
        <v/>
      </c>
      <c r="R277" s="318">
        <f t="shared" si="14"/>
        <v>41847</v>
      </c>
      <c r="S277" s="318" t="str">
        <f t="shared" si="15"/>
        <v/>
      </c>
    </row>
    <row r="278" spans="3:19" ht="27.75" customHeight="1">
      <c r="C278" s="345" t="s">
        <v>98</v>
      </c>
      <c r="D278" s="345" t="s">
        <v>373</v>
      </c>
      <c r="E278" s="345" t="s">
        <v>374</v>
      </c>
      <c r="F278" s="345" t="s">
        <v>375</v>
      </c>
      <c r="G278" s="346" t="s">
        <v>376</v>
      </c>
      <c r="H278" s="345" t="s">
        <v>5</v>
      </c>
      <c r="I278" s="345" t="s">
        <v>60</v>
      </c>
      <c r="J278" s="316">
        <v>41847.570833333331</v>
      </c>
      <c r="K278" s="347">
        <v>41859.570833333331</v>
      </c>
      <c r="L278" s="347" t="s">
        <v>378</v>
      </c>
      <c r="M278" s="348" t="s">
        <v>387</v>
      </c>
      <c r="N278" s="348" t="s">
        <v>190</v>
      </c>
      <c r="O278" s="348" t="s">
        <v>177</v>
      </c>
      <c r="P278" s="349">
        <v>10.753246753246801</v>
      </c>
      <c r="Q278" s="321">
        <f t="shared" si="13"/>
        <v>12</v>
      </c>
      <c r="R278" s="318">
        <f t="shared" si="14"/>
        <v>41847</v>
      </c>
      <c r="S278" s="318">
        <f t="shared" si="15"/>
        <v>41859</v>
      </c>
    </row>
    <row r="279" spans="3:19" ht="27.75" customHeight="1">
      <c r="C279" s="345" t="s">
        <v>98</v>
      </c>
      <c r="D279" s="345" t="s">
        <v>373</v>
      </c>
      <c r="E279" s="345" t="s">
        <v>374</v>
      </c>
      <c r="F279" s="345" t="s">
        <v>375</v>
      </c>
      <c r="G279" s="346" t="s">
        <v>376</v>
      </c>
      <c r="H279" s="345" t="s">
        <v>5</v>
      </c>
      <c r="I279" s="345" t="s">
        <v>60</v>
      </c>
      <c r="J279" s="316">
        <v>41847.563194444447</v>
      </c>
      <c r="K279" s="347">
        <v>41855.563194444447</v>
      </c>
      <c r="L279" s="347" t="s">
        <v>377</v>
      </c>
      <c r="M279" s="348" t="s">
        <v>378</v>
      </c>
      <c r="N279" s="348" t="s">
        <v>190</v>
      </c>
      <c r="O279" s="348" t="s">
        <v>177</v>
      </c>
      <c r="P279" s="349">
        <v>10.785996612083601</v>
      </c>
      <c r="Q279" s="321">
        <f t="shared" si="13"/>
        <v>8</v>
      </c>
      <c r="R279" s="318">
        <f t="shared" si="14"/>
        <v>41847</v>
      </c>
      <c r="S279" s="318">
        <f t="shared" si="15"/>
        <v>41855</v>
      </c>
    </row>
    <row r="280" spans="3:19" ht="27.75" customHeight="1">
      <c r="C280" s="345" t="s">
        <v>98</v>
      </c>
      <c r="D280" s="345" t="s">
        <v>373</v>
      </c>
      <c r="E280" s="345" t="s">
        <v>374</v>
      </c>
      <c r="F280" s="345" t="s">
        <v>375</v>
      </c>
      <c r="G280" s="346" t="s">
        <v>376</v>
      </c>
      <c r="H280" s="345" t="s">
        <v>140</v>
      </c>
      <c r="I280" s="345" t="s">
        <v>61</v>
      </c>
      <c r="J280" s="316">
        <v>41847.558333333334</v>
      </c>
      <c r="K280" s="347"/>
      <c r="L280" s="347" t="s">
        <v>377</v>
      </c>
      <c r="M280" s="348" t="s">
        <v>378</v>
      </c>
      <c r="N280" s="348" t="s">
        <v>190</v>
      </c>
      <c r="O280" s="348" t="s">
        <v>175</v>
      </c>
      <c r="P280" s="349">
        <v>10.8187464709204</v>
      </c>
      <c r="Q280" s="321" t="str">
        <f t="shared" si="13"/>
        <v/>
      </c>
      <c r="R280" s="318">
        <f t="shared" si="14"/>
        <v>41847</v>
      </c>
      <c r="S280" s="318" t="str">
        <f t="shared" si="15"/>
        <v/>
      </c>
    </row>
    <row r="281" spans="3:19" ht="27.75" customHeight="1">
      <c r="C281" s="345" t="s">
        <v>98</v>
      </c>
      <c r="D281" s="345" t="s">
        <v>373</v>
      </c>
      <c r="E281" s="345" t="s">
        <v>374</v>
      </c>
      <c r="F281" s="345" t="s">
        <v>375</v>
      </c>
      <c r="G281" s="346" t="s">
        <v>376</v>
      </c>
      <c r="H281" s="339" t="s">
        <v>14</v>
      </c>
      <c r="I281" s="345" t="s">
        <v>59</v>
      </c>
      <c r="J281" s="316">
        <v>41847.550694444442</v>
      </c>
      <c r="K281" s="347"/>
      <c r="L281" s="347" t="s">
        <v>377</v>
      </c>
      <c r="M281" s="348" t="s">
        <v>378</v>
      </c>
      <c r="N281" s="348" t="s">
        <v>190</v>
      </c>
      <c r="O281" s="348" t="s">
        <v>175</v>
      </c>
      <c r="P281" s="349">
        <v>10.8514963297572</v>
      </c>
      <c r="Q281" s="321" t="str">
        <f t="shared" si="13"/>
        <v/>
      </c>
      <c r="R281" s="318">
        <f t="shared" si="14"/>
        <v>41847</v>
      </c>
      <c r="S281" s="318" t="str">
        <f t="shared" si="15"/>
        <v/>
      </c>
    </row>
    <row r="282" spans="3:19" ht="27.75" customHeight="1">
      <c r="C282" s="345" t="s">
        <v>98</v>
      </c>
      <c r="D282" s="345" t="s">
        <v>373</v>
      </c>
      <c r="E282" s="345" t="s">
        <v>374</v>
      </c>
      <c r="F282" s="345" t="s">
        <v>375</v>
      </c>
      <c r="G282" s="346" t="s">
        <v>376</v>
      </c>
      <c r="H282" s="345" t="s">
        <v>14</v>
      </c>
      <c r="I282" s="345" t="s">
        <v>60</v>
      </c>
      <c r="J282" s="316">
        <v>41847.538194444445</v>
      </c>
      <c r="K282" s="347"/>
      <c r="L282" s="347" t="s">
        <v>377</v>
      </c>
      <c r="M282" s="348" t="s">
        <v>378</v>
      </c>
      <c r="N282" s="348" t="s">
        <v>190</v>
      </c>
      <c r="O282" s="348" t="s">
        <v>175</v>
      </c>
      <c r="P282" s="349">
        <v>10.884246188594</v>
      </c>
      <c r="Q282" s="321" t="str">
        <f t="shared" ref="Q282:Q345" si="16">IF(ISERROR(DATEDIF(J282,K282,"D")),"",DATEDIF(J282,K282,"D"))</f>
        <v/>
      </c>
      <c r="R282" s="318">
        <f t="shared" ref="R282:R345" si="17">DATE(YEAR(J282),MONTH(J282),DAY(J282))</f>
        <v>41847</v>
      </c>
      <c r="S282" s="318" t="str">
        <f t="shared" ref="S282:S345" si="18">IF(K282&lt;&gt;"",DATE(YEAR(K282),MONTH(K282),DAY(K282)),"")</f>
        <v/>
      </c>
    </row>
    <row r="283" spans="3:19" ht="27.75" customHeight="1">
      <c r="C283" s="345" t="s">
        <v>98</v>
      </c>
      <c r="D283" s="345" t="s">
        <v>373</v>
      </c>
      <c r="E283" s="345" t="s">
        <v>374</v>
      </c>
      <c r="F283" s="345" t="s">
        <v>375</v>
      </c>
      <c r="G283" s="346" t="s">
        <v>376</v>
      </c>
      <c r="H283" s="345" t="s">
        <v>14</v>
      </c>
      <c r="I283" s="345" t="s">
        <v>60</v>
      </c>
      <c r="J283" s="316">
        <v>41847.537499999999</v>
      </c>
      <c r="K283" s="347"/>
      <c r="L283" s="347" t="s">
        <v>377</v>
      </c>
      <c r="M283" s="348" t="s">
        <v>378</v>
      </c>
      <c r="N283" s="348" t="s">
        <v>190</v>
      </c>
      <c r="O283" s="348" t="s">
        <v>177</v>
      </c>
      <c r="P283" s="349">
        <v>10.9169960474308</v>
      </c>
      <c r="Q283" s="321" t="str">
        <f t="shared" si="16"/>
        <v/>
      </c>
      <c r="R283" s="318">
        <f t="shared" si="17"/>
        <v>41847</v>
      </c>
      <c r="S283" s="318" t="str">
        <f t="shared" si="18"/>
        <v/>
      </c>
    </row>
    <row r="284" spans="3:19" ht="27.75" customHeight="1">
      <c r="C284" s="345" t="s">
        <v>98</v>
      </c>
      <c r="D284" s="345" t="s">
        <v>373</v>
      </c>
      <c r="E284" s="345" t="s">
        <v>374</v>
      </c>
      <c r="F284" s="345" t="s">
        <v>375</v>
      </c>
      <c r="G284" s="346" t="s">
        <v>376</v>
      </c>
      <c r="H284" s="345" t="s">
        <v>14</v>
      </c>
      <c r="I284" s="345" t="s">
        <v>59</v>
      </c>
      <c r="J284" s="316">
        <v>41847.534722222219</v>
      </c>
      <c r="K284" s="347"/>
      <c r="L284" s="347" t="s">
        <v>378</v>
      </c>
      <c r="M284" s="348" t="s">
        <v>386</v>
      </c>
      <c r="N284" s="348" t="s">
        <v>386</v>
      </c>
      <c r="O284" s="348" t="s">
        <v>177</v>
      </c>
      <c r="P284" s="349">
        <v>10.9497459062676</v>
      </c>
      <c r="Q284" s="321" t="str">
        <f t="shared" si="16"/>
        <v/>
      </c>
      <c r="R284" s="318">
        <f t="shared" si="17"/>
        <v>41847</v>
      </c>
      <c r="S284" s="318" t="str">
        <f t="shared" si="18"/>
        <v/>
      </c>
    </row>
    <row r="285" spans="3:19" ht="27.75" customHeight="1">
      <c r="C285" s="345" t="s">
        <v>98</v>
      </c>
      <c r="D285" s="345" t="s">
        <v>373</v>
      </c>
      <c r="E285" s="345" t="s">
        <v>374</v>
      </c>
      <c r="F285" s="345" t="s">
        <v>375</v>
      </c>
      <c r="G285" s="346" t="s">
        <v>376</v>
      </c>
      <c r="H285" s="339" t="s">
        <v>14</v>
      </c>
      <c r="I285" s="345" t="s">
        <v>60</v>
      </c>
      <c r="J285" s="316">
        <v>41847.522916666669</v>
      </c>
      <c r="K285" s="347"/>
      <c r="L285" s="347" t="s">
        <v>377</v>
      </c>
      <c r="M285" s="348" t="s">
        <v>378</v>
      </c>
      <c r="N285" s="348" t="s">
        <v>190</v>
      </c>
      <c r="O285" s="348" t="s">
        <v>177</v>
      </c>
      <c r="P285" s="349">
        <v>10.982495765104501</v>
      </c>
      <c r="Q285" s="321" t="str">
        <f t="shared" si="16"/>
        <v/>
      </c>
      <c r="R285" s="318">
        <f t="shared" si="17"/>
        <v>41847</v>
      </c>
      <c r="S285" s="318" t="str">
        <f t="shared" si="18"/>
        <v/>
      </c>
    </row>
    <row r="286" spans="3:19" ht="27.75" customHeight="1">
      <c r="C286" s="345" t="s">
        <v>98</v>
      </c>
      <c r="D286" s="345" t="s">
        <v>373</v>
      </c>
      <c r="E286" s="345" t="s">
        <v>374</v>
      </c>
      <c r="F286" s="345" t="s">
        <v>375</v>
      </c>
      <c r="G286" s="346" t="s">
        <v>376</v>
      </c>
      <c r="H286" s="339" t="s">
        <v>14</v>
      </c>
      <c r="I286" s="345" t="s">
        <v>59</v>
      </c>
      <c r="J286" s="316">
        <v>41847.520833333336</v>
      </c>
      <c r="K286" s="347"/>
      <c r="L286" s="347" t="s">
        <v>378</v>
      </c>
      <c r="M286" s="348" t="s">
        <v>386</v>
      </c>
      <c r="N286" s="348" t="s">
        <v>386</v>
      </c>
      <c r="O286" s="348" t="s">
        <v>177</v>
      </c>
      <c r="P286" s="349">
        <v>11.015245623941301</v>
      </c>
      <c r="Q286" s="321" t="str">
        <f t="shared" si="16"/>
        <v/>
      </c>
      <c r="R286" s="318">
        <f t="shared" si="17"/>
        <v>41847</v>
      </c>
      <c r="S286" s="318" t="str">
        <f t="shared" si="18"/>
        <v/>
      </c>
    </row>
    <row r="287" spans="3:19" ht="27.75" customHeight="1">
      <c r="C287" s="345" t="s">
        <v>98</v>
      </c>
      <c r="D287" s="345" t="s">
        <v>373</v>
      </c>
      <c r="E287" s="345" t="s">
        <v>374</v>
      </c>
      <c r="F287" s="345" t="s">
        <v>375</v>
      </c>
      <c r="G287" s="346" t="s">
        <v>376</v>
      </c>
      <c r="H287" s="339" t="s">
        <v>14</v>
      </c>
      <c r="I287" s="345" t="s">
        <v>58</v>
      </c>
      <c r="J287" s="316">
        <v>41847.519444444442</v>
      </c>
      <c r="K287" s="347"/>
      <c r="L287" s="347" t="s">
        <v>377</v>
      </c>
      <c r="M287" s="348" t="s">
        <v>378</v>
      </c>
      <c r="N287" s="348" t="s">
        <v>190</v>
      </c>
      <c r="O287" s="348" t="s">
        <v>177</v>
      </c>
      <c r="P287" s="349">
        <v>11.0479954827781</v>
      </c>
      <c r="Q287" s="321" t="str">
        <f t="shared" si="16"/>
        <v/>
      </c>
      <c r="R287" s="318">
        <f t="shared" si="17"/>
        <v>41847</v>
      </c>
      <c r="S287" s="318" t="str">
        <f t="shared" si="18"/>
        <v/>
      </c>
    </row>
    <row r="288" spans="3:19" ht="27.75" customHeight="1">
      <c r="C288" s="345" t="s">
        <v>98</v>
      </c>
      <c r="D288" s="345" t="s">
        <v>373</v>
      </c>
      <c r="E288" s="345" t="s">
        <v>374</v>
      </c>
      <c r="F288" s="345" t="s">
        <v>375</v>
      </c>
      <c r="G288" s="346" t="s">
        <v>376</v>
      </c>
      <c r="H288" s="345" t="s">
        <v>5</v>
      </c>
      <c r="I288" s="345" t="s">
        <v>59</v>
      </c>
      <c r="J288" s="316">
        <v>41844.698611111111</v>
      </c>
      <c r="K288" s="347">
        <v>41849.698611111111</v>
      </c>
      <c r="L288" s="347" t="s">
        <v>377</v>
      </c>
      <c r="M288" s="348" t="s">
        <v>378</v>
      </c>
      <c r="N288" s="348" t="s">
        <v>190</v>
      </c>
      <c r="O288" s="348" t="s">
        <v>177</v>
      </c>
      <c r="P288" s="349">
        <v>11.0807453416149</v>
      </c>
      <c r="Q288" s="321">
        <f t="shared" si="16"/>
        <v>5</v>
      </c>
      <c r="R288" s="318">
        <f t="shared" si="17"/>
        <v>41844</v>
      </c>
      <c r="S288" s="318">
        <f t="shared" si="18"/>
        <v>41849</v>
      </c>
    </row>
    <row r="289" spans="3:19" ht="27.75" customHeight="1">
      <c r="C289" s="345" t="s">
        <v>98</v>
      </c>
      <c r="D289" s="345" t="s">
        <v>373</v>
      </c>
      <c r="E289" s="345" t="s">
        <v>374</v>
      </c>
      <c r="F289" s="345" t="s">
        <v>375</v>
      </c>
      <c r="G289" s="346" t="s">
        <v>376</v>
      </c>
      <c r="H289" s="339" t="s">
        <v>14</v>
      </c>
      <c r="I289" s="345" t="s">
        <v>60</v>
      </c>
      <c r="J289" s="316">
        <v>41844.686805555553</v>
      </c>
      <c r="K289" s="347"/>
      <c r="L289" s="347" t="s">
        <v>377</v>
      </c>
      <c r="M289" s="348" t="s">
        <v>378</v>
      </c>
      <c r="N289" s="348" t="s">
        <v>190</v>
      </c>
      <c r="O289" s="348" t="s">
        <v>175</v>
      </c>
      <c r="P289" s="349">
        <v>11.1134952004517</v>
      </c>
      <c r="Q289" s="321" t="str">
        <f t="shared" si="16"/>
        <v/>
      </c>
      <c r="R289" s="318">
        <f t="shared" si="17"/>
        <v>41844</v>
      </c>
      <c r="S289" s="318" t="str">
        <f t="shared" si="18"/>
        <v/>
      </c>
    </row>
    <row r="290" spans="3:19" ht="27.75" customHeight="1">
      <c r="C290" s="345" t="s">
        <v>98</v>
      </c>
      <c r="D290" s="345" t="s">
        <v>373</v>
      </c>
      <c r="E290" s="345" t="s">
        <v>374</v>
      </c>
      <c r="F290" s="345" t="s">
        <v>375</v>
      </c>
      <c r="G290" s="346" t="s">
        <v>376</v>
      </c>
      <c r="H290" s="345" t="s">
        <v>5</v>
      </c>
      <c r="I290" s="345" t="s">
        <v>60</v>
      </c>
      <c r="J290" s="316">
        <v>41844.549305555556</v>
      </c>
      <c r="K290" s="347">
        <v>41850.549305555556</v>
      </c>
      <c r="L290" s="347" t="s">
        <v>377</v>
      </c>
      <c r="M290" s="348" t="s">
        <v>378</v>
      </c>
      <c r="N290" s="348" t="s">
        <v>190</v>
      </c>
      <c r="O290" s="348" t="s">
        <v>175</v>
      </c>
      <c r="P290" s="349">
        <v>11.1462450592885</v>
      </c>
      <c r="Q290" s="321">
        <f t="shared" si="16"/>
        <v>6</v>
      </c>
      <c r="R290" s="318">
        <f t="shared" si="17"/>
        <v>41844</v>
      </c>
      <c r="S290" s="318">
        <f t="shared" si="18"/>
        <v>41850</v>
      </c>
    </row>
    <row r="291" spans="3:19" ht="27.75" customHeight="1">
      <c r="C291" s="345" t="s">
        <v>98</v>
      </c>
      <c r="D291" s="345" t="s">
        <v>373</v>
      </c>
      <c r="E291" s="345" t="s">
        <v>374</v>
      </c>
      <c r="F291" s="345" t="s">
        <v>375</v>
      </c>
      <c r="G291" s="346" t="s">
        <v>376</v>
      </c>
      <c r="H291" s="345" t="s">
        <v>5</v>
      </c>
      <c r="I291" s="345" t="s">
        <v>60</v>
      </c>
      <c r="J291" s="316">
        <v>41844.494444444441</v>
      </c>
      <c r="K291" s="347">
        <v>41859.494444444441</v>
      </c>
      <c r="L291" s="347" t="s">
        <v>377</v>
      </c>
      <c r="M291" s="348" t="s">
        <v>378</v>
      </c>
      <c r="N291" s="348" t="s">
        <v>190</v>
      </c>
      <c r="O291" s="348" t="s">
        <v>175</v>
      </c>
      <c r="P291" s="349">
        <v>11.178994918125399</v>
      </c>
      <c r="Q291" s="321">
        <f t="shared" si="16"/>
        <v>15</v>
      </c>
      <c r="R291" s="318">
        <f t="shared" si="17"/>
        <v>41844</v>
      </c>
      <c r="S291" s="318">
        <f t="shared" si="18"/>
        <v>41859</v>
      </c>
    </row>
    <row r="292" spans="3:19" ht="27.75" customHeight="1">
      <c r="C292" s="345" t="s">
        <v>98</v>
      </c>
      <c r="D292" s="345" t="s">
        <v>373</v>
      </c>
      <c r="E292" s="345" t="s">
        <v>374</v>
      </c>
      <c r="F292" s="345" t="s">
        <v>375</v>
      </c>
      <c r="G292" s="346" t="s">
        <v>376</v>
      </c>
      <c r="H292" s="339" t="s">
        <v>14</v>
      </c>
      <c r="I292" s="345" t="s">
        <v>58</v>
      </c>
      <c r="J292" s="316">
        <v>41844.489583333336</v>
      </c>
      <c r="K292" s="347"/>
      <c r="L292" s="347" t="s">
        <v>377</v>
      </c>
      <c r="M292" s="348" t="s">
        <v>378</v>
      </c>
      <c r="N292" s="348" t="s">
        <v>190</v>
      </c>
      <c r="O292" s="348" t="s">
        <v>175</v>
      </c>
      <c r="P292" s="349">
        <v>11.211744776962201</v>
      </c>
      <c r="Q292" s="321" t="str">
        <f t="shared" si="16"/>
        <v/>
      </c>
      <c r="R292" s="318">
        <f t="shared" si="17"/>
        <v>41844</v>
      </c>
      <c r="S292" s="318" t="str">
        <f t="shared" si="18"/>
        <v/>
      </c>
    </row>
    <row r="293" spans="3:19" ht="27.75" customHeight="1">
      <c r="C293" s="345" t="s">
        <v>98</v>
      </c>
      <c r="D293" s="345" t="s">
        <v>373</v>
      </c>
      <c r="E293" s="345" t="s">
        <v>374</v>
      </c>
      <c r="F293" s="345" t="s">
        <v>375</v>
      </c>
      <c r="G293" s="346" t="s">
        <v>376</v>
      </c>
      <c r="H293" s="339" t="s">
        <v>14</v>
      </c>
      <c r="I293" s="345" t="s">
        <v>60</v>
      </c>
      <c r="J293" s="316">
        <v>41844.473611111112</v>
      </c>
      <c r="K293" s="347"/>
      <c r="L293" s="347" t="s">
        <v>377</v>
      </c>
      <c r="M293" s="348" t="s">
        <v>378</v>
      </c>
      <c r="N293" s="348" t="s">
        <v>190</v>
      </c>
      <c r="O293" s="348" t="s">
        <v>175</v>
      </c>
      <c r="P293" s="349">
        <v>11.244494635799001</v>
      </c>
      <c r="Q293" s="321" t="str">
        <f t="shared" si="16"/>
        <v/>
      </c>
      <c r="R293" s="318">
        <f t="shared" si="17"/>
        <v>41844</v>
      </c>
      <c r="S293" s="318" t="str">
        <f t="shared" si="18"/>
        <v/>
      </c>
    </row>
    <row r="294" spans="3:19" ht="27.75" customHeight="1">
      <c r="C294" s="345" t="s">
        <v>98</v>
      </c>
      <c r="D294" s="345" t="s">
        <v>373</v>
      </c>
      <c r="E294" s="345" t="s">
        <v>374</v>
      </c>
      <c r="F294" s="345" t="s">
        <v>375</v>
      </c>
      <c r="G294" s="346" t="s">
        <v>376</v>
      </c>
      <c r="H294" s="339" t="s">
        <v>14</v>
      </c>
      <c r="I294" s="345" t="s">
        <v>59</v>
      </c>
      <c r="J294" s="316">
        <v>41843.715277777781</v>
      </c>
      <c r="K294" s="347"/>
      <c r="L294" s="347" t="s">
        <v>377</v>
      </c>
      <c r="M294" s="348" t="s">
        <v>378</v>
      </c>
      <c r="N294" s="348" t="s">
        <v>190</v>
      </c>
      <c r="O294" s="348" t="s">
        <v>175</v>
      </c>
      <c r="P294" s="349">
        <v>11.2772444946358</v>
      </c>
      <c r="Q294" s="321" t="str">
        <f t="shared" si="16"/>
        <v/>
      </c>
      <c r="R294" s="318">
        <f t="shared" si="17"/>
        <v>41843</v>
      </c>
      <c r="S294" s="318" t="str">
        <f t="shared" si="18"/>
        <v/>
      </c>
    </row>
    <row r="295" spans="3:19" ht="27.75" customHeight="1">
      <c r="C295" s="345" t="s">
        <v>98</v>
      </c>
      <c r="D295" s="345" t="s">
        <v>373</v>
      </c>
      <c r="E295" s="345" t="s">
        <v>374</v>
      </c>
      <c r="F295" s="345" t="s">
        <v>375</v>
      </c>
      <c r="G295" s="346" t="s">
        <v>376</v>
      </c>
      <c r="H295" s="345" t="s">
        <v>5</v>
      </c>
      <c r="I295" s="345" t="s">
        <v>60</v>
      </c>
      <c r="J295" s="316">
        <v>41843.713888888888</v>
      </c>
      <c r="K295" s="347">
        <v>41859.713888888888</v>
      </c>
      <c r="L295" s="347" t="s">
        <v>377</v>
      </c>
      <c r="M295" s="348" t="s">
        <v>378</v>
      </c>
      <c r="N295" s="348" t="s">
        <v>190</v>
      </c>
      <c r="O295" s="348" t="s">
        <v>175</v>
      </c>
      <c r="P295" s="349">
        <v>11.3099943534726</v>
      </c>
      <c r="Q295" s="321">
        <f t="shared" si="16"/>
        <v>16</v>
      </c>
      <c r="R295" s="318">
        <f t="shared" si="17"/>
        <v>41843</v>
      </c>
      <c r="S295" s="318">
        <f t="shared" si="18"/>
        <v>41859</v>
      </c>
    </row>
    <row r="296" spans="3:19" ht="27.75" customHeight="1">
      <c r="C296" s="345" t="s">
        <v>98</v>
      </c>
      <c r="D296" s="345" t="s">
        <v>373</v>
      </c>
      <c r="E296" s="345" t="s">
        <v>374</v>
      </c>
      <c r="F296" s="345" t="s">
        <v>375</v>
      </c>
      <c r="G296" s="346" t="s">
        <v>376</v>
      </c>
      <c r="H296" s="339" t="s">
        <v>14</v>
      </c>
      <c r="I296" s="345" t="s">
        <v>61</v>
      </c>
      <c r="J296" s="316">
        <v>41843.712500000001</v>
      </c>
      <c r="K296" s="347"/>
      <c r="L296" s="347" t="s">
        <v>377</v>
      </c>
      <c r="M296" s="348" t="s">
        <v>378</v>
      </c>
      <c r="N296" s="348" t="s">
        <v>190</v>
      </c>
      <c r="O296" s="348" t="s">
        <v>175</v>
      </c>
      <c r="P296" s="349">
        <v>11.3427442123094</v>
      </c>
      <c r="Q296" s="321" t="str">
        <f t="shared" si="16"/>
        <v/>
      </c>
      <c r="R296" s="318">
        <f t="shared" si="17"/>
        <v>41843</v>
      </c>
      <c r="S296" s="318" t="str">
        <f t="shared" si="18"/>
        <v/>
      </c>
    </row>
    <row r="297" spans="3:19" ht="27.75" customHeight="1">
      <c r="C297" s="345" t="s">
        <v>98</v>
      </c>
      <c r="D297" s="345" t="s">
        <v>373</v>
      </c>
      <c r="E297" s="345" t="s">
        <v>374</v>
      </c>
      <c r="F297" s="345" t="s">
        <v>375</v>
      </c>
      <c r="G297" s="346" t="s">
        <v>376</v>
      </c>
      <c r="H297" s="345" t="s">
        <v>140</v>
      </c>
      <c r="I297" s="345" t="s">
        <v>59</v>
      </c>
      <c r="J297" s="316">
        <v>41843.6875</v>
      </c>
      <c r="K297" s="347"/>
      <c r="L297" s="347" t="s">
        <v>377</v>
      </c>
      <c r="M297" s="348" t="s">
        <v>378</v>
      </c>
      <c r="N297" s="348" t="s">
        <v>190</v>
      </c>
      <c r="O297" s="348" t="s">
        <v>175</v>
      </c>
      <c r="P297" s="349">
        <v>11.3754940711462</v>
      </c>
      <c r="Q297" s="321" t="str">
        <f t="shared" si="16"/>
        <v/>
      </c>
      <c r="R297" s="318">
        <f t="shared" si="17"/>
        <v>41843</v>
      </c>
      <c r="S297" s="318" t="str">
        <f t="shared" si="18"/>
        <v/>
      </c>
    </row>
    <row r="298" spans="3:19" ht="27.75" customHeight="1">
      <c r="C298" s="345" t="s">
        <v>98</v>
      </c>
      <c r="D298" s="345" t="s">
        <v>373</v>
      </c>
      <c r="E298" s="345" t="s">
        <v>374</v>
      </c>
      <c r="F298" s="345" t="s">
        <v>375</v>
      </c>
      <c r="G298" s="346" t="s">
        <v>376</v>
      </c>
      <c r="H298" s="339" t="s">
        <v>14</v>
      </c>
      <c r="I298" s="345" t="s">
        <v>59</v>
      </c>
      <c r="J298" s="316">
        <v>41843.628472222219</v>
      </c>
      <c r="K298" s="347"/>
      <c r="L298" s="347" t="s">
        <v>378</v>
      </c>
      <c r="M298" s="348" t="s">
        <v>378</v>
      </c>
      <c r="N298" s="348" t="s">
        <v>190</v>
      </c>
      <c r="O298" s="348" t="s">
        <v>175</v>
      </c>
      <c r="P298" s="349">
        <v>11.408243929983101</v>
      </c>
      <c r="Q298" s="321" t="str">
        <f t="shared" si="16"/>
        <v/>
      </c>
      <c r="R298" s="318">
        <f t="shared" si="17"/>
        <v>41843</v>
      </c>
      <c r="S298" s="318" t="str">
        <f t="shared" si="18"/>
        <v/>
      </c>
    </row>
    <row r="299" spans="3:19" ht="27.75" customHeight="1">
      <c r="C299" s="345" t="s">
        <v>98</v>
      </c>
      <c r="D299" s="345" t="s">
        <v>373</v>
      </c>
      <c r="E299" s="345" t="s">
        <v>374</v>
      </c>
      <c r="F299" s="345" t="s">
        <v>375</v>
      </c>
      <c r="G299" s="346" t="s">
        <v>376</v>
      </c>
      <c r="H299" s="339" t="s">
        <v>14</v>
      </c>
      <c r="I299" s="345" t="s">
        <v>61</v>
      </c>
      <c r="J299" s="316">
        <v>41843.625694444447</v>
      </c>
      <c r="K299" s="347"/>
      <c r="L299" s="347" t="s">
        <v>377</v>
      </c>
      <c r="M299" s="348" t="s">
        <v>378</v>
      </c>
      <c r="N299" s="348" t="s">
        <v>190</v>
      </c>
      <c r="O299" s="348" t="s">
        <v>175</v>
      </c>
      <c r="P299" s="349">
        <v>11.440993788819901</v>
      </c>
      <c r="Q299" s="321" t="str">
        <f t="shared" si="16"/>
        <v/>
      </c>
      <c r="R299" s="318">
        <f t="shared" si="17"/>
        <v>41843</v>
      </c>
      <c r="S299" s="318" t="str">
        <f t="shared" si="18"/>
        <v/>
      </c>
    </row>
    <row r="300" spans="3:19" ht="27.75" customHeight="1">
      <c r="C300" s="345" t="s">
        <v>98</v>
      </c>
      <c r="D300" s="345" t="s">
        <v>373</v>
      </c>
      <c r="E300" s="345" t="s">
        <v>374</v>
      </c>
      <c r="F300" s="345" t="s">
        <v>375</v>
      </c>
      <c r="G300" s="346" t="s">
        <v>376</v>
      </c>
      <c r="H300" s="339" t="s">
        <v>14</v>
      </c>
      <c r="I300" s="345" t="s">
        <v>61</v>
      </c>
      <c r="J300" s="316">
        <v>41843.615277777775</v>
      </c>
      <c r="K300" s="347"/>
      <c r="L300" s="347" t="s">
        <v>378</v>
      </c>
      <c r="M300" s="348" t="s">
        <v>378</v>
      </c>
      <c r="N300" s="348" t="s">
        <v>190</v>
      </c>
      <c r="O300" s="348" t="s">
        <v>177</v>
      </c>
      <c r="P300" s="349">
        <v>11.473743647656701</v>
      </c>
      <c r="Q300" s="321" t="str">
        <f t="shared" si="16"/>
        <v/>
      </c>
      <c r="R300" s="318">
        <f t="shared" si="17"/>
        <v>41843</v>
      </c>
      <c r="S300" s="318" t="str">
        <f t="shared" si="18"/>
        <v/>
      </c>
    </row>
    <row r="301" spans="3:19" ht="27.75" customHeight="1">
      <c r="C301" s="345" t="s">
        <v>98</v>
      </c>
      <c r="D301" s="345" t="s">
        <v>373</v>
      </c>
      <c r="E301" s="345" t="s">
        <v>374</v>
      </c>
      <c r="F301" s="345" t="s">
        <v>375</v>
      </c>
      <c r="G301" s="346" t="s">
        <v>376</v>
      </c>
      <c r="H301" s="339" t="s">
        <v>14</v>
      </c>
      <c r="I301" s="345" t="s">
        <v>60</v>
      </c>
      <c r="J301" s="316">
        <v>41843.588888888888</v>
      </c>
      <c r="K301" s="347"/>
      <c r="L301" s="347" t="s">
        <v>378</v>
      </c>
      <c r="M301" s="348" t="s">
        <v>378</v>
      </c>
      <c r="N301" s="348" t="s">
        <v>190</v>
      </c>
      <c r="O301" s="348" t="s">
        <v>177</v>
      </c>
      <c r="P301" s="349">
        <v>11.5064935064935</v>
      </c>
      <c r="Q301" s="321" t="str">
        <f t="shared" si="16"/>
        <v/>
      </c>
      <c r="R301" s="318">
        <f t="shared" si="17"/>
        <v>41843</v>
      </c>
      <c r="S301" s="318" t="str">
        <f t="shared" si="18"/>
        <v/>
      </c>
    </row>
    <row r="302" spans="3:19" ht="27.75" customHeight="1">
      <c r="C302" s="345" t="s">
        <v>98</v>
      </c>
      <c r="D302" s="345" t="s">
        <v>373</v>
      </c>
      <c r="E302" s="345" t="s">
        <v>374</v>
      </c>
      <c r="F302" s="345" t="s">
        <v>375</v>
      </c>
      <c r="G302" s="346" t="s">
        <v>376</v>
      </c>
      <c r="H302" s="339" t="s">
        <v>14</v>
      </c>
      <c r="I302" s="345" t="s">
        <v>60</v>
      </c>
      <c r="J302" s="316">
        <v>41843.548611111109</v>
      </c>
      <c r="K302" s="347"/>
      <c r="L302" s="347" t="s">
        <v>377</v>
      </c>
      <c r="M302" s="348" t="s">
        <v>378</v>
      </c>
      <c r="N302" s="348" t="s">
        <v>190</v>
      </c>
      <c r="O302" s="348" t="s">
        <v>175</v>
      </c>
      <c r="P302" s="349">
        <v>11.5392433653303</v>
      </c>
      <c r="Q302" s="321" t="str">
        <f t="shared" si="16"/>
        <v/>
      </c>
      <c r="R302" s="318">
        <f t="shared" si="17"/>
        <v>41843</v>
      </c>
      <c r="S302" s="318" t="str">
        <f t="shared" si="18"/>
        <v/>
      </c>
    </row>
    <row r="303" spans="3:19" ht="27.75" customHeight="1">
      <c r="C303" s="345" t="s">
        <v>98</v>
      </c>
      <c r="D303" s="345" t="s">
        <v>373</v>
      </c>
      <c r="E303" s="345" t="s">
        <v>374</v>
      </c>
      <c r="F303" s="345" t="s">
        <v>375</v>
      </c>
      <c r="G303" s="346" t="s">
        <v>376</v>
      </c>
      <c r="H303" s="345" t="s">
        <v>14</v>
      </c>
      <c r="I303" s="345" t="s">
        <v>61</v>
      </c>
      <c r="J303" s="316">
        <v>41843.536111111112</v>
      </c>
      <c r="K303" s="347"/>
      <c r="L303" s="347" t="s">
        <v>377</v>
      </c>
      <c r="M303" s="348" t="s">
        <v>378</v>
      </c>
      <c r="N303" s="348" t="s">
        <v>190</v>
      </c>
      <c r="O303" s="348" t="s">
        <v>175</v>
      </c>
      <c r="P303" s="349">
        <v>11.5719932241671</v>
      </c>
      <c r="Q303" s="321" t="str">
        <f t="shared" si="16"/>
        <v/>
      </c>
      <c r="R303" s="318">
        <f t="shared" si="17"/>
        <v>41843</v>
      </c>
      <c r="S303" s="318" t="str">
        <f t="shared" si="18"/>
        <v/>
      </c>
    </row>
    <row r="304" spans="3:19" ht="27.75" customHeight="1">
      <c r="C304" s="345" t="s">
        <v>98</v>
      </c>
      <c r="D304" s="345" t="s">
        <v>373</v>
      </c>
      <c r="E304" s="345" t="s">
        <v>374</v>
      </c>
      <c r="F304" s="345" t="s">
        <v>375</v>
      </c>
      <c r="G304" s="346" t="s">
        <v>376</v>
      </c>
      <c r="H304" s="345" t="s">
        <v>384</v>
      </c>
      <c r="I304" s="345" t="s">
        <v>61</v>
      </c>
      <c r="J304" s="316">
        <v>41843.522222222222</v>
      </c>
      <c r="K304" s="347"/>
      <c r="L304" s="347" t="s">
        <v>377</v>
      </c>
      <c r="M304" s="348" t="s">
        <v>378</v>
      </c>
      <c r="N304" s="348" t="s">
        <v>190</v>
      </c>
      <c r="O304" s="348" t="s">
        <v>175</v>
      </c>
      <c r="P304" s="349">
        <v>11.604743083003999</v>
      </c>
      <c r="Q304" s="321" t="str">
        <f t="shared" si="16"/>
        <v/>
      </c>
      <c r="R304" s="318">
        <f t="shared" si="17"/>
        <v>41843</v>
      </c>
      <c r="S304" s="318" t="str">
        <f t="shared" si="18"/>
        <v/>
      </c>
    </row>
    <row r="305" spans="3:19" ht="27.75" customHeight="1">
      <c r="C305" s="345" t="s">
        <v>98</v>
      </c>
      <c r="D305" s="345" t="s">
        <v>373</v>
      </c>
      <c r="E305" s="345" t="s">
        <v>374</v>
      </c>
      <c r="F305" s="345" t="s">
        <v>375</v>
      </c>
      <c r="G305" s="346" t="s">
        <v>376</v>
      </c>
      <c r="H305" s="345" t="s">
        <v>5</v>
      </c>
      <c r="I305" s="345" t="s">
        <v>60</v>
      </c>
      <c r="J305" s="316">
        <v>41843.521527777775</v>
      </c>
      <c r="K305" s="347">
        <v>41849.521527777775</v>
      </c>
      <c r="L305" s="347" t="s">
        <v>377</v>
      </c>
      <c r="M305" s="348" t="s">
        <v>378</v>
      </c>
      <c r="N305" s="348" t="s">
        <v>190</v>
      </c>
      <c r="O305" s="348" t="s">
        <v>177</v>
      </c>
      <c r="P305" s="349">
        <v>11.637492941840801</v>
      </c>
      <c r="Q305" s="321">
        <f t="shared" si="16"/>
        <v>6</v>
      </c>
      <c r="R305" s="318">
        <f t="shared" si="17"/>
        <v>41843</v>
      </c>
      <c r="S305" s="318">
        <f t="shared" si="18"/>
        <v>41849</v>
      </c>
    </row>
    <row r="306" spans="3:19" ht="27.75" customHeight="1">
      <c r="C306" s="345" t="s">
        <v>98</v>
      </c>
      <c r="D306" s="345" t="s">
        <v>373</v>
      </c>
      <c r="E306" s="345" t="s">
        <v>374</v>
      </c>
      <c r="F306" s="345" t="s">
        <v>375</v>
      </c>
      <c r="G306" s="346" t="s">
        <v>376</v>
      </c>
      <c r="H306" s="339" t="s">
        <v>14</v>
      </c>
      <c r="I306" s="345" t="s">
        <v>60</v>
      </c>
      <c r="J306" s="316">
        <v>41843.520138888889</v>
      </c>
      <c r="K306" s="347"/>
      <c r="L306" s="347" t="s">
        <v>377</v>
      </c>
      <c r="M306" s="348" t="s">
        <v>378</v>
      </c>
      <c r="N306" s="348" t="s">
        <v>190</v>
      </c>
      <c r="O306" s="348" t="s">
        <v>177</v>
      </c>
      <c r="P306" s="349">
        <v>11.670242800677601</v>
      </c>
      <c r="Q306" s="321" t="str">
        <f t="shared" si="16"/>
        <v/>
      </c>
      <c r="R306" s="318">
        <f t="shared" si="17"/>
        <v>41843</v>
      </c>
      <c r="S306" s="318" t="str">
        <f t="shared" si="18"/>
        <v/>
      </c>
    </row>
    <row r="307" spans="3:19" ht="27.75" customHeight="1">
      <c r="C307" s="345" t="s">
        <v>98</v>
      </c>
      <c r="D307" s="345" t="s">
        <v>373</v>
      </c>
      <c r="E307" s="345" t="s">
        <v>374</v>
      </c>
      <c r="F307" s="345" t="s">
        <v>375</v>
      </c>
      <c r="G307" s="346" t="s">
        <v>376</v>
      </c>
      <c r="H307" s="339" t="s">
        <v>14</v>
      </c>
      <c r="I307" s="345" t="s">
        <v>60</v>
      </c>
      <c r="J307" s="316">
        <v>41843.518750000003</v>
      </c>
      <c r="K307" s="347"/>
      <c r="L307" s="347" t="s">
        <v>377</v>
      </c>
      <c r="M307" s="348" t="s">
        <v>378</v>
      </c>
      <c r="N307" s="348" t="s">
        <v>190</v>
      </c>
      <c r="O307" s="348" t="s">
        <v>177</v>
      </c>
      <c r="P307" s="349">
        <v>11.7029926595144</v>
      </c>
      <c r="Q307" s="321" t="str">
        <f t="shared" si="16"/>
        <v/>
      </c>
      <c r="R307" s="318">
        <f t="shared" si="17"/>
        <v>41843</v>
      </c>
      <c r="S307" s="318" t="str">
        <f t="shared" si="18"/>
        <v/>
      </c>
    </row>
    <row r="308" spans="3:19" ht="27.75" customHeight="1">
      <c r="C308" s="345" t="s">
        <v>98</v>
      </c>
      <c r="D308" s="345" t="s">
        <v>373</v>
      </c>
      <c r="E308" s="345" t="s">
        <v>374</v>
      </c>
      <c r="F308" s="345" t="s">
        <v>375</v>
      </c>
      <c r="G308" s="346" t="s">
        <v>376</v>
      </c>
      <c r="H308" s="345" t="s">
        <v>140</v>
      </c>
      <c r="I308" s="345" t="s">
        <v>60</v>
      </c>
      <c r="J308" s="316">
        <v>41843.518055555556</v>
      </c>
      <c r="K308" s="347"/>
      <c r="L308" s="347" t="s">
        <v>377</v>
      </c>
      <c r="M308" s="348" t="s">
        <v>378</v>
      </c>
      <c r="N308" s="348" t="s">
        <v>190</v>
      </c>
      <c r="O308" s="348" t="s">
        <v>177</v>
      </c>
      <c r="P308" s="349">
        <v>11.7357425183512</v>
      </c>
      <c r="Q308" s="321" t="str">
        <f t="shared" si="16"/>
        <v/>
      </c>
      <c r="R308" s="318">
        <f t="shared" si="17"/>
        <v>41843</v>
      </c>
      <c r="S308" s="318" t="str">
        <f t="shared" si="18"/>
        <v/>
      </c>
    </row>
    <row r="309" spans="3:19" ht="27.75" customHeight="1">
      <c r="C309" s="345" t="s">
        <v>98</v>
      </c>
      <c r="D309" s="345" t="s">
        <v>373</v>
      </c>
      <c r="E309" s="345" t="s">
        <v>374</v>
      </c>
      <c r="F309" s="345" t="s">
        <v>375</v>
      </c>
      <c r="G309" s="346" t="s">
        <v>376</v>
      </c>
      <c r="H309" s="345" t="s">
        <v>14</v>
      </c>
      <c r="I309" s="345" t="s">
        <v>61</v>
      </c>
      <c r="J309" s="316">
        <v>41843.513194444444</v>
      </c>
      <c r="K309" s="347"/>
      <c r="L309" s="347" t="s">
        <v>378</v>
      </c>
      <c r="M309" s="348" t="s">
        <v>394</v>
      </c>
      <c r="N309" s="348" t="s">
        <v>381</v>
      </c>
      <c r="O309" s="348" t="s">
        <v>177</v>
      </c>
      <c r="P309" s="349">
        <v>11.768492377188</v>
      </c>
      <c r="Q309" s="321" t="str">
        <f t="shared" si="16"/>
        <v/>
      </c>
      <c r="R309" s="318">
        <f t="shared" si="17"/>
        <v>41843</v>
      </c>
      <c r="S309" s="318" t="str">
        <f t="shared" si="18"/>
        <v/>
      </c>
    </row>
    <row r="310" spans="3:19" ht="27.75" customHeight="1">
      <c r="C310" s="345" t="s">
        <v>98</v>
      </c>
      <c r="D310" s="345" t="s">
        <v>373</v>
      </c>
      <c r="E310" s="345" t="s">
        <v>374</v>
      </c>
      <c r="F310" s="345" t="s">
        <v>375</v>
      </c>
      <c r="G310" s="346" t="s">
        <v>376</v>
      </c>
      <c r="H310" s="345" t="s">
        <v>139</v>
      </c>
      <c r="I310" s="345" t="s">
        <v>60</v>
      </c>
      <c r="J310" s="316">
        <v>41843.50277777778</v>
      </c>
      <c r="K310" s="347"/>
      <c r="L310" s="347" t="s">
        <v>377</v>
      </c>
      <c r="M310" s="348" t="s">
        <v>378</v>
      </c>
      <c r="N310" s="348" t="s">
        <v>378</v>
      </c>
      <c r="O310" s="348" t="s">
        <v>177</v>
      </c>
      <c r="P310" s="349">
        <v>11.8012422360248</v>
      </c>
      <c r="Q310" s="321" t="str">
        <f t="shared" si="16"/>
        <v/>
      </c>
      <c r="R310" s="318">
        <f t="shared" si="17"/>
        <v>41843</v>
      </c>
      <c r="S310" s="318" t="str">
        <f t="shared" si="18"/>
        <v/>
      </c>
    </row>
    <row r="311" spans="3:19" ht="27.75" customHeight="1">
      <c r="C311" s="345" t="s">
        <v>98</v>
      </c>
      <c r="D311" s="345" t="s">
        <v>373</v>
      </c>
      <c r="E311" s="345" t="s">
        <v>374</v>
      </c>
      <c r="F311" s="345" t="s">
        <v>375</v>
      </c>
      <c r="G311" s="346" t="s">
        <v>376</v>
      </c>
      <c r="H311" s="345" t="s">
        <v>5</v>
      </c>
      <c r="I311" s="345" t="s">
        <v>60</v>
      </c>
      <c r="J311" s="316">
        <v>41843.441666666666</v>
      </c>
      <c r="K311" s="347">
        <v>41858.441666666666</v>
      </c>
      <c r="L311" s="347" t="s">
        <v>188</v>
      </c>
      <c r="M311" s="348" t="s">
        <v>390</v>
      </c>
      <c r="N311" s="348" t="s">
        <v>390</v>
      </c>
      <c r="O311" s="348" t="s">
        <v>175</v>
      </c>
      <c r="P311" s="349">
        <v>11.8339920948616</v>
      </c>
      <c r="Q311" s="321">
        <f t="shared" si="16"/>
        <v>15</v>
      </c>
      <c r="R311" s="318">
        <f t="shared" si="17"/>
        <v>41843</v>
      </c>
      <c r="S311" s="318">
        <f t="shared" si="18"/>
        <v>41858</v>
      </c>
    </row>
    <row r="312" spans="3:19" ht="27.75" customHeight="1">
      <c r="C312" s="345" t="s">
        <v>98</v>
      </c>
      <c r="D312" s="345" t="s">
        <v>373</v>
      </c>
      <c r="E312" s="345" t="s">
        <v>374</v>
      </c>
      <c r="F312" s="345" t="s">
        <v>375</v>
      </c>
      <c r="G312" s="346" t="s">
        <v>376</v>
      </c>
      <c r="H312" s="339" t="s">
        <v>14</v>
      </c>
      <c r="I312" s="345" t="s">
        <v>61</v>
      </c>
      <c r="J312" s="316">
        <v>41843.151388888888</v>
      </c>
      <c r="K312" s="347"/>
      <c r="L312" s="347" t="s">
        <v>377</v>
      </c>
      <c r="M312" s="348" t="s">
        <v>378</v>
      </c>
      <c r="N312" s="348" t="s">
        <v>378</v>
      </c>
      <c r="O312" s="348" t="s">
        <v>175</v>
      </c>
      <c r="P312" s="349">
        <v>11.866741953698501</v>
      </c>
      <c r="Q312" s="321" t="str">
        <f t="shared" si="16"/>
        <v/>
      </c>
      <c r="R312" s="318">
        <f t="shared" si="17"/>
        <v>41843</v>
      </c>
      <c r="S312" s="318" t="str">
        <f t="shared" si="18"/>
        <v/>
      </c>
    </row>
    <row r="313" spans="3:19" ht="27.75" customHeight="1">
      <c r="C313" s="345" t="s">
        <v>98</v>
      </c>
      <c r="D313" s="345" t="s">
        <v>373</v>
      </c>
      <c r="E313" s="345" t="s">
        <v>374</v>
      </c>
      <c r="F313" s="345" t="s">
        <v>375</v>
      </c>
      <c r="G313" s="346" t="s">
        <v>376</v>
      </c>
      <c r="H313" s="345" t="s">
        <v>14</v>
      </c>
      <c r="I313" s="345" t="s">
        <v>60</v>
      </c>
      <c r="J313" s="316">
        <v>41848.783333333333</v>
      </c>
      <c r="K313" s="347"/>
      <c r="L313" s="347" t="s">
        <v>378</v>
      </c>
      <c r="M313" s="348" t="s">
        <v>387</v>
      </c>
      <c r="N313" s="348" t="s">
        <v>387</v>
      </c>
      <c r="O313" s="348" t="s">
        <v>175</v>
      </c>
      <c r="P313" s="349">
        <v>11.899491812535301</v>
      </c>
      <c r="Q313" s="321" t="str">
        <f t="shared" si="16"/>
        <v/>
      </c>
      <c r="R313" s="318">
        <f t="shared" si="17"/>
        <v>41848</v>
      </c>
      <c r="S313" s="318" t="str">
        <f t="shared" si="18"/>
        <v/>
      </c>
    </row>
    <row r="314" spans="3:19" ht="27.75" customHeight="1">
      <c r="C314" s="345" t="s">
        <v>98</v>
      </c>
      <c r="D314" s="345" t="s">
        <v>373</v>
      </c>
      <c r="E314" s="345" t="s">
        <v>374</v>
      </c>
      <c r="F314" s="345" t="s">
        <v>375</v>
      </c>
      <c r="G314" s="346" t="s">
        <v>376</v>
      </c>
      <c r="H314" s="345" t="s">
        <v>5</v>
      </c>
      <c r="I314" s="345" t="s">
        <v>60</v>
      </c>
      <c r="J314" s="316">
        <v>41848.782638888886</v>
      </c>
      <c r="K314" s="347">
        <v>41849.782638888886</v>
      </c>
      <c r="L314" s="347" t="s">
        <v>377</v>
      </c>
      <c r="M314" s="348" t="s">
        <v>378</v>
      </c>
      <c r="N314" s="348" t="s">
        <v>378</v>
      </c>
      <c r="O314" s="348" t="s">
        <v>175</v>
      </c>
      <c r="P314" s="349">
        <v>11.9322416713721</v>
      </c>
      <c r="Q314" s="321">
        <f t="shared" si="16"/>
        <v>1</v>
      </c>
      <c r="R314" s="318">
        <f t="shared" si="17"/>
        <v>41848</v>
      </c>
      <c r="S314" s="318">
        <f t="shared" si="18"/>
        <v>41849</v>
      </c>
    </row>
    <row r="315" spans="3:19" ht="27.75" customHeight="1">
      <c r="C315" s="345" t="s">
        <v>98</v>
      </c>
      <c r="D315" s="345" t="s">
        <v>373</v>
      </c>
      <c r="E315" s="345" t="s">
        <v>374</v>
      </c>
      <c r="F315" s="345" t="s">
        <v>375</v>
      </c>
      <c r="G315" s="346" t="s">
        <v>376</v>
      </c>
      <c r="H315" s="345" t="s">
        <v>5</v>
      </c>
      <c r="I315" s="345" t="s">
        <v>60</v>
      </c>
      <c r="J315" s="316">
        <v>41848.679861111108</v>
      </c>
      <c r="K315" s="347">
        <v>41847.679861111108</v>
      </c>
      <c r="L315" s="347" t="s">
        <v>377</v>
      </c>
      <c r="M315" s="348" t="s">
        <v>378</v>
      </c>
      <c r="N315" s="348" t="s">
        <v>378</v>
      </c>
      <c r="O315" s="348" t="s">
        <v>175</v>
      </c>
      <c r="P315" s="349">
        <v>11.9649915302089</v>
      </c>
      <c r="Q315" s="321" t="str">
        <f t="shared" si="16"/>
        <v/>
      </c>
      <c r="R315" s="318">
        <f t="shared" si="17"/>
        <v>41848</v>
      </c>
      <c r="S315" s="318">
        <f t="shared" si="18"/>
        <v>41847</v>
      </c>
    </row>
    <row r="316" spans="3:19" ht="27.75" customHeight="1">
      <c r="C316" s="345" t="s">
        <v>98</v>
      </c>
      <c r="D316" s="345" t="s">
        <v>373</v>
      </c>
      <c r="E316" s="345" t="s">
        <v>374</v>
      </c>
      <c r="F316" s="345" t="s">
        <v>375</v>
      </c>
      <c r="G316" s="346" t="s">
        <v>376</v>
      </c>
      <c r="H316" s="339" t="s">
        <v>14</v>
      </c>
      <c r="I316" s="345" t="s">
        <v>59</v>
      </c>
      <c r="J316" s="316">
        <v>41848.674305555556</v>
      </c>
      <c r="K316" s="347"/>
      <c r="L316" s="347" t="s">
        <v>378</v>
      </c>
      <c r="M316" s="348" t="s">
        <v>398</v>
      </c>
      <c r="N316" s="348" t="s">
        <v>381</v>
      </c>
      <c r="O316" s="348" t="s">
        <v>175</v>
      </c>
      <c r="P316" s="349">
        <v>11.9977413890457</v>
      </c>
      <c r="Q316" s="321" t="str">
        <f t="shared" si="16"/>
        <v/>
      </c>
      <c r="R316" s="318">
        <f t="shared" si="17"/>
        <v>41848</v>
      </c>
      <c r="S316" s="318" t="str">
        <f t="shared" si="18"/>
        <v/>
      </c>
    </row>
    <row r="317" spans="3:19" ht="27.75" customHeight="1">
      <c r="C317" s="345" t="s">
        <v>98</v>
      </c>
      <c r="D317" s="345" t="s">
        <v>373</v>
      </c>
      <c r="E317" s="345" t="s">
        <v>374</v>
      </c>
      <c r="F317" s="345" t="s">
        <v>375</v>
      </c>
      <c r="G317" s="346" t="s">
        <v>376</v>
      </c>
      <c r="H317" s="339" t="s">
        <v>14</v>
      </c>
      <c r="I317" s="345" t="s">
        <v>61</v>
      </c>
      <c r="J317" s="316">
        <v>41848.645833333336</v>
      </c>
      <c r="K317" s="347"/>
      <c r="L317" s="347" t="s">
        <v>188</v>
      </c>
      <c r="M317" s="348" t="s">
        <v>382</v>
      </c>
      <c r="N317" s="348" t="s">
        <v>382</v>
      </c>
      <c r="O317" s="348" t="s">
        <v>175</v>
      </c>
      <c r="P317" s="349">
        <v>12.0304912478825</v>
      </c>
      <c r="Q317" s="321" t="str">
        <f t="shared" si="16"/>
        <v/>
      </c>
      <c r="R317" s="318">
        <f t="shared" si="17"/>
        <v>41848</v>
      </c>
      <c r="S317" s="318" t="str">
        <f t="shared" si="18"/>
        <v/>
      </c>
    </row>
    <row r="318" spans="3:19" ht="27.75" customHeight="1">
      <c r="C318" s="345" t="s">
        <v>98</v>
      </c>
      <c r="D318" s="345" t="s">
        <v>373</v>
      </c>
      <c r="E318" s="345" t="s">
        <v>374</v>
      </c>
      <c r="F318" s="345" t="s">
        <v>375</v>
      </c>
      <c r="G318" s="346" t="s">
        <v>376</v>
      </c>
      <c r="H318" s="345" t="s">
        <v>5</v>
      </c>
      <c r="I318" s="345" t="s">
        <v>58</v>
      </c>
      <c r="J318" s="316">
        <v>41848.508333333331</v>
      </c>
      <c r="K318" s="347">
        <v>41846.508333333331</v>
      </c>
      <c r="L318" s="347" t="s">
        <v>377</v>
      </c>
      <c r="M318" s="348" t="s">
        <v>378</v>
      </c>
      <c r="N318" s="348" t="s">
        <v>378</v>
      </c>
      <c r="O318" s="348" t="s">
        <v>175</v>
      </c>
      <c r="P318" s="349">
        <v>12.0632411067193</v>
      </c>
      <c r="Q318" s="321" t="str">
        <f t="shared" si="16"/>
        <v/>
      </c>
      <c r="R318" s="318">
        <f t="shared" si="17"/>
        <v>41848</v>
      </c>
      <c r="S318" s="318">
        <f t="shared" si="18"/>
        <v>41846</v>
      </c>
    </row>
    <row r="319" spans="3:19" ht="27.75" customHeight="1">
      <c r="C319" s="345" t="s">
        <v>98</v>
      </c>
      <c r="D319" s="345" t="s">
        <v>373</v>
      </c>
      <c r="E319" s="345" t="s">
        <v>374</v>
      </c>
      <c r="F319" s="345" t="s">
        <v>375</v>
      </c>
      <c r="G319" s="346" t="s">
        <v>376</v>
      </c>
      <c r="H319" s="339" t="s">
        <v>14</v>
      </c>
      <c r="I319" s="345" t="s">
        <v>59</v>
      </c>
      <c r="J319" s="316">
        <v>41848.463888888888</v>
      </c>
      <c r="K319" s="347"/>
      <c r="L319" s="347" t="s">
        <v>378</v>
      </c>
      <c r="M319" s="348" t="s">
        <v>378</v>
      </c>
      <c r="N319" s="348" t="s">
        <v>378</v>
      </c>
      <c r="O319" s="348" t="s">
        <v>175</v>
      </c>
      <c r="P319" s="349">
        <v>12.095990965556201</v>
      </c>
      <c r="Q319" s="321" t="str">
        <f t="shared" si="16"/>
        <v/>
      </c>
      <c r="R319" s="318">
        <f t="shared" si="17"/>
        <v>41848</v>
      </c>
      <c r="S319" s="318" t="str">
        <f t="shared" si="18"/>
        <v/>
      </c>
    </row>
    <row r="320" spans="3:19" ht="27.75" customHeight="1">
      <c r="C320" s="345" t="s">
        <v>98</v>
      </c>
      <c r="D320" s="345" t="s">
        <v>373</v>
      </c>
      <c r="E320" s="345" t="s">
        <v>374</v>
      </c>
      <c r="F320" s="345" t="s">
        <v>375</v>
      </c>
      <c r="G320" s="346" t="s">
        <v>376</v>
      </c>
      <c r="H320" s="345" t="s">
        <v>5</v>
      </c>
      <c r="I320" s="345" t="s">
        <v>58</v>
      </c>
      <c r="J320" s="316">
        <v>41848.425000000003</v>
      </c>
      <c r="K320" s="347">
        <v>41844.425000000003</v>
      </c>
      <c r="L320" s="347" t="s">
        <v>188</v>
      </c>
      <c r="M320" s="348" t="s">
        <v>382</v>
      </c>
      <c r="N320" s="348" t="s">
        <v>382</v>
      </c>
      <c r="O320" s="348" t="s">
        <v>175</v>
      </c>
      <c r="P320" s="349">
        <v>12.128740824393001</v>
      </c>
      <c r="Q320" s="321" t="str">
        <f t="shared" si="16"/>
        <v/>
      </c>
      <c r="R320" s="318">
        <f t="shared" si="17"/>
        <v>41848</v>
      </c>
      <c r="S320" s="318">
        <f t="shared" si="18"/>
        <v>41844</v>
      </c>
    </row>
    <row r="321" spans="3:19" ht="27.75" customHeight="1">
      <c r="C321" s="345" t="s">
        <v>98</v>
      </c>
      <c r="D321" s="345" t="s">
        <v>373</v>
      </c>
      <c r="E321" s="345" t="s">
        <v>374</v>
      </c>
      <c r="F321" s="345" t="s">
        <v>375</v>
      </c>
      <c r="G321" s="346" t="s">
        <v>376</v>
      </c>
      <c r="H321" s="339" t="s">
        <v>14</v>
      </c>
      <c r="I321" s="345" t="s">
        <v>58</v>
      </c>
      <c r="J321" s="316">
        <v>41847.893055555556</v>
      </c>
      <c r="K321" s="347"/>
      <c r="L321" s="347" t="s">
        <v>377</v>
      </c>
      <c r="M321" s="348" t="s">
        <v>378</v>
      </c>
      <c r="N321" s="348" t="s">
        <v>378</v>
      </c>
      <c r="O321" s="348" t="s">
        <v>175</v>
      </c>
      <c r="P321" s="349">
        <v>12.1614906832298</v>
      </c>
      <c r="Q321" s="321" t="str">
        <f t="shared" si="16"/>
        <v/>
      </c>
      <c r="R321" s="318">
        <f t="shared" si="17"/>
        <v>41847</v>
      </c>
      <c r="S321" s="318" t="str">
        <f t="shared" si="18"/>
        <v/>
      </c>
    </row>
    <row r="322" spans="3:19" ht="27.75" customHeight="1">
      <c r="C322" s="345" t="s">
        <v>98</v>
      </c>
      <c r="D322" s="345" t="s">
        <v>373</v>
      </c>
      <c r="E322" s="345" t="s">
        <v>374</v>
      </c>
      <c r="F322" s="345" t="s">
        <v>375</v>
      </c>
      <c r="G322" s="346" t="s">
        <v>376</v>
      </c>
      <c r="H322" s="339" t="s">
        <v>14</v>
      </c>
      <c r="I322" s="345" t="s">
        <v>59</v>
      </c>
      <c r="J322" s="316">
        <v>41847.868055555555</v>
      </c>
      <c r="K322" s="347"/>
      <c r="L322" s="347" t="s">
        <v>188</v>
      </c>
      <c r="M322" s="348" t="s">
        <v>378</v>
      </c>
      <c r="N322" s="348" t="s">
        <v>378</v>
      </c>
      <c r="O322" s="348" t="s">
        <v>177</v>
      </c>
      <c r="P322" s="349">
        <v>12.1942405420666</v>
      </c>
      <c r="Q322" s="321" t="str">
        <f t="shared" si="16"/>
        <v/>
      </c>
      <c r="R322" s="318">
        <f t="shared" si="17"/>
        <v>41847</v>
      </c>
      <c r="S322" s="318" t="str">
        <f t="shared" si="18"/>
        <v/>
      </c>
    </row>
    <row r="323" spans="3:19" ht="27.75" customHeight="1">
      <c r="C323" s="345" t="s">
        <v>98</v>
      </c>
      <c r="D323" s="345" t="s">
        <v>373</v>
      </c>
      <c r="E323" s="345" t="s">
        <v>374</v>
      </c>
      <c r="F323" s="345" t="s">
        <v>375</v>
      </c>
      <c r="G323" s="346" t="s">
        <v>376</v>
      </c>
      <c r="H323" s="345" t="s">
        <v>5</v>
      </c>
      <c r="I323" s="345" t="s">
        <v>59</v>
      </c>
      <c r="J323" s="316">
        <v>41847.81527777778</v>
      </c>
      <c r="K323" s="347">
        <v>41845.81527777778</v>
      </c>
      <c r="L323" s="347" t="s">
        <v>377</v>
      </c>
      <c r="M323" s="348" t="s">
        <v>378</v>
      </c>
      <c r="N323" s="348" t="s">
        <v>378</v>
      </c>
      <c r="O323" s="348" t="s">
        <v>177</v>
      </c>
      <c r="P323" s="349">
        <v>12.2269904009034</v>
      </c>
      <c r="Q323" s="321" t="str">
        <f t="shared" si="16"/>
        <v/>
      </c>
      <c r="R323" s="318">
        <f t="shared" si="17"/>
        <v>41847</v>
      </c>
      <c r="S323" s="318">
        <f t="shared" si="18"/>
        <v>41845</v>
      </c>
    </row>
    <row r="324" spans="3:19" ht="27.75" customHeight="1">
      <c r="C324" s="345" t="s">
        <v>98</v>
      </c>
      <c r="D324" s="345" t="s">
        <v>373</v>
      </c>
      <c r="E324" s="345" t="s">
        <v>374</v>
      </c>
      <c r="F324" s="345" t="s">
        <v>375</v>
      </c>
      <c r="G324" s="346" t="s">
        <v>376</v>
      </c>
      <c r="H324" s="339" t="s">
        <v>14</v>
      </c>
      <c r="I324" s="345" t="s">
        <v>58</v>
      </c>
      <c r="J324" s="316">
        <v>41847.717361111114</v>
      </c>
      <c r="K324" s="347"/>
      <c r="L324" s="347" t="s">
        <v>377</v>
      </c>
      <c r="M324" s="348" t="s">
        <v>378</v>
      </c>
      <c r="N324" s="348" t="s">
        <v>378</v>
      </c>
      <c r="O324" s="348" t="s">
        <v>175</v>
      </c>
      <c r="P324" s="349">
        <v>12.2597402597402</v>
      </c>
      <c r="Q324" s="321" t="str">
        <f t="shared" si="16"/>
        <v/>
      </c>
      <c r="R324" s="318">
        <f t="shared" si="17"/>
        <v>41847</v>
      </c>
      <c r="S324" s="318" t="str">
        <f t="shared" si="18"/>
        <v/>
      </c>
    </row>
    <row r="325" spans="3:19" ht="27.75" customHeight="1">
      <c r="C325" s="345" t="s">
        <v>98</v>
      </c>
      <c r="D325" s="345" t="s">
        <v>373</v>
      </c>
      <c r="E325" s="345" t="s">
        <v>374</v>
      </c>
      <c r="F325" s="345" t="s">
        <v>375</v>
      </c>
      <c r="G325" s="346" t="s">
        <v>376</v>
      </c>
      <c r="H325" s="339" t="s">
        <v>14</v>
      </c>
      <c r="I325" s="345" t="s">
        <v>60</v>
      </c>
      <c r="J325" s="316">
        <v>41847.706944444442</v>
      </c>
      <c r="K325" s="347"/>
      <c r="L325" s="347" t="s">
        <v>188</v>
      </c>
      <c r="M325" s="348" t="s">
        <v>382</v>
      </c>
      <c r="N325" s="348" t="s">
        <v>382</v>
      </c>
      <c r="O325" s="348" t="s">
        <v>175</v>
      </c>
      <c r="P325" s="349">
        <v>12.292490118577099</v>
      </c>
      <c r="Q325" s="321" t="str">
        <f t="shared" si="16"/>
        <v/>
      </c>
      <c r="R325" s="318">
        <f t="shared" si="17"/>
        <v>41847</v>
      </c>
      <c r="S325" s="318" t="str">
        <f t="shared" si="18"/>
        <v/>
      </c>
    </row>
    <row r="326" spans="3:19" ht="27.75" customHeight="1">
      <c r="C326" s="345" t="s">
        <v>98</v>
      </c>
      <c r="D326" s="345" t="s">
        <v>373</v>
      </c>
      <c r="E326" s="345" t="s">
        <v>374</v>
      </c>
      <c r="F326" s="345" t="s">
        <v>375</v>
      </c>
      <c r="G326" s="346" t="s">
        <v>376</v>
      </c>
      <c r="H326" s="339" t="s">
        <v>14</v>
      </c>
      <c r="I326" s="345" t="s">
        <v>59</v>
      </c>
      <c r="J326" s="316">
        <v>41847.691666666666</v>
      </c>
      <c r="K326" s="347"/>
      <c r="L326" s="347" t="s">
        <v>377</v>
      </c>
      <c r="M326" s="348" t="s">
        <v>382</v>
      </c>
      <c r="N326" s="348" t="s">
        <v>382</v>
      </c>
      <c r="O326" s="348" t="s">
        <v>175</v>
      </c>
      <c r="P326" s="349">
        <v>12.325239977413901</v>
      </c>
      <c r="Q326" s="321" t="str">
        <f t="shared" si="16"/>
        <v/>
      </c>
      <c r="R326" s="318">
        <f t="shared" si="17"/>
        <v>41847</v>
      </c>
      <c r="S326" s="318" t="str">
        <f t="shared" si="18"/>
        <v/>
      </c>
    </row>
    <row r="327" spans="3:19" ht="27.75" customHeight="1">
      <c r="C327" s="345" t="s">
        <v>98</v>
      </c>
      <c r="D327" s="345" t="s">
        <v>373</v>
      </c>
      <c r="E327" s="345" t="s">
        <v>374</v>
      </c>
      <c r="F327" s="345" t="s">
        <v>375</v>
      </c>
      <c r="G327" s="346" t="s">
        <v>376</v>
      </c>
      <c r="H327" s="345" t="s">
        <v>5</v>
      </c>
      <c r="I327" s="345" t="s">
        <v>60</v>
      </c>
      <c r="J327" s="316">
        <v>41847.6875</v>
      </c>
      <c r="K327" s="347">
        <v>41849.6875</v>
      </c>
      <c r="L327" s="347" t="s">
        <v>399</v>
      </c>
      <c r="M327" s="348" t="s">
        <v>378</v>
      </c>
      <c r="N327" s="348" t="s">
        <v>378</v>
      </c>
      <c r="O327" s="348" t="s">
        <v>177</v>
      </c>
      <c r="P327" s="349">
        <v>12.357989836250701</v>
      </c>
      <c r="Q327" s="321">
        <f t="shared" si="16"/>
        <v>2</v>
      </c>
      <c r="R327" s="318">
        <f t="shared" si="17"/>
        <v>41847</v>
      </c>
      <c r="S327" s="318">
        <f t="shared" si="18"/>
        <v>41849</v>
      </c>
    </row>
    <row r="328" spans="3:19" ht="27.75" customHeight="1">
      <c r="C328" s="345" t="s">
        <v>98</v>
      </c>
      <c r="D328" s="345" t="s">
        <v>373</v>
      </c>
      <c r="E328" s="345" t="s">
        <v>374</v>
      </c>
      <c r="F328" s="345" t="s">
        <v>375</v>
      </c>
      <c r="G328" s="346" t="s">
        <v>376</v>
      </c>
      <c r="H328" s="345" t="s">
        <v>5</v>
      </c>
      <c r="I328" s="345" t="s">
        <v>60</v>
      </c>
      <c r="J328" s="316">
        <v>41847.663888888892</v>
      </c>
      <c r="K328" s="347">
        <v>41851.663888888892</v>
      </c>
      <c r="L328" s="347" t="s">
        <v>377</v>
      </c>
      <c r="M328" s="348" t="s">
        <v>378</v>
      </c>
      <c r="N328" s="348" t="s">
        <v>378</v>
      </c>
      <c r="O328" s="348" t="s">
        <v>177</v>
      </c>
      <c r="P328" s="349">
        <v>12.3907396950875</v>
      </c>
      <c r="Q328" s="321">
        <f t="shared" si="16"/>
        <v>4</v>
      </c>
      <c r="R328" s="318">
        <f t="shared" si="17"/>
        <v>41847</v>
      </c>
      <c r="S328" s="318">
        <f t="shared" si="18"/>
        <v>41851</v>
      </c>
    </row>
    <row r="329" spans="3:19" ht="27.75" customHeight="1">
      <c r="C329" s="345" t="s">
        <v>98</v>
      </c>
      <c r="D329" s="345" t="s">
        <v>373</v>
      </c>
      <c r="E329" s="345" t="s">
        <v>374</v>
      </c>
      <c r="F329" s="345" t="s">
        <v>375</v>
      </c>
      <c r="G329" s="346" t="s">
        <v>376</v>
      </c>
      <c r="H329" s="345" t="s">
        <v>5</v>
      </c>
      <c r="I329" s="345" t="s">
        <v>60</v>
      </c>
      <c r="J329" s="316">
        <v>41847.650694444441</v>
      </c>
      <c r="K329" s="347">
        <v>41848.650694444441</v>
      </c>
      <c r="L329" s="347" t="s">
        <v>378</v>
      </c>
      <c r="M329" s="348" t="s">
        <v>378</v>
      </c>
      <c r="N329" s="348" t="s">
        <v>379</v>
      </c>
      <c r="O329" s="348" t="s">
        <v>177</v>
      </c>
      <c r="P329" s="349">
        <v>12.4234895539243</v>
      </c>
      <c r="Q329" s="321">
        <f t="shared" si="16"/>
        <v>1</v>
      </c>
      <c r="R329" s="318">
        <f t="shared" si="17"/>
        <v>41847</v>
      </c>
      <c r="S329" s="318">
        <f t="shared" si="18"/>
        <v>41848</v>
      </c>
    </row>
    <row r="330" spans="3:19" ht="27.75" customHeight="1">
      <c r="C330" s="345" t="s">
        <v>98</v>
      </c>
      <c r="D330" s="345" t="s">
        <v>373</v>
      </c>
      <c r="E330" s="345" t="s">
        <v>374</v>
      </c>
      <c r="F330" s="345" t="s">
        <v>375</v>
      </c>
      <c r="G330" s="346" t="s">
        <v>376</v>
      </c>
      <c r="H330" s="339" t="s">
        <v>14</v>
      </c>
      <c r="I330" s="345" t="s">
        <v>60</v>
      </c>
      <c r="J330" s="316">
        <v>41847.622916666667</v>
      </c>
      <c r="K330" s="347"/>
      <c r="L330" s="347" t="s">
        <v>377</v>
      </c>
      <c r="M330" s="348" t="s">
        <v>378</v>
      </c>
      <c r="N330" s="348" t="s">
        <v>379</v>
      </c>
      <c r="O330" s="348" t="s">
        <v>177</v>
      </c>
      <c r="P330" s="349">
        <v>12.4562394127611</v>
      </c>
      <c r="Q330" s="321" t="str">
        <f t="shared" si="16"/>
        <v/>
      </c>
      <c r="R330" s="318">
        <f t="shared" si="17"/>
        <v>41847</v>
      </c>
      <c r="S330" s="318" t="str">
        <f t="shared" si="18"/>
        <v/>
      </c>
    </row>
    <row r="331" spans="3:19" ht="27.75" customHeight="1">
      <c r="C331" s="345" t="s">
        <v>98</v>
      </c>
      <c r="D331" s="345" t="s">
        <v>373</v>
      </c>
      <c r="E331" s="345" t="s">
        <v>374</v>
      </c>
      <c r="F331" s="345" t="s">
        <v>375</v>
      </c>
      <c r="G331" s="346" t="s">
        <v>376</v>
      </c>
      <c r="H331" s="339" t="s">
        <v>14</v>
      </c>
      <c r="I331" s="345" t="s">
        <v>61</v>
      </c>
      <c r="J331" s="316">
        <v>41847.543749999997</v>
      </c>
      <c r="K331" s="347"/>
      <c r="L331" s="347" t="s">
        <v>377</v>
      </c>
      <c r="M331" s="348" t="s">
        <v>382</v>
      </c>
      <c r="N331" s="348" t="s">
        <v>382</v>
      </c>
      <c r="O331" s="348" t="s">
        <v>177</v>
      </c>
      <c r="P331" s="349">
        <v>12.4889892715979</v>
      </c>
      <c r="Q331" s="321" t="str">
        <f t="shared" si="16"/>
        <v/>
      </c>
      <c r="R331" s="318">
        <f t="shared" si="17"/>
        <v>41847</v>
      </c>
      <c r="S331" s="318" t="str">
        <f t="shared" si="18"/>
        <v/>
      </c>
    </row>
    <row r="332" spans="3:19" ht="27.75" customHeight="1">
      <c r="C332" s="345" t="s">
        <v>98</v>
      </c>
      <c r="D332" s="345" t="s">
        <v>373</v>
      </c>
      <c r="E332" s="345" t="s">
        <v>374</v>
      </c>
      <c r="F332" s="345" t="s">
        <v>375</v>
      </c>
      <c r="G332" s="346" t="s">
        <v>376</v>
      </c>
      <c r="H332" s="345" t="s">
        <v>5</v>
      </c>
      <c r="I332" s="345" t="s">
        <v>61</v>
      </c>
      <c r="J332" s="316">
        <v>41847.533333333333</v>
      </c>
      <c r="K332" s="347">
        <v>41849.533333333333</v>
      </c>
      <c r="L332" s="347" t="s">
        <v>188</v>
      </c>
      <c r="M332" s="348" t="s">
        <v>382</v>
      </c>
      <c r="N332" s="348" t="s">
        <v>382</v>
      </c>
      <c r="O332" s="348" t="s">
        <v>177</v>
      </c>
      <c r="P332" s="349">
        <v>12.521739130434799</v>
      </c>
      <c r="Q332" s="321">
        <f t="shared" si="16"/>
        <v>2</v>
      </c>
      <c r="R332" s="318">
        <f t="shared" si="17"/>
        <v>41847</v>
      </c>
      <c r="S332" s="318">
        <f t="shared" si="18"/>
        <v>41849</v>
      </c>
    </row>
    <row r="333" spans="3:19" ht="27.75" customHeight="1">
      <c r="C333" s="345" t="s">
        <v>98</v>
      </c>
      <c r="D333" s="345" t="s">
        <v>373</v>
      </c>
      <c r="E333" s="345" t="s">
        <v>374</v>
      </c>
      <c r="F333" s="345" t="s">
        <v>375</v>
      </c>
      <c r="G333" s="346" t="s">
        <v>376</v>
      </c>
      <c r="H333" s="339" t="s">
        <v>14</v>
      </c>
      <c r="I333" s="345" t="s">
        <v>61</v>
      </c>
      <c r="J333" s="316">
        <v>41847.526388888888</v>
      </c>
      <c r="K333" s="347"/>
      <c r="L333" s="347" t="s">
        <v>377</v>
      </c>
      <c r="M333" s="348" t="s">
        <v>378</v>
      </c>
      <c r="N333" s="348" t="s">
        <v>379</v>
      </c>
      <c r="O333" s="348" t="s">
        <v>175</v>
      </c>
      <c r="P333" s="349">
        <v>12.554488989271601</v>
      </c>
      <c r="Q333" s="321" t="str">
        <f t="shared" si="16"/>
        <v/>
      </c>
      <c r="R333" s="318">
        <f t="shared" si="17"/>
        <v>41847</v>
      </c>
      <c r="S333" s="318" t="str">
        <f t="shared" si="18"/>
        <v/>
      </c>
    </row>
    <row r="334" spans="3:19" ht="27.75" customHeight="1">
      <c r="C334" s="345" t="s">
        <v>98</v>
      </c>
      <c r="D334" s="345" t="s">
        <v>373</v>
      </c>
      <c r="E334" s="345" t="s">
        <v>374</v>
      </c>
      <c r="F334" s="345" t="s">
        <v>375</v>
      </c>
      <c r="G334" s="346" t="s">
        <v>376</v>
      </c>
      <c r="H334" s="345" t="s">
        <v>14</v>
      </c>
      <c r="I334" s="345" t="s">
        <v>58</v>
      </c>
      <c r="J334" s="316">
        <v>41847.51666666667</v>
      </c>
      <c r="K334" s="347"/>
      <c r="L334" s="347" t="s">
        <v>377</v>
      </c>
      <c r="M334" s="348" t="s">
        <v>378</v>
      </c>
      <c r="N334" s="348" t="s">
        <v>379</v>
      </c>
      <c r="O334" s="348" t="s">
        <v>175</v>
      </c>
      <c r="P334" s="349">
        <v>12.587238848108401</v>
      </c>
      <c r="Q334" s="321" t="str">
        <f t="shared" si="16"/>
        <v/>
      </c>
      <c r="R334" s="318">
        <f t="shared" si="17"/>
        <v>41847</v>
      </c>
      <c r="S334" s="318" t="str">
        <f t="shared" si="18"/>
        <v/>
      </c>
    </row>
    <row r="335" spans="3:19" ht="27.75" customHeight="1">
      <c r="C335" s="345" t="s">
        <v>98</v>
      </c>
      <c r="D335" s="345" t="s">
        <v>373</v>
      </c>
      <c r="E335" s="345" t="s">
        <v>374</v>
      </c>
      <c r="F335" s="345" t="s">
        <v>375</v>
      </c>
      <c r="G335" s="346" t="s">
        <v>376</v>
      </c>
      <c r="H335" s="345" t="s">
        <v>140</v>
      </c>
      <c r="I335" s="345" t="s">
        <v>59</v>
      </c>
      <c r="J335" s="316">
        <v>41847.490277777775</v>
      </c>
      <c r="K335" s="347"/>
      <c r="L335" s="347" t="s">
        <v>377</v>
      </c>
      <c r="M335" s="348" t="s">
        <v>378</v>
      </c>
      <c r="N335" s="348" t="s">
        <v>379</v>
      </c>
      <c r="O335" s="348" t="s">
        <v>175</v>
      </c>
      <c r="P335" s="349">
        <v>12.6199887069452</v>
      </c>
      <c r="Q335" s="321" t="str">
        <f t="shared" si="16"/>
        <v/>
      </c>
      <c r="R335" s="318">
        <f t="shared" si="17"/>
        <v>41847</v>
      </c>
      <c r="S335" s="318" t="str">
        <f t="shared" si="18"/>
        <v/>
      </c>
    </row>
    <row r="336" spans="3:19" ht="27.75" customHeight="1">
      <c r="C336" s="345" t="s">
        <v>98</v>
      </c>
      <c r="D336" s="345" t="s">
        <v>373</v>
      </c>
      <c r="E336" s="345" t="s">
        <v>374</v>
      </c>
      <c r="F336" s="345" t="s">
        <v>375</v>
      </c>
      <c r="G336" s="346" t="s">
        <v>376</v>
      </c>
      <c r="H336" s="339" t="s">
        <v>14</v>
      </c>
      <c r="I336" s="345" t="s">
        <v>58</v>
      </c>
      <c r="J336" s="316">
        <v>41847.482638888891</v>
      </c>
      <c r="K336" s="347"/>
      <c r="L336" s="347" t="s">
        <v>377</v>
      </c>
      <c r="M336" s="348" t="s">
        <v>378</v>
      </c>
      <c r="N336" s="348" t="s">
        <v>379</v>
      </c>
      <c r="O336" s="348" t="s">
        <v>175</v>
      </c>
      <c r="P336" s="349">
        <v>12.652738565782</v>
      </c>
      <c r="Q336" s="321" t="str">
        <f t="shared" si="16"/>
        <v/>
      </c>
      <c r="R336" s="318">
        <f t="shared" si="17"/>
        <v>41847</v>
      </c>
      <c r="S336" s="318" t="str">
        <f t="shared" si="18"/>
        <v/>
      </c>
    </row>
    <row r="337" spans="3:19" ht="27.75" customHeight="1">
      <c r="C337" s="345" t="s">
        <v>98</v>
      </c>
      <c r="D337" s="345" t="s">
        <v>373</v>
      </c>
      <c r="E337" s="345" t="s">
        <v>374</v>
      </c>
      <c r="F337" s="345" t="s">
        <v>375</v>
      </c>
      <c r="G337" s="346" t="s">
        <v>376</v>
      </c>
      <c r="H337" s="339" t="s">
        <v>14</v>
      </c>
      <c r="I337" s="345" t="s">
        <v>59</v>
      </c>
      <c r="J337" s="316">
        <v>41847.474999999999</v>
      </c>
      <c r="K337" s="347"/>
      <c r="L337" s="347" t="s">
        <v>377</v>
      </c>
      <c r="M337" s="348" t="s">
        <v>382</v>
      </c>
      <c r="N337" s="348" t="s">
        <v>382</v>
      </c>
      <c r="O337" s="348" t="s">
        <v>175</v>
      </c>
      <c r="P337" s="349">
        <v>12.6854884246188</v>
      </c>
      <c r="Q337" s="321" t="str">
        <f t="shared" si="16"/>
        <v/>
      </c>
      <c r="R337" s="318">
        <f t="shared" si="17"/>
        <v>41847</v>
      </c>
      <c r="S337" s="318" t="str">
        <f t="shared" si="18"/>
        <v/>
      </c>
    </row>
    <row r="338" spans="3:19" ht="27.75" customHeight="1">
      <c r="C338" s="345" t="s">
        <v>98</v>
      </c>
      <c r="D338" s="345" t="s">
        <v>373</v>
      </c>
      <c r="E338" s="345" t="s">
        <v>374</v>
      </c>
      <c r="F338" s="345" t="s">
        <v>375</v>
      </c>
      <c r="G338" s="346" t="s">
        <v>376</v>
      </c>
      <c r="H338" s="339" t="s">
        <v>14</v>
      </c>
      <c r="I338" s="345" t="s">
        <v>58</v>
      </c>
      <c r="J338" s="316">
        <v>41847.45416666667</v>
      </c>
      <c r="K338" s="347"/>
      <c r="L338" s="347" t="s">
        <v>377</v>
      </c>
      <c r="M338" s="348" t="s">
        <v>378</v>
      </c>
      <c r="N338" s="348" t="s">
        <v>379</v>
      </c>
      <c r="O338" s="348" t="s">
        <v>175</v>
      </c>
      <c r="P338" s="349">
        <v>12.718238283455699</v>
      </c>
      <c r="Q338" s="321" t="str">
        <f t="shared" si="16"/>
        <v/>
      </c>
      <c r="R338" s="318">
        <f t="shared" si="17"/>
        <v>41847</v>
      </c>
      <c r="S338" s="318" t="str">
        <f t="shared" si="18"/>
        <v/>
      </c>
    </row>
    <row r="339" spans="3:19" ht="27.75" customHeight="1">
      <c r="C339" s="345" t="s">
        <v>98</v>
      </c>
      <c r="D339" s="345" t="s">
        <v>373</v>
      </c>
      <c r="E339" s="345" t="s">
        <v>374</v>
      </c>
      <c r="F339" s="345" t="s">
        <v>375</v>
      </c>
      <c r="G339" s="346" t="s">
        <v>376</v>
      </c>
      <c r="H339" s="345" t="s">
        <v>5</v>
      </c>
      <c r="I339" s="345" t="s">
        <v>59</v>
      </c>
      <c r="J339" s="316">
        <v>41847.449999999997</v>
      </c>
      <c r="K339" s="347">
        <v>41849.449999999997</v>
      </c>
      <c r="L339" s="347" t="s">
        <v>188</v>
      </c>
      <c r="M339" s="348" t="s">
        <v>382</v>
      </c>
      <c r="N339" s="348" t="s">
        <v>382</v>
      </c>
      <c r="O339" s="348" t="s">
        <v>175</v>
      </c>
      <c r="P339" s="349">
        <v>12.750988142292501</v>
      </c>
      <c r="Q339" s="321">
        <f t="shared" si="16"/>
        <v>2</v>
      </c>
      <c r="R339" s="318">
        <f t="shared" si="17"/>
        <v>41847</v>
      </c>
      <c r="S339" s="318">
        <f t="shared" si="18"/>
        <v>41849</v>
      </c>
    </row>
    <row r="340" spans="3:19" ht="27.75" customHeight="1">
      <c r="C340" s="345" t="s">
        <v>98</v>
      </c>
      <c r="D340" s="345" t="s">
        <v>373</v>
      </c>
      <c r="E340" s="345" t="s">
        <v>374</v>
      </c>
      <c r="F340" s="345" t="s">
        <v>375</v>
      </c>
      <c r="G340" s="346" t="s">
        <v>376</v>
      </c>
      <c r="H340" s="345" t="s">
        <v>5</v>
      </c>
      <c r="I340" s="345" t="s">
        <v>59</v>
      </c>
      <c r="J340" s="316">
        <v>41840.78402777778</v>
      </c>
      <c r="K340" s="347">
        <v>41845.78402777778</v>
      </c>
      <c r="L340" s="347" t="s">
        <v>377</v>
      </c>
      <c r="M340" s="348" t="s">
        <v>378</v>
      </c>
      <c r="N340" s="348" t="s">
        <v>379</v>
      </c>
      <c r="O340" s="348" t="s">
        <v>175</v>
      </c>
      <c r="P340" s="349">
        <v>12.783738001129301</v>
      </c>
      <c r="Q340" s="321">
        <f t="shared" si="16"/>
        <v>5</v>
      </c>
      <c r="R340" s="318">
        <f t="shared" si="17"/>
        <v>41840</v>
      </c>
      <c r="S340" s="318">
        <f t="shared" si="18"/>
        <v>41845</v>
      </c>
    </row>
    <row r="341" spans="3:19" ht="27.75" customHeight="1">
      <c r="C341" s="345" t="s">
        <v>98</v>
      </c>
      <c r="D341" s="345" t="s">
        <v>373</v>
      </c>
      <c r="E341" s="345" t="s">
        <v>374</v>
      </c>
      <c r="F341" s="345" t="s">
        <v>375</v>
      </c>
      <c r="G341" s="346" t="s">
        <v>376</v>
      </c>
      <c r="H341" s="345" t="s">
        <v>5</v>
      </c>
      <c r="I341" s="345" t="s">
        <v>61</v>
      </c>
      <c r="J341" s="316">
        <v>41840.731944444444</v>
      </c>
      <c r="K341" s="347">
        <v>41845.731944444444</v>
      </c>
      <c r="L341" s="347" t="s">
        <v>377</v>
      </c>
      <c r="M341" s="348" t="s">
        <v>378</v>
      </c>
      <c r="N341" s="348" t="s">
        <v>379</v>
      </c>
      <c r="O341" s="348" t="s">
        <v>175</v>
      </c>
      <c r="P341" s="349">
        <v>12.816487859966101</v>
      </c>
      <c r="Q341" s="321">
        <f t="shared" si="16"/>
        <v>5</v>
      </c>
      <c r="R341" s="318">
        <f t="shared" si="17"/>
        <v>41840</v>
      </c>
      <c r="S341" s="318">
        <f t="shared" si="18"/>
        <v>41845</v>
      </c>
    </row>
    <row r="342" spans="3:19" ht="27.75" customHeight="1">
      <c r="C342" s="345" t="s">
        <v>98</v>
      </c>
      <c r="D342" s="345" t="s">
        <v>373</v>
      </c>
      <c r="E342" s="345" t="s">
        <v>374</v>
      </c>
      <c r="F342" s="345" t="s">
        <v>375</v>
      </c>
      <c r="G342" s="346" t="s">
        <v>376</v>
      </c>
      <c r="H342" s="339" t="s">
        <v>14</v>
      </c>
      <c r="I342" s="345" t="s">
        <v>61</v>
      </c>
      <c r="J342" s="316">
        <v>41840.728472222225</v>
      </c>
      <c r="K342" s="347"/>
      <c r="L342" s="347" t="s">
        <v>377</v>
      </c>
      <c r="M342" s="348" t="s">
        <v>378</v>
      </c>
      <c r="N342" s="348" t="s">
        <v>379</v>
      </c>
      <c r="O342" s="348" t="s">
        <v>175</v>
      </c>
      <c r="P342" s="349">
        <v>12.8492377188029</v>
      </c>
      <c r="Q342" s="321" t="str">
        <f t="shared" si="16"/>
        <v/>
      </c>
      <c r="R342" s="318">
        <f t="shared" si="17"/>
        <v>41840</v>
      </c>
      <c r="S342" s="318" t="str">
        <f t="shared" si="18"/>
        <v/>
      </c>
    </row>
    <row r="343" spans="3:19" ht="27.75" customHeight="1">
      <c r="C343" s="345" t="s">
        <v>98</v>
      </c>
      <c r="D343" s="345" t="s">
        <v>373</v>
      </c>
      <c r="E343" s="345" t="s">
        <v>374</v>
      </c>
      <c r="F343" s="345" t="s">
        <v>375</v>
      </c>
      <c r="G343" s="346" t="s">
        <v>376</v>
      </c>
      <c r="H343" s="345" t="s">
        <v>5</v>
      </c>
      <c r="I343" s="345" t="s">
        <v>60</v>
      </c>
      <c r="J343" s="316">
        <v>41840.713194444441</v>
      </c>
      <c r="K343" s="347">
        <v>41848.713194444441</v>
      </c>
      <c r="L343" s="347" t="s">
        <v>377</v>
      </c>
      <c r="M343" s="348" t="s">
        <v>378</v>
      </c>
      <c r="N343" s="348" t="s">
        <v>379</v>
      </c>
      <c r="O343" s="348" t="s">
        <v>175</v>
      </c>
      <c r="P343" s="349">
        <v>12.8819875776397</v>
      </c>
      <c r="Q343" s="321">
        <f t="shared" si="16"/>
        <v>8</v>
      </c>
      <c r="R343" s="318">
        <f t="shared" si="17"/>
        <v>41840</v>
      </c>
      <c r="S343" s="318">
        <f t="shared" si="18"/>
        <v>41848</v>
      </c>
    </row>
    <row r="344" spans="3:19" ht="27.75" customHeight="1">
      <c r="C344" s="345" t="s">
        <v>98</v>
      </c>
      <c r="D344" s="345" t="s">
        <v>373</v>
      </c>
      <c r="E344" s="345" t="s">
        <v>374</v>
      </c>
      <c r="F344" s="345" t="s">
        <v>375</v>
      </c>
      <c r="G344" s="346" t="s">
        <v>376</v>
      </c>
      <c r="H344" s="339" t="s">
        <v>14</v>
      </c>
      <c r="I344" s="345" t="s">
        <v>61</v>
      </c>
      <c r="J344" s="316">
        <v>41840.680555555555</v>
      </c>
      <c r="K344" s="347"/>
      <c r="L344" s="347" t="s">
        <v>377</v>
      </c>
      <c r="M344" s="348" t="s">
        <v>378</v>
      </c>
      <c r="N344" s="348" t="s">
        <v>379</v>
      </c>
      <c r="O344" s="348" t="s">
        <v>177</v>
      </c>
      <c r="P344" s="349">
        <v>12.9147374364765</v>
      </c>
      <c r="Q344" s="321" t="str">
        <f t="shared" si="16"/>
        <v/>
      </c>
      <c r="R344" s="318">
        <f t="shared" si="17"/>
        <v>41840</v>
      </c>
      <c r="S344" s="318" t="str">
        <f t="shared" si="18"/>
        <v/>
      </c>
    </row>
    <row r="345" spans="3:19" ht="27.75" customHeight="1">
      <c r="C345" s="345" t="s">
        <v>98</v>
      </c>
      <c r="D345" s="345" t="s">
        <v>373</v>
      </c>
      <c r="E345" s="345" t="s">
        <v>374</v>
      </c>
      <c r="F345" s="345" t="s">
        <v>375</v>
      </c>
      <c r="G345" s="346" t="s">
        <v>376</v>
      </c>
      <c r="H345" s="339" t="s">
        <v>14</v>
      </c>
      <c r="I345" s="345" t="s">
        <v>61</v>
      </c>
      <c r="J345" s="316">
        <v>41840.670138888891</v>
      </c>
      <c r="K345" s="347"/>
      <c r="L345" s="347" t="s">
        <v>378</v>
      </c>
      <c r="M345" s="348" t="s">
        <v>386</v>
      </c>
      <c r="N345" s="348" t="s">
        <v>386</v>
      </c>
      <c r="O345" s="348" t="s">
        <v>177</v>
      </c>
      <c r="P345" s="349">
        <v>12.947487295313399</v>
      </c>
      <c r="Q345" s="321" t="str">
        <f t="shared" si="16"/>
        <v/>
      </c>
      <c r="R345" s="318">
        <f t="shared" si="17"/>
        <v>41840</v>
      </c>
      <c r="S345" s="318" t="str">
        <f t="shared" si="18"/>
        <v/>
      </c>
    </row>
    <row r="346" spans="3:19" ht="27.75" customHeight="1">
      <c r="C346" s="345" t="s">
        <v>98</v>
      </c>
      <c r="D346" s="345" t="s">
        <v>373</v>
      </c>
      <c r="E346" s="345" t="s">
        <v>374</v>
      </c>
      <c r="F346" s="345" t="s">
        <v>375</v>
      </c>
      <c r="G346" s="346" t="s">
        <v>376</v>
      </c>
      <c r="H346" s="345" t="s">
        <v>5</v>
      </c>
      <c r="I346" s="345" t="s">
        <v>59</v>
      </c>
      <c r="J346" s="316">
        <v>41840.629166666666</v>
      </c>
      <c r="K346" s="347">
        <v>41850.629166666666</v>
      </c>
      <c r="L346" s="347" t="s">
        <v>378</v>
      </c>
      <c r="M346" s="348" t="s">
        <v>378</v>
      </c>
      <c r="N346" s="348" t="s">
        <v>379</v>
      </c>
      <c r="O346" s="348" t="s">
        <v>175</v>
      </c>
      <c r="P346" s="349">
        <v>12.980237154150201</v>
      </c>
      <c r="Q346" s="321">
        <f t="shared" ref="Q346:Q409" si="19">IF(ISERROR(DATEDIF(J346,K346,"D")),"",DATEDIF(J346,K346,"D"))</f>
        <v>10</v>
      </c>
      <c r="R346" s="318">
        <f t="shared" ref="R346:R409" si="20">DATE(YEAR(J346),MONTH(J346),DAY(J346))</f>
        <v>41840</v>
      </c>
      <c r="S346" s="318">
        <f t="shared" ref="S346:S409" si="21">IF(K346&lt;&gt;"",DATE(YEAR(K346),MONTH(K346),DAY(K346)),"")</f>
        <v>41850</v>
      </c>
    </row>
    <row r="347" spans="3:19" ht="27.75" customHeight="1">
      <c r="C347" s="345" t="s">
        <v>98</v>
      </c>
      <c r="D347" s="345" t="s">
        <v>373</v>
      </c>
      <c r="E347" s="345" t="s">
        <v>374</v>
      </c>
      <c r="F347" s="345" t="s">
        <v>375</v>
      </c>
      <c r="G347" s="346" t="s">
        <v>376</v>
      </c>
      <c r="H347" s="339" t="s">
        <v>14</v>
      </c>
      <c r="I347" s="345" t="s">
        <v>58</v>
      </c>
      <c r="J347" s="316">
        <v>41840.561805555553</v>
      </c>
      <c r="K347" s="347"/>
      <c r="L347" s="347" t="s">
        <v>378</v>
      </c>
      <c r="M347" s="348" t="s">
        <v>378</v>
      </c>
      <c r="N347" s="348" t="s">
        <v>379</v>
      </c>
      <c r="O347" s="348" t="s">
        <v>175</v>
      </c>
      <c r="P347" s="349">
        <v>13.012987012987001</v>
      </c>
      <c r="Q347" s="321" t="str">
        <f t="shared" si="19"/>
        <v/>
      </c>
      <c r="R347" s="318">
        <f t="shared" si="20"/>
        <v>41840</v>
      </c>
      <c r="S347" s="318" t="str">
        <f t="shared" si="21"/>
        <v/>
      </c>
    </row>
    <row r="348" spans="3:19" ht="27.75" customHeight="1">
      <c r="C348" s="345" t="s">
        <v>98</v>
      </c>
      <c r="D348" s="345" t="s">
        <v>373</v>
      </c>
      <c r="E348" s="345" t="s">
        <v>374</v>
      </c>
      <c r="F348" s="345" t="s">
        <v>375</v>
      </c>
      <c r="G348" s="346" t="s">
        <v>376</v>
      </c>
      <c r="H348" s="339" t="s">
        <v>14</v>
      </c>
      <c r="I348" s="345" t="s">
        <v>60</v>
      </c>
      <c r="J348" s="316">
        <v>41840.532638888886</v>
      </c>
      <c r="K348" s="347"/>
      <c r="L348" s="347" t="s">
        <v>378</v>
      </c>
      <c r="M348" s="348" t="s">
        <v>386</v>
      </c>
      <c r="N348" s="348" t="s">
        <v>386</v>
      </c>
      <c r="O348" s="348" t="s">
        <v>175</v>
      </c>
      <c r="P348" s="349">
        <v>13.0457368718238</v>
      </c>
      <c r="Q348" s="321" t="str">
        <f t="shared" si="19"/>
        <v/>
      </c>
      <c r="R348" s="318">
        <f t="shared" si="20"/>
        <v>41840</v>
      </c>
      <c r="S348" s="318" t="str">
        <f t="shared" si="21"/>
        <v/>
      </c>
    </row>
    <row r="349" spans="3:19" ht="27.75" customHeight="1">
      <c r="C349" s="345" t="s">
        <v>98</v>
      </c>
      <c r="D349" s="345" t="s">
        <v>373</v>
      </c>
      <c r="E349" s="345" t="s">
        <v>374</v>
      </c>
      <c r="F349" s="345" t="s">
        <v>375</v>
      </c>
      <c r="G349" s="346" t="s">
        <v>376</v>
      </c>
      <c r="H349" s="345" t="s">
        <v>5</v>
      </c>
      <c r="I349" s="345" t="s">
        <v>60</v>
      </c>
      <c r="J349" s="316">
        <v>41837.918055555558</v>
      </c>
      <c r="K349" s="347">
        <v>41847.918055555558</v>
      </c>
      <c r="L349" s="347" t="s">
        <v>377</v>
      </c>
      <c r="M349" s="348" t="s">
        <v>390</v>
      </c>
      <c r="N349" s="348" t="s">
        <v>390</v>
      </c>
      <c r="O349" s="348" t="s">
        <v>177</v>
      </c>
      <c r="P349" s="349">
        <v>13.0784867306606</v>
      </c>
      <c r="Q349" s="321">
        <f t="shared" si="19"/>
        <v>10</v>
      </c>
      <c r="R349" s="318">
        <f t="shared" si="20"/>
        <v>41837</v>
      </c>
      <c r="S349" s="318">
        <f t="shared" si="21"/>
        <v>41847</v>
      </c>
    </row>
    <row r="350" spans="3:19" ht="27.75" customHeight="1">
      <c r="C350" s="345" t="s">
        <v>98</v>
      </c>
      <c r="D350" s="345" t="s">
        <v>373</v>
      </c>
      <c r="E350" s="345" t="s">
        <v>374</v>
      </c>
      <c r="F350" s="345" t="s">
        <v>375</v>
      </c>
      <c r="G350" s="346" t="s">
        <v>376</v>
      </c>
      <c r="H350" s="339" t="s">
        <v>14</v>
      </c>
      <c r="I350" s="345" t="s">
        <v>60</v>
      </c>
      <c r="J350" s="316">
        <v>41837.915277777778</v>
      </c>
      <c r="K350" s="347"/>
      <c r="L350" s="347" t="s">
        <v>378</v>
      </c>
      <c r="M350" s="348" t="s">
        <v>378</v>
      </c>
      <c r="N350" s="348" t="s">
        <v>379</v>
      </c>
      <c r="O350" s="348" t="s">
        <v>177</v>
      </c>
      <c r="P350" s="349">
        <v>13.1112365894974</v>
      </c>
      <c r="Q350" s="321" t="str">
        <f t="shared" si="19"/>
        <v/>
      </c>
      <c r="R350" s="318">
        <f t="shared" si="20"/>
        <v>41837</v>
      </c>
      <c r="S350" s="318" t="str">
        <f t="shared" si="21"/>
        <v/>
      </c>
    </row>
    <row r="351" spans="3:19" ht="27.75" customHeight="1">
      <c r="C351" s="345" t="s">
        <v>98</v>
      </c>
      <c r="D351" s="345" t="s">
        <v>373</v>
      </c>
      <c r="E351" s="345" t="s">
        <v>374</v>
      </c>
      <c r="F351" s="345" t="s">
        <v>375</v>
      </c>
      <c r="G351" s="346" t="s">
        <v>376</v>
      </c>
      <c r="H351" s="345" t="s">
        <v>5</v>
      </c>
      <c r="I351" s="345" t="s">
        <v>60</v>
      </c>
      <c r="J351" s="316">
        <v>41837.913194444445</v>
      </c>
      <c r="K351" s="347">
        <v>41843.913194444445</v>
      </c>
      <c r="L351" s="347" t="s">
        <v>377</v>
      </c>
      <c r="M351" s="348" t="s">
        <v>378</v>
      </c>
      <c r="N351" s="348" t="s">
        <v>379</v>
      </c>
      <c r="O351" s="348" t="s">
        <v>177</v>
      </c>
      <c r="P351" s="349">
        <v>13.143986448334299</v>
      </c>
      <c r="Q351" s="321">
        <f t="shared" si="19"/>
        <v>6</v>
      </c>
      <c r="R351" s="318">
        <f t="shared" si="20"/>
        <v>41837</v>
      </c>
      <c r="S351" s="318">
        <f t="shared" si="21"/>
        <v>41843</v>
      </c>
    </row>
    <row r="352" spans="3:19" ht="27.75" customHeight="1">
      <c r="C352" s="345" t="s">
        <v>98</v>
      </c>
      <c r="D352" s="345" t="s">
        <v>373</v>
      </c>
      <c r="E352" s="345" t="s">
        <v>374</v>
      </c>
      <c r="F352" s="345" t="s">
        <v>375</v>
      </c>
      <c r="G352" s="346" t="s">
        <v>376</v>
      </c>
      <c r="H352" s="345" t="s">
        <v>5</v>
      </c>
      <c r="I352" s="345" t="s">
        <v>60</v>
      </c>
      <c r="J352" s="316">
        <v>41837.910416666666</v>
      </c>
      <c r="K352" s="347">
        <v>41844.910416666666</v>
      </c>
      <c r="L352" s="347" t="s">
        <v>378</v>
      </c>
      <c r="M352" s="348" t="s">
        <v>378</v>
      </c>
      <c r="N352" s="348" t="s">
        <v>379</v>
      </c>
      <c r="O352" s="348" t="s">
        <v>177</v>
      </c>
      <c r="P352" s="349">
        <v>13.176736307171099</v>
      </c>
      <c r="Q352" s="321">
        <f t="shared" si="19"/>
        <v>7</v>
      </c>
      <c r="R352" s="318">
        <f t="shared" si="20"/>
        <v>41837</v>
      </c>
      <c r="S352" s="318">
        <f t="shared" si="21"/>
        <v>41844</v>
      </c>
    </row>
    <row r="353" spans="3:19" ht="27.75" customHeight="1">
      <c r="C353" s="345" t="s">
        <v>98</v>
      </c>
      <c r="D353" s="345" t="s">
        <v>373</v>
      </c>
      <c r="E353" s="345" t="s">
        <v>374</v>
      </c>
      <c r="F353" s="345" t="s">
        <v>375</v>
      </c>
      <c r="G353" s="346" t="s">
        <v>376</v>
      </c>
      <c r="H353" s="339" t="s">
        <v>14</v>
      </c>
      <c r="I353" s="345" t="s">
        <v>60</v>
      </c>
      <c r="J353" s="316">
        <v>41837.906944444447</v>
      </c>
      <c r="K353" s="347"/>
      <c r="L353" s="347" t="s">
        <v>377</v>
      </c>
      <c r="M353" s="348" t="s">
        <v>378</v>
      </c>
      <c r="N353" s="348" t="s">
        <v>379</v>
      </c>
      <c r="O353" s="348" t="s">
        <v>177</v>
      </c>
      <c r="P353" s="349">
        <v>13.209486166007901</v>
      </c>
      <c r="Q353" s="321" t="str">
        <f t="shared" si="19"/>
        <v/>
      </c>
      <c r="R353" s="318">
        <f t="shared" si="20"/>
        <v>41837</v>
      </c>
      <c r="S353" s="318" t="str">
        <f t="shared" si="21"/>
        <v/>
      </c>
    </row>
    <row r="354" spans="3:19" ht="27.75" customHeight="1">
      <c r="C354" s="345" t="s">
        <v>98</v>
      </c>
      <c r="D354" s="345" t="s">
        <v>373</v>
      </c>
      <c r="E354" s="345" t="s">
        <v>374</v>
      </c>
      <c r="F354" s="345" t="s">
        <v>375</v>
      </c>
      <c r="G354" s="346" t="s">
        <v>376</v>
      </c>
      <c r="H354" s="345" t="s">
        <v>5</v>
      </c>
      <c r="I354" s="345" t="s">
        <v>60</v>
      </c>
      <c r="J354" s="316">
        <v>41837.902777777781</v>
      </c>
      <c r="K354" s="347">
        <v>41847.902777777781</v>
      </c>
      <c r="L354" s="347" t="s">
        <v>377</v>
      </c>
      <c r="M354" s="348" t="s">
        <v>378</v>
      </c>
      <c r="N354" s="348" t="s">
        <v>379</v>
      </c>
      <c r="O354" s="348" t="s">
        <v>177</v>
      </c>
      <c r="P354" s="349">
        <v>13.242236024844701</v>
      </c>
      <c r="Q354" s="321">
        <f t="shared" si="19"/>
        <v>10</v>
      </c>
      <c r="R354" s="318">
        <f t="shared" si="20"/>
        <v>41837</v>
      </c>
      <c r="S354" s="318">
        <f t="shared" si="21"/>
        <v>41847</v>
      </c>
    </row>
    <row r="355" spans="3:19" ht="27.75" customHeight="1">
      <c r="C355" s="345" t="s">
        <v>98</v>
      </c>
      <c r="D355" s="345" t="s">
        <v>373</v>
      </c>
      <c r="E355" s="345" t="s">
        <v>374</v>
      </c>
      <c r="F355" s="345" t="s">
        <v>375</v>
      </c>
      <c r="G355" s="346" t="s">
        <v>376</v>
      </c>
      <c r="H355" s="339" t="s">
        <v>14</v>
      </c>
      <c r="I355" s="345" t="s">
        <v>60</v>
      </c>
      <c r="J355" s="316">
        <v>41837.897916666669</v>
      </c>
      <c r="K355" s="347"/>
      <c r="L355" s="347" t="s">
        <v>377</v>
      </c>
      <c r="M355" s="348" t="s">
        <v>378</v>
      </c>
      <c r="N355" s="348" t="s">
        <v>379</v>
      </c>
      <c r="O355" s="348" t="s">
        <v>175</v>
      </c>
      <c r="P355" s="349">
        <v>13.2749858836815</v>
      </c>
      <c r="Q355" s="321" t="str">
        <f t="shared" si="19"/>
        <v/>
      </c>
      <c r="R355" s="318">
        <f t="shared" si="20"/>
        <v>41837</v>
      </c>
      <c r="S355" s="318" t="str">
        <f t="shared" si="21"/>
        <v/>
      </c>
    </row>
    <row r="356" spans="3:19" ht="27.75" customHeight="1">
      <c r="C356" s="345" t="s">
        <v>98</v>
      </c>
      <c r="D356" s="345" t="s">
        <v>373</v>
      </c>
      <c r="E356" s="345" t="s">
        <v>374</v>
      </c>
      <c r="F356" s="345" t="s">
        <v>375</v>
      </c>
      <c r="G356" s="346" t="s">
        <v>376</v>
      </c>
      <c r="H356" s="339" t="s">
        <v>14</v>
      </c>
      <c r="I356" s="345" t="s">
        <v>60</v>
      </c>
      <c r="J356" s="316">
        <v>41837.896527777775</v>
      </c>
      <c r="K356" s="347"/>
      <c r="L356" s="347" t="s">
        <v>378</v>
      </c>
      <c r="M356" s="348" t="s">
        <v>386</v>
      </c>
      <c r="N356" s="348" t="s">
        <v>386</v>
      </c>
      <c r="O356" s="348" t="s">
        <v>175</v>
      </c>
      <c r="P356" s="349">
        <v>13.3077357425183</v>
      </c>
      <c r="Q356" s="321" t="str">
        <f t="shared" si="19"/>
        <v/>
      </c>
      <c r="R356" s="318">
        <f t="shared" si="20"/>
        <v>41837</v>
      </c>
      <c r="S356" s="318" t="str">
        <f t="shared" si="21"/>
        <v/>
      </c>
    </row>
    <row r="357" spans="3:19" ht="27.75" customHeight="1">
      <c r="C357" s="345" t="s">
        <v>98</v>
      </c>
      <c r="D357" s="345" t="s">
        <v>373</v>
      </c>
      <c r="E357" s="345" t="s">
        <v>374</v>
      </c>
      <c r="F357" s="345" t="s">
        <v>375</v>
      </c>
      <c r="G357" s="346" t="s">
        <v>376</v>
      </c>
      <c r="H357" s="339" t="s">
        <v>14</v>
      </c>
      <c r="I357" s="345" t="s">
        <v>60</v>
      </c>
      <c r="J357" s="316">
        <v>41837.895833333336</v>
      </c>
      <c r="K357" s="347"/>
      <c r="L357" s="347" t="s">
        <v>378</v>
      </c>
      <c r="M357" s="348" t="s">
        <v>378</v>
      </c>
      <c r="N357" s="348" t="s">
        <v>379</v>
      </c>
      <c r="O357" s="348" t="s">
        <v>175</v>
      </c>
      <c r="P357" s="349">
        <v>13.3404856013551</v>
      </c>
      <c r="Q357" s="321" t="str">
        <f t="shared" si="19"/>
        <v/>
      </c>
      <c r="R357" s="318">
        <f t="shared" si="20"/>
        <v>41837</v>
      </c>
      <c r="S357" s="318" t="str">
        <f t="shared" si="21"/>
        <v/>
      </c>
    </row>
    <row r="358" spans="3:19" ht="27.75" customHeight="1">
      <c r="C358" s="345" t="s">
        <v>98</v>
      </c>
      <c r="D358" s="345" t="s">
        <v>373</v>
      </c>
      <c r="E358" s="345" t="s">
        <v>374</v>
      </c>
      <c r="F358" s="345" t="s">
        <v>375</v>
      </c>
      <c r="G358" s="346" t="s">
        <v>376</v>
      </c>
      <c r="H358" s="345" t="s">
        <v>5</v>
      </c>
      <c r="I358" s="345" t="s">
        <v>60</v>
      </c>
      <c r="J358" s="316">
        <v>41837.862500000003</v>
      </c>
      <c r="K358" s="347">
        <v>41845.862500000003</v>
      </c>
      <c r="L358" s="347" t="s">
        <v>377</v>
      </c>
      <c r="M358" s="348" t="s">
        <v>378</v>
      </c>
      <c r="N358" s="348" t="s">
        <v>379</v>
      </c>
      <c r="O358" s="348" t="s">
        <v>175</v>
      </c>
      <c r="P358" s="349">
        <v>13.373235460191999</v>
      </c>
      <c r="Q358" s="321">
        <f t="shared" si="19"/>
        <v>8</v>
      </c>
      <c r="R358" s="318">
        <f t="shared" si="20"/>
        <v>41837</v>
      </c>
      <c r="S358" s="318">
        <f t="shared" si="21"/>
        <v>41845</v>
      </c>
    </row>
    <row r="359" spans="3:19" ht="27.75" customHeight="1">
      <c r="C359" s="345" t="s">
        <v>98</v>
      </c>
      <c r="D359" s="345" t="s">
        <v>373</v>
      </c>
      <c r="E359" s="345" t="s">
        <v>374</v>
      </c>
      <c r="F359" s="345" t="s">
        <v>375</v>
      </c>
      <c r="G359" s="346" t="s">
        <v>376</v>
      </c>
      <c r="H359" s="339" t="s">
        <v>14</v>
      </c>
      <c r="I359" s="345" t="s">
        <v>60</v>
      </c>
      <c r="J359" s="316">
        <v>41837.849305555559</v>
      </c>
      <c r="K359" s="347"/>
      <c r="L359" s="347" t="s">
        <v>378</v>
      </c>
      <c r="M359" s="348" t="s">
        <v>378</v>
      </c>
      <c r="N359" s="348" t="s">
        <v>379</v>
      </c>
      <c r="O359" s="348" t="s">
        <v>175</v>
      </c>
      <c r="P359" s="349">
        <v>13.405985319028799</v>
      </c>
      <c r="Q359" s="321" t="str">
        <f t="shared" si="19"/>
        <v/>
      </c>
      <c r="R359" s="318">
        <f t="shared" si="20"/>
        <v>41837</v>
      </c>
      <c r="S359" s="318" t="str">
        <f t="shared" si="21"/>
        <v/>
      </c>
    </row>
    <row r="360" spans="3:19" ht="27.75" customHeight="1">
      <c r="C360" s="345" t="s">
        <v>98</v>
      </c>
      <c r="D360" s="345" t="s">
        <v>373</v>
      </c>
      <c r="E360" s="345" t="s">
        <v>374</v>
      </c>
      <c r="F360" s="345" t="s">
        <v>375</v>
      </c>
      <c r="G360" s="346" t="s">
        <v>376</v>
      </c>
      <c r="H360" s="345" t="s">
        <v>140</v>
      </c>
      <c r="I360" s="345" t="s">
        <v>61</v>
      </c>
      <c r="J360" s="316">
        <v>41837.847222222219</v>
      </c>
      <c r="K360" s="347"/>
      <c r="L360" s="347" t="s">
        <v>378</v>
      </c>
      <c r="M360" s="348" t="s">
        <v>378</v>
      </c>
      <c r="N360" s="348" t="s">
        <v>379</v>
      </c>
      <c r="O360" s="348" t="s">
        <v>175</v>
      </c>
      <c r="P360" s="349">
        <v>13.438735177865601</v>
      </c>
      <c r="Q360" s="321" t="str">
        <f t="shared" si="19"/>
        <v/>
      </c>
      <c r="R360" s="318">
        <f t="shared" si="20"/>
        <v>41837</v>
      </c>
      <c r="S360" s="318" t="str">
        <f t="shared" si="21"/>
        <v/>
      </c>
    </row>
    <row r="361" spans="3:19" ht="27.75" customHeight="1">
      <c r="C361" s="345" t="s">
        <v>98</v>
      </c>
      <c r="D361" s="345" t="s">
        <v>373</v>
      </c>
      <c r="E361" s="345" t="s">
        <v>374</v>
      </c>
      <c r="F361" s="345" t="s">
        <v>375</v>
      </c>
      <c r="G361" s="346" t="s">
        <v>376</v>
      </c>
      <c r="H361" s="345" t="s">
        <v>140</v>
      </c>
      <c r="I361" s="345" t="s">
        <v>61</v>
      </c>
      <c r="J361" s="316">
        <v>41837.845833333333</v>
      </c>
      <c r="K361" s="347"/>
      <c r="L361" s="347" t="s">
        <v>377</v>
      </c>
      <c r="M361" s="348" t="s">
        <v>378</v>
      </c>
      <c r="N361" s="348" t="s">
        <v>379</v>
      </c>
      <c r="O361" s="348" t="s">
        <v>175</v>
      </c>
      <c r="P361" s="349">
        <v>13.471485036702401</v>
      </c>
      <c r="Q361" s="321" t="str">
        <f t="shared" si="19"/>
        <v/>
      </c>
      <c r="R361" s="318">
        <f t="shared" si="20"/>
        <v>41837</v>
      </c>
      <c r="S361" s="318" t="str">
        <f t="shared" si="21"/>
        <v/>
      </c>
    </row>
    <row r="362" spans="3:19" ht="27.75" customHeight="1">
      <c r="C362" s="345" t="s">
        <v>98</v>
      </c>
      <c r="D362" s="345" t="s">
        <v>373</v>
      </c>
      <c r="E362" s="345" t="s">
        <v>374</v>
      </c>
      <c r="F362" s="345" t="s">
        <v>375</v>
      </c>
      <c r="G362" s="346" t="s">
        <v>376</v>
      </c>
      <c r="H362" s="339" t="s">
        <v>14</v>
      </c>
      <c r="I362" s="345" t="s">
        <v>58</v>
      </c>
      <c r="J362" s="316">
        <v>41837.844444444447</v>
      </c>
      <c r="K362" s="347"/>
      <c r="L362" s="347" t="s">
        <v>378</v>
      </c>
      <c r="M362" s="348" t="s">
        <v>378</v>
      </c>
      <c r="N362" s="348" t="s">
        <v>379</v>
      </c>
      <c r="O362" s="348" t="s">
        <v>175</v>
      </c>
      <c r="P362" s="349">
        <v>13.5042348955392</v>
      </c>
      <c r="Q362" s="321" t="str">
        <f t="shared" si="19"/>
        <v/>
      </c>
      <c r="R362" s="318">
        <f t="shared" si="20"/>
        <v>41837</v>
      </c>
      <c r="S362" s="318" t="str">
        <f t="shared" si="21"/>
        <v/>
      </c>
    </row>
    <row r="363" spans="3:19" ht="27.75" customHeight="1">
      <c r="C363" s="345" t="s">
        <v>98</v>
      </c>
      <c r="D363" s="345" t="s">
        <v>373</v>
      </c>
      <c r="E363" s="345" t="s">
        <v>374</v>
      </c>
      <c r="F363" s="345" t="s">
        <v>375</v>
      </c>
      <c r="G363" s="346" t="s">
        <v>376</v>
      </c>
      <c r="H363" s="339" t="s">
        <v>14</v>
      </c>
      <c r="I363" s="345" t="s">
        <v>61</v>
      </c>
      <c r="J363" s="316">
        <v>41837.84375</v>
      </c>
      <c r="K363" s="347"/>
      <c r="L363" s="347" t="s">
        <v>378</v>
      </c>
      <c r="M363" s="348" t="s">
        <v>378</v>
      </c>
      <c r="N363" s="348" t="s">
        <v>379</v>
      </c>
      <c r="O363" s="348" t="s">
        <v>175</v>
      </c>
      <c r="P363" s="349">
        <v>13.536984754376</v>
      </c>
      <c r="Q363" s="321" t="str">
        <f t="shared" si="19"/>
        <v/>
      </c>
      <c r="R363" s="318">
        <f t="shared" si="20"/>
        <v>41837</v>
      </c>
      <c r="S363" s="318" t="str">
        <f t="shared" si="21"/>
        <v/>
      </c>
    </row>
    <row r="364" spans="3:19" ht="27.75" customHeight="1">
      <c r="C364" s="345" t="s">
        <v>98</v>
      </c>
      <c r="D364" s="345" t="s">
        <v>373</v>
      </c>
      <c r="E364" s="345" t="s">
        <v>374</v>
      </c>
      <c r="F364" s="345" t="s">
        <v>375</v>
      </c>
      <c r="G364" s="346" t="s">
        <v>376</v>
      </c>
      <c r="H364" s="345" t="s">
        <v>5</v>
      </c>
      <c r="I364" s="345" t="s">
        <v>61</v>
      </c>
      <c r="J364" s="316">
        <v>41837.842361111114</v>
      </c>
      <c r="K364" s="347">
        <v>41847.842361111114</v>
      </c>
      <c r="L364" s="347" t="s">
        <v>377</v>
      </c>
      <c r="M364" s="348" t="s">
        <v>378</v>
      </c>
      <c r="N364" s="348" t="s">
        <v>379</v>
      </c>
      <c r="O364" s="348" t="s">
        <v>175</v>
      </c>
      <c r="P364" s="349">
        <v>13.5697346132129</v>
      </c>
      <c r="Q364" s="321">
        <f t="shared" si="19"/>
        <v>10</v>
      </c>
      <c r="R364" s="318">
        <f t="shared" si="20"/>
        <v>41837</v>
      </c>
      <c r="S364" s="318">
        <f t="shared" si="21"/>
        <v>41847</v>
      </c>
    </row>
    <row r="365" spans="3:19" ht="27.75" customHeight="1">
      <c r="C365" s="345" t="s">
        <v>98</v>
      </c>
      <c r="D365" s="345" t="s">
        <v>373</v>
      </c>
      <c r="E365" s="345" t="s">
        <v>374</v>
      </c>
      <c r="F365" s="345" t="s">
        <v>375</v>
      </c>
      <c r="G365" s="346" t="s">
        <v>376</v>
      </c>
      <c r="H365" s="339" t="s">
        <v>14</v>
      </c>
      <c r="I365" s="345" t="s">
        <v>61</v>
      </c>
      <c r="J365" s="316">
        <v>41837.84097222222</v>
      </c>
      <c r="K365" s="347"/>
      <c r="L365" s="347" t="s">
        <v>377</v>
      </c>
      <c r="M365" s="348" t="s">
        <v>378</v>
      </c>
      <c r="N365" s="348" t="s">
        <v>379</v>
      </c>
      <c r="O365" s="348" t="s">
        <v>175</v>
      </c>
      <c r="P365" s="349">
        <v>13.602484472049699</v>
      </c>
      <c r="Q365" s="321" t="str">
        <f t="shared" si="19"/>
        <v/>
      </c>
      <c r="R365" s="318">
        <f t="shared" si="20"/>
        <v>41837</v>
      </c>
      <c r="S365" s="318" t="str">
        <f t="shared" si="21"/>
        <v/>
      </c>
    </row>
    <row r="366" spans="3:19" ht="27.75" customHeight="1">
      <c r="C366" s="345" t="s">
        <v>98</v>
      </c>
      <c r="D366" s="345" t="s">
        <v>373</v>
      </c>
      <c r="E366" s="345" t="s">
        <v>374</v>
      </c>
      <c r="F366" s="345" t="s">
        <v>375</v>
      </c>
      <c r="G366" s="346" t="s">
        <v>376</v>
      </c>
      <c r="H366" s="339" t="s">
        <v>14</v>
      </c>
      <c r="I366" s="345" t="s">
        <v>61</v>
      </c>
      <c r="J366" s="316">
        <v>41837.838888888888</v>
      </c>
      <c r="K366" s="347"/>
      <c r="L366" s="347" t="s">
        <v>377</v>
      </c>
      <c r="M366" s="348" t="s">
        <v>378</v>
      </c>
      <c r="N366" s="348" t="s">
        <v>379</v>
      </c>
      <c r="O366" s="348" t="s">
        <v>177</v>
      </c>
      <c r="P366" s="349">
        <v>13.635234330886499</v>
      </c>
      <c r="Q366" s="321" t="str">
        <f t="shared" si="19"/>
        <v/>
      </c>
      <c r="R366" s="318">
        <f t="shared" si="20"/>
        <v>41837</v>
      </c>
      <c r="S366" s="318" t="str">
        <f t="shared" si="21"/>
        <v/>
      </c>
    </row>
    <row r="367" spans="3:19" ht="27.75" customHeight="1">
      <c r="C367" s="345" t="s">
        <v>98</v>
      </c>
      <c r="D367" s="345" t="s">
        <v>373</v>
      </c>
      <c r="E367" s="345" t="s">
        <v>374</v>
      </c>
      <c r="F367" s="345" t="s">
        <v>375</v>
      </c>
      <c r="G367" s="346" t="s">
        <v>376</v>
      </c>
      <c r="H367" s="345" t="s">
        <v>14</v>
      </c>
      <c r="I367" s="345" t="s">
        <v>60</v>
      </c>
      <c r="J367" s="316">
        <v>41837.836111111108</v>
      </c>
      <c r="K367" s="347"/>
      <c r="L367" s="347" t="s">
        <v>377</v>
      </c>
      <c r="M367" s="348" t="s">
        <v>378</v>
      </c>
      <c r="N367" s="348" t="s">
        <v>379</v>
      </c>
      <c r="O367" s="348" t="s">
        <v>177</v>
      </c>
      <c r="P367" s="349">
        <v>13.667984189723301</v>
      </c>
      <c r="Q367" s="321" t="str">
        <f t="shared" si="19"/>
        <v/>
      </c>
      <c r="R367" s="318">
        <f t="shared" si="20"/>
        <v>41837</v>
      </c>
      <c r="S367" s="318" t="str">
        <f t="shared" si="21"/>
        <v/>
      </c>
    </row>
    <row r="368" spans="3:19" ht="27.75" customHeight="1">
      <c r="C368" s="345" t="s">
        <v>98</v>
      </c>
      <c r="D368" s="345" t="s">
        <v>373</v>
      </c>
      <c r="E368" s="345" t="s">
        <v>374</v>
      </c>
      <c r="F368" s="345" t="s">
        <v>375</v>
      </c>
      <c r="G368" s="346" t="s">
        <v>376</v>
      </c>
      <c r="H368" s="339" t="s">
        <v>14</v>
      </c>
      <c r="I368" s="345" t="s">
        <v>61</v>
      </c>
      <c r="J368" s="316">
        <v>41837.834722222222</v>
      </c>
      <c r="K368" s="347"/>
      <c r="L368" s="347" t="s">
        <v>378</v>
      </c>
      <c r="M368" s="348" t="s">
        <v>378</v>
      </c>
      <c r="N368" s="348" t="s">
        <v>379</v>
      </c>
      <c r="O368" s="348" t="s">
        <v>175</v>
      </c>
      <c r="P368" s="349">
        <v>13.700734048560101</v>
      </c>
      <c r="Q368" s="321" t="str">
        <f t="shared" si="19"/>
        <v/>
      </c>
      <c r="R368" s="318">
        <f t="shared" si="20"/>
        <v>41837</v>
      </c>
      <c r="S368" s="318" t="str">
        <f t="shared" si="21"/>
        <v/>
      </c>
    </row>
    <row r="369" spans="3:19" ht="27.75" customHeight="1">
      <c r="C369" s="345" t="s">
        <v>98</v>
      </c>
      <c r="D369" s="345" t="s">
        <v>373</v>
      </c>
      <c r="E369" s="345" t="s">
        <v>374</v>
      </c>
      <c r="F369" s="345" t="s">
        <v>375</v>
      </c>
      <c r="G369" s="346" t="s">
        <v>376</v>
      </c>
      <c r="H369" s="345" t="s">
        <v>14</v>
      </c>
      <c r="I369" s="345" t="s">
        <v>61</v>
      </c>
      <c r="J369" s="316">
        <v>41837.833333333336</v>
      </c>
      <c r="K369" s="347"/>
      <c r="L369" s="347" t="s">
        <v>377</v>
      </c>
      <c r="M369" s="348" t="s">
        <v>378</v>
      </c>
      <c r="N369" s="348" t="s">
        <v>379</v>
      </c>
      <c r="O369" s="348" t="s">
        <v>175</v>
      </c>
      <c r="P369" s="349">
        <v>13.7334839073969</v>
      </c>
      <c r="Q369" s="321" t="str">
        <f t="shared" si="19"/>
        <v/>
      </c>
      <c r="R369" s="318">
        <f t="shared" si="20"/>
        <v>41837</v>
      </c>
      <c r="S369" s="318" t="str">
        <f t="shared" si="21"/>
        <v/>
      </c>
    </row>
    <row r="370" spans="3:19" ht="27.75" customHeight="1">
      <c r="C370" s="345" t="s">
        <v>98</v>
      </c>
      <c r="D370" s="345" t="s">
        <v>373</v>
      </c>
      <c r="E370" s="345" t="s">
        <v>374</v>
      </c>
      <c r="F370" s="345" t="s">
        <v>375</v>
      </c>
      <c r="G370" s="346" t="s">
        <v>376</v>
      </c>
      <c r="H370" s="345" t="s">
        <v>5</v>
      </c>
      <c r="I370" s="345" t="s">
        <v>61</v>
      </c>
      <c r="J370" s="316">
        <v>41837.830555555556</v>
      </c>
      <c r="K370" s="347">
        <v>41845.830555555556</v>
      </c>
      <c r="L370" s="347" t="s">
        <v>378</v>
      </c>
      <c r="M370" s="348" t="s">
        <v>392</v>
      </c>
      <c r="N370" s="348" t="s">
        <v>392</v>
      </c>
      <c r="O370" s="348" t="s">
        <v>175</v>
      </c>
      <c r="P370" s="349">
        <v>13.7662337662337</v>
      </c>
      <c r="Q370" s="321">
        <f t="shared" si="19"/>
        <v>8</v>
      </c>
      <c r="R370" s="318">
        <f t="shared" si="20"/>
        <v>41837</v>
      </c>
      <c r="S370" s="318">
        <f t="shared" si="21"/>
        <v>41845</v>
      </c>
    </row>
    <row r="371" spans="3:19" ht="27.75" customHeight="1">
      <c r="C371" s="345" t="s">
        <v>98</v>
      </c>
      <c r="D371" s="345" t="s">
        <v>373</v>
      </c>
      <c r="E371" s="345" t="s">
        <v>374</v>
      </c>
      <c r="F371" s="345" t="s">
        <v>375</v>
      </c>
      <c r="G371" s="346" t="s">
        <v>376</v>
      </c>
      <c r="H371" s="345" t="s">
        <v>5</v>
      </c>
      <c r="I371" s="345" t="s">
        <v>61</v>
      </c>
      <c r="J371" s="316">
        <v>41837.82916666667</v>
      </c>
      <c r="K371" s="347">
        <v>41844.82916666667</v>
      </c>
      <c r="L371" s="347" t="s">
        <v>377</v>
      </c>
      <c r="M371" s="348" t="s">
        <v>378</v>
      </c>
      <c r="N371" s="348" t="s">
        <v>379</v>
      </c>
      <c r="O371" s="348" t="s">
        <v>177</v>
      </c>
      <c r="P371" s="349">
        <v>13.7989836250706</v>
      </c>
      <c r="Q371" s="321">
        <f t="shared" si="19"/>
        <v>7</v>
      </c>
      <c r="R371" s="318">
        <f t="shared" si="20"/>
        <v>41837</v>
      </c>
      <c r="S371" s="318">
        <f t="shared" si="21"/>
        <v>41844</v>
      </c>
    </row>
    <row r="372" spans="3:19" ht="27.75" customHeight="1">
      <c r="C372" s="345" t="s">
        <v>98</v>
      </c>
      <c r="D372" s="345" t="s">
        <v>373</v>
      </c>
      <c r="E372" s="345" t="s">
        <v>374</v>
      </c>
      <c r="F372" s="345" t="s">
        <v>375</v>
      </c>
      <c r="G372" s="346" t="s">
        <v>376</v>
      </c>
      <c r="H372" s="345" t="s">
        <v>5</v>
      </c>
      <c r="I372" s="345" t="s">
        <v>60</v>
      </c>
      <c r="J372" s="316">
        <v>41837.827777777777</v>
      </c>
      <c r="K372" s="347">
        <v>41847.827777777777</v>
      </c>
      <c r="L372" s="347" t="s">
        <v>377</v>
      </c>
      <c r="M372" s="348" t="s">
        <v>378</v>
      </c>
      <c r="N372" s="348" t="s">
        <v>379</v>
      </c>
      <c r="O372" s="348" t="s">
        <v>177</v>
      </c>
      <c r="P372" s="349">
        <v>13.831733483907399</v>
      </c>
      <c r="Q372" s="321">
        <f t="shared" si="19"/>
        <v>10</v>
      </c>
      <c r="R372" s="318">
        <f t="shared" si="20"/>
        <v>41837</v>
      </c>
      <c r="S372" s="318">
        <f t="shared" si="21"/>
        <v>41847</v>
      </c>
    </row>
    <row r="373" spans="3:19" ht="27.75" customHeight="1">
      <c r="C373" s="345" t="s">
        <v>98</v>
      </c>
      <c r="D373" s="345" t="s">
        <v>373</v>
      </c>
      <c r="E373" s="345" t="s">
        <v>374</v>
      </c>
      <c r="F373" s="345" t="s">
        <v>375</v>
      </c>
      <c r="G373" s="346" t="s">
        <v>376</v>
      </c>
      <c r="H373" s="345" t="s">
        <v>5</v>
      </c>
      <c r="I373" s="345" t="s">
        <v>61</v>
      </c>
      <c r="J373" s="316">
        <v>41837.825694444444</v>
      </c>
      <c r="K373" s="347">
        <v>41839.825694444444</v>
      </c>
      <c r="L373" s="347" t="s">
        <v>377</v>
      </c>
      <c r="M373" s="348" t="s">
        <v>378</v>
      </c>
      <c r="N373" s="348" t="s">
        <v>379</v>
      </c>
      <c r="O373" s="348" t="s">
        <v>177</v>
      </c>
      <c r="P373" s="349">
        <v>13.864483342744199</v>
      </c>
      <c r="Q373" s="321">
        <f t="shared" si="19"/>
        <v>2</v>
      </c>
      <c r="R373" s="318">
        <f t="shared" si="20"/>
        <v>41837</v>
      </c>
      <c r="S373" s="318">
        <f t="shared" si="21"/>
        <v>41839</v>
      </c>
    </row>
    <row r="374" spans="3:19" ht="27.75" customHeight="1">
      <c r="C374" s="345" t="s">
        <v>98</v>
      </c>
      <c r="D374" s="345" t="s">
        <v>373</v>
      </c>
      <c r="E374" s="345" t="s">
        <v>374</v>
      </c>
      <c r="F374" s="345" t="s">
        <v>375</v>
      </c>
      <c r="G374" s="346" t="s">
        <v>376</v>
      </c>
      <c r="H374" s="345" t="s">
        <v>5</v>
      </c>
      <c r="I374" s="345" t="s">
        <v>61</v>
      </c>
      <c r="J374" s="316">
        <v>41837.823611111111</v>
      </c>
      <c r="K374" s="347">
        <v>41846.823611111111</v>
      </c>
      <c r="L374" s="347" t="s">
        <v>377</v>
      </c>
      <c r="M374" s="348" t="s">
        <v>378</v>
      </c>
      <c r="N374" s="348" t="s">
        <v>379</v>
      </c>
      <c r="O374" s="348" t="s">
        <v>177</v>
      </c>
      <c r="P374" s="349">
        <v>13.897233201581001</v>
      </c>
      <c r="Q374" s="321">
        <f t="shared" si="19"/>
        <v>9</v>
      </c>
      <c r="R374" s="318">
        <f t="shared" si="20"/>
        <v>41837</v>
      </c>
      <c r="S374" s="318">
        <f t="shared" si="21"/>
        <v>41846</v>
      </c>
    </row>
    <row r="375" spans="3:19" ht="27.75" customHeight="1">
      <c r="C375" s="345" t="s">
        <v>98</v>
      </c>
      <c r="D375" s="345" t="s">
        <v>373</v>
      </c>
      <c r="E375" s="345" t="s">
        <v>374</v>
      </c>
      <c r="F375" s="345" t="s">
        <v>375</v>
      </c>
      <c r="G375" s="346" t="s">
        <v>376</v>
      </c>
      <c r="H375" s="339" t="s">
        <v>14</v>
      </c>
      <c r="I375" s="345" t="s">
        <v>60</v>
      </c>
      <c r="J375" s="316">
        <v>41837.820138888892</v>
      </c>
      <c r="K375" s="347"/>
      <c r="L375" s="347" t="s">
        <v>377</v>
      </c>
      <c r="M375" s="348" t="s">
        <v>378</v>
      </c>
      <c r="N375" s="348" t="s">
        <v>379</v>
      </c>
      <c r="O375" s="348" t="s">
        <v>177</v>
      </c>
      <c r="P375" s="349">
        <v>13.929983060417801</v>
      </c>
      <c r="Q375" s="321" t="str">
        <f t="shared" si="19"/>
        <v/>
      </c>
      <c r="R375" s="318">
        <f t="shared" si="20"/>
        <v>41837</v>
      </c>
      <c r="S375" s="318" t="str">
        <f t="shared" si="21"/>
        <v/>
      </c>
    </row>
    <row r="376" spans="3:19" ht="27.75" customHeight="1">
      <c r="C376" s="345" t="s">
        <v>98</v>
      </c>
      <c r="D376" s="345" t="s">
        <v>373</v>
      </c>
      <c r="E376" s="345" t="s">
        <v>374</v>
      </c>
      <c r="F376" s="345" t="s">
        <v>375</v>
      </c>
      <c r="G376" s="346" t="s">
        <v>376</v>
      </c>
      <c r="H376" s="339" t="s">
        <v>14</v>
      </c>
      <c r="I376" s="345" t="s">
        <v>60</v>
      </c>
      <c r="J376" s="316">
        <v>41837.818749999999</v>
      </c>
      <c r="K376" s="347"/>
      <c r="L376" s="347" t="s">
        <v>378</v>
      </c>
      <c r="M376" s="348" t="s">
        <v>386</v>
      </c>
      <c r="N376" s="348" t="s">
        <v>386</v>
      </c>
      <c r="O376" s="348" t="s">
        <v>177</v>
      </c>
      <c r="P376" s="349">
        <v>13.9627329192546</v>
      </c>
      <c r="Q376" s="321" t="str">
        <f t="shared" si="19"/>
        <v/>
      </c>
      <c r="R376" s="318">
        <f t="shared" si="20"/>
        <v>41837</v>
      </c>
      <c r="S376" s="318" t="str">
        <f t="shared" si="21"/>
        <v/>
      </c>
    </row>
    <row r="377" spans="3:19" ht="27.75" customHeight="1">
      <c r="C377" s="345" t="s">
        <v>98</v>
      </c>
      <c r="D377" s="345" t="s">
        <v>373</v>
      </c>
      <c r="E377" s="345" t="s">
        <v>374</v>
      </c>
      <c r="F377" s="345" t="s">
        <v>375</v>
      </c>
      <c r="G377" s="346" t="s">
        <v>376</v>
      </c>
      <c r="H377" s="339" t="s">
        <v>14</v>
      </c>
      <c r="I377" s="345" t="s">
        <v>61</v>
      </c>
      <c r="J377" s="316">
        <v>41837.818055555559</v>
      </c>
      <c r="K377" s="347"/>
      <c r="L377" s="347" t="s">
        <v>377</v>
      </c>
      <c r="M377" s="348" t="s">
        <v>378</v>
      </c>
      <c r="N377" s="348" t="s">
        <v>379</v>
      </c>
      <c r="O377" s="348" t="s">
        <v>175</v>
      </c>
      <c r="P377" s="349">
        <v>13.9954827780914</v>
      </c>
      <c r="Q377" s="321" t="str">
        <f t="shared" si="19"/>
        <v/>
      </c>
      <c r="R377" s="318">
        <f t="shared" si="20"/>
        <v>41837</v>
      </c>
      <c r="S377" s="318" t="str">
        <f t="shared" si="21"/>
        <v/>
      </c>
    </row>
    <row r="378" spans="3:19" ht="27.75" customHeight="1">
      <c r="C378" s="345" t="s">
        <v>98</v>
      </c>
      <c r="D378" s="345" t="s">
        <v>373</v>
      </c>
      <c r="E378" s="345" t="s">
        <v>374</v>
      </c>
      <c r="F378" s="345" t="s">
        <v>375</v>
      </c>
      <c r="G378" s="346" t="s">
        <v>376</v>
      </c>
      <c r="H378" s="345" t="s">
        <v>14</v>
      </c>
      <c r="I378" s="345" t="s">
        <v>61</v>
      </c>
      <c r="J378" s="316">
        <v>41837.815972222219</v>
      </c>
      <c r="K378" s="347"/>
      <c r="L378" s="347" t="s">
        <v>377</v>
      </c>
      <c r="M378" s="348" t="s">
        <v>378</v>
      </c>
      <c r="N378" s="348" t="s">
        <v>379</v>
      </c>
      <c r="O378" s="348" t="s">
        <v>175</v>
      </c>
      <c r="P378" s="349">
        <v>14.028232636928299</v>
      </c>
      <c r="Q378" s="321" t="str">
        <f t="shared" si="19"/>
        <v/>
      </c>
      <c r="R378" s="318">
        <f t="shared" si="20"/>
        <v>41837</v>
      </c>
      <c r="S378" s="318" t="str">
        <f t="shared" si="21"/>
        <v/>
      </c>
    </row>
    <row r="379" spans="3:19" ht="27.75" customHeight="1">
      <c r="C379" s="345" t="s">
        <v>98</v>
      </c>
      <c r="D379" s="345" t="s">
        <v>373</v>
      </c>
      <c r="E379" s="345" t="s">
        <v>374</v>
      </c>
      <c r="F379" s="345" t="s">
        <v>375</v>
      </c>
      <c r="G379" s="346" t="s">
        <v>376</v>
      </c>
      <c r="H379" s="339" t="s">
        <v>14</v>
      </c>
      <c r="I379" s="345" t="s">
        <v>61</v>
      </c>
      <c r="J379" s="316">
        <v>41837.814583333333</v>
      </c>
      <c r="K379" s="347"/>
      <c r="L379" s="347" t="s">
        <v>378</v>
      </c>
      <c r="M379" s="348" t="s">
        <v>386</v>
      </c>
      <c r="N379" s="348" t="s">
        <v>386</v>
      </c>
      <c r="O379" s="348" t="s">
        <v>175</v>
      </c>
      <c r="P379" s="349">
        <v>14.060982495765099</v>
      </c>
      <c r="Q379" s="321" t="str">
        <f t="shared" si="19"/>
        <v/>
      </c>
      <c r="R379" s="318">
        <f t="shared" si="20"/>
        <v>41837</v>
      </c>
      <c r="S379" s="318" t="str">
        <f t="shared" si="21"/>
        <v/>
      </c>
    </row>
    <row r="380" spans="3:19" ht="27.75" customHeight="1">
      <c r="C380" s="345" t="s">
        <v>98</v>
      </c>
      <c r="D380" s="345" t="s">
        <v>373</v>
      </c>
      <c r="E380" s="345" t="s">
        <v>374</v>
      </c>
      <c r="F380" s="345" t="s">
        <v>375</v>
      </c>
      <c r="G380" s="346" t="s">
        <v>376</v>
      </c>
      <c r="H380" s="345" t="s">
        <v>5</v>
      </c>
      <c r="I380" s="345" t="s">
        <v>60</v>
      </c>
      <c r="J380" s="316">
        <v>41837.8125</v>
      </c>
      <c r="K380" s="347">
        <v>41839.8125</v>
      </c>
      <c r="L380" s="347" t="s">
        <v>377</v>
      </c>
      <c r="M380" s="348" t="s">
        <v>386</v>
      </c>
      <c r="N380" s="348" t="s">
        <v>386</v>
      </c>
      <c r="O380" s="348" t="s">
        <v>175</v>
      </c>
      <c r="P380" s="349">
        <v>14.093732354601901</v>
      </c>
      <c r="Q380" s="321">
        <f t="shared" si="19"/>
        <v>2</v>
      </c>
      <c r="R380" s="318">
        <f t="shared" si="20"/>
        <v>41837</v>
      </c>
      <c r="S380" s="318">
        <f t="shared" si="21"/>
        <v>41839</v>
      </c>
    </row>
    <row r="381" spans="3:19" ht="27.75" customHeight="1">
      <c r="C381" s="345" t="s">
        <v>98</v>
      </c>
      <c r="D381" s="345" t="s">
        <v>373</v>
      </c>
      <c r="E381" s="345" t="s">
        <v>374</v>
      </c>
      <c r="F381" s="345" t="s">
        <v>375</v>
      </c>
      <c r="G381" s="346" t="s">
        <v>376</v>
      </c>
      <c r="H381" s="339" t="s">
        <v>14</v>
      </c>
      <c r="I381" s="345" t="s">
        <v>60</v>
      </c>
      <c r="J381" s="316">
        <v>41837.8125</v>
      </c>
      <c r="K381" s="347"/>
      <c r="L381" s="347" t="s">
        <v>378</v>
      </c>
      <c r="M381" s="348" t="s">
        <v>378</v>
      </c>
      <c r="N381" s="348" t="s">
        <v>379</v>
      </c>
      <c r="O381" s="348" t="s">
        <v>175</v>
      </c>
      <c r="P381" s="349">
        <v>14.126482213438701</v>
      </c>
      <c r="Q381" s="321" t="str">
        <f t="shared" si="19"/>
        <v/>
      </c>
      <c r="R381" s="318">
        <f t="shared" si="20"/>
        <v>41837</v>
      </c>
      <c r="S381" s="318" t="str">
        <f t="shared" si="21"/>
        <v/>
      </c>
    </row>
    <row r="382" spans="3:19" ht="27.75" customHeight="1">
      <c r="C382" s="345" t="s">
        <v>98</v>
      </c>
      <c r="D382" s="345" t="s">
        <v>373</v>
      </c>
      <c r="E382" s="345" t="s">
        <v>374</v>
      </c>
      <c r="F382" s="345" t="s">
        <v>375</v>
      </c>
      <c r="G382" s="346" t="s">
        <v>376</v>
      </c>
      <c r="H382" s="345" t="s">
        <v>5</v>
      </c>
      <c r="I382" s="345" t="s">
        <v>59</v>
      </c>
      <c r="J382" s="316">
        <v>41837.811805555553</v>
      </c>
      <c r="K382" s="347">
        <v>41848.811805555553</v>
      </c>
      <c r="L382" s="347" t="s">
        <v>377</v>
      </c>
      <c r="M382" s="348" t="s">
        <v>378</v>
      </c>
      <c r="N382" s="348" t="s">
        <v>378</v>
      </c>
      <c r="O382" s="348" t="s">
        <v>175</v>
      </c>
      <c r="P382" s="349">
        <v>14.159232072275501</v>
      </c>
      <c r="Q382" s="321">
        <f t="shared" si="19"/>
        <v>11</v>
      </c>
      <c r="R382" s="318">
        <f t="shared" si="20"/>
        <v>41837</v>
      </c>
      <c r="S382" s="318">
        <f t="shared" si="21"/>
        <v>41848</v>
      </c>
    </row>
    <row r="383" spans="3:19" ht="27.75" customHeight="1">
      <c r="C383" s="345" t="s">
        <v>98</v>
      </c>
      <c r="D383" s="345" t="s">
        <v>373</v>
      </c>
      <c r="E383" s="345" t="s">
        <v>374</v>
      </c>
      <c r="F383" s="345" t="s">
        <v>375</v>
      </c>
      <c r="G383" s="346" t="s">
        <v>376</v>
      </c>
      <c r="H383" s="345" t="s">
        <v>5</v>
      </c>
      <c r="I383" s="345" t="s">
        <v>60</v>
      </c>
      <c r="J383" s="316">
        <v>41837.811805555553</v>
      </c>
      <c r="K383" s="347">
        <v>41843.811805555553</v>
      </c>
      <c r="L383" s="347" t="s">
        <v>378</v>
      </c>
      <c r="M383" s="348" t="s">
        <v>386</v>
      </c>
      <c r="N383" s="348" t="s">
        <v>386</v>
      </c>
      <c r="O383" s="348" t="s">
        <v>175</v>
      </c>
      <c r="P383" s="349">
        <v>14.1919819311123</v>
      </c>
      <c r="Q383" s="321">
        <f t="shared" si="19"/>
        <v>6</v>
      </c>
      <c r="R383" s="318">
        <f t="shared" si="20"/>
        <v>41837</v>
      </c>
      <c r="S383" s="318">
        <f t="shared" si="21"/>
        <v>41843</v>
      </c>
    </row>
    <row r="384" spans="3:19" ht="27.75" customHeight="1">
      <c r="C384" s="345" t="s">
        <v>98</v>
      </c>
      <c r="D384" s="345" t="s">
        <v>373</v>
      </c>
      <c r="E384" s="345" t="s">
        <v>374</v>
      </c>
      <c r="F384" s="345" t="s">
        <v>375</v>
      </c>
      <c r="G384" s="346" t="s">
        <v>376</v>
      </c>
      <c r="H384" s="345" t="s">
        <v>5</v>
      </c>
      <c r="I384" s="345" t="s">
        <v>59</v>
      </c>
      <c r="J384" s="316">
        <v>41837.811805555553</v>
      </c>
      <c r="K384" s="347">
        <v>41843.811805555553</v>
      </c>
      <c r="L384" s="347" t="s">
        <v>378</v>
      </c>
      <c r="M384" s="348" t="s">
        <v>378</v>
      </c>
      <c r="N384" s="348" t="s">
        <v>378</v>
      </c>
      <c r="O384" s="348" t="s">
        <v>175</v>
      </c>
      <c r="P384" s="349">
        <v>14.2247317899492</v>
      </c>
      <c r="Q384" s="321">
        <f t="shared" si="19"/>
        <v>6</v>
      </c>
      <c r="R384" s="318">
        <f t="shared" si="20"/>
        <v>41837</v>
      </c>
      <c r="S384" s="318">
        <f t="shared" si="21"/>
        <v>41843</v>
      </c>
    </row>
    <row r="385" spans="3:19" ht="27.75" customHeight="1">
      <c r="C385" s="345" t="s">
        <v>98</v>
      </c>
      <c r="D385" s="345" t="s">
        <v>373</v>
      </c>
      <c r="E385" s="345" t="s">
        <v>374</v>
      </c>
      <c r="F385" s="345" t="s">
        <v>375</v>
      </c>
      <c r="G385" s="346" t="s">
        <v>376</v>
      </c>
      <c r="H385" s="339" t="s">
        <v>14</v>
      </c>
      <c r="I385" s="345" t="s">
        <v>60</v>
      </c>
      <c r="J385" s="316">
        <v>41837.810416666667</v>
      </c>
      <c r="K385" s="347"/>
      <c r="L385" s="347" t="s">
        <v>377</v>
      </c>
      <c r="M385" s="348" t="s">
        <v>378</v>
      </c>
      <c r="N385" s="348" t="s">
        <v>378</v>
      </c>
      <c r="O385" s="348" t="s">
        <v>175</v>
      </c>
      <c r="P385" s="349">
        <v>14.257481648785999</v>
      </c>
      <c r="Q385" s="321" t="str">
        <f t="shared" si="19"/>
        <v/>
      </c>
      <c r="R385" s="318">
        <f t="shared" si="20"/>
        <v>41837</v>
      </c>
      <c r="S385" s="318" t="str">
        <f t="shared" si="21"/>
        <v/>
      </c>
    </row>
    <row r="386" spans="3:19" ht="27.75" customHeight="1">
      <c r="C386" s="345" t="s">
        <v>98</v>
      </c>
      <c r="D386" s="345" t="s">
        <v>373</v>
      </c>
      <c r="E386" s="345" t="s">
        <v>374</v>
      </c>
      <c r="F386" s="345" t="s">
        <v>375</v>
      </c>
      <c r="G386" s="346" t="s">
        <v>376</v>
      </c>
      <c r="H386" s="339" t="s">
        <v>14</v>
      </c>
      <c r="I386" s="345" t="s">
        <v>60</v>
      </c>
      <c r="J386" s="316">
        <v>41837.810416666667</v>
      </c>
      <c r="K386" s="347"/>
      <c r="L386" s="347" t="s">
        <v>377</v>
      </c>
      <c r="M386" s="348" t="s">
        <v>378</v>
      </c>
      <c r="N386" s="348" t="s">
        <v>378</v>
      </c>
      <c r="O386" s="348" t="s">
        <v>175</v>
      </c>
      <c r="P386" s="349">
        <v>14.290231507622799</v>
      </c>
      <c r="Q386" s="321" t="str">
        <f t="shared" si="19"/>
        <v/>
      </c>
      <c r="R386" s="318">
        <f t="shared" si="20"/>
        <v>41837</v>
      </c>
      <c r="S386" s="318" t="str">
        <f t="shared" si="21"/>
        <v/>
      </c>
    </row>
    <row r="387" spans="3:19" ht="27.75" customHeight="1">
      <c r="C387" s="345" t="s">
        <v>98</v>
      </c>
      <c r="D387" s="345" t="s">
        <v>373</v>
      </c>
      <c r="E387" s="345" t="s">
        <v>374</v>
      </c>
      <c r="F387" s="345" t="s">
        <v>375</v>
      </c>
      <c r="G387" s="346" t="s">
        <v>376</v>
      </c>
      <c r="H387" s="345" t="s">
        <v>5</v>
      </c>
      <c r="I387" s="345" t="s">
        <v>61</v>
      </c>
      <c r="J387" s="316">
        <v>41837.80972222222</v>
      </c>
      <c r="K387" s="347">
        <v>41847.80972222222</v>
      </c>
      <c r="L387" s="347" t="s">
        <v>377</v>
      </c>
      <c r="M387" s="348" t="s">
        <v>378</v>
      </c>
      <c r="N387" s="348" t="s">
        <v>378</v>
      </c>
      <c r="O387" s="348" t="s">
        <v>175</v>
      </c>
      <c r="P387" s="349">
        <v>14.322981366459601</v>
      </c>
      <c r="Q387" s="321">
        <f t="shared" si="19"/>
        <v>10</v>
      </c>
      <c r="R387" s="318">
        <f t="shared" si="20"/>
        <v>41837</v>
      </c>
      <c r="S387" s="318">
        <f t="shared" si="21"/>
        <v>41847</v>
      </c>
    </row>
    <row r="388" spans="3:19" ht="27.75" customHeight="1">
      <c r="C388" s="345" t="s">
        <v>98</v>
      </c>
      <c r="D388" s="345" t="s">
        <v>373</v>
      </c>
      <c r="E388" s="345" t="s">
        <v>374</v>
      </c>
      <c r="F388" s="345" t="s">
        <v>375</v>
      </c>
      <c r="G388" s="346" t="s">
        <v>376</v>
      </c>
      <c r="H388" s="345" t="s">
        <v>5</v>
      </c>
      <c r="I388" s="345" t="s">
        <v>61</v>
      </c>
      <c r="J388" s="316">
        <v>41837.809027777781</v>
      </c>
      <c r="K388" s="347">
        <v>41847.809027777781</v>
      </c>
      <c r="L388" s="347" t="s">
        <v>377</v>
      </c>
      <c r="M388" s="348" t="s">
        <v>378</v>
      </c>
      <c r="N388" s="348" t="s">
        <v>378</v>
      </c>
      <c r="O388" s="348" t="s">
        <v>177</v>
      </c>
      <c r="P388" s="349">
        <v>14.355731225296401</v>
      </c>
      <c r="Q388" s="321">
        <f t="shared" si="19"/>
        <v>10</v>
      </c>
      <c r="R388" s="318">
        <f t="shared" si="20"/>
        <v>41837</v>
      </c>
      <c r="S388" s="318">
        <f t="shared" si="21"/>
        <v>41847</v>
      </c>
    </row>
    <row r="389" spans="3:19" ht="27.75" customHeight="1">
      <c r="C389" s="345" t="s">
        <v>98</v>
      </c>
      <c r="D389" s="345" t="s">
        <v>373</v>
      </c>
      <c r="E389" s="345" t="s">
        <v>374</v>
      </c>
      <c r="F389" s="345" t="s">
        <v>375</v>
      </c>
      <c r="G389" s="346" t="s">
        <v>376</v>
      </c>
      <c r="H389" s="339" t="s">
        <v>14</v>
      </c>
      <c r="I389" s="345" t="s">
        <v>60</v>
      </c>
      <c r="J389" s="316">
        <v>41837.808333333334</v>
      </c>
      <c r="K389" s="347"/>
      <c r="L389" s="347" t="s">
        <v>377</v>
      </c>
      <c r="M389" s="348" t="s">
        <v>378</v>
      </c>
      <c r="N389" s="348" t="s">
        <v>378</v>
      </c>
      <c r="O389" s="348" t="s">
        <v>177</v>
      </c>
      <c r="P389" s="349">
        <v>14.3884810841332</v>
      </c>
      <c r="Q389" s="321" t="str">
        <f t="shared" si="19"/>
        <v/>
      </c>
      <c r="R389" s="318">
        <f t="shared" si="20"/>
        <v>41837</v>
      </c>
      <c r="S389" s="318" t="str">
        <f t="shared" si="21"/>
        <v/>
      </c>
    </row>
    <row r="390" spans="3:19" ht="27.75" customHeight="1">
      <c r="C390" s="345" t="s">
        <v>98</v>
      </c>
      <c r="D390" s="345" t="s">
        <v>373</v>
      </c>
      <c r="E390" s="345" t="s">
        <v>374</v>
      </c>
      <c r="F390" s="345" t="s">
        <v>375</v>
      </c>
      <c r="G390" s="346" t="s">
        <v>376</v>
      </c>
      <c r="H390" s="345" t="s">
        <v>5</v>
      </c>
      <c r="I390" s="345" t="s">
        <v>61</v>
      </c>
      <c r="J390" s="316">
        <v>41837.807638888888</v>
      </c>
      <c r="K390" s="347">
        <v>41847.807638888888</v>
      </c>
      <c r="L390" s="347" t="s">
        <v>378</v>
      </c>
      <c r="M390" s="348" t="s">
        <v>397</v>
      </c>
      <c r="N390" s="348" t="s">
        <v>397</v>
      </c>
      <c r="O390" s="348" t="s">
        <v>175</v>
      </c>
      <c r="P390" s="349">
        <v>14.42123094297</v>
      </c>
      <c r="Q390" s="321">
        <f t="shared" si="19"/>
        <v>10</v>
      </c>
      <c r="R390" s="318">
        <f t="shared" si="20"/>
        <v>41837</v>
      </c>
      <c r="S390" s="318">
        <f t="shared" si="21"/>
        <v>41847</v>
      </c>
    </row>
    <row r="391" spans="3:19" ht="27.75" customHeight="1">
      <c r="C391" s="345" t="s">
        <v>98</v>
      </c>
      <c r="D391" s="345" t="s">
        <v>373</v>
      </c>
      <c r="E391" s="345" t="s">
        <v>374</v>
      </c>
      <c r="F391" s="345" t="s">
        <v>375</v>
      </c>
      <c r="G391" s="346" t="s">
        <v>376</v>
      </c>
      <c r="H391" s="345" t="s">
        <v>5</v>
      </c>
      <c r="I391" s="345" t="s">
        <v>60</v>
      </c>
      <c r="J391" s="316">
        <v>41837.803472222222</v>
      </c>
      <c r="K391" s="347">
        <v>41844.803472222222</v>
      </c>
      <c r="L391" s="347" t="s">
        <v>378</v>
      </c>
      <c r="M391" s="348" t="s">
        <v>378</v>
      </c>
      <c r="N391" s="348" t="s">
        <v>378</v>
      </c>
      <c r="O391" s="348" t="s">
        <v>175</v>
      </c>
      <c r="P391" s="349">
        <v>14.4539808018069</v>
      </c>
      <c r="Q391" s="321">
        <f t="shared" si="19"/>
        <v>7</v>
      </c>
      <c r="R391" s="318">
        <f t="shared" si="20"/>
        <v>41837</v>
      </c>
      <c r="S391" s="318">
        <f t="shared" si="21"/>
        <v>41844</v>
      </c>
    </row>
    <row r="392" spans="3:19" ht="27.75" customHeight="1">
      <c r="C392" s="345" t="s">
        <v>98</v>
      </c>
      <c r="D392" s="345" t="s">
        <v>373</v>
      </c>
      <c r="E392" s="345" t="s">
        <v>374</v>
      </c>
      <c r="F392" s="345" t="s">
        <v>375</v>
      </c>
      <c r="G392" s="346" t="s">
        <v>376</v>
      </c>
      <c r="H392" s="339" t="s">
        <v>14</v>
      </c>
      <c r="I392" s="345" t="s">
        <v>59</v>
      </c>
      <c r="J392" s="316">
        <v>41837.803472222222</v>
      </c>
      <c r="K392" s="347"/>
      <c r="L392" s="347" t="s">
        <v>378</v>
      </c>
      <c r="M392" s="348" t="s">
        <v>378</v>
      </c>
      <c r="N392" s="348" t="s">
        <v>378</v>
      </c>
      <c r="O392" s="348" t="s">
        <v>175</v>
      </c>
      <c r="P392" s="349">
        <v>14.486730660643699</v>
      </c>
      <c r="Q392" s="321" t="str">
        <f t="shared" si="19"/>
        <v/>
      </c>
      <c r="R392" s="318">
        <f t="shared" si="20"/>
        <v>41837</v>
      </c>
      <c r="S392" s="318" t="str">
        <f t="shared" si="21"/>
        <v/>
      </c>
    </row>
    <row r="393" spans="3:19" ht="27.75" customHeight="1">
      <c r="C393" s="345" t="s">
        <v>98</v>
      </c>
      <c r="D393" s="345" t="s">
        <v>373</v>
      </c>
      <c r="E393" s="345" t="s">
        <v>374</v>
      </c>
      <c r="F393" s="345" t="s">
        <v>375</v>
      </c>
      <c r="G393" s="346" t="s">
        <v>376</v>
      </c>
      <c r="H393" s="345" t="s">
        <v>5</v>
      </c>
      <c r="I393" s="345" t="s">
        <v>60</v>
      </c>
      <c r="J393" s="316">
        <v>41837.802777777775</v>
      </c>
      <c r="K393" s="347">
        <v>41845.802777777775</v>
      </c>
      <c r="L393" s="347" t="s">
        <v>378</v>
      </c>
      <c r="M393" s="348" t="s">
        <v>387</v>
      </c>
      <c r="N393" s="348" t="s">
        <v>387</v>
      </c>
      <c r="O393" s="348" t="s">
        <v>177</v>
      </c>
      <c r="P393" s="349">
        <v>14.519480519480499</v>
      </c>
      <c r="Q393" s="321">
        <f t="shared" si="19"/>
        <v>8</v>
      </c>
      <c r="R393" s="318">
        <f t="shared" si="20"/>
        <v>41837</v>
      </c>
      <c r="S393" s="318">
        <f t="shared" si="21"/>
        <v>41845</v>
      </c>
    </row>
    <row r="394" spans="3:19" ht="27.75" customHeight="1">
      <c r="C394" s="345" t="s">
        <v>98</v>
      </c>
      <c r="D394" s="345" t="s">
        <v>373</v>
      </c>
      <c r="E394" s="345" t="s">
        <v>374</v>
      </c>
      <c r="F394" s="345" t="s">
        <v>375</v>
      </c>
      <c r="G394" s="346" t="s">
        <v>376</v>
      </c>
      <c r="H394" s="345" t="s">
        <v>5</v>
      </c>
      <c r="I394" s="345" t="s">
        <v>61</v>
      </c>
      <c r="J394" s="316">
        <v>41837.800694444442</v>
      </c>
      <c r="K394" s="347">
        <v>41840.800694444442</v>
      </c>
      <c r="L394" s="347" t="s">
        <v>377</v>
      </c>
      <c r="M394" s="348" t="s">
        <v>378</v>
      </c>
      <c r="N394" s="348" t="s">
        <v>378</v>
      </c>
      <c r="O394" s="348" t="s">
        <v>177</v>
      </c>
      <c r="P394" s="349">
        <v>14.552230378317301</v>
      </c>
      <c r="Q394" s="321">
        <f t="shared" si="19"/>
        <v>3</v>
      </c>
      <c r="R394" s="318">
        <f t="shared" si="20"/>
        <v>41837</v>
      </c>
      <c r="S394" s="318">
        <f t="shared" si="21"/>
        <v>41840</v>
      </c>
    </row>
    <row r="395" spans="3:19" ht="27.75" customHeight="1">
      <c r="C395" s="345" t="s">
        <v>98</v>
      </c>
      <c r="D395" s="345" t="s">
        <v>373</v>
      </c>
      <c r="E395" s="345" t="s">
        <v>374</v>
      </c>
      <c r="F395" s="345" t="s">
        <v>375</v>
      </c>
      <c r="G395" s="346" t="s">
        <v>376</v>
      </c>
      <c r="H395" s="339" t="s">
        <v>14</v>
      </c>
      <c r="I395" s="345" t="s">
        <v>60</v>
      </c>
      <c r="J395" s="316">
        <v>41837.792361111111</v>
      </c>
      <c r="K395" s="347"/>
      <c r="L395" s="347" t="s">
        <v>377</v>
      </c>
      <c r="M395" s="348" t="s">
        <v>378</v>
      </c>
      <c r="N395" s="348" t="s">
        <v>378</v>
      </c>
      <c r="O395" s="348" t="s">
        <v>177</v>
      </c>
      <c r="P395" s="349">
        <v>14.584980237154101</v>
      </c>
      <c r="Q395" s="321" t="str">
        <f t="shared" si="19"/>
        <v/>
      </c>
      <c r="R395" s="318">
        <f t="shared" si="20"/>
        <v>41837</v>
      </c>
      <c r="S395" s="318" t="str">
        <f t="shared" si="21"/>
        <v/>
      </c>
    </row>
    <row r="396" spans="3:19" ht="27.75" customHeight="1">
      <c r="C396" s="345" t="s">
        <v>98</v>
      </c>
      <c r="D396" s="345" t="s">
        <v>373</v>
      </c>
      <c r="E396" s="345" t="s">
        <v>374</v>
      </c>
      <c r="F396" s="345" t="s">
        <v>375</v>
      </c>
      <c r="G396" s="346" t="s">
        <v>376</v>
      </c>
      <c r="H396" s="345" t="s">
        <v>5</v>
      </c>
      <c r="I396" s="345" t="s">
        <v>61</v>
      </c>
      <c r="J396" s="316">
        <v>41837.790972222225</v>
      </c>
      <c r="K396" s="347">
        <v>41845.790972222225</v>
      </c>
      <c r="L396" s="347" t="s">
        <v>378</v>
      </c>
      <c r="M396" s="348" t="s">
        <v>386</v>
      </c>
      <c r="N396" s="348" t="s">
        <v>386</v>
      </c>
      <c r="O396" s="348" t="s">
        <v>177</v>
      </c>
      <c r="P396" s="349">
        <v>14.6177300959909</v>
      </c>
      <c r="Q396" s="321">
        <f t="shared" si="19"/>
        <v>8</v>
      </c>
      <c r="R396" s="318">
        <f t="shared" si="20"/>
        <v>41837</v>
      </c>
      <c r="S396" s="318">
        <f t="shared" si="21"/>
        <v>41845</v>
      </c>
    </row>
    <row r="397" spans="3:19" ht="27.75" customHeight="1">
      <c r="C397" s="345" t="s">
        <v>98</v>
      </c>
      <c r="D397" s="345" t="s">
        <v>373</v>
      </c>
      <c r="E397" s="345" t="s">
        <v>374</v>
      </c>
      <c r="F397" s="345" t="s">
        <v>375</v>
      </c>
      <c r="G397" s="346" t="s">
        <v>376</v>
      </c>
      <c r="H397" s="345" t="s">
        <v>5</v>
      </c>
      <c r="I397" s="345" t="s">
        <v>60</v>
      </c>
      <c r="J397" s="316">
        <v>41837.760416666664</v>
      </c>
      <c r="K397" s="347">
        <v>41847.760416666664</v>
      </c>
      <c r="L397" s="347" t="s">
        <v>378</v>
      </c>
      <c r="M397" s="348" t="s">
        <v>386</v>
      </c>
      <c r="N397" s="348" t="s">
        <v>386</v>
      </c>
      <c r="O397" s="348" t="s">
        <v>177</v>
      </c>
      <c r="P397" s="349">
        <v>14.6504799548278</v>
      </c>
      <c r="Q397" s="321">
        <f t="shared" si="19"/>
        <v>10</v>
      </c>
      <c r="R397" s="318">
        <f t="shared" si="20"/>
        <v>41837</v>
      </c>
      <c r="S397" s="318">
        <f t="shared" si="21"/>
        <v>41847</v>
      </c>
    </row>
    <row r="398" spans="3:19" ht="27.75" customHeight="1">
      <c r="C398" s="345" t="s">
        <v>98</v>
      </c>
      <c r="D398" s="345" t="s">
        <v>373</v>
      </c>
      <c r="E398" s="345" t="s">
        <v>374</v>
      </c>
      <c r="F398" s="345" t="s">
        <v>375</v>
      </c>
      <c r="G398" s="346" t="s">
        <v>376</v>
      </c>
      <c r="H398" s="339" t="s">
        <v>14</v>
      </c>
      <c r="I398" s="345" t="s">
        <v>60</v>
      </c>
      <c r="J398" s="316">
        <v>41837.734722222223</v>
      </c>
      <c r="K398" s="347"/>
      <c r="L398" s="347" t="s">
        <v>378</v>
      </c>
      <c r="M398" s="348" t="s">
        <v>386</v>
      </c>
      <c r="N398" s="348" t="s">
        <v>386</v>
      </c>
      <c r="O398" s="348" t="s">
        <v>177</v>
      </c>
      <c r="P398" s="349">
        <v>14.6832298136646</v>
      </c>
      <c r="Q398" s="321" t="str">
        <f t="shared" si="19"/>
        <v/>
      </c>
      <c r="R398" s="318">
        <f t="shared" si="20"/>
        <v>41837</v>
      </c>
      <c r="S398" s="318" t="str">
        <f t="shared" si="21"/>
        <v/>
      </c>
    </row>
    <row r="399" spans="3:19" ht="27.75" customHeight="1">
      <c r="C399" s="345" t="s">
        <v>98</v>
      </c>
      <c r="D399" s="345" t="s">
        <v>373</v>
      </c>
      <c r="E399" s="345" t="s">
        <v>374</v>
      </c>
      <c r="F399" s="345" t="s">
        <v>375</v>
      </c>
      <c r="G399" s="346" t="s">
        <v>376</v>
      </c>
      <c r="H399" s="345" t="s">
        <v>138</v>
      </c>
      <c r="I399" s="345" t="s">
        <v>60</v>
      </c>
      <c r="J399" s="316">
        <v>41837.725694444445</v>
      </c>
      <c r="K399" s="347"/>
      <c r="L399" s="347" t="s">
        <v>378</v>
      </c>
      <c r="M399" s="348" t="s">
        <v>386</v>
      </c>
      <c r="N399" s="348" t="s">
        <v>386</v>
      </c>
      <c r="O399" s="348" t="s">
        <v>175</v>
      </c>
      <c r="P399" s="349">
        <v>14.715979672501399</v>
      </c>
      <c r="Q399" s="321" t="str">
        <f t="shared" si="19"/>
        <v/>
      </c>
      <c r="R399" s="318">
        <f t="shared" si="20"/>
        <v>41837</v>
      </c>
      <c r="S399" s="318" t="str">
        <f t="shared" si="21"/>
        <v/>
      </c>
    </row>
    <row r="400" spans="3:19" ht="27.75" customHeight="1">
      <c r="C400" s="345" t="s">
        <v>98</v>
      </c>
      <c r="D400" s="345" t="s">
        <v>373</v>
      </c>
      <c r="E400" s="345" t="s">
        <v>374</v>
      </c>
      <c r="F400" s="345" t="s">
        <v>375</v>
      </c>
      <c r="G400" s="346" t="s">
        <v>376</v>
      </c>
      <c r="H400" s="345" t="s">
        <v>14</v>
      </c>
      <c r="I400" s="345" t="s">
        <v>60</v>
      </c>
      <c r="J400" s="316">
        <v>41837.708333333336</v>
      </c>
      <c r="K400" s="347"/>
      <c r="L400" s="347" t="s">
        <v>378</v>
      </c>
      <c r="M400" s="348" t="s">
        <v>386</v>
      </c>
      <c r="N400" s="348" t="s">
        <v>386</v>
      </c>
      <c r="O400" s="348" t="s">
        <v>175</v>
      </c>
      <c r="P400" s="349">
        <v>14.748729531338199</v>
      </c>
      <c r="Q400" s="321" t="str">
        <f t="shared" si="19"/>
        <v/>
      </c>
      <c r="R400" s="318">
        <f t="shared" si="20"/>
        <v>41837</v>
      </c>
      <c r="S400" s="318" t="str">
        <f t="shared" si="21"/>
        <v/>
      </c>
    </row>
    <row r="401" spans="3:19" ht="27.75" customHeight="1">
      <c r="C401" s="345" t="s">
        <v>98</v>
      </c>
      <c r="D401" s="345" t="s">
        <v>373</v>
      </c>
      <c r="E401" s="345" t="s">
        <v>374</v>
      </c>
      <c r="F401" s="345" t="s">
        <v>375</v>
      </c>
      <c r="G401" s="346" t="s">
        <v>376</v>
      </c>
      <c r="H401" s="345" t="s">
        <v>14</v>
      </c>
      <c r="I401" s="345" t="s">
        <v>60</v>
      </c>
      <c r="J401" s="316">
        <v>41837.698611111111</v>
      </c>
      <c r="K401" s="347"/>
      <c r="L401" s="347" t="s">
        <v>378</v>
      </c>
      <c r="M401" s="348" t="s">
        <v>386</v>
      </c>
      <c r="N401" s="348" t="s">
        <v>386</v>
      </c>
      <c r="O401" s="348" t="s">
        <v>175</v>
      </c>
      <c r="P401" s="349">
        <v>14.781479390175001</v>
      </c>
      <c r="Q401" s="321" t="str">
        <f t="shared" si="19"/>
        <v/>
      </c>
      <c r="R401" s="318">
        <f t="shared" si="20"/>
        <v>41837</v>
      </c>
      <c r="S401" s="318" t="str">
        <f t="shared" si="21"/>
        <v/>
      </c>
    </row>
    <row r="402" spans="3:19" ht="27.75" customHeight="1">
      <c r="C402" s="345" t="s">
        <v>98</v>
      </c>
      <c r="D402" s="345" t="s">
        <v>373</v>
      </c>
      <c r="E402" s="345" t="s">
        <v>374</v>
      </c>
      <c r="F402" s="345" t="s">
        <v>375</v>
      </c>
      <c r="G402" s="346" t="s">
        <v>376</v>
      </c>
      <c r="H402" s="345" t="s">
        <v>5</v>
      </c>
      <c r="I402" s="345" t="s">
        <v>61</v>
      </c>
      <c r="J402" s="316">
        <v>41837.693749999999</v>
      </c>
      <c r="K402" s="347">
        <v>41840.693749999999</v>
      </c>
      <c r="L402" s="347" t="s">
        <v>378</v>
      </c>
      <c r="M402" s="348" t="s">
        <v>400</v>
      </c>
      <c r="N402" s="348" t="s">
        <v>400</v>
      </c>
      <c r="O402" s="348" t="s">
        <v>175</v>
      </c>
      <c r="P402" s="349">
        <v>14.814229249011801</v>
      </c>
      <c r="Q402" s="321">
        <f t="shared" si="19"/>
        <v>3</v>
      </c>
      <c r="R402" s="318">
        <f t="shared" si="20"/>
        <v>41837</v>
      </c>
      <c r="S402" s="318">
        <f t="shared" si="21"/>
        <v>41840</v>
      </c>
    </row>
    <row r="403" spans="3:19" ht="27.75" customHeight="1">
      <c r="C403" s="345" t="s">
        <v>98</v>
      </c>
      <c r="D403" s="345" t="s">
        <v>373</v>
      </c>
      <c r="E403" s="345" t="s">
        <v>374</v>
      </c>
      <c r="F403" s="345" t="s">
        <v>375</v>
      </c>
      <c r="G403" s="346" t="s">
        <v>376</v>
      </c>
      <c r="H403" s="345" t="s">
        <v>5</v>
      </c>
      <c r="I403" s="345" t="s">
        <v>60</v>
      </c>
      <c r="J403" s="316">
        <v>41837.693055555559</v>
      </c>
      <c r="K403" s="347">
        <v>41847.693055555559</v>
      </c>
      <c r="L403" s="347" t="s">
        <v>377</v>
      </c>
      <c r="M403" s="348" t="s">
        <v>378</v>
      </c>
      <c r="N403" s="348" t="s">
        <v>378</v>
      </c>
      <c r="O403" s="348" t="s">
        <v>175</v>
      </c>
      <c r="P403" s="349">
        <v>14.8469791078486</v>
      </c>
      <c r="Q403" s="321">
        <f t="shared" si="19"/>
        <v>10</v>
      </c>
      <c r="R403" s="318">
        <f t="shared" si="20"/>
        <v>41837</v>
      </c>
      <c r="S403" s="318">
        <f t="shared" si="21"/>
        <v>41847</v>
      </c>
    </row>
    <row r="404" spans="3:19" ht="27.75" customHeight="1">
      <c r="C404" s="345" t="s">
        <v>98</v>
      </c>
      <c r="D404" s="345" t="s">
        <v>373</v>
      </c>
      <c r="E404" s="345" t="s">
        <v>374</v>
      </c>
      <c r="F404" s="345" t="s">
        <v>375</v>
      </c>
      <c r="G404" s="346" t="s">
        <v>376</v>
      </c>
      <c r="H404" s="339" t="s">
        <v>14</v>
      </c>
      <c r="I404" s="345" t="s">
        <v>60</v>
      </c>
      <c r="J404" s="316">
        <v>41837.683333333334</v>
      </c>
      <c r="K404" s="347"/>
      <c r="L404" s="347" t="s">
        <v>377</v>
      </c>
      <c r="M404" s="348" t="s">
        <v>378</v>
      </c>
      <c r="N404" s="348" t="s">
        <v>378</v>
      </c>
      <c r="O404" s="348" t="s">
        <v>175</v>
      </c>
      <c r="P404" s="349">
        <v>14.8797289666855</v>
      </c>
      <c r="Q404" s="321" t="str">
        <f t="shared" si="19"/>
        <v/>
      </c>
      <c r="R404" s="318">
        <f t="shared" si="20"/>
        <v>41837</v>
      </c>
      <c r="S404" s="318" t="str">
        <f t="shared" si="21"/>
        <v/>
      </c>
    </row>
    <row r="405" spans="3:19" ht="27.75" customHeight="1">
      <c r="C405" s="345" t="s">
        <v>98</v>
      </c>
      <c r="D405" s="345" t="s">
        <v>373</v>
      </c>
      <c r="E405" s="345" t="s">
        <v>374</v>
      </c>
      <c r="F405" s="345" t="s">
        <v>375</v>
      </c>
      <c r="G405" s="346" t="s">
        <v>376</v>
      </c>
      <c r="H405" s="345" t="s">
        <v>5</v>
      </c>
      <c r="I405" s="345" t="s">
        <v>59</v>
      </c>
      <c r="J405" s="316">
        <v>41837.679861111108</v>
      </c>
      <c r="K405" s="347">
        <v>41840.679861111108</v>
      </c>
      <c r="L405" s="347" t="s">
        <v>378</v>
      </c>
      <c r="M405" s="348" t="s">
        <v>400</v>
      </c>
      <c r="N405" s="348" t="s">
        <v>400</v>
      </c>
      <c r="O405" s="348" t="s">
        <v>175</v>
      </c>
      <c r="P405" s="349">
        <v>14.9124788255223</v>
      </c>
      <c r="Q405" s="321">
        <f t="shared" si="19"/>
        <v>3</v>
      </c>
      <c r="R405" s="318">
        <f t="shared" si="20"/>
        <v>41837</v>
      </c>
      <c r="S405" s="318">
        <f t="shared" si="21"/>
        <v>41840</v>
      </c>
    </row>
    <row r="406" spans="3:19" ht="27.75" customHeight="1">
      <c r="C406" s="345" t="s">
        <v>98</v>
      </c>
      <c r="D406" s="345" t="s">
        <v>373</v>
      </c>
      <c r="E406" s="345" t="s">
        <v>374</v>
      </c>
      <c r="F406" s="345" t="s">
        <v>375</v>
      </c>
      <c r="G406" s="346" t="s">
        <v>376</v>
      </c>
      <c r="H406" s="345" t="s">
        <v>5</v>
      </c>
      <c r="I406" s="345" t="s">
        <v>60</v>
      </c>
      <c r="J406" s="316">
        <v>41837.67291666667</v>
      </c>
      <c r="K406" s="347">
        <v>41844.67291666667</v>
      </c>
      <c r="L406" s="347" t="s">
        <v>377</v>
      </c>
      <c r="M406" s="348" t="s">
        <v>378</v>
      </c>
      <c r="N406" s="348" t="s">
        <v>378</v>
      </c>
      <c r="O406" s="348" t="s">
        <v>175</v>
      </c>
      <c r="P406" s="349">
        <v>14.945228684359099</v>
      </c>
      <c r="Q406" s="321">
        <f t="shared" si="19"/>
        <v>7</v>
      </c>
      <c r="R406" s="318">
        <f t="shared" si="20"/>
        <v>41837</v>
      </c>
      <c r="S406" s="318">
        <f t="shared" si="21"/>
        <v>41844</v>
      </c>
    </row>
    <row r="407" spans="3:19" ht="27.75" customHeight="1">
      <c r="C407" s="345" t="s">
        <v>98</v>
      </c>
      <c r="D407" s="345" t="s">
        <v>373</v>
      </c>
      <c r="E407" s="345" t="s">
        <v>374</v>
      </c>
      <c r="F407" s="345" t="s">
        <v>375</v>
      </c>
      <c r="G407" s="346" t="s">
        <v>376</v>
      </c>
      <c r="H407" s="339" t="s">
        <v>14</v>
      </c>
      <c r="I407" s="345" t="s">
        <v>61</v>
      </c>
      <c r="J407" s="316">
        <v>41837.651388888888</v>
      </c>
      <c r="K407" s="347"/>
      <c r="L407" s="347" t="s">
        <v>377</v>
      </c>
      <c r="M407" s="348" t="s">
        <v>378</v>
      </c>
      <c r="N407" s="348" t="s">
        <v>378</v>
      </c>
      <c r="O407" s="348" t="s">
        <v>175</v>
      </c>
      <c r="P407" s="349">
        <v>14.977978543195899</v>
      </c>
      <c r="Q407" s="321" t="str">
        <f t="shared" si="19"/>
        <v/>
      </c>
      <c r="R407" s="318">
        <f t="shared" si="20"/>
        <v>41837</v>
      </c>
      <c r="S407" s="318" t="str">
        <f t="shared" si="21"/>
        <v/>
      </c>
    </row>
    <row r="408" spans="3:19" ht="27.75" customHeight="1">
      <c r="C408" s="345" t="s">
        <v>98</v>
      </c>
      <c r="D408" s="345" t="s">
        <v>373</v>
      </c>
      <c r="E408" s="345" t="s">
        <v>374</v>
      </c>
      <c r="F408" s="345" t="s">
        <v>375</v>
      </c>
      <c r="G408" s="346" t="s">
        <v>376</v>
      </c>
      <c r="H408" s="339" t="s">
        <v>14</v>
      </c>
      <c r="I408" s="345" t="s">
        <v>59</v>
      </c>
      <c r="J408" s="316">
        <v>41837.642361111109</v>
      </c>
      <c r="K408" s="347"/>
      <c r="L408" s="347" t="s">
        <v>377</v>
      </c>
      <c r="M408" s="348" t="s">
        <v>378</v>
      </c>
      <c r="N408" s="348" t="s">
        <v>378</v>
      </c>
      <c r="O408" s="348" t="s">
        <v>175</v>
      </c>
      <c r="P408" s="349">
        <v>15.010728402032701</v>
      </c>
      <c r="Q408" s="321" t="str">
        <f t="shared" si="19"/>
        <v/>
      </c>
      <c r="R408" s="318">
        <f t="shared" si="20"/>
        <v>41837</v>
      </c>
      <c r="S408" s="318" t="str">
        <f t="shared" si="21"/>
        <v/>
      </c>
    </row>
    <row r="409" spans="3:19" ht="27.75" customHeight="1">
      <c r="C409" s="345" t="s">
        <v>98</v>
      </c>
      <c r="D409" s="345" t="s">
        <v>373</v>
      </c>
      <c r="E409" s="345" t="s">
        <v>374</v>
      </c>
      <c r="F409" s="345" t="s">
        <v>375</v>
      </c>
      <c r="G409" s="346" t="s">
        <v>376</v>
      </c>
      <c r="H409" s="339" t="s">
        <v>14</v>
      </c>
      <c r="I409" s="345" t="s">
        <v>60</v>
      </c>
      <c r="J409" s="316">
        <v>41837.629166666666</v>
      </c>
      <c r="K409" s="347"/>
      <c r="L409" s="347" t="s">
        <v>377</v>
      </c>
      <c r="M409" s="348" t="s">
        <v>378</v>
      </c>
      <c r="N409" s="348" t="s">
        <v>378</v>
      </c>
      <c r="O409" s="348" t="s">
        <v>175</v>
      </c>
      <c r="P409" s="349">
        <v>15.043478260869501</v>
      </c>
      <c r="Q409" s="321" t="str">
        <f t="shared" si="19"/>
        <v/>
      </c>
      <c r="R409" s="318">
        <f t="shared" si="20"/>
        <v>41837</v>
      </c>
      <c r="S409" s="318" t="str">
        <f t="shared" si="21"/>
        <v/>
      </c>
    </row>
    <row r="410" spans="3:19" ht="27.75" customHeight="1">
      <c r="C410" s="345" t="s">
        <v>98</v>
      </c>
      <c r="D410" s="345" t="s">
        <v>373</v>
      </c>
      <c r="E410" s="345" t="s">
        <v>374</v>
      </c>
      <c r="F410" s="345" t="s">
        <v>375</v>
      </c>
      <c r="G410" s="346" t="s">
        <v>376</v>
      </c>
      <c r="H410" s="345" t="s">
        <v>5</v>
      </c>
      <c r="I410" s="345" t="s">
        <v>60</v>
      </c>
      <c r="J410" s="316">
        <v>41837.620833333334</v>
      </c>
      <c r="K410" s="347">
        <v>41844.620833333334</v>
      </c>
      <c r="L410" s="347" t="s">
        <v>377</v>
      </c>
      <c r="M410" s="348" t="s">
        <v>387</v>
      </c>
      <c r="N410" s="348" t="s">
        <v>387</v>
      </c>
      <c r="O410" s="348" t="s">
        <v>177</v>
      </c>
      <c r="P410" s="349">
        <v>15.0762281197064</v>
      </c>
      <c r="Q410" s="321">
        <f t="shared" ref="Q410:Q473" si="22">IF(ISERROR(DATEDIF(J410,K410,"D")),"",DATEDIF(J410,K410,"D"))</f>
        <v>7</v>
      </c>
      <c r="R410" s="318">
        <f t="shared" ref="R410:R473" si="23">DATE(YEAR(J410),MONTH(J410),DAY(J410))</f>
        <v>41837</v>
      </c>
      <c r="S410" s="318">
        <f t="shared" ref="S410:S473" si="24">IF(K410&lt;&gt;"",DATE(YEAR(K410),MONTH(K410),DAY(K410)),"")</f>
        <v>41844</v>
      </c>
    </row>
    <row r="411" spans="3:19" ht="27.75" customHeight="1">
      <c r="C411" s="345" t="s">
        <v>98</v>
      </c>
      <c r="D411" s="345" t="s">
        <v>373</v>
      </c>
      <c r="E411" s="345" t="s">
        <v>374</v>
      </c>
      <c r="F411" s="345" t="s">
        <v>375</v>
      </c>
      <c r="G411" s="346" t="s">
        <v>376</v>
      </c>
      <c r="H411" s="345" t="s">
        <v>5</v>
      </c>
      <c r="I411" s="345" t="s">
        <v>61</v>
      </c>
      <c r="J411" s="316">
        <v>41837.56527777778</v>
      </c>
      <c r="K411" s="347">
        <v>41843.56527777778</v>
      </c>
      <c r="L411" s="347" t="s">
        <v>378</v>
      </c>
      <c r="M411" s="348" t="s">
        <v>378</v>
      </c>
      <c r="N411" s="348" t="s">
        <v>378</v>
      </c>
      <c r="O411" s="348" t="s">
        <v>177</v>
      </c>
      <c r="P411" s="349">
        <v>15.1089779785432</v>
      </c>
      <c r="Q411" s="321">
        <f t="shared" si="22"/>
        <v>6</v>
      </c>
      <c r="R411" s="318">
        <f t="shared" si="23"/>
        <v>41837</v>
      </c>
      <c r="S411" s="318">
        <f t="shared" si="24"/>
        <v>41843</v>
      </c>
    </row>
    <row r="412" spans="3:19" ht="27.75" customHeight="1">
      <c r="C412" s="345" t="s">
        <v>98</v>
      </c>
      <c r="D412" s="345" t="s">
        <v>373</v>
      </c>
      <c r="E412" s="345" t="s">
        <v>374</v>
      </c>
      <c r="F412" s="345" t="s">
        <v>375</v>
      </c>
      <c r="G412" s="346" t="s">
        <v>376</v>
      </c>
      <c r="H412" s="339" t="s">
        <v>14</v>
      </c>
      <c r="I412" s="345" t="s">
        <v>60</v>
      </c>
      <c r="J412" s="316">
        <v>41837.551388888889</v>
      </c>
      <c r="K412" s="347"/>
      <c r="L412" s="347" t="s">
        <v>188</v>
      </c>
      <c r="M412" s="348" t="s">
        <v>378</v>
      </c>
      <c r="N412" s="348" t="s">
        <v>378</v>
      </c>
      <c r="O412" s="348" t="s">
        <v>175</v>
      </c>
      <c r="P412" s="349">
        <v>15.141727837379999</v>
      </c>
      <c r="Q412" s="321" t="str">
        <f t="shared" si="22"/>
        <v/>
      </c>
      <c r="R412" s="318">
        <f t="shared" si="23"/>
        <v>41837</v>
      </c>
      <c r="S412" s="318" t="str">
        <f t="shared" si="24"/>
        <v/>
      </c>
    </row>
    <row r="413" spans="3:19" ht="27.75" customHeight="1">
      <c r="C413" s="345" t="s">
        <v>98</v>
      </c>
      <c r="D413" s="345" t="s">
        <v>373</v>
      </c>
      <c r="E413" s="345" t="s">
        <v>374</v>
      </c>
      <c r="F413" s="345" t="s">
        <v>375</v>
      </c>
      <c r="G413" s="346" t="s">
        <v>376</v>
      </c>
      <c r="H413" s="345" t="s">
        <v>5</v>
      </c>
      <c r="I413" s="345" t="s">
        <v>60</v>
      </c>
      <c r="J413" s="316">
        <v>41837.54791666667</v>
      </c>
      <c r="K413" s="347">
        <v>41847.54791666667</v>
      </c>
      <c r="L413" s="347" t="s">
        <v>377</v>
      </c>
      <c r="M413" s="348" t="s">
        <v>378</v>
      </c>
      <c r="N413" s="348" t="s">
        <v>378</v>
      </c>
      <c r="O413" s="348" t="s">
        <v>175</v>
      </c>
      <c r="P413" s="349">
        <v>15.174477696216799</v>
      </c>
      <c r="Q413" s="321">
        <f t="shared" si="22"/>
        <v>10</v>
      </c>
      <c r="R413" s="318">
        <f t="shared" si="23"/>
        <v>41837</v>
      </c>
      <c r="S413" s="318">
        <f t="shared" si="24"/>
        <v>41847</v>
      </c>
    </row>
    <row r="414" spans="3:19" ht="27.75" customHeight="1">
      <c r="C414" s="345" t="s">
        <v>98</v>
      </c>
      <c r="D414" s="345" t="s">
        <v>373</v>
      </c>
      <c r="E414" s="345" t="s">
        <v>374</v>
      </c>
      <c r="F414" s="345" t="s">
        <v>375</v>
      </c>
      <c r="G414" s="346" t="s">
        <v>376</v>
      </c>
      <c r="H414" s="345" t="s">
        <v>138</v>
      </c>
      <c r="I414" s="345" t="s">
        <v>60</v>
      </c>
      <c r="J414" s="316">
        <v>41837.543749999997</v>
      </c>
      <c r="K414" s="347"/>
      <c r="L414" s="347" t="s">
        <v>188</v>
      </c>
      <c r="M414" s="348" t="s">
        <v>378</v>
      </c>
      <c r="N414" s="348" t="s">
        <v>378</v>
      </c>
      <c r="O414" s="348" t="s">
        <v>175</v>
      </c>
      <c r="P414" s="349">
        <v>15.207227555053599</v>
      </c>
      <c r="Q414" s="321" t="str">
        <f t="shared" si="22"/>
        <v/>
      </c>
      <c r="R414" s="318">
        <f t="shared" si="23"/>
        <v>41837</v>
      </c>
      <c r="S414" s="318" t="str">
        <f t="shared" si="24"/>
        <v/>
      </c>
    </row>
    <row r="415" spans="3:19" ht="27.75" customHeight="1">
      <c r="C415" s="345" t="s">
        <v>98</v>
      </c>
      <c r="D415" s="345" t="s">
        <v>373</v>
      </c>
      <c r="E415" s="345" t="s">
        <v>374</v>
      </c>
      <c r="F415" s="345" t="s">
        <v>375</v>
      </c>
      <c r="G415" s="346" t="s">
        <v>376</v>
      </c>
      <c r="H415" s="345" t="s">
        <v>5</v>
      </c>
      <c r="I415" s="345" t="s">
        <v>60</v>
      </c>
      <c r="J415" s="316">
        <v>41837.538194444445</v>
      </c>
      <c r="K415" s="347">
        <v>41847.538194444445</v>
      </c>
      <c r="L415" s="347" t="s">
        <v>378</v>
      </c>
      <c r="M415" s="348" t="s">
        <v>386</v>
      </c>
      <c r="N415" s="348" t="s">
        <v>386</v>
      </c>
      <c r="O415" s="348" t="s">
        <v>177</v>
      </c>
      <c r="P415" s="349">
        <v>15.239977413890401</v>
      </c>
      <c r="Q415" s="321">
        <f t="shared" si="22"/>
        <v>10</v>
      </c>
      <c r="R415" s="318">
        <f t="shared" si="23"/>
        <v>41837</v>
      </c>
      <c r="S415" s="318">
        <f t="shared" si="24"/>
        <v>41847</v>
      </c>
    </row>
    <row r="416" spans="3:19" ht="27.75" customHeight="1">
      <c r="C416" s="345" t="s">
        <v>98</v>
      </c>
      <c r="D416" s="345" t="s">
        <v>373</v>
      </c>
      <c r="E416" s="345" t="s">
        <v>374</v>
      </c>
      <c r="F416" s="345" t="s">
        <v>375</v>
      </c>
      <c r="G416" s="346" t="s">
        <v>376</v>
      </c>
      <c r="H416" s="345" t="s">
        <v>5</v>
      </c>
      <c r="I416" s="345" t="s">
        <v>60</v>
      </c>
      <c r="J416" s="316">
        <v>41837.538194444445</v>
      </c>
      <c r="K416" s="347">
        <v>41840.538194444445</v>
      </c>
      <c r="L416" s="347" t="s">
        <v>377</v>
      </c>
      <c r="M416" s="348" t="s">
        <v>378</v>
      </c>
      <c r="N416" s="348" t="s">
        <v>378</v>
      </c>
      <c r="O416" s="348" t="s">
        <v>177</v>
      </c>
      <c r="P416" s="349">
        <v>15.272727272727201</v>
      </c>
      <c r="Q416" s="321">
        <f t="shared" si="22"/>
        <v>3</v>
      </c>
      <c r="R416" s="318">
        <f t="shared" si="23"/>
        <v>41837</v>
      </c>
      <c r="S416" s="318">
        <f t="shared" si="24"/>
        <v>41840</v>
      </c>
    </row>
    <row r="417" spans="3:19" ht="27.75" customHeight="1">
      <c r="C417" s="345" t="s">
        <v>98</v>
      </c>
      <c r="D417" s="345" t="s">
        <v>373</v>
      </c>
      <c r="E417" s="345" t="s">
        <v>374</v>
      </c>
      <c r="F417" s="345" t="s">
        <v>375</v>
      </c>
      <c r="G417" s="346" t="s">
        <v>376</v>
      </c>
      <c r="H417" s="339" t="s">
        <v>14</v>
      </c>
      <c r="I417" s="345" t="s">
        <v>61</v>
      </c>
      <c r="J417" s="316">
        <v>41837.533333333333</v>
      </c>
      <c r="K417" s="347"/>
      <c r="L417" s="347" t="s">
        <v>377</v>
      </c>
      <c r="M417" s="348" t="s">
        <v>378</v>
      </c>
      <c r="N417" s="348" t="s">
        <v>378</v>
      </c>
      <c r="O417" s="348" t="s">
        <v>177</v>
      </c>
      <c r="P417" s="349">
        <v>15.3054771315641</v>
      </c>
      <c r="Q417" s="321" t="str">
        <f t="shared" si="22"/>
        <v/>
      </c>
      <c r="R417" s="318">
        <f t="shared" si="23"/>
        <v>41837</v>
      </c>
      <c r="S417" s="318" t="str">
        <f t="shared" si="24"/>
        <v/>
      </c>
    </row>
    <row r="418" spans="3:19" ht="27.75" customHeight="1">
      <c r="C418" s="345" t="s">
        <v>98</v>
      </c>
      <c r="D418" s="345" t="s">
        <v>373</v>
      </c>
      <c r="E418" s="345" t="s">
        <v>374</v>
      </c>
      <c r="F418" s="345" t="s">
        <v>375</v>
      </c>
      <c r="G418" s="346" t="s">
        <v>376</v>
      </c>
      <c r="H418" s="345" t="s">
        <v>5</v>
      </c>
      <c r="I418" s="345" t="s">
        <v>61</v>
      </c>
      <c r="J418" s="316">
        <v>41836.87222222222</v>
      </c>
      <c r="K418" s="347">
        <v>41843.87222222222</v>
      </c>
      <c r="L418" s="347" t="s">
        <v>377</v>
      </c>
      <c r="M418" s="348" t="s">
        <v>387</v>
      </c>
      <c r="N418" s="348" t="s">
        <v>387</v>
      </c>
      <c r="O418" s="348" t="s">
        <v>177</v>
      </c>
      <c r="P418" s="349">
        <v>15.3382269904009</v>
      </c>
      <c r="Q418" s="321">
        <f t="shared" si="22"/>
        <v>7</v>
      </c>
      <c r="R418" s="318">
        <f t="shared" si="23"/>
        <v>41836</v>
      </c>
      <c r="S418" s="318">
        <f t="shared" si="24"/>
        <v>41843</v>
      </c>
    </row>
    <row r="419" spans="3:19" ht="27.75" customHeight="1">
      <c r="C419" s="345" t="s">
        <v>98</v>
      </c>
      <c r="D419" s="345" t="s">
        <v>373</v>
      </c>
      <c r="E419" s="345" t="s">
        <v>374</v>
      </c>
      <c r="F419" s="345" t="s">
        <v>375</v>
      </c>
      <c r="G419" s="346" t="s">
        <v>376</v>
      </c>
      <c r="H419" s="345" t="s">
        <v>5</v>
      </c>
      <c r="I419" s="345" t="s">
        <v>60</v>
      </c>
      <c r="J419" s="316">
        <v>41836.831250000003</v>
      </c>
      <c r="K419" s="347">
        <v>41846.831250000003</v>
      </c>
      <c r="L419" s="347" t="s">
        <v>377</v>
      </c>
      <c r="M419" s="348" t="s">
        <v>378</v>
      </c>
      <c r="N419" s="348" t="s">
        <v>378</v>
      </c>
      <c r="O419" s="348" t="s">
        <v>177</v>
      </c>
      <c r="P419" s="349">
        <v>15.370976849237699</v>
      </c>
      <c r="Q419" s="321">
        <f t="shared" si="22"/>
        <v>10</v>
      </c>
      <c r="R419" s="318">
        <f t="shared" si="23"/>
        <v>41836</v>
      </c>
      <c r="S419" s="318">
        <f t="shared" si="24"/>
        <v>41846</v>
      </c>
    </row>
    <row r="420" spans="3:19" ht="27.75" customHeight="1">
      <c r="C420" s="345" t="s">
        <v>98</v>
      </c>
      <c r="D420" s="345" t="s">
        <v>373</v>
      </c>
      <c r="E420" s="345" t="s">
        <v>374</v>
      </c>
      <c r="F420" s="345" t="s">
        <v>375</v>
      </c>
      <c r="G420" s="346" t="s">
        <v>376</v>
      </c>
      <c r="H420" s="339" t="s">
        <v>14</v>
      </c>
      <c r="I420" s="345" t="s">
        <v>60</v>
      </c>
      <c r="J420" s="316">
        <v>41836.809027777781</v>
      </c>
      <c r="K420" s="347"/>
      <c r="L420" s="347" t="s">
        <v>377</v>
      </c>
      <c r="M420" s="348" t="s">
        <v>378</v>
      </c>
      <c r="N420" s="348" t="s">
        <v>378</v>
      </c>
      <c r="O420" s="348" t="s">
        <v>177</v>
      </c>
      <c r="P420" s="349">
        <v>15.403726708074499</v>
      </c>
      <c r="Q420" s="321" t="str">
        <f t="shared" si="22"/>
        <v/>
      </c>
      <c r="R420" s="318">
        <f t="shared" si="23"/>
        <v>41836</v>
      </c>
      <c r="S420" s="318" t="str">
        <f t="shared" si="24"/>
        <v/>
      </c>
    </row>
    <row r="421" spans="3:19" ht="27.75" customHeight="1">
      <c r="C421" s="345" t="s">
        <v>98</v>
      </c>
      <c r="D421" s="345" t="s">
        <v>373</v>
      </c>
      <c r="E421" s="345" t="s">
        <v>374</v>
      </c>
      <c r="F421" s="345" t="s">
        <v>375</v>
      </c>
      <c r="G421" s="346" t="s">
        <v>376</v>
      </c>
      <c r="H421" s="339" t="s">
        <v>14</v>
      </c>
      <c r="I421" s="345" t="s">
        <v>61</v>
      </c>
      <c r="J421" s="316">
        <v>41836.806944444441</v>
      </c>
      <c r="K421" s="347"/>
      <c r="L421" s="347" t="s">
        <v>377</v>
      </c>
      <c r="M421" s="348" t="s">
        <v>378</v>
      </c>
      <c r="N421" s="348" t="s">
        <v>378</v>
      </c>
      <c r="O421" s="348" t="s">
        <v>175</v>
      </c>
      <c r="P421" s="349">
        <v>15.436476566911301</v>
      </c>
      <c r="Q421" s="321" t="str">
        <f t="shared" si="22"/>
        <v/>
      </c>
      <c r="R421" s="318">
        <f t="shared" si="23"/>
        <v>41836</v>
      </c>
      <c r="S421" s="318" t="str">
        <f t="shared" si="24"/>
        <v/>
      </c>
    </row>
    <row r="422" spans="3:19" ht="27.75" customHeight="1">
      <c r="C422" s="345" t="s">
        <v>98</v>
      </c>
      <c r="D422" s="345" t="s">
        <v>373</v>
      </c>
      <c r="E422" s="345" t="s">
        <v>374</v>
      </c>
      <c r="F422" s="345" t="s">
        <v>375</v>
      </c>
      <c r="G422" s="346" t="s">
        <v>376</v>
      </c>
      <c r="H422" s="345" t="s">
        <v>5</v>
      </c>
      <c r="I422" s="345" t="s">
        <v>60</v>
      </c>
      <c r="J422" s="316">
        <v>41836.806944444441</v>
      </c>
      <c r="K422" s="347">
        <v>41843.806944444441</v>
      </c>
      <c r="L422" s="347" t="s">
        <v>377</v>
      </c>
      <c r="M422" s="348" t="s">
        <v>378</v>
      </c>
      <c r="N422" s="348" t="s">
        <v>378</v>
      </c>
      <c r="O422" s="348" t="s">
        <v>175</v>
      </c>
      <c r="P422" s="349">
        <v>15.469226425748101</v>
      </c>
      <c r="Q422" s="321">
        <f t="shared" si="22"/>
        <v>7</v>
      </c>
      <c r="R422" s="318">
        <f t="shared" si="23"/>
        <v>41836</v>
      </c>
      <c r="S422" s="318">
        <f t="shared" si="24"/>
        <v>41843</v>
      </c>
    </row>
    <row r="423" spans="3:19" ht="27.75" customHeight="1">
      <c r="C423" s="345" t="s">
        <v>98</v>
      </c>
      <c r="D423" s="345" t="s">
        <v>373</v>
      </c>
      <c r="E423" s="345" t="s">
        <v>374</v>
      </c>
      <c r="F423" s="345" t="s">
        <v>375</v>
      </c>
      <c r="G423" s="346" t="s">
        <v>376</v>
      </c>
      <c r="H423" s="339" t="s">
        <v>14</v>
      </c>
      <c r="I423" s="345" t="s">
        <v>61</v>
      </c>
      <c r="J423" s="316">
        <v>41836.794444444444</v>
      </c>
      <c r="K423" s="347"/>
      <c r="L423" s="347" t="s">
        <v>377</v>
      </c>
      <c r="M423" s="348" t="s">
        <v>378</v>
      </c>
      <c r="N423" s="348" t="s">
        <v>378</v>
      </c>
      <c r="O423" s="348" t="s">
        <v>175</v>
      </c>
      <c r="P423" s="349">
        <v>15.501976284585</v>
      </c>
      <c r="Q423" s="321" t="str">
        <f t="shared" si="22"/>
        <v/>
      </c>
      <c r="R423" s="318">
        <f t="shared" si="23"/>
        <v>41836</v>
      </c>
      <c r="S423" s="318" t="str">
        <f t="shared" si="24"/>
        <v/>
      </c>
    </row>
    <row r="424" spans="3:19" ht="27.75" customHeight="1">
      <c r="C424" s="345" t="s">
        <v>98</v>
      </c>
      <c r="D424" s="345" t="s">
        <v>373</v>
      </c>
      <c r="E424" s="345" t="s">
        <v>374</v>
      </c>
      <c r="F424" s="345" t="s">
        <v>375</v>
      </c>
      <c r="G424" s="346" t="s">
        <v>376</v>
      </c>
      <c r="H424" s="345" t="s">
        <v>5</v>
      </c>
      <c r="I424" s="345" t="s">
        <v>61</v>
      </c>
      <c r="J424" s="316">
        <v>41836.767361111109</v>
      </c>
      <c r="K424" s="347">
        <v>41847.767361111109</v>
      </c>
      <c r="L424" s="347" t="s">
        <v>377</v>
      </c>
      <c r="M424" s="348" t="s">
        <v>378</v>
      </c>
      <c r="N424" s="348" t="s">
        <v>378</v>
      </c>
      <c r="O424" s="348" t="s">
        <v>175</v>
      </c>
      <c r="P424" s="349">
        <v>15.5347261434218</v>
      </c>
      <c r="Q424" s="321">
        <f t="shared" si="22"/>
        <v>11</v>
      </c>
      <c r="R424" s="318">
        <f t="shared" si="23"/>
        <v>41836</v>
      </c>
      <c r="S424" s="318">
        <f t="shared" si="24"/>
        <v>41847</v>
      </c>
    </row>
    <row r="425" spans="3:19" ht="27.75" customHeight="1">
      <c r="C425" s="345" t="s">
        <v>98</v>
      </c>
      <c r="D425" s="345" t="s">
        <v>373</v>
      </c>
      <c r="E425" s="345" t="s">
        <v>374</v>
      </c>
      <c r="F425" s="345" t="s">
        <v>375</v>
      </c>
      <c r="G425" s="346" t="s">
        <v>376</v>
      </c>
      <c r="H425" s="345" t="s">
        <v>5</v>
      </c>
      <c r="I425" s="345" t="s">
        <v>60</v>
      </c>
      <c r="J425" s="316">
        <v>41836.757638888892</v>
      </c>
      <c r="K425" s="347">
        <v>41844.757638888892</v>
      </c>
      <c r="L425" s="347" t="s">
        <v>188</v>
      </c>
      <c r="M425" s="348" t="s">
        <v>382</v>
      </c>
      <c r="N425" s="348" t="s">
        <v>382</v>
      </c>
      <c r="O425" s="348" t="s">
        <v>175</v>
      </c>
      <c r="P425" s="349">
        <v>15.5674760022586</v>
      </c>
      <c r="Q425" s="321">
        <f t="shared" si="22"/>
        <v>8</v>
      </c>
      <c r="R425" s="318">
        <f t="shared" si="23"/>
        <v>41836</v>
      </c>
      <c r="S425" s="318">
        <f t="shared" si="24"/>
        <v>41844</v>
      </c>
    </row>
    <row r="426" spans="3:19" ht="27.75" customHeight="1">
      <c r="C426" s="345" t="s">
        <v>98</v>
      </c>
      <c r="D426" s="345" t="s">
        <v>373</v>
      </c>
      <c r="E426" s="345" t="s">
        <v>374</v>
      </c>
      <c r="F426" s="345" t="s">
        <v>375</v>
      </c>
      <c r="G426" s="346" t="s">
        <v>376</v>
      </c>
      <c r="H426" s="339" t="s">
        <v>14</v>
      </c>
      <c r="I426" s="345" t="s">
        <v>60</v>
      </c>
      <c r="J426" s="316">
        <v>41836.745138888888</v>
      </c>
      <c r="K426" s="347"/>
      <c r="L426" s="347" t="s">
        <v>378</v>
      </c>
      <c r="M426" s="348" t="s">
        <v>378</v>
      </c>
      <c r="N426" s="348" t="s">
        <v>378</v>
      </c>
      <c r="O426" s="348" t="s">
        <v>175</v>
      </c>
      <c r="P426" s="349">
        <v>15.600225861095399</v>
      </c>
      <c r="Q426" s="321" t="str">
        <f t="shared" si="22"/>
        <v/>
      </c>
      <c r="R426" s="318">
        <f t="shared" si="23"/>
        <v>41836</v>
      </c>
      <c r="S426" s="318" t="str">
        <f t="shared" si="24"/>
        <v/>
      </c>
    </row>
    <row r="427" spans="3:19" ht="27.75" customHeight="1">
      <c r="C427" s="345" t="s">
        <v>98</v>
      </c>
      <c r="D427" s="345" t="s">
        <v>373</v>
      </c>
      <c r="E427" s="345" t="s">
        <v>374</v>
      </c>
      <c r="F427" s="345" t="s">
        <v>375</v>
      </c>
      <c r="G427" s="346" t="s">
        <v>376</v>
      </c>
      <c r="H427" s="339" t="s">
        <v>14</v>
      </c>
      <c r="I427" s="345" t="s">
        <v>58</v>
      </c>
      <c r="J427" s="316">
        <v>41836.734722222223</v>
      </c>
      <c r="K427" s="347"/>
      <c r="L427" s="347" t="s">
        <v>377</v>
      </c>
      <c r="M427" s="348" t="s">
        <v>378</v>
      </c>
      <c r="N427" s="348" t="s">
        <v>378</v>
      </c>
      <c r="O427" s="348" t="s">
        <v>175</v>
      </c>
      <c r="P427" s="349">
        <v>15.632975719932199</v>
      </c>
      <c r="Q427" s="321" t="str">
        <f t="shared" si="22"/>
        <v/>
      </c>
      <c r="R427" s="318">
        <f t="shared" si="23"/>
        <v>41836</v>
      </c>
      <c r="S427" s="318" t="str">
        <f t="shared" si="24"/>
        <v/>
      </c>
    </row>
    <row r="428" spans="3:19" ht="27.75" customHeight="1">
      <c r="C428" s="345" t="s">
        <v>98</v>
      </c>
      <c r="D428" s="345" t="s">
        <v>373</v>
      </c>
      <c r="E428" s="345" t="s">
        <v>374</v>
      </c>
      <c r="F428" s="345" t="s">
        <v>375</v>
      </c>
      <c r="G428" s="346" t="s">
        <v>376</v>
      </c>
      <c r="H428" s="339" t="s">
        <v>14</v>
      </c>
      <c r="I428" s="345" t="s">
        <v>60</v>
      </c>
      <c r="J428" s="316">
        <v>41836.727777777778</v>
      </c>
      <c r="K428" s="347"/>
      <c r="L428" s="347" t="s">
        <v>378</v>
      </c>
      <c r="M428" s="348" t="s">
        <v>386</v>
      </c>
      <c r="N428" s="348" t="s">
        <v>386</v>
      </c>
      <c r="O428" s="348" t="s">
        <v>175</v>
      </c>
      <c r="P428" s="349">
        <v>15.665725578769001</v>
      </c>
      <c r="Q428" s="321" t="str">
        <f t="shared" si="22"/>
        <v/>
      </c>
      <c r="R428" s="318">
        <f t="shared" si="23"/>
        <v>41836</v>
      </c>
      <c r="S428" s="318" t="str">
        <f t="shared" si="24"/>
        <v/>
      </c>
    </row>
    <row r="429" spans="3:19" ht="27.75" customHeight="1">
      <c r="C429" s="345" t="s">
        <v>98</v>
      </c>
      <c r="D429" s="345" t="s">
        <v>373</v>
      </c>
      <c r="E429" s="345" t="s">
        <v>374</v>
      </c>
      <c r="F429" s="345" t="s">
        <v>375</v>
      </c>
      <c r="G429" s="346" t="s">
        <v>376</v>
      </c>
      <c r="H429" s="345" t="s">
        <v>5</v>
      </c>
      <c r="I429" s="345" t="s">
        <v>60</v>
      </c>
      <c r="J429" s="316">
        <v>41836.723611111112</v>
      </c>
      <c r="K429" s="347">
        <v>41838.723611111112</v>
      </c>
      <c r="L429" s="347" t="s">
        <v>377</v>
      </c>
      <c r="M429" s="348" t="s">
        <v>378</v>
      </c>
      <c r="N429" s="348" t="s">
        <v>378</v>
      </c>
      <c r="O429" s="348" t="s">
        <v>175</v>
      </c>
      <c r="P429" s="349">
        <v>15.698475437605801</v>
      </c>
      <c r="Q429" s="321">
        <f t="shared" si="22"/>
        <v>2</v>
      </c>
      <c r="R429" s="318">
        <f t="shared" si="23"/>
        <v>41836</v>
      </c>
      <c r="S429" s="318">
        <f t="shared" si="24"/>
        <v>41838</v>
      </c>
    </row>
    <row r="430" spans="3:19" ht="27.75" customHeight="1">
      <c r="C430" s="345" t="s">
        <v>98</v>
      </c>
      <c r="D430" s="345" t="s">
        <v>373</v>
      </c>
      <c r="E430" s="345" t="s">
        <v>374</v>
      </c>
      <c r="F430" s="345" t="s">
        <v>375</v>
      </c>
      <c r="G430" s="346" t="s">
        <v>376</v>
      </c>
      <c r="H430" s="339" t="s">
        <v>14</v>
      </c>
      <c r="I430" s="345" t="s">
        <v>60</v>
      </c>
      <c r="J430" s="316">
        <v>41836.720833333333</v>
      </c>
      <c r="K430" s="347"/>
      <c r="L430" s="347" t="s">
        <v>377</v>
      </c>
      <c r="M430" s="348" t="s">
        <v>378</v>
      </c>
      <c r="N430" s="348" t="s">
        <v>378</v>
      </c>
      <c r="O430" s="348" t="s">
        <v>175</v>
      </c>
      <c r="P430" s="349">
        <v>15.7312252964427</v>
      </c>
      <c r="Q430" s="321" t="str">
        <f t="shared" si="22"/>
        <v/>
      </c>
      <c r="R430" s="318">
        <f t="shared" si="23"/>
        <v>41836</v>
      </c>
      <c r="S430" s="318" t="str">
        <f t="shared" si="24"/>
        <v/>
      </c>
    </row>
    <row r="431" spans="3:19" ht="27.75" customHeight="1">
      <c r="C431" s="345" t="s">
        <v>98</v>
      </c>
      <c r="D431" s="345" t="s">
        <v>373</v>
      </c>
      <c r="E431" s="345" t="s">
        <v>374</v>
      </c>
      <c r="F431" s="345" t="s">
        <v>375</v>
      </c>
      <c r="G431" s="346" t="s">
        <v>376</v>
      </c>
      <c r="H431" s="339" t="s">
        <v>14</v>
      </c>
      <c r="I431" s="345" t="s">
        <v>60</v>
      </c>
      <c r="J431" s="316">
        <v>41836.717361111114</v>
      </c>
      <c r="K431" s="347"/>
      <c r="L431" s="347" t="s">
        <v>377</v>
      </c>
      <c r="M431" s="348" t="s">
        <v>378</v>
      </c>
      <c r="N431" s="348" t="s">
        <v>378</v>
      </c>
      <c r="O431" s="348" t="s">
        <v>175</v>
      </c>
      <c r="P431" s="349">
        <v>15.7639751552795</v>
      </c>
      <c r="Q431" s="321" t="str">
        <f t="shared" si="22"/>
        <v/>
      </c>
      <c r="R431" s="318">
        <f t="shared" si="23"/>
        <v>41836</v>
      </c>
      <c r="S431" s="318" t="str">
        <f t="shared" si="24"/>
        <v/>
      </c>
    </row>
    <row r="432" spans="3:19" ht="27.75" customHeight="1">
      <c r="C432" s="345" t="s">
        <v>98</v>
      </c>
      <c r="D432" s="345" t="s">
        <v>373</v>
      </c>
      <c r="E432" s="345" t="s">
        <v>374</v>
      </c>
      <c r="F432" s="345" t="s">
        <v>375</v>
      </c>
      <c r="G432" s="346" t="s">
        <v>376</v>
      </c>
      <c r="H432" s="339" t="s">
        <v>14</v>
      </c>
      <c r="I432" s="345" t="s">
        <v>60</v>
      </c>
      <c r="J432" s="316">
        <v>41836.709722222222</v>
      </c>
      <c r="K432" s="347"/>
      <c r="L432" s="347" t="s">
        <v>378</v>
      </c>
      <c r="M432" s="348" t="s">
        <v>190</v>
      </c>
      <c r="N432" s="348" t="s">
        <v>190</v>
      </c>
      <c r="O432" s="348" t="s">
        <v>177</v>
      </c>
      <c r="P432" s="349">
        <v>15.7967250141163</v>
      </c>
      <c r="Q432" s="321" t="str">
        <f t="shared" si="22"/>
        <v/>
      </c>
      <c r="R432" s="318">
        <f t="shared" si="23"/>
        <v>41836</v>
      </c>
      <c r="S432" s="318" t="str">
        <f t="shared" si="24"/>
        <v/>
      </c>
    </row>
    <row r="433" spans="3:19" ht="27.75" customHeight="1">
      <c r="C433" s="345" t="s">
        <v>98</v>
      </c>
      <c r="D433" s="345" t="s">
        <v>373</v>
      </c>
      <c r="E433" s="345" t="s">
        <v>374</v>
      </c>
      <c r="F433" s="345" t="s">
        <v>375</v>
      </c>
      <c r="G433" s="346" t="s">
        <v>376</v>
      </c>
      <c r="H433" s="339" t="s">
        <v>14</v>
      </c>
      <c r="I433" s="345" t="s">
        <v>60</v>
      </c>
      <c r="J433" s="316">
        <v>41836.706944444442</v>
      </c>
      <c r="K433" s="347"/>
      <c r="L433" s="347" t="s">
        <v>378</v>
      </c>
      <c r="M433" s="348" t="s">
        <v>401</v>
      </c>
      <c r="N433" s="348" t="s">
        <v>190</v>
      </c>
      <c r="O433" s="348" t="s">
        <v>177</v>
      </c>
      <c r="P433" s="349">
        <v>15.829474872953099</v>
      </c>
      <c r="Q433" s="321" t="str">
        <f t="shared" si="22"/>
        <v/>
      </c>
      <c r="R433" s="318">
        <f t="shared" si="23"/>
        <v>41836</v>
      </c>
      <c r="S433" s="318" t="str">
        <f t="shared" si="24"/>
        <v/>
      </c>
    </row>
    <row r="434" spans="3:19" ht="27.75" customHeight="1">
      <c r="C434" s="345" t="s">
        <v>98</v>
      </c>
      <c r="D434" s="345" t="s">
        <v>373</v>
      </c>
      <c r="E434" s="345" t="s">
        <v>374</v>
      </c>
      <c r="F434" s="345" t="s">
        <v>375</v>
      </c>
      <c r="G434" s="346" t="s">
        <v>376</v>
      </c>
      <c r="H434" s="345" t="s">
        <v>5</v>
      </c>
      <c r="I434" s="345" t="s">
        <v>58</v>
      </c>
      <c r="J434" s="316">
        <v>41836.699305555558</v>
      </c>
      <c r="K434" s="347">
        <v>41846.699305555558</v>
      </c>
      <c r="L434" s="347" t="s">
        <v>188</v>
      </c>
      <c r="M434" s="348" t="s">
        <v>378</v>
      </c>
      <c r="N434" s="348" t="s">
        <v>378</v>
      </c>
      <c r="O434" s="348" t="s">
        <v>175</v>
      </c>
      <c r="P434" s="349">
        <v>15.862224731789899</v>
      </c>
      <c r="Q434" s="321">
        <f t="shared" si="22"/>
        <v>10</v>
      </c>
      <c r="R434" s="318">
        <f t="shared" si="23"/>
        <v>41836</v>
      </c>
      <c r="S434" s="318">
        <f t="shared" si="24"/>
        <v>41846</v>
      </c>
    </row>
    <row r="435" spans="3:19" ht="27.75" customHeight="1">
      <c r="C435" s="345" t="s">
        <v>98</v>
      </c>
      <c r="D435" s="345" t="s">
        <v>373</v>
      </c>
      <c r="E435" s="345" t="s">
        <v>374</v>
      </c>
      <c r="F435" s="345" t="s">
        <v>375</v>
      </c>
      <c r="G435" s="346" t="s">
        <v>376</v>
      </c>
      <c r="H435" s="339" t="s">
        <v>14</v>
      </c>
      <c r="I435" s="345" t="s">
        <v>60</v>
      </c>
      <c r="J435" s="316">
        <v>41836.665972222225</v>
      </c>
      <c r="K435" s="347"/>
      <c r="L435" s="347" t="s">
        <v>378</v>
      </c>
      <c r="M435" s="348" t="s">
        <v>382</v>
      </c>
      <c r="N435" s="348" t="s">
        <v>382</v>
      </c>
      <c r="O435" s="348" t="s">
        <v>175</v>
      </c>
      <c r="P435" s="349">
        <v>15.894974590626701</v>
      </c>
      <c r="Q435" s="321" t="str">
        <f t="shared" si="22"/>
        <v/>
      </c>
      <c r="R435" s="318">
        <f t="shared" si="23"/>
        <v>41836</v>
      </c>
      <c r="S435" s="318" t="str">
        <f t="shared" si="24"/>
        <v/>
      </c>
    </row>
    <row r="436" spans="3:19" ht="27.75" customHeight="1">
      <c r="C436" s="345" t="s">
        <v>98</v>
      </c>
      <c r="D436" s="345" t="s">
        <v>373</v>
      </c>
      <c r="E436" s="345" t="s">
        <v>374</v>
      </c>
      <c r="F436" s="345" t="s">
        <v>375</v>
      </c>
      <c r="G436" s="346" t="s">
        <v>376</v>
      </c>
      <c r="H436" s="345" t="s">
        <v>5</v>
      </c>
      <c r="I436" s="345" t="s">
        <v>59</v>
      </c>
      <c r="J436" s="316">
        <v>41836.643750000003</v>
      </c>
      <c r="K436" s="347">
        <v>41838.643750000003</v>
      </c>
      <c r="L436" s="347" t="s">
        <v>378</v>
      </c>
      <c r="M436" s="348" t="s">
        <v>382</v>
      </c>
      <c r="N436" s="348" t="s">
        <v>382</v>
      </c>
      <c r="O436" s="348" t="s">
        <v>175</v>
      </c>
      <c r="P436" s="349">
        <v>15.9277244494636</v>
      </c>
      <c r="Q436" s="321">
        <f t="shared" si="22"/>
        <v>2</v>
      </c>
      <c r="R436" s="318">
        <f t="shared" si="23"/>
        <v>41836</v>
      </c>
      <c r="S436" s="318">
        <f t="shared" si="24"/>
        <v>41838</v>
      </c>
    </row>
    <row r="437" spans="3:19" ht="27.75" customHeight="1">
      <c r="C437" s="345" t="s">
        <v>98</v>
      </c>
      <c r="D437" s="345" t="s">
        <v>373</v>
      </c>
      <c r="E437" s="345" t="s">
        <v>374</v>
      </c>
      <c r="F437" s="345" t="s">
        <v>375</v>
      </c>
      <c r="G437" s="346" t="s">
        <v>376</v>
      </c>
      <c r="H437" s="339" t="s">
        <v>14</v>
      </c>
      <c r="I437" s="345" t="s">
        <v>60</v>
      </c>
      <c r="J437" s="316">
        <v>41836.642361111109</v>
      </c>
      <c r="K437" s="347"/>
      <c r="L437" s="347" t="s">
        <v>378</v>
      </c>
      <c r="M437" s="348" t="s">
        <v>382</v>
      </c>
      <c r="N437" s="348" t="s">
        <v>382</v>
      </c>
      <c r="O437" s="348" t="s">
        <v>177</v>
      </c>
      <c r="P437" s="349">
        <v>15.9604743083004</v>
      </c>
      <c r="Q437" s="321" t="str">
        <f t="shared" si="22"/>
        <v/>
      </c>
      <c r="R437" s="318">
        <f t="shared" si="23"/>
        <v>41836</v>
      </c>
      <c r="S437" s="318" t="str">
        <f t="shared" si="24"/>
        <v/>
      </c>
    </row>
    <row r="438" spans="3:19" ht="27.75" customHeight="1">
      <c r="C438" s="345" t="s">
        <v>98</v>
      </c>
      <c r="D438" s="345" t="s">
        <v>373</v>
      </c>
      <c r="E438" s="345" t="s">
        <v>374</v>
      </c>
      <c r="F438" s="345" t="s">
        <v>375</v>
      </c>
      <c r="G438" s="346" t="s">
        <v>376</v>
      </c>
      <c r="H438" s="339" t="s">
        <v>14</v>
      </c>
      <c r="I438" s="345" t="s">
        <v>60</v>
      </c>
      <c r="J438" s="316">
        <v>41836.636805555558</v>
      </c>
      <c r="K438" s="347"/>
      <c r="L438" s="347" t="s">
        <v>378</v>
      </c>
      <c r="M438" s="348" t="s">
        <v>382</v>
      </c>
      <c r="N438" s="348" t="s">
        <v>382</v>
      </c>
      <c r="O438" s="348" t="s">
        <v>177</v>
      </c>
      <c r="P438" s="349">
        <v>15.9932241671372</v>
      </c>
      <c r="Q438" s="321" t="str">
        <f t="shared" si="22"/>
        <v/>
      </c>
      <c r="R438" s="318">
        <f t="shared" si="23"/>
        <v>41836</v>
      </c>
      <c r="S438" s="318" t="str">
        <f t="shared" si="24"/>
        <v/>
      </c>
    </row>
    <row r="439" spans="3:19" ht="27.75" customHeight="1">
      <c r="C439" s="345" t="s">
        <v>98</v>
      </c>
      <c r="D439" s="345" t="s">
        <v>373</v>
      </c>
      <c r="E439" s="345" t="s">
        <v>374</v>
      </c>
      <c r="F439" s="345" t="s">
        <v>375</v>
      </c>
      <c r="G439" s="346" t="s">
        <v>376</v>
      </c>
      <c r="H439" s="345" t="s">
        <v>5</v>
      </c>
      <c r="I439" s="345" t="s">
        <v>60</v>
      </c>
      <c r="J439" s="316">
        <v>41836.629861111112</v>
      </c>
      <c r="K439" s="347">
        <v>41844.629861111112</v>
      </c>
      <c r="L439" s="347" t="s">
        <v>378</v>
      </c>
      <c r="M439" s="348" t="s">
        <v>386</v>
      </c>
      <c r="N439" s="348" t="s">
        <v>386</v>
      </c>
      <c r="O439" s="348" t="s">
        <v>177</v>
      </c>
      <c r="P439" s="349">
        <v>16.025974025974001</v>
      </c>
      <c r="Q439" s="321">
        <f t="shared" si="22"/>
        <v>8</v>
      </c>
      <c r="R439" s="318">
        <f t="shared" si="23"/>
        <v>41836</v>
      </c>
      <c r="S439" s="318">
        <f t="shared" si="24"/>
        <v>41844</v>
      </c>
    </row>
    <row r="440" spans="3:19" ht="27.75" customHeight="1">
      <c r="C440" s="345" t="s">
        <v>98</v>
      </c>
      <c r="D440" s="345" t="s">
        <v>373</v>
      </c>
      <c r="E440" s="345" t="s">
        <v>374</v>
      </c>
      <c r="F440" s="345" t="s">
        <v>375</v>
      </c>
      <c r="G440" s="346" t="s">
        <v>376</v>
      </c>
      <c r="H440" s="345" t="s">
        <v>5</v>
      </c>
      <c r="I440" s="345" t="s">
        <v>59</v>
      </c>
      <c r="J440" s="316">
        <v>41836.62777777778</v>
      </c>
      <c r="K440" s="347">
        <v>41840.62777777778</v>
      </c>
      <c r="L440" s="347" t="s">
        <v>378</v>
      </c>
      <c r="M440" s="348" t="s">
        <v>386</v>
      </c>
      <c r="N440" s="348" t="s">
        <v>386</v>
      </c>
      <c r="O440" s="348" t="s">
        <v>177</v>
      </c>
      <c r="P440" s="349">
        <v>16.058723884810799</v>
      </c>
      <c r="Q440" s="321">
        <f t="shared" si="22"/>
        <v>4</v>
      </c>
      <c r="R440" s="318">
        <f t="shared" si="23"/>
        <v>41836</v>
      </c>
      <c r="S440" s="318">
        <f t="shared" si="24"/>
        <v>41840</v>
      </c>
    </row>
    <row r="441" spans="3:19" ht="27.75" customHeight="1">
      <c r="C441" s="345" t="s">
        <v>98</v>
      </c>
      <c r="D441" s="345" t="s">
        <v>373</v>
      </c>
      <c r="E441" s="345" t="s">
        <v>374</v>
      </c>
      <c r="F441" s="345" t="s">
        <v>375</v>
      </c>
      <c r="G441" s="346" t="s">
        <v>376</v>
      </c>
      <c r="H441" s="345" t="s">
        <v>5</v>
      </c>
      <c r="I441" s="345" t="s">
        <v>60</v>
      </c>
      <c r="J441" s="316">
        <v>41836.625</v>
      </c>
      <c r="K441" s="347">
        <v>41844.625</v>
      </c>
      <c r="L441" s="347" t="s">
        <v>378</v>
      </c>
      <c r="M441" s="348" t="s">
        <v>386</v>
      </c>
      <c r="N441" s="348" t="s">
        <v>386</v>
      </c>
      <c r="O441" s="348" t="s">
        <v>177</v>
      </c>
      <c r="P441" s="349">
        <v>16.091473743647601</v>
      </c>
      <c r="Q441" s="321">
        <f t="shared" si="22"/>
        <v>8</v>
      </c>
      <c r="R441" s="318">
        <f t="shared" si="23"/>
        <v>41836</v>
      </c>
      <c r="S441" s="318">
        <f t="shared" si="24"/>
        <v>41844</v>
      </c>
    </row>
    <row r="442" spans="3:19" ht="27.75" customHeight="1">
      <c r="C442" s="345" t="s">
        <v>98</v>
      </c>
      <c r="D442" s="345" t="s">
        <v>373</v>
      </c>
      <c r="E442" s="345" t="s">
        <v>374</v>
      </c>
      <c r="F442" s="345" t="s">
        <v>375</v>
      </c>
      <c r="G442" s="346" t="s">
        <v>376</v>
      </c>
      <c r="H442" s="339" t="s">
        <v>14</v>
      </c>
      <c r="I442" s="345" t="s">
        <v>60</v>
      </c>
      <c r="J442" s="316">
        <v>41836.617361111108</v>
      </c>
      <c r="K442" s="347"/>
      <c r="L442" s="347" t="s">
        <v>378</v>
      </c>
      <c r="M442" s="348" t="s">
        <v>386</v>
      </c>
      <c r="N442" s="348" t="s">
        <v>386</v>
      </c>
      <c r="O442" s="348" t="s">
        <v>177</v>
      </c>
      <c r="P442" s="349">
        <v>16.124223602484399</v>
      </c>
      <c r="Q442" s="321" t="str">
        <f t="shared" si="22"/>
        <v/>
      </c>
      <c r="R442" s="318">
        <f t="shared" si="23"/>
        <v>41836</v>
      </c>
      <c r="S442" s="318" t="str">
        <f t="shared" si="24"/>
        <v/>
      </c>
    </row>
    <row r="443" spans="3:19" ht="27.75" customHeight="1">
      <c r="C443" s="345" t="s">
        <v>98</v>
      </c>
      <c r="D443" s="345" t="s">
        <v>373</v>
      </c>
      <c r="E443" s="345" t="s">
        <v>374</v>
      </c>
      <c r="F443" s="345" t="s">
        <v>375</v>
      </c>
      <c r="G443" s="346" t="s">
        <v>376</v>
      </c>
      <c r="H443" s="339" t="s">
        <v>14</v>
      </c>
      <c r="I443" s="345" t="s">
        <v>59</v>
      </c>
      <c r="J443" s="316">
        <v>41836.585416666669</v>
      </c>
      <c r="K443" s="347"/>
      <c r="L443" s="347" t="s">
        <v>378</v>
      </c>
      <c r="M443" s="348" t="s">
        <v>381</v>
      </c>
      <c r="N443" s="348" t="s">
        <v>381</v>
      </c>
      <c r="O443" s="348" t="s">
        <v>175</v>
      </c>
      <c r="P443" s="349">
        <v>16.1569734613213</v>
      </c>
      <c r="Q443" s="321" t="str">
        <f t="shared" si="22"/>
        <v/>
      </c>
      <c r="R443" s="318">
        <f t="shared" si="23"/>
        <v>41836</v>
      </c>
      <c r="S443" s="318" t="str">
        <f t="shared" si="24"/>
        <v/>
      </c>
    </row>
    <row r="444" spans="3:19" ht="27.75" customHeight="1">
      <c r="C444" s="345" t="s">
        <v>98</v>
      </c>
      <c r="D444" s="345" t="s">
        <v>373</v>
      </c>
      <c r="E444" s="345" t="s">
        <v>374</v>
      </c>
      <c r="F444" s="345" t="s">
        <v>375</v>
      </c>
      <c r="G444" s="346" t="s">
        <v>376</v>
      </c>
      <c r="H444" s="339" t="s">
        <v>14</v>
      </c>
      <c r="I444" s="345" t="s">
        <v>60</v>
      </c>
      <c r="J444" s="316">
        <v>41836.583333333336</v>
      </c>
      <c r="K444" s="347"/>
      <c r="L444" s="347" t="s">
        <v>378</v>
      </c>
      <c r="M444" s="348" t="s">
        <v>386</v>
      </c>
      <c r="N444" s="348" t="s">
        <v>386</v>
      </c>
      <c r="O444" s="348" t="s">
        <v>175</v>
      </c>
      <c r="P444" s="349">
        <v>16.189723320158102</v>
      </c>
      <c r="Q444" s="321" t="str">
        <f t="shared" si="22"/>
        <v/>
      </c>
      <c r="R444" s="318">
        <f t="shared" si="23"/>
        <v>41836</v>
      </c>
      <c r="S444" s="318" t="str">
        <f t="shared" si="24"/>
        <v/>
      </c>
    </row>
    <row r="445" spans="3:19" ht="27.75" customHeight="1">
      <c r="C445" s="345" t="s">
        <v>98</v>
      </c>
      <c r="D445" s="345" t="s">
        <v>373</v>
      </c>
      <c r="E445" s="345" t="s">
        <v>374</v>
      </c>
      <c r="F445" s="345" t="s">
        <v>375</v>
      </c>
      <c r="G445" s="346" t="s">
        <v>376</v>
      </c>
      <c r="H445" s="345" t="s">
        <v>14</v>
      </c>
      <c r="I445" s="345" t="s">
        <v>61</v>
      </c>
      <c r="J445" s="316">
        <v>41836.547222222223</v>
      </c>
      <c r="K445" s="347"/>
      <c r="L445" s="347" t="s">
        <v>378</v>
      </c>
      <c r="M445" s="348" t="s">
        <v>388</v>
      </c>
      <c r="N445" s="348" t="s">
        <v>388</v>
      </c>
      <c r="O445" s="348" t="s">
        <v>175</v>
      </c>
      <c r="P445" s="349">
        <v>16.2224731789949</v>
      </c>
      <c r="Q445" s="321" t="str">
        <f t="shared" si="22"/>
        <v/>
      </c>
      <c r="R445" s="318">
        <f t="shared" si="23"/>
        <v>41836</v>
      </c>
      <c r="S445" s="318" t="str">
        <f t="shared" si="24"/>
        <v/>
      </c>
    </row>
    <row r="446" spans="3:19" ht="27.75" customHeight="1">
      <c r="C446" s="345" t="s">
        <v>98</v>
      </c>
      <c r="D446" s="345" t="s">
        <v>373</v>
      </c>
      <c r="E446" s="345" t="s">
        <v>374</v>
      </c>
      <c r="F446" s="345" t="s">
        <v>375</v>
      </c>
      <c r="G446" s="346" t="s">
        <v>376</v>
      </c>
      <c r="H446" s="345" t="s">
        <v>14</v>
      </c>
      <c r="I446" s="345" t="s">
        <v>61</v>
      </c>
      <c r="J446" s="316">
        <v>41836.545138888891</v>
      </c>
      <c r="K446" s="347"/>
      <c r="L446" s="347" t="s">
        <v>377</v>
      </c>
      <c r="M446" s="348" t="s">
        <v>400</v>
      </c>
      <c r="N446" s="348" t="s">
        <v>400</v>
      </c>
      <c r="O446" s="348" t="s">
        <v>175</v>
      </c>
      <c r="P446" s="349">
        <v>16.255223037831701</v>
      </c>
      <c r="Q446" s="321" t="str">
        <f t="shared" si="22"/>
        <v/>
      </c>
      <c r="R446" s="318">
        <f t="shared" si="23"/>
        <v>41836</v>
      </c>
      <c r="S446" s="318" t="str">
        <f t="shared" si="24"/>
        <v/>
      </c>
    </row>
    <row r="447" spans="3:19" ht="27.75" customHeight="1">
      <c r="C447" s="345" t="s">
        <v>98</v>
      </c>
      <c r="D447" s="345" t="s">
        <v>373</v>
      </c>
      <c r="E447" s="345" t="s">
        <v>374</v>
      </c>
      <c r="F447" s="345" t="s">
        <v>375</v>
      </c>
      <c r="G447" s="346" t="s">
        <v>376</v>
      </c>
      <c r="H447" s="345" t="s">
        <v>14</v>
      </c>
      <c r="I447" s="345" t="s">
        <v>61</v>
      </c>
      <c r="J447" s="316">
        <v>41836.544444444444</v>
      </c>
      <c r="K447" s="347"/>
      <c r="L447" s="347" t="s">
        <v>378</v>
      </c>
      <c r="M447" s="348" t="s">
        <v>400</v>
      </c>
      <c r="N447" s="348" t="s">
        <v>400</v>
      </c>
      <c r="O447" s="348" t="s">
        <v>175</v>
      </c>
      <c r="P447" s="349">
        <v>16.287972896668499</v>
      </c>
      <c r="Q447" s="321" t="str">
        <f t="shared" si="22"/>
        <v/>
      </c>
      <c r="R447" s="318">
        <f t="shared" si="23"/>
        <v>41836</v>
      </c>
      <c r="S447" s="318" t="str">
        <f t="shared" si="24"/>
        <v/>
      </c>
    </row>
    <row r="448" spans="3:19" ht="27.75" customHeight="1">
      <c r="C448" s="345" t="s">
        <v>98</v>
      </c>
      <c r="D448" s="345" t="s">
        <v>373</v>
      </c>
      <c r="E448" s="345" t="s">
        <v>374</v>
      </c>
      <c r="F448" s="345" t="s">
        <v>375</v>
      </c>
      <c r="G448" s="346" t="s">
        <v>376</v>
      </c>
      <c r="H448" s="339" t="s">
        <v>14</v>
      </c>
      <c r="I448" s="345" t="s">
        <v>61</v>
      </c>
      <c r="J448" s="316">
        <v>41836.543749999997</v>
      </c>
      <c r="K448" s="347"/>
      <c r="L448" s="347" t="s">
        <v>378</v>
      </c>
      <c r="M448" s="348" t="s">
        <v>388</v>
      </c>
      <c r="N448" s="348" t="s">
        <v>388</v>
      </c>
      <c r="O448" s="348" t="s">
        <v>175</v>
      </c>
      <c r="P448" s="349">
        <v>16.320722755505301</v>
      </c>
      <c r="Q448" s="321" t="str">
        <f t="shared" si="22"/>
        <v/>
      </c>
      <c r="R448" s="318">
        <f t="shared" si="23"/>
        <v>41836</v>
      </c>
      <c r="S448" s="318" t="str">
        <f t="shared" si="24"/>
        <v/>
      </c>
    </row>
    <row r="449" spans="3:19" ht="27.75" customHeight="1">
      <c r="C449" s="345" t="s">
        <v>98</v>
      </c>
      <c r="D449" s="345" t="s">
        <v>373</v>
      </c>
      <c r="E449" s="345" t="s">
        <v>374</v>
      </c>
      <c r="F449" s="345" t="s">
        <v>375</v>
      </c>
      <c r="G449" s="346" t="s">
        <v>376</v>
      </c>
      <c r="H449" s="345" t="s">
        <v>14</v>
      </c>
      <c r="I449" s="345" t="s">
        <v>61</v>
      </c>
      <c r="J449" s="316">
        <v>41836.543055555558</v>
      </c>
      <c r="K449" s="347"/>
      <c r="L449" s="347" t="s">
        <v>377</v>
      </c>
      <c r="M449" s="348" t="s">
        <v>378</v>
      </c>
      <c r="N449" s="348" t="s">
        <v>378</v>
      </c>
      <c r="O449" s="348" t="s">
        <v>175</v>
      </c>
      <c r="P449" s="349">
        <v>16.353472614342198</v>
      </c>
      <c r="Q449" s="321" t="str">
        <f t="shared" si="22"/>
        <v/>
      </c>
      <c r="R449" s="318">
        <f t="shared" si="23"/>
        <v>41836</v>
      </c>
      <c r="S449" s="318" t="str">
        <f t="shared" si="24"/>
        <v/>
      </c>
    </row>
    <row r="450" spans="3:19" ht="27.75" customHeight="1">
      <c r="C450" s="345" t="s">
        <v>98</v>
      </c>
      <c r="D450" s="345" t="s">
        <v>373</v>
      </c>
      <c r="E450" s="345" t="s">
        <v>374</v>
      </c>
      <c r="F450" s="345" t="s">
        <v>375</v>
      </c>
      <c r="G450" s="346" t="s">
        <v>376</v>
      </c>
      <c r="H450" s="339" t="s">
        <v>14</v>
      </c>
      <c r="I450" s="345" t="s">
        <v>59</v>
      </c>
      <c r="J450" s="316">
        <v>41836.542361111111</v>
      </c>
      <c r="K450" s="347"/>
      <c r="L450" s="347" t="s">
        <v>378</v>
      </c>
      <c r="M450" s="348" t="s">
        <v>400</v>
      </c>
      <c r="N450" s="348" t="s">
        <v>400</v>
      </c>
      <c r="O450" s="348" t="s">
        <v>175</v>
      </c>
      <c r="P450" s="349">
        <v>16.386222473179</v>
      </c>
      <c r="Q450" s="321" t="str">
        <f t="shared" si="22"/>
        <v/>
      </c>
      <c r="R450" s="318">
        <f t="shared" si="23"/>
        <v>41836</v>
      </c>
      <c r="S450" s="318" t="str">
        <f t="shared" si="24"/>
        <v/>
      </c>
    </row>
    <row r="451" spans="3:19" ht="27.75" customHeight="1">
      <c r="C451" s="345" t="s">
        <v>98</v>
      </c>
      <c r="D451" s="345" t="s">
        <v>373</v>
      </c>
      <c r="E451" s="345" t="s">
        <v>374</v>
      </c>
      <c r="F451" s="345" t="s">
        <v>375</v>
      </c>
      <c r="G451" s="346" t="s">
        <v>376</v>
      </c>
      <c r="H451" s="339" t="s">
        <v>14</v>
      </c>
      <c r="I451" s="345" t="s">
        <v>60</v>
      </c>
      <c r="J451" s="316">
        <v>41836.541666666664</v>
      </c>
      <c r="K451" s="347"/>
      <c r="L451" s="347" t="s">
        <v>378</v>
      </c>
      <c r="M451" s="348" t="s">
        <v>378</v>
      </c>
      <c r="N451" s="348" t="s">
        <v>378</v>
      </c>
      <c r="O451" s="348" t="s">
        <v>175</v>
      </c>
      <c r="P451" s="349">
        <v>16.418972332015802</v>
      </c>
      <c r="Q451" s="321" t="str">
        <f t="shared" si="22"/>
        <v/>
      </c>
      <c r="R451" s="318">
        <f t="shared" si="23"/>
        <v>41836</v>
      </c>
      <c r="S451" s="318" t="str">
        <f t="shared" si="24"/>
        <v/>
      </c>
    </row>
    <row r="452" spans="3:19" ht="27.75" customHeight="1">
      <c r="C452" s="345" t="s">
        <v>98</v>
      </c>
      <c r="D452" s="345" t="s">
        <v>373</v>
      </c>
      <c r="E452" s="345" t="s">
        <v>374</v>
      </c>
      <c r="F452" s="345" t="s">
        <v>375</v>
      </c>
      <c r="G452" s="346" t="s">
        <v>376</v>
      </c>
      <c r="H452" s="339" t="s">
        <v>14</v>
      </c>
      <c r="I452" s="345" t="s">
        <v>60</v>
      </c>
      <c r="J452" s="316">
        <v>41836.53125</v>
      </c>
      <c r="K452" s="347"/>
      <c r="L452" s="347" t="s">
        <v>378</v>
      </c>
      <c r="M452" s="348" t="s">
        <v>378</v>
      </c>
      <c r="N452" s="348" t="s">
        <v>378</v>
      </c>
      <c r="O452" s="348" t="s">
        <v>175</v>
      </c>
      <c r="P452" s="349">
        <v>16.4517221908526</v>
      </c>
      <c r="Q452" s="321" t="str">
        <f t="shared" si="22"/>
        <v/>
      </c>
      <c r="R452" s="318">
        <f t="shared" si="23"/>
        <v>41836</v>
      </c>
      <c r="S452" s="318" t="str">
        <f t="shared" si="24"/>
        <v/>
      </c>
    </row>
    <row r="453" spans="3:19" ht="27.75" customHeight="1">
      <c r="C453" s="345" t="s">
        <v>98</v>
      </c>
      <c r="D453" s="345" t="s">
        <v>373</v>
      </c>
      <c r="E453" s="345" t="s">
        <v>374</v>
      </c>
      <c r="F453" s="345" t="s">
        <v>375</v>
      </c>
      <c r="G453" s="346" t="s">
        <v>376</v>
      </c>
      <c r="H453" s="339" t="s">
        <v>14</v>
      </c>
      <c r="I453" s="345" t="s">
        <v>60</v>
      </c>
      <c r="J453" s="316">
        <v>41836.527083333334</v>
      </c>
      <c r="K453" s="347"/>
      <c r="L453" s="347" t="s">
        <v>378</v>
      </c>
      <c r="M453" s="348" t="s">
        <v>386</v>
      </c>
      <c r="N453" s="348" t="s">
        <v>386</v>
      </c>
      <c r="O453" s="348" t="s">
        <v>175</v>
      </c>
      <c r="P453" s="349">
        <v>16.484472049689401</v>
      </c>
      <c r="Q453" s="321" t="str">
        <f t="shared" si="22"/>
        <v/>
      </c>
      <c r="R453" s="318">
        <f t="shared" si="23"/>
        <v>41836</v>
      </c>
      <c r="S453" s="318" t="str">
        <f t="shared" si="24"/>
        <v/>
      </c>
    </row>
    <row r="454" spans="3:19" ht="27.75" customHeight="1">
      <c r="C454" s="345" t="s">
        <v>98</v>
      </c>
      <c r="D454" s="345" t="s">
        <v>373</v>
      </c>
      <c r="E454" s="345" t="s">
        <v>374</v>
      </c>
      <c r="F454" s="345" t="s">
        <v>375</v>
      </c>
      <c r="G454" s="346" t="s">
        <v>376</v>
      </c>
      <c r="H454" s="339" t="s">
        <v>14</v>
      </c>
      <c r="I454" s="345" t="s">
        <v>58</v>
      </c>
      <c r="J454" s="316">
        <v>41836.500694444447</v>
      </c>
      <c r="K454" s="347"/>
      <c r="L454" s="347" t="s">
        <v>378</v>
      </c>
      <c r="M454" s="348" t="s">
        <v>386</v>
      </c>
      <c r="N454" s="348" t="s">
        <v>386</v>
      </c>
      <c r="O454" s="348" t="s">
        <v>177</v>
      </c>
      <c r="P454" s="349">
        <v>16.517221908526199</v>
      </c>
      <c r="Q454" s="321" t="str">
        <f t="shared" si="22"/>
        <v/>
      </c>
      <c r="R454" s="318">
        <f t="shared" si="23"/>
        <v>41836</v>
      </c>
      <c r="S454" s="318" t="str">
        <f t="shared" si="24"/>
        <v/>
      </c>
    </row>
    <row r="455" spans="3:19" ht="27.75" customHeight="1">
      <c r="C455" s="345" t="s">
        <v>98</v>
      </c>
      <c r="D455" s="345" t="s">
        <v>373</v>
      </c>
      <c r="E455" s="345" t="s">
        <v>374</v>
      </c>
      <c r="F455" s="345" t="s">
        <v>375</v>
      </c>
      <c r="G455" s="346" t="s">
        <v>376</v>
      </c>
      <c r="H455" s="339" t="s">
        <v>14</v>
      </c>
      <c r="I455" s="345" t="s">
        <v>60</v>
      </c>
      <c r="J455" s="316">
        <v>41836.468055555553</v>
      </c>
      <c r="K455" s="347"/>
      <c r="L455" s="347" t="s">
        <v>378</v>
      </c>
      <c r="M455" s="348" t="s">
        <v>386</v>
      </c>
      <c r="N455" s="348" t="s">
        <v>386</v>
      </c>
      <c r="O455" s="348" t="s">
        <v>177</v>
      </c>
      <c r="P455" s="349">
        <v>16.549971767363001</v>
      </c>
      <c r="Q455" s="321" t="str">
        <f t="shared" si="22"/>
        <v/>
      </c>
      <c r="R455" s="318">
        <f t="shared" si="23"/>
        <v>41836</v>
      </c>
      <c r="S455" s="318" t="str">
        <f t="shared" si="24"/>
        <v/>
      </c>
    </row>
    <row r="456" spans="3:19" ht="27.75" customHeight="1">
      <c r="C456" s="345" t="s">
        <v>98</v>
      </c>
      <c r="D456" s="345" t="s">
        <v>373</v>
      </c>
      <c r="E456" s="345" t="s">
        <v>374</v>
      </c>
      <c r="F456" s="345" t="s">
        <v>375</v>
      </c>
      <c r="G456" s="346" t="s">
        <v>376</v>
      </c>
      <c r="H456" s="339" t="s">
        <v>14</v>
      </c>
      <c r="I456" s="345" t="s">
        <v>60</v>
      </c>
      <c r="J456" s="316">
        <v>41836.450694444444</v>
      </c>
      <c r="K456" s="347"/>
      <c r="L456" s="347" t="s">
        <v>378</v>
      </c>
      <c r="M456" s="348" t="s">
        <v>378</v>
      </c>
      <c r="N456" s="348" t="s">
        <v>378</v>
      </c>
      <c r="O456" s="348" t="s">
        <v>175</v>
      </c>
      <c r="P456" s="349">
        <v>16.582721626199898</v>
      </c>
      <c r="Q456" s="321" t="str">
        <f t="shared" si="22"/>
        <v/>
      </c>
      <c r="R456" s="318">
        <f t="shared" si="23"/>
        <v>41836</v>
      </c>
      <c r="S456" s="318" t="str">
        <f t="shared" si="24"/>
        <v/>
      </c>
    </row>
    <row r="457" spans="3:19" ht="27.75" customHeight="1">
      <c r="C457" s="345" t="s">
        <v>98</v>
      </c>
      <c r="D457" s="345" t="s">
        <v>373</v>
      </c>
      <c r="E457" s="345" t="s">
        <v>374</v>
      </c>
      <c r="F457" s="345" t="s">
        <v>375</v>
      </c>
      <c r="G457" s="346" t="s">
        <v>376</v>
      </c>
      <c r="H457" s="345" t="s">
        <v>5</v>
      </c>
      <c r="I457" s="345" t="s">
        <v>60</v>
      </c>
      <c r="J457" s="316">
        <v>41836.388888888891</v>
      </c>
      <c r="K457" s="347">
        <v>41845.388888888891</v>
      </c>
      <c r="L457" s="347" t="s">
        <v>378</v>
      </c>
      <c r="M457" s="348" t="s">
        <v>388</v>
      </c>
      <c r="N457" s="348" t="s">
        <v>388</v>
      </c>
      <c r="O457" s="348" t="s">
        <v>175</v>
      </c>
      <c r="P457" s="349">
        <v>16.6154714850367</v>
      </c>
      <c r="Q457" s="321">
        <f t="shared" si="22"/>
        <v>9</v>
      </c>
      <c r="R457" s="318">
        <f t="shared" si="23"/>
        <v>41836</v>
      </c>
      <c r="S457" s="318">
        <f t="shared" si="24"/>
        <v>41845</v>
      </c>
    </row>
    <row r="458" spans="3:19" ht="27.75" customHeight="1">
      <c r="C458" s="345" t="s">
        <v>98</v>
      </c>
      <c r="D458" s="345" t="s">
        <v>373</v>
      </c>
      <c r="E458" s="345" t="s">
        <v>374</v>
      </c>
      <c r="F458" s="345" t="s">
        <v>375</v>
      </c>
      <c r="G458" s="346" t="s">
        <v>376</v>
      </c>
      <c r="H458" s="339" t="s">
        <v>14</v>
      </c>
      <c r="I458" s="345" t="s">
        <v>60</v>
      </c>
      <c r="J458" s="316">
        <v>41836.386111111111</v>
      </c>
      <c r="K458" s="347"/>
      <c r="L458" s="347" t="s">
        <v>377</v>
      </c>
      <c r="M458" s="348" t="s">
        <v>378</v>
      </c>
      <c r="N458" s="348" t="s">
        <v>378</v>
      </c>
      <c r="O458" s="348" t="s">
        <v>175</v>
      </c>
      <c r="P458" s="349">
        <v>16.648221343873502</v>
      </c>
      <c r="Q458" s="321" t="str">
        <f t="shared" si="22"/>
        <v/>
      </c>
      <c r="R458" s="318">
        <f t="shared" si="23"/>
        <v>41836</v>
      </c>
      <c r="S458" s="318" t="str">
        <f t="shared" si="24"/>
        <v/>
      </c>
    </row>
    <row r="459" spans="3:19" ht="27.75" customHeight="1">
      <c r="C459" s="345" t="s">
        <v>98</v>
      </c>
      <c r="D459" s="345" t="s">
        <v>373</v>
      </c>
      <c r="E459" s="345" t="s">
        <v>374</v>
      </c>
      <c r="F459" s="345" t="s">
        <v>375</v>
      </c>
      <c r="G459" s="346" t="s">
        <v>376</v>
      </c>
      <c r="H459" s="339" t="s">
        <v>14</v>
      </c>
      <c r="I459" s="345" t="s">
        <v>59</v>
      </c>
      <c r="J459" s="316">
        <v>41836.381944444445</v>
      </c>
      <c r="K459" s="347"/>
      <c r="L459" s="347" t="s">
        <v>377</v>
      </c>
      <c r="M459" s="348" t="s">
        <v>378</v>
      </c>
      <c r="N459" s="348" t="s">
        <v>378</v>
      </c>
      <c r="O459" s="348" t="s">
        <v>177</v>
      </c>
      <c r="P459" s="349">
        <v>16.6809712027103</v>
      </c>
      <c r="Q459" s="321" t="str">
        <f t="shared" si="22"/>
        <v/>
      </c>
      <c r="R459" s="318">
        <f t="shared" si="23"/>
        <v>41836</v>
      </c>
      <c r="S459" s="318" t="str">
        <f t="shared" si="24"/>
        <v/>
      </c>
    </row>
    <row r="460" spans="3:19" ht="27.75" customHeight="1">
      <c r="C460" s="345" t="s">
        <v>98</v>
      </c>
      <c r="D460" s="345" t="s">
        <v>373</v>
      </c>
      <c r="E460" s="345" t="s">
        <v>374</v>
      </c>
      <c r="F460" s="345" t="s">
        <v>375</v>
      </c>
      <c r="G460" s="346" t="s">
        <v>376</v>
      </c>
      <c r="H460" s="345" t="s">
        <v>140</v>
      </c>
      <c r="I460" s="345" t="s">
        <v>60</v>
      </c>
      <c r="J460" s="316">
        <v>41835.826388888891</v>
      </c>
      <c r="K460" s="347"/>
      <c r="L460" s="347" t="s">
        <v>377</v>
      </c>
      <c r="M460" s="348" t="s">
        <v>378</v>
      </c>
      <c r="N460" s="348" t="s">
        <v>378</v>
      </c>
      <c r="O460" s="348" t="s">
        <v>177</v>
      </c>
      <c r="P460" s="349">
        <v>16.713721061547101</v>
      </c>
      <c r="Q460" s="321" t="str">
        <f t="shared" si="22"/>
        <v/>
      </c>
      <c r="R460" s="318">
        <f t="shared" si="23"/>
        <v>41835</v>
      </c>
      <c r="S460" s="318" t="str">
        <f t="shared" si="24"/>
        <v/>
      </c>
    </row>
    <row r="461" spans="3:19" ht="27.75" customHeight="1">
      <c r="C461" s="345" t="s">
        <v>98</v>
      </c>
      <c r="D461" s="345" t="s">
        <v>373</v>
      </c>
      <c r="E461" s="345" t="s">
        <v>374</v>
      </c>
      <c r="F461" s="345" t="s">
        <v>375</v>
      </c>
      <c r="G461" s="346" t="s">
        <v>376</v>
      </c>
      <c r="H461" s="345" t="s">
        <v>5</v>
      </c>
      <c r="I461" s="345" t="s">
        <v>60</v>
      </c>
      <c r="J461" s="316">
        <v>41835.81527777778</v>
      </c>
      <c r="K461" s="347">
        <v>41847.81527777778</v>
      </c>
      <c r="L461" s="347" t="s">
        <v>377</v>
      </c>
      <c r="M461" s="348" t="s">
        <v>378</v>
      </c>
      <c r="N461" s="348" t="s">
        <v>378</v>
      </c>
      <c r="O461" s="348" t="s">
        <v>177</v>
      </c>
      <c r="P461" s="349">
        <v>16.746470920383899</v>
      </c>
      <c r="Q461" s="321">
        <f t="shared" si="22"/>
        <v>12</v>
      </c>
      <c r="R461" s="318">
        <f t="shared" si="23"/>
        <v>41835</v>
      </c>
      <c r="S461" s="318">
        <f t="shared" si="24"/>
        <v>41847</v>
      </c>
    </row>
    <row r="462" spans="3:19" ht="27.75" customHeight="1">
      <c r="C462" s="345" t="s">
        <v>98</v>
      </c>
      <c r="D462" s="345" t="s">
        <v>373</v>
      </c>
      <c r="E462" s="345" t="s">
        <v>374</v>
      </c>
      <c r="F462" s="345" t="s">
        <v>375</v>
      </c>
      <c r="G462" s="346" t="s">
        <v>376</v>
      </c>
      <c r="H462" s="339" t="s">
        <v>14</v>
      </c>
      <c r="I462" s="345" t="s">
        <v>61</v>
      </c>
      <c r="J462" s="316">
        <v>41835.811111111114</v>
      </c>
      <c r="K462" s="347"/>
      <c r="L462" s="347" t="s">
        <v>377</v>
      </c>
      <c r="M462" s="348" t="s">
        <v>378</v>
      </c>
      <c r="N462" s="348" t="s">
        <v>378</v>
      </c>
      <c r="O462" s="348" t="s">
        <v>177</v>
      </c>
      <c r="P462" s="349">
        <v>16.7792207792208</v>
      </c>
      <c r="Q462" s="321" t="str">
        <f t="shared" si="22"/>
        <v/>
      </c>
      <c r="R462" s="318">
        <f t="shared" si="23"/>
        <v>41835</v>
      </c>
      <c r="S462" s="318" t="str">
        <f t="shared" si="24"/>
        <v/>
      </c>
    </row>
    <row r="463" spans="3:19" ht="27.75" customHeight="1">
      <c r="C463" s="345" t="s">
        <v>98</v>
      </c>
      <c r="D463" s="345" t="s">
        <v>373</v>
      </c>
      <c r="E463" s="345" t="s">
        <v>374</v>
      </c>
      <c r="F463" s="345" t="s">
        <v>375</v>
      </c>
      <c r="G463" s="346" t="s">
        <v>376</v>
      </c>
      <c r="H463" s="345" t="s">
        <v>5</v>
      </c>
      <c r="I463" s="345" t="s">
        <v>59</v>
      </c>
      <c r="J463" s="316">
        <v>41835.808333333334</v>
      </c>
      <c r="K463" s="347">
        <v>41843.808333333334</v>
      </c>
      <c r="L463" s="347" t="s">
        <v>377</v>
      </c>
      <c r="M463" s="348" t="s">
        <v>378</v>
      </c>
      <c r="N463" s="348" t="s">
        <v>378</v>
      </c>
      <c r="O463" s="348" t="s">
        <v>177</v>
      </c>
      <c r="P463" s="349">
        <v>16.811970638057598</v>
      </c>
      <c r="Q463" s="321">
        <f t="shared" si="22"/>
        <v>8</v>
      </c>
      <c r="R463" s="318">
        <f t="shared" si="23"/>
        <v>41835</v>
      </c>
      <c r="S463" s="318">
        <f t="shared" si="24"/>
        <v>41843</v>
      </c>
    </row>
    <row r="464" spans="3:19" ht="27.75" customHeight="1">
      <c r="C464" s="345" t="s">
        <v>98</v>
      </c>
      <c r="D464" s="345" t="s">
        <v>373</v>
      </c>
      <c r="E464" s="345" t="s">
        <v>374</v>
      </c>
      <c r="F464" s="345" t="s">
        <v>375</v>
      </c>
      <c r="G464" s="346" t="s">
        <v>376</v>
      </c>
      <c r="H464" s="339" t="s">
        <v>14</v>
      </c>
      <c r="I464" s="345" t="s">
        <v>61</v>
      </c>
      <c r="J464" s="316">
        <v>41835.803472222222</v>
      </c>
      <c r="K464" s="347"/>
      <c r="L464" s="347" t="s">
        <v>378</v>
      </c>
      <c r="M464" s="348" t="s">
        <v>389</v>
      </c>
      <c r="N464" s="348" t="s">
        <v>389</v>
      </c>
      <c r="O464" s="348" t="s">
        <v>177</v>
      </c>
      <c r="P464" s="349">
        <v>16.8447204968944</v>
      </c>
      <c r="Q464" s="321" t="str">
        <f t="shared" si="22"/>
        <v/>
      </c>
      <c r="R464" s="318">
        <f t="shared" si="23"/>
        <v>41835</v>
      </c>
      <c r="S464" s="318" t="str">
        <f t="shared" si="24"/>
        <v/>
      </c>
    </row>
    <row r="465" spans="3:19" ht="27.75" customHeight="1">
      <c r="C465" s="345" t="s">
        <v>98</v>
      </c>
      <c r="D465" s="345" t="s">
        <v>373</v>
      </c>
      <c r="E465" s="345" t="s">
        <v>374</v>
      </c>
      <c r="F465" s="345" t="s">
        <v>375</v>
      </c>
      <c r="G465" s="346" t="s">
        <v>376</v>
      </c>
      <c r="H465" s="345" t="s">
        <v>5</v>
      </c>
      <c r="I465" s="345" t="s">
        <v>60</v>
      </c>
      <c r="J465" s="316">
        <v>41835.793749999997</v>
      </c>
      <c r="K465" s="347">
        <v>41837.793749999997</v>
      </c>
      <c r="L465" s="347" t="s">
        <v>378</v>
      </c>
      <c r="M465" s="348" t="s">
        <v>382</v>
      </c>
      <c r="N465" s="348" t="s">
        <v>382</v>
      </c>
      <c r="O465" s="348" t="s">
        <v>175</v>
      </c>
      <c r="P465" s="349">
        <v>16.877470355731202</v>
      </c>
      <c r="Q465" s="321">
        <f t="shared" si="22"/>
        <v>2</v>
      </c>
      <c r="R465" s="318">
        <f t="shared" si="23"/>
        <v>41835</v>
      </c>
      <c r="S465" s="318">
        <f t="shared" si="24"/>
        <v>41837</v>
      </c>
    </row>
    <row r="466" spans="3:19" ht="27.75" customHeight="1">
      <c r="C466" s="345" t="s">
        <v>98</v>
      </c>
      <c r="D466" s="345" t="s">
        <v>373</v>
      </c>
      <c r="E466" s="345" t="s">
        <v>374</v>
      </c>
      <c r="F466" s="345" t="s">
        <v>375</v>
      </c>
      <c r="G466" s="346" t="s">
        <v>376</v>
      </c>
      <c r="H466" s="339" t="s">
        <v>14</v>
      </c>
      <c r="I466" s="345" t="s">
        <v>61</v>
      </c>
      <c r="J466" s="316">
        <v>41835.790277777778</v>
      </c>
      <c r="K466" s="347"/>
      <c r="L466" s="347" t="s">
        <v>378</v>
      </c>
      <c r="M466" s="348" t="s">
        <v>389</v>
      </c>
      <c r="N466" s="348" t="s">
        <v>389</v>
      </c>
      <c r="O466" s="348" t="s">
        <v>175</v>
      </c>
      <c r="P466" s="349">
        <v>16.910220214568</v>
      </c>
      <c r="Q466" s="321" t="str">
        <f t="shared" si="22"/>
        <v/>
      </c>
      <c r="R466" s="318">
        <f t="shared" si="23"/>
        <v>41835</v>
      </c>
      <c r="S466" s="318" t="str">
        <f t="shared" si="24"/>
        <v/>
      </c>
    </row>
    <row r="467" spans="3:19" ht="27.75" customHeight="1">
      <c r="C467" s="345" t="s">
        <v>98</v>
      </c>
      <c r="D467" s="345" t="s">
        <v>373</v>
      </c>
      <c r="E467" s="345" t="s">
        <v>374</v>
      </c>
      <c r="F467" s="345" t="s">
        <v>375</v>
      </c>
      <c r="G467" s="346" t="s">
        <v>376</v>
      </c>
      <c r="H467" s="345" t="s">
        <v>5</v>
      </c>
      <c r="I467" s="345" t="s">
        <v>61</v>
      </c>
      <c r="J467" s="316">
        <v>41835.723611111112</v>
      </c>
      <c r="K467" s="347">
        <v>41844.723611111112</v>
      </c>
      <c r="L467" s="347" t="s">
        <v>378</v>
      </c>
      <c r="M467" s="348" t="s">
        <v>378</v>
      </c>
      <c r="N467" s="348" t="s">
        <v>378</v>
      </c>
      <c r="O467" s="348" t="s">
        <v>175</v>
      </c>
      <c r="P467" s="349">
        <v>16.942970073404801</v>
      </c>
      <c r="Q467" s="321">
        <f t="shared" si="22"/>
        <v>9</v>
      </c>
      <c r="R467" s="318">
        <f t="shared" si="23"/>
        <v>41835</v>
      </c>
      <c r="S467" s="318">
        <f t="shared" si="24"/>
        <v>41844</v>
      </c>
    </row>
    <row r="468" spans="3:19" ht="27.75" customHeight="1">
      <c r="C468" s="345" t="s">
        <v>98</v>
      </c>
      <c r="D468" s="345" t="s">
        <v>373</v>
      </c>
      <c r="E468" s="345" t="s">
        <v>374</v>
      </c>
      <c r="F468" s="345" t="s">
        <v>375</v>
      </c>
      <c r="G468" s="346" t="s">
        <v>376</v>
      </c>
      <c r="H468" s="339" t="s">
        <v>14</v>
      </c>
      <c r="I468" s="345" t="s">
        <v>61</v>
      </c>
      <c r="J468" s="316">
        <v>41835.720138888886</v>
      </c>
      <c r="K468" s="347"/>
      <c r="L468" s="347" t="s">
        <v>377</v>
      </c>
      <c r="M468" s="348" t="s">
        <v>378</v>
      </c>
      <c r="N468" s="348" t="s">
        <v>378</v>
      </c>
      <c r="O468" s="348" t="s">
        <v>175</v>
      </c>
      <c r="P468" s="349">
        <v>16.975719932241599</v>
      </c>
      <c r="Q468" s="321" t="str">
        <f t="shared" si="22"/>
        <v/>
      </c>
      <c r="R468" s="318">
        <f t="shared" si="23"/>
        <v>41835</v>
      </c>
      <c r="S468" s="318" t="str">
        <f t="shared" si="24"/>
        <v/>
      </c>
    </row>
    <row r="469" spans="3:19" ht="27.75" customHeight="1">
      <c r="C469" s="345" t="s">
        <v>98</v>
      </c>
      <c r="D469" s="345" t="s">
        <v>373</v>
      </c>
      <c r="E469" s="345" t="s">
        <v>374</v>
      </c>
      <c r="F469" s="345" t="s">
        <v>375</v>
      </c>
      <c r="G469" s="346" t="s">
        <v>376</v>
      </c>
      <c r="H469" s="345" t="s">
        <v>5</v>
      </c>
      <c r="I469" s="345" t="s">
        <v>60</v>
      </c>
      <c r="J469" s="316">
        <v>41835.713194444441</v>
      </c>
      <c r="K469" s="347">
        <v>41848.713194444441</v>
      </c>
      <c r="L469" s="347" t="s">
        <v>378</v>
      </c>
      <c r="M469" s="348" t="s">
        <v>382</v>
      </c>
      <c r="N469" s="348" t="s">
        <v>382</v>
      </c>
      <c r="O469" s="348" t="s">
        <v>175</v>
      </c>
      <c r="P469" s="349">
        <v>17.0084697910785</v>
      </c>
      <c r="Q469" s="321">
        <f t="shared" si="22"/>
        <v>13</v>
      </c>
      <c r="R469" s="318">
        <f t="shared" si="23"/>
        <v>41835</v>
      </c>
      <c r="S469" s="318">
        <f t="shared" si="24"/>
        <v>41848</v>
      </c>
    </row>
    <row r="470" spans="3:19" ht="27.75" customHeight="1">
      <c r="C470" s="345" t="s">
        <v>98</v>
      </c>
      <c r="D470" s="345" t="s">
        <v>373</v>
      </c>
      <c r="E470" s="345" t="s">
        <v>374</v>
      </c>
      <c r="F470" s="345" t="s">
        <v>375</v>
      </c>
      <c r="G470" s="346" t="s">
        <v>376</v>
      </c>
      <c r="H470" s="339" t="s">
        <v>14</v>
      </c>
      <c r="I470" s="345" t="s">
        <v>61</v>
      </c>
      <c r="J470" s="316">
        <v>41835.712500000001</v>
      </c>
      <c r="K470" s="347"/>
      <c r="L470" s="347" t="s">
        <v>378</v>
      </c>
      <c r="M470" s="348" t="s">
        <v>389</v>
      </c>
      <c r="N470" s="348" t="s">
        <v>389</v>
      </c>
      <c r="O470" s="348" t="s">
        <v>175</v>
      </c>
      <c r="P470" s="349">
        <v>17.041219649915298</v>
      </c>
      <c r="Q470" s="321" t="str">
        <f t="shared" si="22"/>
        <v/>
      </c>
      <c r="R470" s="318">
        <f t="shared" si="23"/>
        <v>41835</v>
      </c>
      <c r="S470" s="318" t="str">
        <f t="shared" si="24"/>
        <v/>
      </c>
    </row>
    <row r="471" spans="3:19" ht="27.75" customHeight="1">
      <c r="C471" s="345" t="s">
        <v>98</v>
      </c>
      <c r="D471" s="345" t="s">
        <v>373</v>
      </c>
      <c r="E471" s="345" t="s">
        <v>374</v>
      </c>
      <c r="F471" s="345" t="s">
        <v>375</v>
      </c>
      <c r="G471" s="346" t="s">
        <v>376</v>
      </c>
      <c r="H471" s="345" t="s">
        <v>5</v>
      </c>
      <c r="I471" s="345" t="s">
        <v>60</v>
      </c>
      <c r="J471" s="316">
        <v>41835.707638888889</v>
      </c>
      <c r="K471" s="347">
        <v>41838.707638888889</v>
      </c>
      <c r="L471" s="347" t="s">
        <v>378</v>
      </c>
      <c r="M471" s="348" t="s">
        <v>378</v>
      </c>
      <c r="N471" s="348" t="s">
        <v>380</v>
      </c>
      <c r="O471" s="348" t="s">
        <v>175</v>
      </c>
      <c r="P471" s="349">
        <v>17.0739695087521</v>
      </c>
      <c r="Q471" s="321">
        <f t="shared" si="22"/>
        <v>3</v>
      </c>
      <c r="R471" s="318">
        <f t="shared" si="23"/>
        <v>41835</v>
      </c>
      <c r="S471" s="318">
        <f t="shared" si="24"/>
        <v>41838</v>
      </c>
    </row>
    <row r="472" spans="3:19" ht="27.75" customHeight="1">
      <c r="C472" s="345" t="s">
        <v>98</v>
      </c>
      <c r="D472" s="345" t="s">
        <v>373</v>
      </c>
      <c r="E472" s="345" t="s">
        <v>374</v>
      </c>
      <c r="F472" s="345" t="s">
        <v>375</v>
      </c>
      <c r="G472" s="346" t="s">
        <v>376</v>
      </c>
      <c r="H472" s="339" t="s">
        <v>14</v>
      </c>
      <c r="I472" s="345" t="s">
        <v>61</v>
      </c>
      <c r="J472" s="316">
        <v>41835.701388888891</v>
      </c>
      <c r="K472" s="347"/>
      <c r="L472" s="347" t="s">
        <v>378</v>
      </c>
      <c r="M472" s="348" t="s">
        <v>379</v>
      </c>
      <c r="N472" s="348" t="s">
        <v>379</v>
      </c>
      <c r="O472" s="348" t="s">
        <v>175</v>
      </c>
      <c r="P472" s="349">
        <v>17.106719367588902</v>
      </c>
      <c r="Q472" s="321" t="str">
        <f t="shared" si="22"/>
        <v/>
      </c>
      <c r="R472" s="318">
        <f t="shared" si="23"/>
        <v>41835</v>
      </c>
      <c r="S472" s="318" t="str">
        <f t="shared" si="24"/>
        <v/>
      </c>
    </row>
    <row r="473" spans="3:19" ht="27.75" customHeight="1">
      <c r="C473" s="345" t="s">
        <v>98</v>
      </c>
      <c r="D473" s="345" t="s">
        <v>373</v>
      </c>
      <c r="E473" s="345" t="s">
        <v>374</v>
      </c>
      <c r="F473" s="345" t="s">
        <v>375</v>
      </c>
      <c r="G473" s="346" t="s">
        <v>376</v>
      </c>
      <c r="H473" s="339" t="s">
        <v>14</v>
      </c>
      <c r="I473" s="345" t="s">
        <v>61</v>
      </c>
      <c r="J473" s="316">
        <v>41835.699999999997</v>
      </c>
      <c r="K473" s="347"/>
      <c r="L473" s="347" t="s">
        <v>378</v>
      </c>
      <c r="M473" s="348" t="s">
        <v>378</v>
      </c>
      <c r="N473" s="348" t="s">
        <v>380</v>
      </c>
      <c r="O473" s="348" t="s">
        <v>175</v>
      </c>
      <c r="P473" s="349">
        <v>17.1394692264257</v>
      </c>
      <c r="Q473" s="321" t="str">
        <f t="shared" si="22"/>
        <v/>
      </c>
      <c r="R473" s="318">
        <f t="shared" si="23"/>
        <v>41835</v>
      </c>
      <c r="S473" s="318" t="str">
        <f t="shared" si="24"/>
        <v/>
      </c>
    </row>
    <row r="474" spans="3:19" ht="27.75" customHeight="1">
      <c r="C474" s="345" t="s">
        <v>98</v>
      </c>
      <c r="D474" s="345" t="s">
        <v>373</v>
      </c>
      <c r="E474" s="345" t="s">
        <v>374</v>
      </c>
      <c r="F474" s="345" t="s">
        <v>375</v>
      </c>
      <c r="G474" s="346" t="s">
        <v>376</v>
      </c>
      <c r="H474" s="339" t="s">
        <v>14</v>
      </c>
      <c r="I474" s="345" t="s">
        <v>60</v>
      </c>
      <c r="J474" s="316">
        <v>41835.695833333331</v>
      </c>
      <c r="K474" s="347"/>
      <c r="L474" s="347" t="s">
        <v>378</v>
      </c>
      <c r="M474" s="348" t="s">
        <v>378</v>
      </c>
      <c r="N474" s="348" t="s">
        <v>380</v>
      </c>
      <c r="O474" s="348" t="s">
        <v>175</v>
      </c>
      <c r="P474" s="349">
        <v>17.172219085262501</v>
      </c>
      <c r="Q474" s="321" t="str">
        <f t="shared" ref="Q474:Q537" si="25">IF(ISERROR(DATEDIF(J474,K474,"D")),"",DATEDIF(J474,K474,"D"))</f>
        <v/>
      </c>
      <c r="R474" s="318">
        <f t="shared" ref="R474:R537" si="26">DATE(YEAR(J474),MONTH(J474),DAY(J474))</f>
        <v>41835</v>
      </c>
      <c r="S474" s="318" t="str">
        <f t="shared" ref="S474:S537" si="27">IF(K474&lt;&gt;"",DATE(YEAR(K474),MONTH(K474),DAY(K474)),"")</f>
        <v/>
      </c>
    </row>
    <row r="475" spans="3:19" ht="27.75" customHeight="1">
      <c r="C475" s="345" t="s">
        <v>98</v>
      </c>
      <c r="D475" s="345" t="s">
        <v>373</v>
      </c>
      <c r="E475" s="345" t="s">
        <v>374</v>
      </c>
      <c r="F475" s="345" t="s">
        <v>375</v>
      </c>
      <c r="G475" s="346" t="s">
        <v>376</v>
      </c>
      <c r="H475" s="345" t="s">
        <v>139</v>
      </c>
      <c r="I475" s="345" t="s">
        <v>60</v>
      </c>
      <c r="J475" s="316">
        <v>41835.695833333331</v>
      </c>
      <c r="K475" s="347"/>
      <c r="L475" s="347" t="s">
        <v>378</v>
      </c>
      <c r="M475" s="348" t="s">
        <v>402</v>
      </c>
      <c r="N475" s="348" t="s">
        <v>190</v>
      </c>
      <c r="O475" s="348" t="s">
        <v>175</v>
      </c>
      <c r="P475" s="349">
        <v>17.204968944099399</v>
      </c>
      <c r="Q475" s="321" t="str">
        <f t="shared" si="25"/>
        <v/>
      </c>
      <c r="R475" s="318">
        <f t="shared" si="26"/>
        <v>41835</v>
      </c>
      <c r="S475" s="318" t="str">
        <f t="shared" si="27"/>
        <v/>
      </c>
    </row>
    <row r="476" spans="3:19" ht="27.75" customHeight="1">
      <c r="C476" s="345" t="s">
        <v>98</v>
      </c>
      <c r="D476" s="345" t="s">
        <v>373</v>
      </c>
      <c r="E476" s="345" t="s">
        <v>374</v>
      </c>
      <c r="F476" s="345" t="s">
        <v>375</v>
      </c>
      <c r="G476" s="346" t="s">
        <v>376</v>
      </c>
      <c r="H476" s="345" t="s">
        <v>141</v>
      </c>
      <c r="I476" s="345" t="s">
        <v>60</v>
      </c>
      <c r="J476" s="316">
        <v>41835.691666666666</v>
      </c>
      <c r="K476" s="347"/>
      <c r="L476" s="347" t="s">
        <v>377</v>
      </c>
      <c r="M476" s="348" t="s">
        <v>378</v>
      </c>
      <c r="N476" s="348" t="s">
        <v>380</v>
      </c>
      <c r="O476" s="348" t="s">
        <v>177</v>
      </c>
      <c r="P476" s="349">
        <v>17.2377188029362</v>
      </c>
      <c r="Q476" s="321" t="str">
        <f t="shared" si="25"/>
        <v/>
      </c>
      <c r="R476" s="318">
        <f t="shared" si="26"/>
        <v>41835</v>
      </c>
      <c r="S476" s="318" t="str">
        <f t="shared" si="27"/>
        <v/>
      </c>
    </row>
    <row r="477" spans="3:19" ht="27.75" customHeight="1">
      <c r="C477" s="345" t="s">
        <v>98</v>
      </c>
      <c r="D477" s="345" t="s">
        <v>373</v>
      </c>
      <c r="E477" s="345" t="s">
        <v>374</v>
      </c>
      <c r="F477" s="345" t="s">
        <v>375</v>
      </c>
      <c r="G477" s="346" t="s">
        <v>376</v>
      </c>
      <c r="H477" s="339" t="s">
        <v>14</v>
      </c>
      <c r="I477" s="345" t="s">
        <v>61</v>
      </c>
      <c r="J477" s="316">
        <v>41835.691666666666</v>
      </c>
      <c r="K477" s="347"/>
      <c r="L477" s="347" t="s">
        <v>377</v>
      </c>
      <c r="M477" s="348" t="s">
        <v>378</v>
      </c>
      <c r="N477" s="348" t="s">
        <v>380</v>
      </c>
      <c r="O477" s="348" t="s">
        <v>177</v>
      </c>
      <c r="P477" s="349">
        <v>17.270468661772998</v>
      </c>
      <c r="Q477" s="321" t="str">
        <f t="shared" si="25"/>
        <v/>
      </c>
      <c r="R477" s="318">
        <f t="shared" si="26"/>
        <v>41835</v>
      </c>
      <c r="S477" s="318" t="str">
        <f t="shared" si="27"/>
        <v/>
      </c>
    </row>
    <row r="478" spans="3:19" ht="27.75" customHeight="1">
      <c r="C478" s="345" t="s">
        <v>98</v>
      </c>
      <c r="D478" s="345" t="s">
        <v>373</v>
      </c>
      <c r="E478" s="345" t="s">
        <v>374</v>
      </c>
      <c r="F478" s="345" t="s">
        <v>375</v>
      </c>
      <c r="G478" s="346" t="s">
        <v>376</v>
      </c>
      <c r="H478" s="339" t="s">
        <v>14</v>
      </c>
      <c r="I478" s="345" t="s">
        <v>58</v>
      </c>
      <c r="J478" s="316">
        <v>41835.676388888889</v>
      </c>
      <c r="K478" s="347"/>
      <c r="L478" s="347" t="s">
        <v>377</v>
      </c>
      <c r="M478" s="348" t="s">
        <v>378</v>
      </c>
      <c r="N478" s="348" t="s">
        <v>380</v>
      </c>
      <c r="O478" s="348" t="s">
        <v>175</v>
      </c>
      <c r="P478" s="349">
        <v>17.3032185206098</v>
      </c>
      <c r="Q478" s="321" t="str">
        <f t="shared" si="25"/>
        <v/>
      </c>
      <c r="R478" s="318">
        <f t="shared" si="26"/>
        <v>41835</v>
      </c>
      <c r="S478" s="318" t="str">
        <f t="shared" si="27"/>
        <v/>
      </c>
    </row>
    <row r="479" spans="3:19" ht="27.75" customHeight="1">
      <c r="C479" s="345" t="s">
        <v>98</v>
      </c>
      <c r="D479" s="345" t="s">
        <v>373</v>
      </c>
      <c r="E479" s="345" t="s">
        <v>374</v>
      </c>
      <c r="F479" s="345" t="s">
        <v>375</v>
      </c>
      <c r="G479" s="346" t="s">
        <v>376</v>
      </c>
      <c r="H479" s="345" t="s">
        <v>5</v>
      </c>
      <c r="I479" s="345" t="s">
        <v>59</v>
      </c>
      <c r="J479" s="316">
        <v>41835.675694444442</v>
      </c>
      <c r="K479" s="347">
        <v>41845.675694444442</v>
      </c>
      <c r="L479" s="347" t="s">
        <v>377</v>
      </c>
      <c r="M479" s="348" t="s">
        <v>378</v>
      </c>
      <c r="N479" s="348" t="s">
        <v>380</v>
      </c>
      <c r="O479" s="348" t="s">
        <v>175</v>
      </c>
      <c r="P479" s="349">
        <v>17.335968379446602</v>
      </c>
      <c r="Q479" s="321">
        <f t="shared" si="25"/>
        <v>10</v>
      </c>
      <c r="R479" s="318">
        <f t="shared" si="26"/>
        <v>41835</v>
      </c>
      <c r="S479" s="318">
        <f t="shared" si="27"/>
        <v>41845</v>
      </c>
    </row>
    <row r="480" spans="3:19" ht="27.75" customHeight="1">
      <c r="C480" s="345" t="s">
        <v>98</v>
      </c>
      <c r="D480" s="345" t="s">
        <v>373</v>
      </c>
      <c r="E480" s="345" t="s">
        <v>374</v>
      </c>
      <c r="F480" s="345" t="s">
        <v>375</v>
      </c>
      <c r="G480" s="346" t="s">
        <v>376</v>
      </c>
      <c r="H480" s="339" t="s">
        <v>14</v>
      </c>
      <c r="I480" s="345" t="s">
        <v>60</v>
      </c>
      <c r="J480" s="316">
        <v>41835.666666666664</v>
      </c>
      <c r="K480" s="347"/>
      <c r="L480" s="347" t="s">
        <v>377</v>
      </c>
      <c r="M480" s="348" t="s">
        <v>378</v>
      </c>
      <c r="N480" s="348" t="s">
        <v>380</v>
      </c>
      <c r="O480" s="348" t="s">
        <v>175</v>
      </c>
      <c r="P480" s="349">
        <v>17.3687182382834</v>
      </c>
      <c r="Q480" s="321" t="str">
        <f t="shared" si="25"/>
        <v/>
      </c>
      <c r="R480" s="318">
        <f t="shared" si="26"/>
        <v>41835</v>
      </c>
      <c r="S480" s="318" t="str">
        <f t="shared" si="27"/>
        <v/>
      </c>
    </row>
    <row r="481" spans="3:19" ht="27.75" customHeight="1">
      <c r="C481" s="345" t="s">
        <v>98</v>
      </c>
      <c r="D481" s="345" t="s">
        <v>373</v>
      </c>
      <c r="E481" s="345" t="s">
        <v>374</v>
      </c>
      <c r="F481" s="345" t="s">
        <v>375</v>
      </c>
      <c r="G481" s="346" t="s">
        <v>376</v>
      </c>
      <c r="H481" s="339" t="s">
        <v>14</v>
      </c>
      <c r="I481" s="345" t="s">
        <v>59</v>
      </c>
      <c r="J481" s="316">
        <v>41835.657638888886</v>
      </c>
      <c r="K481" s="347"/>
      <c r="L481" s="347" t="s">
        <v>377</v>
      </c>
      <c r="M481" s="348" t="s">
        <v>378</v>
      </c>
      <c r="N481" s="348" t="s">
        <v>380</v>
      </c>
      <c r="O481" s="348" t="s">
        <v>177</v>
      </c>
      <c r="P481" s="349">
        <v>17.401468097120201</v>
      </c>
      <c r="Q481" s="321" t="str">
        <f t="shared" si="25"/>
        <v/>
      </c>
      <c r="R481" s="318">
        <f t="shared" si="26"/>
        <v>41835</v>
      </c>
      <c r="S481" s="318" t="str">
        <f t="shared" si="27"/>
        <v/>
      </c>
    </row>
    <row r="482" spans="3:19" ht="27.75" customHeight="1">
      <c r="C482" s="345" t="s">
        <v>98</v>
      </c>
      <c r="D482" s="345" t="s">
        <v>373</v>
      </c>
      <c r="E482" s="345" t="s">
        <v>374</v>
      </c>
      <c r="F482" s="345" t="s">
        <v>375</v>
      </c>
      <c r="G482" s="346" t="s">
        <v>376</v>
      </c>
      <c r="H482" s="339" t="s">
        <v>14</v>
      </c>
      <c r="I482" s="345" t="s">
        <v>60</v>
      </c>
      <c r="J482" s="316">
        <v>41835.649305555555</v>
      </c>
      <c r="K482" s="347"/>
      <c r="L482" s="347" t="s">
        <v>377</v>
      </c>
      <c r="M482" s="348" t="s">
        <v>378</v>
      </c>
      <c r="N482" s="348" t="s">
        <v>380</v>
      </c>
      <c r="O482" s="348" t="s">
        <v>177</v>
      </c>
      <c r="P482" s="349">
        <v>17.434217955957099</v>
      </c>
      <c r="Q482" s="321" t="str">
        <f t="shared" si="25"/>
        <v/>
      </c>
      <c r="R482" s="318">
        <f t="shared" si="26"/>
        <v>41835</v>
      </c>
      <c r="S482" s="318" t="str">
        <f t="shared" si="27"/>
        <v/>
      </c>
    </row>
    <row r="483" spans="3:19" ht="27.75" customHeight="1">
      <c r="C483" s="345" t="s">
        <v>98</v>
      </c>
      <c r="D483" s="345" t="s">
        <v>373</v>
      </c>
      <c r="E483" s="345" t="s">
        <v>374</v>
      </c>
      <c r="F483" s="345" t="s">
        <v>375</v>
      </c>
      <c r="G483" s="346" t="s">
        <v>376</v>
      </c>
      <c r="H483" s="339" t="s">
        <v>14</v>
      </c>
      <c r="I483" s="345" t="s">
        <v>60</v>
      </c>
      <c r="J483" s="316">
        <v>41835.646527777775</v>
      </c>
      <c r="K483" s="347"/>
      <c r="L483" s="347" t="s">
        <v>377</v>
      </c>
      <c r="M483" s="348" t="s">
        <v>378</v>
      </c>
      <c r="N483" s="348" t="s">
        <v>380</v>
      </c>
      <c r="O483" s="348" t="s">
        <v>177</v>
      </c>
      <c r="P483" s="349">
        <v>17.4669678147939</v>
      </c>
      <c r="Q483" s="321" t="str">
        <f t="shared" si="25"/>
        <v/>
      </c>
      <c r="R483" s="318">
        <f t="shared" si="26"/>
        <v>41835</v>
      </c>
      <c r="S483" s="318" t="str">
        <f t="shared" si="27"/>
        <v/>
      </c>
    </row>
    <row r="484" spans="3:19" ht="27.75" customHeight="1">
      <c r="C484" s="345" t="s">
        <v>98</v>
      </c>
      <c r="D484" s="345" t="s">
        <v>373</v>
      </c>
      <c r="E484" s="345" t="s">
        <v>374</v>
      </c>
      <c r="F484" s="345" t="s">
        <v>375</v>
      </c>
      <c r="G484" s="346" t="s">
        <v>376</v>
      </c>
      <c r="H484" s="345" t="s">
        <v>5</v>
      </c>
      <c r="I484" s="345" t="s">
        <v>60</v>
      </c>
      <c r="J484" s="316">
        <v>41835.643055555556</v>
      </c>
      <c r="K484" s="347">
        <v>41847.643055555556</v>
      </c>
      <c r="L484" s="347" t="s">
        <v>377</v>
      </c>
      <c r="M484" s="348" t="s">
        <v>390</v>
      </c>
      <c r="N484" s="348" t="s">
        <v>390</v>
      </c>
      <c r="O484" s="348" t="s">
        <v>177</v>
      </c>
      <c r="P484" s="349">
        <v>17.499717673630698</v>
      </c>
      <c r="Q484" s="321">
        <f t="shared" si="25"/>
        <v>12</v>
      </c>
      <c r="R484" s="318">
        <f t="shared" si="26"/>
        <v>41835</v>
      </c>
      <c r="S484" s="318">
        <f t="shared" si="27"/>
        <v>41847</v>
      </c>
    </row>
    <row r="485" spans="3:19" ht="27.75" customHeight="1">
      <c r="C485" s="345" t="s">
        <v>98</v>
      </c>
      <c r="D485" s="345" t="s">
        <v>373</v>
      </c>
      <c r="E485" s="345" t="s">
        <v>374</v>
      </c>
      <c r="F485" s="345" t="s">
        <v>375</v>
      </c>
      <c r="G485" s="346" t="s">
        <v>376</v>
      </c>
      <c r="H485" s="345" t="s">
        <v>5</v>
      </c>
      <c r="I485" s="345" t="s">
        <v>60</v>
      </c>
      <c r="J485" s="316">
        <v>41835.64166666667</v>
      </c>
      <c r="K485" s="347">
        <v>41837.64166666667</v>
      </c>
      <c r="L485" s="347" t="s">
        <v>188</v>
      </c>
      <c r="M485" s="348" t="s">
        <v>382</v>
      </c>
      <c r="N485" s="348" t="s">
        <v>382</v>
      </c>
      <c r="O485" s="348" t="s">
        <v>177</v>
      </c>
      <c r="P485" s="349">
        <v>17.5324675324675</v>
      </c>
      <c r="Q485" s="321">
        <f t="shared" si="25"/>
        <v>2</v>
      </c>
      <c r="R485" s="318">
        <f t="shared" si="26"/>
        <v>41835</v>
      </c>
      <c r="S485" s="318">
        <f t="shared" si="27"/>
        <v>41837</v>
      </c>
    </row>
    <row r="486" spans="3:19" ht="27.75" customHeight="1">
      <c r="C486" s="345" t="s">
        <v>98</v>
      </c>
      <c r="D486" s="345" t="s">
        <v>373</v>
      </c>
      <c r="E486" s="345" t="s">
        <v>374</v>
      </c>
      <c r="F486" s="345" t="s">
        <v>375</v>
      </c>
      <c r="G486" s="346" t="s">
        <v>376</v>
      </c>
      <c r="H486" s="345" t="s">
        <v>14</v>
      </c>
      <c r="I486" s="345" t="s">
        <v>60</v>
      </c>
      <c r="J486" s="316">
        <v>41835.635416666664</v>
      </c>
      <c r="K486" s="347"/>
      <c r="L486" s="347" t="s">
        <v>377</v>
      </c>
      <c r="M486" s="348" t="s">
        <v>378</v>
      </c>
      <c r="N486" s="348" t="s">
        <v>380</v>
      </c>
      <c r="O486" s="348" t="s">
        <v>177</v>
      </c>
      <c r="P486" s="349">
        <v>17.565217391304301</v>
      </c>
      <c r="Q486" s="321" t="str">
        <f t="shared" si="25"/>
        <v/>
      </c>
      <c r="R486" s="318">
        <f t="shared" si="26"/>
        <v>41835</v>
      </c>
      <c r="S486" s="318" t="str">
        <f t="shared" si="27"/>
        <v/>
      </c>
    </row>
    <row r="487" spans="3:19" ht="27.75" customHeight="1">
      <c r="C487" s="345" t="s">
        <v>98</v>
      </c>
      <c r="D487" s="345" t="s">
        <v>373</v>
      </c>
      <c r="E487" s="345" t="s">
        <v>374</v>
      </c>
      <c r="F487" s="345" t="s">
        <v>375</v>
      </c>
      <c r="G487" s="346" t="s">
        <v>376</v>
      </c>
      <c r="H487" s="339" t="s">
        <v>14</v>
      </c>
      <c r="I487" s="345" t="s">
        <v>60</v>
      </c>
      <c r="J487" s="316">
        <v>41835.621527777781</v>
      </c>
      <c r="K487" s="347"/>
      <c r="L487" s="347" t="s">
        <v>188</v>
      </c>
      <c r="M487" s="348" t="s">
        <v>382</v>
      </c>
      <c r="N487" s="348" t="s">
        <v>382</v>
      </c>
      <c r="O487" s="348" t="s">
        <v>175</v>
      </c>
      <c r="P487" s="349">
        <v>17.5979672501411</v>
      </c>
      <c r="Q487" s="321" t="str">
        <f t="shared" si="25"/>
        <v/>
      </c>
      <c r="R487" s="318">
        <f t="shared" si="26"/>
        <v>41835</v>
      </c>
      <c r="S487" s="318" t="str">
        <f t="shared" si="27"/>
        <v/>
      </c>
    </row>
    <row r="488" spans="3:19" ht="27.75" customHeight="1">
      <c r="C488" s="345" t="s">
        <v>98</v>
      </c>
      <c r="D488" s="345" t="s">
        <v>373</v>
      </c>
      <c r="E488" s="345" t="s">
        <v>374</v>
      </c>
      <c r="F488" s="345" t="s">
        <v>375</v>
      </c>
      <c r="G488" s="346" t="s">
        <v>376</v>
      </c>
      <c r="H488" s="345" t="s">
        <v>14</v>
      </c>
      <c r="I488" s="345" t="s">
        <v>60</v>
      </c>
      <c r="J488" s="316">
        <v>41835.620138888888</v>
      </c>
      <c r="K488" s="347"/>
      <c r="L488" s="347" t="s">
        <v>188</v>
      </c>
      <c r="M488" s="348" t="s">
        <v>382</v>
      </c>
      <c r="N488" s="348" t="s">
        <v>382</v>
      </c>
      <c r="O488" s="348" t="s">
        <v>175</v>
      </c>
      <c r="P488" s="349">
        <v>17.630717108978001</v>
      </c>
      <c r="Q488" s="321" t="str">
        <f t="shared" si="25"/>
        <v/>
      </c>
      <c r="R488" s="318">
        <f t="shared" si="26"/>
        <v>41835</v>
      </c>
      <c r="S488" s="318" t="str">
        <f t="shared" si="27"/>
        <v/>
      </c>
    </row>
    <row r="489" spans="3:19" ht="27.75" customHeight="1">
      <c r="C489" s="345" t="s">
        <v>98</v>
      </c>
      <c r="D489" s="345" t="s">
        <v>373</v>
      </c>
      <c r="E489" s="345" t="s">
        <v>374</v>
      </c>
      <c r="F489" s="345" t="s">
        <v>375</v>
      </c>
      <c r="G489" s="346" t="s">
        <v>376</v>
      </c>
      <c r="H489" s="345" t="s">
        <v>14</v>
      </c>
      <c r="I489" s="345" t="s">
        <v>60</v>
      </c>
      <c r="J489" s="316">
        <v>41835.611805555556</v>
      </c>
      <c r="K489" s="347"/>
      <c r="L489" s="347" t="s">
        <v>378</v>
      </c>
      <c r="M489" s="348" t="s">
        <v>382</v>
      </c>
      <c r="N489" s="348" t="s">
        <v>382</v>
      </c>
      <c r="O489" s="348" t="s">
        <v>175</v>
      </c>
      <c r="P489" s="349">
        <v>17.663466967814799</v>
      </c>
      <c r="Q489" s="321" t="str">
        <f t="shared" si="25"/>
        <v/>
      </c>
      <c r="R489" s="318">
        <f t="shared" si="26"/>
        <v>41835</v>
      </c>
      <c r="S489" s="318" t="str">
        <f t="shared" si="27"/>
        <v/>
      </c>
    </row>
    <row r="490" spans="3:19" ht="27.75" customHeight="1">
      <c r="C490" s="345" t="s">
        <v>98</v>
      </c>
      <c r="D490" s="345" t="s">
        <v>373</v>
      </c>
      <c r="E490" s="345" t="s">
        <v>374</v>
      </c>
      <c r="F490" s="345" t="s">
        <v>375</v>
      </c>
      <c r="G490" s="346" t="s">
        <v>376</v>
      </c>
      <c r="H490" s="339" t="s">
        <v>14</v>
      </c>
      <c r="I490" s="345" t="s">
        <v>60</v>
      </c>
      <c r="J490" s="316">
        <v>41835.60833333333</v>
      </c>
      <c r="K490" s="347"/>
      <c r="L490" s="347" t="s">
        <v>377</v>
      </c>
      <c r="M490" s="348" t="s">
        <v>378</v>
      </c>
      <c r="N490" s="348" t="s">
        <v>380</v>
      </c>
      <c r="O490" s="348" t="s">
        <v>175</v>
      </c>
      <c r="P490" s="349">
        <v>17.6962168266516</v>
      </c>
      <c r="Q490" s="321" t="str">
        <f t="shared" si="25"/>
        <v/>
      </c>
      <c r="R490" s="318">
        <f t="shared" si="26"/>
        <v>41835</v>
      </c>
      <c r="S490" s="318" t="str">
        <f t="shared" si="27"/>
        <v/>
      </c>
    </row>
    <row r="491" spans="3:19" ht="27.75" customHeight="1">
      <c r="C491" s="345" t="s">
        <v>98</v>
      </c>
      <c r="D491" s="345" t="s">
        <v>373</v>
      </c>
      <c r="E491" s="345" t="s">
        <v>374</v>
      </c>
      <c r="F491" s="345" t="s">
        <v>375</v>
      </c>
      <c r="G491" s="346" t="s">
        <v>376</v>
      </c>
      <c r="H491" s="339" t="s">
        <v>14</v>
      </c>
      <c r="I491" s="345" t="s">
        <v>60</v>
      </c>
      <c r="J491" s="316">
        <v>41835.602777777778</v>
      </c>
      <c r="K491" s="347"/>
      <c r="L491" s="347" t="s">
        <v>188</v>
      </c>
      <c r="M491" s="348" t="s">
        <v>378</v>
      </c>
      <c r="N491" s="348" t="s">
        <v>380</v>
      </c>
      <c r="O491" s="348" t="s">
        <v>175</v>
      </c>
      <c r="P491" s="349">
        <v>17.728966685488398</v>
      </c>
      <c r="Q491" s="321" t="str">
        <f t="shared" si="25"/>
        <v/>
      </c>
      <c r="R491" s="318">
        <f t="shared" si="26"/>
        <v>41835</v>
      </c>
      <c r="S491" s="318" t="str">
        <f t="shared" si="27"/>
        <v/>
      </c>
    </row>
    <row r="492" spans="3:19" ht="27.75" customHeight="1">
      <c r="C492" s="345" t="s">
        <v>98</v>
      </c>
      <c r="D492" s="345" t="s">
        <v>373</v>
      </c>
      <c r="E492" s="345" t="s">
        <v>374</v>
      </c>
      <c r="F492" s="345" t="s">
        <v>375</v>
      </c>
      <c r="G492" s="346" t="s">
        <v>376</v>
      </c>
      <c r="H492" s="345" t="s">
        <v>5</v>
      </c>
      <c r="I492" s="345" t="s">
        <v>60</v>
      </c>
      <c r="J492" s="316">
        <v>41835.602083333331</v>
      </c>
      <c r="K492" s="347">
        <v>41839.602083333331</v>
      </c>
      <c r="L492" s="347" t="s">
        <v>188</v>
      </c>
      <c r="M492" s="348" t="s">
        <v>378</v>
      </c>
      <c r="N492" s="348" t="s">
        <v>380</v>
      </c>
      <c r="O492" s="348" t="s">
        <v>175</v>
      </c>
      <c r="P492" s="349">
        <v>17.7617165443252</v>
      </c>
      <c r="Q492" s="321">
        <f t="shared" si="25"/>
        <v>4</v>
      </c>
      <c r="R492" s="318">
        <f t="shared" si="26"/>
        <v>41835</v>
      </c>
      <c r="S492" s="318">
        <f t="shared" si="27"/>
        <v>41839</v>
      </c>
    </row>
    <row r="493" spans="3:19" ht="27.75" customHeight="1">
      <c r="C493" s="345" t="s">
        <v>98</v>
      </c>
      <c r="D493" s="345" t="s">
        <v>373</v>
      </c>
      <c r="E493" s="345" t="s">
        <v>374</v>
      </c>
      <c r="F493" s="345" t="s">
        <v>375</v>
      </c>
      <c r="G493" s="346" t="s">
        <v>376</v>
      </c>
      <c r="H493" s="345" t="s">
        <v>384</v>
      </c>
      <c r="I493" s="345" t="s">
        <v>60</v>
      </c>
      <c r="J493" s="316">
        <v>41835.601388888892</v>
      </c>
      <c r="K493" s="347"/>
      <c r="L493" s="347" t="s">
        <v>188</v>
      </c>
      <c r="M493" s="348" t="s">
        <v>378</v>
      </c>
      <c r="N493" s="348" t="s">
        <v>380</v>
      </c>
      <c r="O493" s="348" t="s">
        <v>175</v>
      </c>
      <c r="P493" s="349">
        <v>17.794466403162001</v>
      </c>
      <c r="Q493" s="321" t="str">
        <f t="shared" si="25"/>
        <v/>
      </c>
      <c r="R493" s="318">
        <f t="shared" si="26"/>
        <v>41835</v>
      </c>
      <c r="S493" s="318" t="str">
        <f t="shared" si="27"/>
        <v/>
      </c>
    </row>
    <row r="494" spans="3:19" ht="27.75" customHeight="1">
      <c r="C494" s="345" t="s">
        <v>98</v>
      </c>
      <c r="D494" s="345" t="s">
        <v>373</v>
      </c>
      <c r="E494" s="345" t="s">
        <v>374</v>
      </c>
      <c r="F494" s="345" t="s">
        <v>375</v>
      </c>
      <c r="G494" s="346" t="s">
        <v>376</v>
      </c>
      <c r="H494" s="339" t="s">
        <v>14</v>
      </c>
      <c r="I494" s="345" t="s">
        <v>60</v>
      </c>
      <c r="J494" s="316">
        <v>41835.599305555559</v>
      </c>
      <c r="K494" s="347"/>
      <c r="L494" s="347" t="s">
        <v>188</v>
      </c>
      <c r="M494" s="348" t="s">
        <v>378</v>
      </c>
      <c r="N494" s="348" t="s">
        <v>380</v>
      </c>
      <c r="O494" s="348" t="s">
        <v>175</v>
      </c>
      <c r="P494" s="349">
        <v>17.827216261998899</v>
      </c>
      <c r="Q494" s="321" t="str">
        <f t="shared" si="25"/>
        <v/>
      </c>
      <c r="R494" s="318">
        <f t="shared" si="26"/>
        <v>41835</v>
      </c>
      <c r="S494" s="318" t="str">
        <f t="shared" si="27"/>
        <v/>
      </c>
    </row>
    <row r="495" spans="3:19" ht="27.75" customHeight="1">
      <c r="C495" s="345" t="s">
        <v>98</v>
      </c>
      <c r="D495" s="345" t="s">
        <v>373</v>
      </c>
      <c r="E495" s="345" t="s">
        <v>374</v>
      </c>
      <c r="F495" s="345" t="s">
        <v>375</v>
      </c>
      <c r="G495" s="346" t="s">
        <v>376</v>
      </c>
      <c r="H495" s="339" t="s">
        <v>14</v>
      </c>
      <c r="I495" s="345" t="s">
        <v>61</v>
      </c>
      <c r="J495" s="316">
        <v>41835.59097222222</v>
      </c>
      <c r="K495" s="347"/>
      <c r="L495" s="347" t="s">
        <v>188</v>
      </c>
      <c r="M495" s="348" t="s">
        <v>378</v>
      </c>
      <c r="N495" s="348" t="s">
        <v>380</v>
      </c>
      <c r="O495" s="348" t="s">
        <v>175</v>
      </c>
      <c r="P495" s="349">
        <v>17.859966120835701</v>
      </c>
      <c r="Q495" s="321" t="str">
        <f t="shared" si="25"/>
        <v/>
      </c>
      <c r="R495" s="318">
        <f t="shared" si="26"/>
        <v>41835</v>
      </c>
      <c r="S495" s="318" t="str">
        <f t="shared" si="27"/>
        <v/>
      </c>
    </row>
    <row r="496" spans="3:19" ht="27.75" customHeight="1">
      <c r="C496" s="345" t="s">
        <v>98</v>
      </c>
      <c r="D496" s="345" t="s">
        <v>373</v>
      </c>
      <c r="E496" s="345" t="s">
        <v>374</v>
      </c>
      <c r="F496" s="345" t="s">
        <v>375</v>
      </c>
      <c r="G496" s="346" t="s">
        <v>376</v>
      </c>
      <c r="H496" s="345" t="s">
        <v>14</v>
      </c>
      <c r="I496" s="345" t="s">
        <v>60</v>
      </c>
      <c r="J496" s="316">
        <v>41835.586111111108</v>
      </c>
      <c r="K496" s="347"/>
      <c r="L496" s="347" t="s">
        <v>188</v>
      </c>
      <c r="M496" s="348" t="s">
        <v>378</v>
      </c>
      <c r="N496" s="348" t="s">
        <v>378</v>
      </c>
      <c r="O496" s="348" t="s">
        <v>175</v>
      </c>
      <c r="P496" s="349">
        <v>17.892715979672499</v>
      </c>
      <c r="Q496" s="321" t="str">
        <f t="shared" si="25"/>
        <v/>
      </c>
      <c r="R496" s="318">
        <f t="shared" si="26"/>
        <v>41835</v>
      </c>
      <c r="S496" s="318" t="str">
        <f t="shared" si="27"/>
        <v/>
      </c>
    </row>
    <row r="497" spans="3:19" ht="27.75" customHeight="1">
      <c r="C497" s="345" t="s">
        <v>98</v>
      </c>
      <c r="D497" s="345" t="s">
        <v>373</v>
      </c>
      <c r="E497" s="345" t="s">
        <v>374</v>
      </c>
      <c r="F497" s="345" t="s">
        <v>375</v>
      </c>
      <c r="G497" s="346" t="s">
        <v>376</v>
      </c>
      <c r="H497" s="345" t="s">
        <v>14</v>
      </c>
      <c r="I497" s="345" t="s">
        <v>60</v>
      </c>
      <c r="J497" s="316">
        <v>41835.564583333333</v>
      </c>
      <c r="K497" s="347"/>
      <c r="L497" s="347" t="s">
        <v>188</v>
      </c>
      <c r="M497" s="348" t="s">
        <v>378</v>
      </c>
      <c r="N497" s="348" t="s">
        <v>400</v>
      </c>
      <c r="O497" s="348" t="s">
        <v>175</v>
      </c>
      <c r="P497" s="349">
        <v>17.9254658385093</v>
      </c>
      <c r="Q497" s="321" t="str">
        <f t="shared" si="25"/>
        <v/>
      </c>
      <c r="R497" s="318">
        <f t="shared" si="26"/>
        <v>41835</v>
      </c>
      <c r="S497" s="318" t="str">
        <f t="shared" si="27"/>
        <v/>
      </c>
    </row>
    <row r="498" spans="3:19" ht="27.75" customHeight="1">
      <c r="C498" s="345" t="s">
        <v>98</v>
      </c>
      <c r="D498" s="345" t="s">
        <v>373</v>
      </c>
      <c r="E498" s="345" t="s">
        <v>374</v>
      </c>
      <c r="F498" s="345" t="s">
        <v>375</v>
      </c>
      <c r="G498" s="346" t="s">
        <v>376</v>
      </c>
      <c r="H498" s="345" t="s">
        <v>5</v>
      </c>
      <c r="I498" s="345" t="s">
        <v>60</v>
      </c>
      <c r="J498" s="316">
        <v>41835.549305555556</v>
      </c>
      <c r="K498" s="347">
        <v>41847.549305555556</v>
      </c>
      <c r="L498" s="347" t="s">
        <v>188</v>
      </c>
      <c r="M498" s="348" t="s">
        <v>378</v>
      </c>
      <c r="N498" s="348" t="s">
        <v>400</v>
      </c>
      <c r="O498" s="348" t="s">
        <v>177</v>
      </c>
      <c r="P498" s="349">
        <v>17.958215697346098</v>
      </c>
      <c r="Q498" s="321">
        <f t="shared" si="25"/>
        <v>12</v>
      </c>
      <c r="R498" s="318">
        <f t="shared" si="26"/>
        <v>41835</v>
      </c>
      <c r="S498" s="318">
        <f t="shared" si="27"/>
        <v>41847</v>
      </c>
    </row>
    <row r="499" spans="3:19" ht="27.75" customHeight="1">
      <c r="C499" s="345" t="s">
        <v>98</v>
      </c>
      <c r="D499" s="345" t="s">
        <v>373</v>
      </c>
      <c r="E499" s="345" t="s">
        <v>374</v>
      </c>
      <c r="F499" s="345" t="s">
        <v>375</v>
      </c>
      <c r="G499" s="346" t="s">
        <v>376</v>
      </c>
      <c r="H499" s="345" t="s">
        <v>14</v>
      </c>
      <c r="I499" s="345" t="s">
        <v>60</v>
      </c>
      <c r="J499" s="316">
        <v>41835.545138888891</v>
      </c>
      <c r="K499" s="347"/>
      <c r="L499" s="347" t="s">
        <v>188</v>
      </c>
      <c r="M499" s="348" t="s">
        <v>378</v>
      </c>
      <c r="N499" s="348" t="s">
        <v>400</v>
      </c>
      <c r="O499" s="348" t="s">
        <v>177</v>
      </c>
      <c r="P499" s="349">
        <v>17.9909655561829</v>
      </c>
      <c r="Q499" s="321" t="str">
        <f t="shared" si="25"/>
        <v/>
      </c>
      <c r="R499" s="318">
        <f t="shared" si="26"/>
        <v>41835</v>
      </c>
      <c r="S499" s="318" t="str">
        <f t="shared" si="27"/>
        <v/>
      </c>
    </row>
    <row r="500" spans="3:19" ht="27.75" customHeight="1">
      <c r="C500" s="345" t="s">
        <v>98</v>
      </c>
      <c r="D500" s="345" t="s">
        <v>373</v>
      </c>
      <c r="E500" s="345" t="s">
        <v>374</v>
      </c>
      <c r="F500" s="345" t="s">
        <v>375</v>
      </c>
      <c r="G500" s="346" t="s">
        <v>376</v>
      </c>
      <c r="H500" s="345" t="s">
        <v>14</v>
      </c>
      <c r="I500" s="345" t="s">
        <v>60</v>
      </c>
      <c r="J500" s="316">
        <v>41835.540972222225</v>
      </c>
      <c r="K500" s="347"/>
      <c r="L500" s="347" t="s">
        <v>188</v>
      </c>
      <c r="M500" s="348" t="s">
        <v>378</v>
      </c>
      <c r="N500" s="348" t="s">
        <v>400</v>
      </c>
      <c r="O500" s="348" t="s">
        <v>175</v>
      </c>
      <c r="P500" s="349">
        <v>18.023715415019701</v>
      </c>
      <c r="Q500" s="321" t="str">
        <f t="shared" si="25"/>
        <v/>
      </c>
      <c r="R500" s="318">
        <f t="shared" si="26"/>
        <v>41835</v>
      </c>
      <c r="S500" s="318" t="str">
        <f t="shared" si="27"/>
        <v/>
      </c>
    </row>
    <row r="501" spans="3:19" ht="27.75" customHeight="1">
      <c r="C501" s="345" t="s">
        <v>98</v>
      </c>
      <c r="D501" s="345" t="s">
        <v>373</v>
      </c>
      <c r="E501" s="345" t="s">
        <v>374</v>
      </c>
      <c r="F501" s="345" t="s">
        <v>375</v>
      </c>
      <c r="G501" s="346" t="s">
        <v>376</v>
      </c>
      <c r="H501" s="339" t="s">
        <v>14</v>
      </c>
      <c r="I501" s="345" t="s">
        <v>60</v>
      </c>
      <c r="J501" s="316">
        <v>41835.534722222219</v>
      </c>
      <c r="K501" s="347"/>
      <c r="L501" s="347" t="s">
        <v>378</v>
      </c>
      <c r="M501" s="348" t="s">
        <v>386</v>
      </c>
      <c r="N501" s="348" t="s">
        <v>386</v>
      </c>
      <c r="O501" s="348" t="s">
        <v>175</v>
      </c>
      <c r="P501" s="349">
        <v>18.056465273856599</v>
      </c>
      <c r="Q501" s="321" t="str">
        <f t="shared" si="25"/>
        <v/>
      </c>
      <c r="R501" s="318">
        <f t="shared" si="26"/>
        <v>41835</v>
      </c>
      <c r="S501" s="318" t="str">
        <f t="shared" si="27"/>
        <v/>
      </c>
    </row>
    <row r="502" spans="3:19" ht="27.75" customHeight="1">
      <c r="C502" s="345" t="s">
        <v>98</v>
      </c>
      <c r="D502" s="345" t="s">
        <v>373</v>
      </c>
      <c r="E502" s="345" t="s">
        <v>374</v>
      </c>
      <c r="F502" s="345" t="s">
        <v>375</v>
      </c>
      <c r="G502" s="346" t="s">
        <v>376</v>
      </c>
      <c r="H502" s="345" t="s">
        <v>14</v>
      </c>
      <c r="I502" s="345" t="s">
        <v>60</v>
      </c>
      <c r="J502" s="316">
        <v>41835.526388888888</v>
      </c>
      <c r="K502" s="347"/>
      <c r="L502" s="347" t="s">
        <v>378</v>
      </c>
      <c r="M502" s="348" t="s">
        <v>386</v>
      </c>
      <c r="N502" s="348" t="s">
        <v>386</v>
      </c>
      <c r="O502" s="348" t="s">
        <v>175</v>
      </c>
      <c r="P502" s="349">
        <v>18.089215132693401</v>
      </c>
      <c r="Q502" s="321" t="str">
        <f t="shared" si="25"/>
        <v/>
      </c>
      <c r="R502" s="318">
        <f t="shared" si="26"/>
        <v>41835</v>
      </c>
      <c r="S502" s="318" t="str">
        <f t="shared" si="27"/>
        <v/>
      </c>
    </row>
    <row r="503" spans="3:19" ht="27.75" customHeight="1">
      <c r="C503" s="345" t="s">
        <v>98</v>
      </c>
      <c r="D503" s="345" t="s">
        <v>373</v>
      </c>
      <c r="E503" s="345" t="s">
        <v>374</v>
      </c>
      <c r="F503" s="345" t="s">
        <v>375</v>
      </c>
      <c r="G503" s="346" t="s">
        <v>376</v>
      </c>
      <c r="H503" s="345" t="s">
        <v>5</v>
      </c>
      <c r="I503" s="345" t="s">
        <v>60</v>
      </c>
      <c r="J503" s="316">
        <v>41835.525694444441</v>
      </c>
      <c r="K503" s="347">
        <v>41844.525694444441</v>
      </c>
      <c r="L503" s="347" t="s">
        <v>377</v>
      </c>
      <c r="M503" s="348" t="s">
        <v>378</v>
      </c>
      <c r="N503" s="348" t="s">
        <v>389</v>
      </c>
      <c r="O503" s="348" t="s">
        <v>177</v>
      </c>
      <c r="P503" s="349">
        <v>18.121964991530199</v>
      </c>
      <c r="Q503" s="321">
        <f t="shared" si="25"/>
        <v>9</v>
      </c>
      <c r="R503" s="318">
        <f t="shared" si="26"/>
        <v>41835</v>
      </c>
      <c r="S503" s="318">
        <f t="shared" si="27"/>
        <v>41844</v>
      </c>
    </row>
    <row r="504" spans="3:19" ht="27.75" customHeight="1">
      <c r="C504" s="345" t="s">
        <v>98</v>
      </c>
      <c r="D504" s="345" t="s">
        <v>373</v>
      </c>
      <c r="E504" s="345" t="s">
        <v>374</v>
      </c>
      <c r="F504" s="345" t="s">
        <v>375</v>
      </c>
      <c r="G504" s="346" t="s">
        <v>376</v>
      </c>
      <c r="H504" s="345" t="s">
        <v>5</v>
      </c>
      <c r="I504" s="345" t="s">
        <v>60</v>
      </c>
      <c r="J504" s="316">
        <v>41835.51666666667</v>
      </c>
      <c r="K504" s="347">
        <v>41847.51666666667</v>
      </c>
      <c r="L504" s="347" t="s">
        <v>188</v>
      </c>
      <c r="M504" s="348" t="s">
        <v>378</v>
      </c>
      <c r="N504" s="348" t="s">
        <v>389</v>
      </c>
      <c r="O504" s="348" t="s">
        <v>177</v>
      </c>
      <c r="P504" s="349">
        <v>18.154714850367</v>
      </c>
      <c r="Q504" s="321">
        <f t="shared" si="25"/>
        <v>12</v>
      </c>
      <c r="R504" s="318">
        <f t="shared" si="26"/>
        <v>41835</v>
      </c>
      <c r="S504" s="318">
        <f t="shared" si="27"/>
        <v>41847</v>
      </c>
    </row>
    <row r="505" spans="3:19" ht="27.75" customHeight="1">
      <c r="C505" s="345" t="s">
        <v>98</v>
      </c>
      <c r="D505" s="345" t="s">
        <v>373</v>
      </c>
      <c r="E505" s="345" t="s">
        <v>374</v>
      </c>
      <c r="F505" s="345" t="s">
        <v>375</v>
      </c>
      <c r="G505" s="346" t="s">
        <v>376</v>
      </c>
      <c r="H505" s="345" t="s">
        <v>5</v>
      </c>
      <c r="I505" s="345" t="s">
        <v>60</v>
      </c>
      <c r="J505" s="316">
        <v>41835.51458333333</v>
      </c>
      <c r="K505" s="347">
        <v>41839.51458333333</v>
      </c>
      <c r="L505" s="347" t="s">
        <v>188</v>
      </c>
      <c r="M505" s="348" t="s">
        <v>378</v>
      </c>
      <c r="N505" s="348" t="s">
        <v>389</v>
      </c>
      <c r="O505" s="348" t="s">
        <v>177</v>
      </c>
      <c r="P505" s="349">
        <v>18.187464709203802</v>
      </c>
      <c r="Q505" s="321">
        <f t="shared" si="25"/>
        <v>4</v>
      </c>
      <c r="R505" s="318">
        <f t="shared" si="26"/>
        <v>41835</v>
      </c>
      <c r="S505" s="318">
        <f t="shared" si="27"/>
        <v>41839</v>
      </c>
    </row>
    <row r="506" spans="3:19" ht="27.75" customHeight="1">
      <c r="C506" s="345" t="s">
        <v>98</v>
      </c>
      <c r="D506" s="345" t="s">
        <v>373</v>
      </c>
      <c r="E506" s="345" t="s">
        <v>374</v>
      </c>
      <c r="F506" s="345" t="s">
        <v>375</v>
      </c>
      <c r="G506" s="346" t="s">
        <v>376</v>
      </c>
      <c r="H506" s="345" t="s">
        <v>139</v>
      </c>
      <c r="I506" s="345" t="s">
        <v>61</v>
      </c>
      <c r="J506" s="316">
        <v>41835.508333333331</v>
      </c>
      <c r="K506" s="347"/>
      <c r="L506" s="347" t="s">
        <v>378</v>
      </c>
      <c r="M506" s="348" t="s">
        <v>386</v>
      </c>
      <c r="N506" s="348" t="s">
        <v>386</v>
      </c>
      <c r="O506" s="348" t="s">
        <v>177</v>
      </c>
      <c r="P506" s="349">
        <v>18.2202145680406</v>
      </c>
      <c r="Q506" s="321" t="str">
        <f t="shared" si="25"/>
        <v/>
      </c>
      <c r="R506" s="318">
        <f t="shared" si="26"/>
        <v>41835</v>
      </c>
      <c r="S506" s="318" t="str">
        <f t="shared" si="27"/>
        <v/>
      </c>
    </row>
    <row r="507" spans="3:19" ht="27.75" customHeight="1">
      <c r="C507" s="345" t="s">
        <v>98</v>
      </c>
      <c r="D507" s="345" t="s">
        <v>373</v>
      </c>
      <c r="E507" s="345" t="s">
        <v>374</v>
      </c>
      <c r="F507" s="345" t="s">
        <v>375</v>
      </c>
      <c r="G507" s="346" t="s">
        <v>376</v>
      </c>
      <c r="H507" s="345" t="s">
        <v>5</v>
      </c>
      <c r="I507" s="345" t="s">
        <v>60</v>
      </c>
      <c r="J507" s="316">
        <v>41835.508333333331</v>
      </c>
      <c r="K507" s="347">
        <v>41840.508333333331</v>
      </c>
      <c r="L507" s="347" t="s">
        <v>378</v>
      </c>
      <c r="M507" s="348" t="s">
        <v>379</v>
      </c>
      <c r="N507" s="348" t="s">
        <v>379</v>
      </c>
      <c r="O507" s="348" t="s">
        <v>177</v>
      </c>
      <c r="P507" s="349">
        <v>18.252964426877401</v>
      </c>
      <c r="Q507" s="321">
        <f t="shared" si="25"/>
        <v>5</v>
      </c>
      <c r="R507" s="318">
        <f t="shared" si="26"/>
        <v>41835</v>
      </c>
      <c r="S507" s="318">
        <f t="shared" si="27"/>
        <v>41840</v>
      </c>
    </row>
    <row r="508" spans="3:19" ht="27.75" customHeight="1">
      <c r="C508" s="345" t="s">
        <v>98</v>
      </c>
      <c r="D508" s="345" t="s">
        <v>373</v>
      </c>
      <c r="E508" s="345" t="s">
        <v>374</v>
      </c>
      <c r="F508" s="345" t="s">
        <v>375</v>
      </c>
      <c r="G508" s="346" t="s">
        <v>376</v>
      </c>
      <c r="H508" s="339" t="s">
        <v>14</v>
      </c>
      <c r="I508" s="345" t="s">
        <v>59</v>
      </c>
      <c r="J508" s="316">
        <v>41835.505555555559</v>
      </c>
      <c r="K508" s="347"/>
      <c r="L508" s="347" t="s">
        <v>188</v>
      </c>
      <c r="M508" s="348" t="s">
        <v>378</v>
      </c>
      <c r="N508" s="348" t="s">
        <v>389</v>
      </c>
      <c r="O508" s="348" t="s">
        <v>177</v>
      </c>
      <c r="P508" s="349">
        <v>18.285714285714299</v>
      </c>
      <c r="Q508" s="321" t="str">
        <f t="shared" si="25"/>
        <v/>
      </c>
      <c r="R508" s="318">
        <f t="shared" si="26"/>
        <v>41835</v>
      </c>
      <c r="S508" s="318" t="str">
        <f t="shared" si="27"/>
        <v/>
      </c>
    </row>
    <row r="509" spans="3:19" ht="27.75" customHeight="1">
      <c r="C509" s="345" t="s">
        <v>98</v>
      </c>
      <c r="D509" s="345" t="s">
        <v>373</v>
      </c>
      <c r="E509" s="345" t="s">
        <v>374</v>
      </c>
      <c r="F509" s="345" t="s">
        <v>375</v>
      </c>
      <c r="G509" s="346" t="s">
        <v>376</v>
      </c>
      <c r="H509" s="345" t="s">
        <v>5</v>
      </c>
      <c r="I509" s="345" t="s">
        <v>61</v>
      </c>
      <c r="J509" s="316">
        <v>41835.470833333333</v>
      </c>
      <c r="K509" s="347">
        <v>41837.470833333333</v>
      </c>
      <c r="L509" s="347" t="s">
        <v>378</v>
      </c>
      <c r="M509" s="348" t="s">
        <v>378</v>
      </c>
      <c r="N509" s="348" t="s">
        <v>389</v>
      </c>
      <c r="O509" s="348" t="s">
        <v>175</v>
      </c>
      <c r="P509" s="349">
        <v>18.318464144551101</v>
      </c>
      <c r="Q509" s="321">
        <f t="shared" si="25"/>
        <v>2</v>
      </c>
      <c r="R509" s="318">
        <f t="shared" si="26"/>
        <v>41835</v>
      </c>
      <c r="S509" s="318">
        <f t="shared" si="27"/>
        <v>41837</v>
      </c>
    </row>
    <row r="510" spans="3:19" ht="27.75" customHeight="1">
      <c r="C510" s="345" t="s">
        <v>98</v>
      </c>
      <c r="D510" s="345" t="s">
        <v>373</v>
      </c>
      <c r="E510" s="345" t="s">
        <v>374</v>
      </c>
      <c r="F510" s="345" t="s">
        <v>375</v>
      </c>
      <c r="G510" s="346" t="s">
        <v>376</v>
      </c>
      <c r="H510" s="345" t="s">
        <v>140</v>
      </c>
      <c r="I510" s="345" t="s">
        <v>59</v>
      </c>
      <c r="J510" s="316">
        <v>41834.729166666664</v>
      </c>
      <c r="K510" s="347"/>
      <c r="L510" s="347" t="s">
        <v>378</v>
      </c>
      <c r="M510" s="348" t="s">
        <v>378</v>
      </c>
      <c r="N510" s="348" t="s">
        <v>389</v>
      </c>
      <c r="O510" s="348" t="s">
        <v>175</v>
      </c>
      <c r="P510" s="349">
        <v>18.351214003387899</v>
      </c>
      <c r="Q510" s="321" t="str">
        <f t="shared" si="25"/>
        <v/>
      </c>
      <c r="R510" s="318">
        <f t="shared" si="26"/>
        <v>41834</v>
      </c>
      <c r="S510" s="318" t="str">
        <f t="shared" si="27"/>
        <v/>
      </c>
    </row>
    <row r="511" spans="3:19" ht="27.75" customHeight="1">
      <c r="C511" s="345" t="s">
        <v>98</v>
      </c>
      <c r="D511" s="345" t="s">
        <v>373</v>
      </c>
      <c r="E511" s="345" t="s">
        <v>374</v>
      </c>
      <c r="F511" s="345" t="s">
        <v>375</v>
      </c>
      <c r="G511" s="346" t="s">
        <v>376</v>
      </c>
      <c r="H511" s="345" t="s">
        <v>5</v>
      </c>
      <c r="I511" s="345" t="s">
        <v>60</v>
      </c>
      <c r="J511" s="316">
        <v>41834.69027777778</v>
      </c>
      <c r="K511" s="347">
        <v>41836.69027777778</v>
      </c>
      <c r="L511" s="347" t="s">
        <v>378</v>
      </c>
      <c r="M511" s="348" t="s">
        <v>382</v>
      </c>
      <c r="N511" s="348" t="s">
        <v>382</v>
      </c>
      <c r="O511" s="348" t="s">
        <v>175</v>
      </c>
      <c r="P511" s="349">
        <v>18.3839638622247</v>
      </c>
      <c r="Q511" s="321">
        <f t="shared" si="25"/>
        <v>2</v>
      </c>
      <c r="R511" s="318">
        <f t="shared" si="26"/>
        <v>41834</v>
      </c>
      <c r="S511" s="318">
        <f t="shared" si="27"/>
        <v>41836</v>
      </c>
    </row>
    <row r="512" spans="3:19" ht="27.75" customHeight="1">
      <c r="C512" s="345" t="s">
        <v>98</v>
      </c>
      <c r="D512" s="345" t="s">
        <v>373</v>
      </c>
      <c r="E512" s="345" t="s">
        <v>374</v>
      </c>
      <c r="F512" s="345" t="s">
        <v>375</v>
      </c>
      <c r="G512" s="346" t="s">
        <v>376</v>
      </c>
      <c r="H512" s="345" t="s">
        <v>5</v>
      </c>
      <c r="I512" s="345" t="s">
        <v>60</v>
      </c>
      <c r="J512" s="316">
        <v>41834.688888888886</v>
      </c>
      <c r="K512" s="347">
        <v>41837.688888888886</v>
      </c>
      <c r="L512" s="347" t="s">
        <v>378</v>
      </c>
      <c r="M512" s="348" t="s">
        <v>378</v>
      </c>
      <c r="N512" s="348" t="s">
        <v>389</v>
      </c>
      <c r="O512" s="348" t="s">
        <v>175</v>
      </c>
      <c r="P512" s="349">
        <v>18.416713721061502</v>
      </c>
      <c r="Q512" s="321">
        <f t="shared" si="25"/>
        <v>3</v>
      </c>
      <c r="R512" s="318">
        <f t="shared" si="26"/>
        <v>41834</v>
      </c>
      <c r="S512" s="318">
        <f t="shared" si="27"/>
        <v>41837</v>
      </c>
    </row>
    <row r="513" spans="3:19" ht="27.75" customHeight="1">
      <c r="C513" s="345" t="s">
        <v>98</v>
      </c>
      <c r="D513" s="345" t="s">
        <v>373</v>
      </c>
      <c r="E513" s="345" t="s">
        <v>374</v>
      </c>
      <c r="F513" s="345" t="s">
        <v>375</v>
      </c>
      <c r="G513" s="346" t="s">
        <v>376</v>
      </c>
      <c r="H513" s="345" t="s">
        <v>5</v>
      </c>
      <c r="I513" s="345" t="s">
        <v>60</v>
      </c>
      <c r="J513" s="316">
        <v>41834.685416666667</v>
      </c>
      <c r="K513" s="347">
        <v>41843.685416666667</v>
      </c>
      <c r="L513" s="347" t="s">
        <v>378</v>
      </c>
      <c r="M513" s="348" t="s">
        <v>382</v>
      </c>
      <c r="N513" s="348" t="s">
        <v>382</v>
      </c>
      <c r="O513" s="348" t="s">
        <v>175</v>
      </c>
      <c r="P513" s="349">
        <v>18.4494635798983</v>
      </c>
      <c r="Q513" s="321">
        <f t="shared" si="25"/>
        <v>9</v>
      </c>
      <c r="R513" s="318">
        <f t="shared" si="26"/>
        <v>41834</v>
      </c>
      <c r="S513" s="318">
        <f t="shared" si="27"/>
        <v>41843</v>
      </c>
    </row>
    <row r="514" spans="3:19" ht="27.75" customHeight="1">
      <c r="C514" s="345" t="s">
        <v>98</v>
      </c>
      <c r="D514" s="345" t="s">
        <v>373</v>
      </c>
      <c r="E514" s="345" t="s">
        <v>374</v>
      </c>
      <c r="F514" s="345" t="s">
        <v>375</v>
      </c>
      <c r="G514" s="346" t="s">
        <v>376</v>
      </c>
      <c r="H514" s="339" t="s">
        <v>14</v>
      </c>
      <c r="I514" s="345" t="s">
        <v>60</v>
      </c>
      <c r="J514" s="316">
        <v>41834.657638888886</v>
      </c>
      <c r="K514" s="347"/>
      <c r="L514" s="347" t="s">
        <v>378</v>
      </c>
      <c r="M514" s="348" t="s">
        <v>389</v>
      </c>
      <c r="N514" s="348" t="s">
        <v>389</v>
      </c>
      <c r="O514" s="348" t="s">
        <v>175</v>
      </c>
      <c r="P514" s="349">
        <v>18.482213438735201</v>
      </c>
      <c r="Q514" s="321" t="str">
        <f t="shared" si="25"/>
        <v/>
      </c>
      <c r="R514" s="318">
        <f t="shared" si="26"/>
        <v>41834</v>
      </c>
      <c r="S514" s="318" t="str">
        <f t="shared" si="27"/>
        <v/>
      </c>
    </row>
    <row r="515" spans="3:19" ht="27.75" customHeight="1">
      <c r="C515" s="345" t="s">
        <v>98</v>
      </c>
      <c r="D515" s="345" t="s">
        <v>373</v>
      </c>
      <c r="E515" s="345" t="s">
        <v>374</v>
      </c>
      <c r="F515" s="345" t="s">
        <v>375</v>
      </c>
      <c r="G515" s="346" t="s">
        <v>376</v>
      </c>
      <c r="H515" s="345" t="s">
        <v>5</v>
      </c>
      <c r="I515" s="345" t="s">
        <v>58</v>
      </c>
      <c r="J515" s="316">
        <v>41834.64166666667</v>
      </c>
      <c r="K515" s="347">
        <v>41843.64166666667</v>
      </c>
      <c r="L515" s="347" t="s">
        <v>378</v>
      </c>
      <c r="M515" s="348" t="s">
        <v>386</v>
      </c>
      <c r="N515" s="348" t="s">
        <v>386</v>
      </c>
      <c r="O515" s="348" t="s">
        <v>175</v>
      </c>
      <c r="P515" s="349">
        <v>18.514963297571999</v>
      </c>
      <c r="Q515" s="321">
        <f t="shared" si="25"/>
        <v>9</v>
      </c>
      <c r="R515" s="318">
        <f t="shared" si="26"/>
        <v>41834</v>
      </c>
      <c r="S515" s="318">
        <f t="shared" si="27"/>
        <v>41843</v>
      </c>
    </row>
    <row r="516" spans="3:19" ht="27.75" customHeight="1">
      <c r="C516" s="345" t="s">
        <v>98</v>
      </c>
      <c r="D516" s="345" t="s">
        <v>373</v>
      </c>
      <c r="E516" s="345" t="s">
        <v>374</v>
      </c>
      <c r="F516" s="345" t="s">
        <v>375</v>
      </c>
      <c r="G516" s="346" t="s">
        <v>376</v>
      </c>
      <c r="H516" s="339" t="s">
        <v>14</v>
      </c>
      <c r="I516" s="345" t="s">
        <v>61</v>
      </c>
      <c r="J516" s="316">
        <v>41834.631944444445</v>
      </c>
      <c r="K516" s="347"/>
      <c r="L516" s="347" t="s">
        <v>378</v>
      </c>
      <c r="M516" s="348" t="s">
        <v>386</v>
      </c>
      <c r="N516" s="348" t="s">
        <v>386</v>
      </c>
      <c r="O516" s="348" t="s">
        <v>175</v>
      </c>
      <c r="P516" s="349">
        <v>18.5477131564088</v>
      </c>
      <c r="Q516" s="321" t="str">
        <f t="shared" si="25"/>
        <v/>
      </c>
      <c r="R516" s="318">
        <f t="shared" si="26"/>
        <v>41834</v>
      </c>
      <c r="S516" s="318" t="str">
        <f t="shared" si="27"/>
        <v/>
      </c>
    </row>
    <row r="517" spans="3:19" ht="27.75" customHeight="1">
      <c r="C517" s="345" t="s">
        <v>98</v>
      </c>
      <c r="D517" s="345" t="s">
        <v>373</v>
      </c>
      <c r="E517" s="345" t="s">
        <v>374</v>
      </c>
      <c r="F517" s="345" t="s">
        <v>375</v>
      </c>
      <c r="G517" s="346" t="s">
        <v>376</v>
      </c>
      <c r="H517" s="345" t="s">
        <v>5</v>
      </c>
      <c r="I517" s="345" t="s">
        <v>61</v>
      </c>
      <c r="J517" s="316">
        <v>41834.609027777777</v>
      </c>
      <c r="K517" s="347">
        <v>41840.609027777777</v>
      </c>
      <c r="L517" s="347" t="s">
        <v>377</v>
      </c>
      <c r="M517" s="348" t="s">
        <v>378</v>
      </c>
      <c r="N517" s="348" t="s">
        <v>389</v>
      </c>
      <c r="O517" s="348" t="s">
        <v>175</v>
      </c>
      <c r="P517" s="349">
        <v>18.580463015245599</v>
      </c>
      <c r="Q517" s="321">
        <f t="shared" si="25"/>
        <v>6</v>
      </c>
      <c r="R517" s="318">
        <f t="shared" si="26"/>
        <v>41834</v>
      </c>
      <c r="S517" s="318">
        <f t="shared" si="27"/>
        <v>41840</v>
      </c>
    </row>
    <row r="518" spans="3:19" ht="27.75" customHeight="1">
      <c r="C518" s="345" t="s">
        <v>98</v>
      </c>
      <c r="D518" s="345" t="s">
        <v>373</v>
      </c>
      <c r="E518" s="345" t="s">
        <v>374</v>
      </c>
      <c r="F518" s="345" t="s">
        <v>375</v>
      </c>
      <c r="G518" s="346" t="s">
        <v>376</v>
      </c>
      <c r="H518" s="345" t="s">
        <v>5</v>
      </c>
      <c r="I518" s="345" t="s">
        <v>60</v>
      </c>
      <c r="J518" s="316">
        <v>41834.604166666664</v>
      </c>
      <c r="K518" s="347">
        <v>41837.604166666664</v>
      </c>
      <c r="L518" s="347" t="s">
        <v>377</v>
      </c>
      <c r="M518" s="348" t="s">
        <v>378</v>
      </c>
      <c r="N518" s="348" t="s">
        <v>389</v>
      </c>
      <c r="O518" s="348" t="s">
        <v>175</v>
      </c>
      <c r="P518" s="349">
        <v>18.6132128740824</v>
      </c>
      <c r="Q518" s="321">
        <f t="shared" si="25"/>
        <v>3</v>
      </c>
      <c r="R518" s="318">
        <f t="shared" si="26"/>
        <v>41834</v>
      </c>
      <c r="S518" s="318">
        <f t="shared" si="27"/>
        <v>41837</v>
      </c>
    </row>
    <row r="519" spans="3:19" ht="27.75" customHeight="1">
      <c r="C519" s="345" t="s">
        <v>98</v>
      </c>
      <c r="D519" s="345" t="s">
        <v>373</v>
      </c>
      <c r="E519" s="345" t="s">
        <v>374</v>
      </c>
      <c r="F519" s="345" t="s">
        <v>375</v>
      </c>
      <c r="G519" s="346" t="s">
        <v>376</v>
      </c>
      <c r="H519" s="339" t="s">
        <v>14</v>
      </c>
      <c r="I519" s="345" t="s">
        <v>60</v>
      </c>
      <c r="J519" s="316">
        <v>41834.581250000003</v>
      </c>
      <c r="K519" s="347"/>
      <c r="L519" s="347" t="s">
        <v>378</v>
      </c>
      <c r="M519" s="348" t="s">
        <v>378</v>
      </c>
      <c r="N519" s="348" t="s">
        <v>389</v>
      </c>
      <c r="O519" s="348" t="s">
        <v>175</v>
      </c>
      <c r="P519" s="349">
        <v>18.645962732919202</v>
      </c>
      <c r="Q519" s="321" t="str">
        <f t="shared" si="25"/>
        <v/>
      </c>
      <c r="R519" s="318">
        <f t="shared" si="26"/>
        <v>41834</v>
      </c>
      <c r="S519" s="318" t="str">
        <f t="shared" si="27"/>
        <v/>
      </c>
    </row>
    <row r="520" spans="3:19" ht="27.75" customHeight="1">
      <c r="C520" s="345" t="s">
        <v>98</v>
      </c>
      <c r="D520" s="345" t="s">
        <v>373</v>
      </c>
      <c r="E520" s="345" t="s">
        <v>374</v>
      </c>
      <c r="F520" s="345" t="s">
        <v>375</v>
      </c>
      <c r="G520" s="346" t="s">
        <v>376</v>
      </c>
      <c r="H520" s="345" t="s">
        <v>383</v>
      </c>
      <c r="I520" s="345" t="s">
        <v>60</v>
      </c>
      <c r="J520" s="316">
        <v>41834.57916666667</v>
      </c>
      <c r="K520" s="347"/>
      <c r="L520" s="347" t="s">
        <v>378</v>
      </c>
      <c r="M520" s="348" t="s">
        <v>380</v>
      </c>
      <c r="N520" s="348" t="s">
        <v>380</v>
      </c>
      <c r="O520" s="348" t="s">
        <v>177</v>
      </c>
      <c r="P520" s="349">
        <v>18.678712591756</v>
      </c>
      <c r="Q520" s="321" t="str">
        <f t="shared" si="25"/>
        <v/>
      </c>
      <c r="R520" s="318">
        <f t="shared" si="26"/>
        <v>41834</v>
      </c>
      <c r="S520" s="318" t="str">
        <f t="shared" si="27"/>
        <v/>
      </c>
    </row>
    <row r="521" spans="3:19" ht="27.75" customHeight="1">
      <c r="C521" s="345" t="s">
        <v>98</v>
      </c>
      <c r="D521" s="345" t="s">
        <v>373</v>
      </c>
      <c r="E521" s="345" t="s">
        <v>374</v>
      </c>
      <c r="F521" s="345" t="s">
        <v>375</v>
      </c>
      <c r="G521" s="346" t="s">
        <v>376</v>
      </c>
      <c r="H521" s="339" t="s">
        <v>14</v>
      </c>
      <c r="I521" s="345" t="s">
        <v>59</v>
      </c>
      <c r="J521" s="316">
        <v>41834.575694444444</v>
      </c>
      <c r="K521" s="347"/>
      <c r="L521" s="347" t="s">
        <v>378</v>
      </c>
      <c r="M521" s="348" t="s">
        <v>386</v>
      </c>
      <c r="N521" s="348" t="s">
        <v>386</v>
      </c>
      <c r="O521" s="348" t="s">
        <v>177</v>
      </c>
      <c r="P521" s="349">
        <v>18.711462450592901</v>
      </c>
      <c r="Q521" s="321" t="str">
        <f t="shared" si="25"/>
        <v/>
      </c>
      <c r="R521" s="318">
        <f t="shared" si="26"/>
        <v>41834</v>
      </c>
      <c r="S521" s="318" t="str">
        <f t="shared" si="27"/>
        <v/>
      </c>
    </row>
    <row r="522" spans="3:19" ht="27.75" customHeight="1">
      <c r="C522" s="345" t="s">
        <v>98</v>
      </c>
      <c r="D522" s="345" t="s">
        <v>373</v>
      </c>
      <c r="E522" s="345" t="s">
        <v>374</v>
      </c>
      <c r="F522" s="345" t="s">
        <v>375</v>
      </c>
      <c r="G522" s="346" t="s">
        <v>376</v>
      </c>
      <c r="H522" s="339" t="s">
        <v>14</v>
      </c>
      <c r="I522" s="345" t="s">
        <v>60</v>
      </c>
      <c r="J522" s="316">
        <v>41834.571527777778</v>
      </c>
      <c r="K522" s="347"/>
      <c r="L522" s="347" t="s">
        <v>377</v>
      </c>
      <c r="M522" s="348" t="s">
        <v>378</v>
      </c>
      <c r="N522" s="348" t="s">
        <v>389</v>
      </c>
      <c r="O522" s="348" t="s">
        <v>175</v>
      </c>
      <c r="P522" s="349">
        <v>18.744212309429699</v>
      </c>
      <c r="Q522" s="321" t="str">
        <f t="shared" si="25"/>
        <v/>
      </c>
      <c r="R522" s="318">
        <f t="shared" si="26"/>
        <v>41834</v>
      </c>
      <c r="S522" s="318" t="str">
        <f t="shared" si="27"/>
        <v/>
      </c>
    </row>
    <row r="523" spans="3:19" ht="27.75" customHeight="1">
      <c r="C523" s="345" t="s">
        <v>98</v>
      </c>
      <c r="D523" s="345" t="s">
        <v>373</v>
      </c>
      <c r="E523" s="345" t="s">
        <v>374</v>
      </c>
      <c r="F523" s="345" t="s">
        <v>375</v>
      </c>
      <c r="G523" s="346" t="s">
        <v>376</v>
      </c>
      <c r="H523" s="339" t="s">
        <v>14</v>
      </c>
      <c r="I523" s="345" t="s">
        <v>61</v>
      </c>
      <c r="J523" s="316">
        <v>41834.556250000001</v>
      </c>
      <c r="K523" s="347"/>
      <c r="L523" s="347" t="s">
        <v>377</v>
      </c>
      <c r="M523" s="348" t="s">
        <v>390</v>
      </c>
      <c r="N523" s="348" t="s">
        <v>390</v>
      </c>
      <c r="O523" s="348" t="s">
        <v>175</v>
      </c>
      <c r="P523" s="349">
        <v>18.7769621682665</v>
      </c>
      <c r="Q523" s="321" t="str">
        <f t="shared" si="25"/>
        <v/>
      </c>
      <c r="R523" s="318">
        <f t="shared" si="26"/>
        <v>41834</v>
      </c>
      <c r="S523" s="318" t="str">
        <f t="shared" si="27"/>
        <v/>
      </c>
    </row>
    <row r="524" spans="3:19" ht="27.75" customHeight="1">
      <c r="C524" s="345" t="s">
        <v>98</v>
      </c>
      <c r="D524" s="345" t="s">
        <v>373</v>
      </c>
      <c r="E524" s="345" t="s">
        <v>374</v>
      </c>
      <c r="F524" s="345" t="s">
        <v>375</v>
      </c>
      <c r="G524" s="346" t="s">
        <v>376</v>
      </c>
      <c r="H524" s="345" t="s">
        <v>138</v>
      </c>
      <c r="I524" s="345" t="s">
        <v>60</v>
      </c>
      <c r="J524" s="316">
        <v>41834.548611111109</v>
      </c>
      <c r="K524" s="347"/>
      <c r="L524" s="347" t="s">
        <v>377</v>
      </c>
      <c r="M524" s="348" t="s">
        <v>378</v>
      </c>
      <c r="N524" s="348" t="s">
        <v>389</v>
      </c>
      <c r="O524" s="348" t="s">
        <v>175</v>
      </c>
      <c r="P524" s="349">
        <v>18.809712027103298</v>
      </c>
      <c r="Q524" s="321" t="str">
        <f t="shared" si="25"/>
        <v/>
      </c>
      <c r="R524" s="318">
        <f t="shared" si="26"/>
        <v>41834</v>
      </c>
      <c r="S524" s="318" t="str">
        <f t="shared" si="27"/>
        <v/>
      </c>
    </row>
    <row r="525" spans="3:19" ht="27.75" customHeight="1">
      <c r="C525" s="345" t="s">
        <v>98</v>
      </c>
      <c r="D525" s="345" t="s">
        <v>373</v>
      </c>
      <c r="E525" s="345" t="s">
        <v>374</v>
      </c>
      <c r="F525" s="345" t="s">
        <v>375</v>
      </c>
      <c r="G525" s="346" t="s">
        <v>376</v>
      </c>
      <c r="H525" s="339" t="s">
        <v>14</v>
      </c>
      <c r="I525" s="345" t="s">
        <v>61</v>
      </c>
      <c r="J525" s="316">
        <v>41834.52847222222</v>
      </c>
      <c r="K525" s="347"/>
      <c r="L525" s="347" t="s">
        <v>377</v>
      </c>
      <c r="M525" s="348" t="s">
        <v>378</v>
      </c>
      <c r="N525" s="348" t="s">
        <v>389</v>
      </c>
      <c r="O525" s="348" t="s">
        <v>177</v>
      </c>
      <c r="P525" s="349">
        <v>18.8424618859401</v>
      </c>
      <c r="Q525" s="321" t="str">
        <f t="shared" si="25"/>
        <v/>
      </c>
      <c r="R525" s="318">
        <f t="shared" si="26"/>
        <v>41834</v>
      </c>
      <c r="S525" s="318" t="str">
        <f t="shared" si="27"/>
        <v/>
      </c>
    </row>
    <row r="526" spans="3:19" ht="27.75" customHeight="1">
      <c r="C526" s="345" t="s">
        <v>98</v>
      </c>
      <c r="D526" s="345" t="s">
        <v>373</v>
      </c>
      <c r="E526" s="345" t="s">
        <v>374</v>
      </c>
      <c r="F526" s="345" t="s">
        <v>375</v>
      </c>
      <c r="G526" s="346" t="s">
        <v>376</v>
      </c>
      <c r="H526" s="345" t="s">
        <v>5</v>
      </c>
      <c r="I526" s="345" t="s">
        <v>59</v>
      </c>
      <c r="J526" s="316">
        <v>41834.527083333334</v>
      </c>
      <c r="K526" s="347">
        <v>41847.527083333334</v>
      </c>
      <c r="L526" s="347" t="s">
        <v>377</v>
      </c>
      <c r="M526" s="348" t="s">
        <v>378</v>
      </c>
      <c r="N526" s="348" t="s">
        <v>389</v>
      </c>
      <c r="O526" s="348" t="s">
        <v>177</v>
      </c>
      <c r="P526" s="349">
        <v>18.875211744776902</v>
      </c>
      <c r="Q526" s="321">
        <f t="shared" si="25"/>
        <v>13</v>
      </c>
      <c r="R526" s="318">
        <f t="shared" si="26"/>
        <v>41834</v>
      </c>
      <c r="S526" s="318">
        <f t="shared" si="27"/>
        <v>41847</v>
      </c>
    </row>
    <row r="527" spans="3:19" ht="27.75" customHeight="1">
      <c r="C527" s="345" t="s">
        <v>98</v>
      </c>
      <c r="D527" s="345" t="s">
        <v>373</v>
      </c>
      <c r="E527" s="345" t="s">
        <v>374</v>
      </c>
      <c r="F527" s="345" t="s">
        <v>375</v>
      </c>
      <c r="G527" s="346" t="s">
        <v>376</v>
      </c>
      <c r="H527" s="339" t="s">
        <v>14</v>
      </c>
      <c r="I527" s="345" t="s">
        <v>61</v>
      </c>
      <c r="J527" s="316">
        <v>41834.519444444442</v>
      </c>
      <c r="K527" s="347"/>
      <c r="L527" s="347" t="s">
        <v>188</v>
      </c>
      <c r="M527" s="348" t="s">
        <v>382</v>
      </c>
      <c r="N527" s="348" t="s">
        <v>382</v>
      </c>
      <c r="O527" s="348" t="s">
        <v>177</v>
      </c>
      <c r="P527" s="349">
        <v>18.907961603613799</v>
      </c>
      <c r="Q527" s="321" t="str">
        <f t="shared" si="25"/>
        <v/>
      </c>
      <c r="R527" s="318">
        <f t="shared" si="26"/>
        <v>41834</v>
      </c>
      <c r="S527" s="318" t="str">
        <f t="shared" si="27"/>
        <v/>
      </c>
    </row>
    <row r="528" spans="3:19" ht="27.75" customHeight="1">
      <c r="C528" s="345" t="s">
        <v>98</v>
      </c>
      <c r="D528" s="345" t="s">
        <v>373</v>
      </c>
      <c r="E528" s="345" t="s">
        <v>374</v>
      </c>
      <c r="F528" s="345" t="s">
        <v>375</v>
      </c>
      <c r="G528" s="346" t="s">
        <v>376</v>
      </c>
      <c r="H528" s="345" t="s">
        <v>14</v>
      </c>
      <c r="I528" s="345" t="s">
        <v>61</v>
      </c>
      <c r="J528" s="316">
        <v>41834.511111111111</v>
      </c>
      <c r="K528" s="347"/>
      <c r="L528" s="347" t="s">
        <v>377</v>
      </c>
      <c r="M528" s="348" t="s">
        <v>378</v>
      </c>
      <c r="N528" s="348" t="s">
        <v>389</v>
      </c>
      <c r="O528" s="348" t="s">
        <v>177</v>
      </c>
      <c r="P528" s="349">
        <v>18.940711462450601</v>
      </c>
      <c r="Q528" s="321" t="str">
        <f t="shared" si="25"/>
        <v/>
      </c>
      <c r="R528" s="318">
        <f t="shared" si="26"/>
        <v>41834</v>
      </c>
      <c r="S528" s="318" t="str">
        <f t="shared" si="27"/>
        <v/>
      </c>
    </row>
    <row r="529" spans="3:19" ht="27.75" customHeight="1">
      <c r="C529" s="345" t="s">
        <v>98</v>
      </c>
      <c r="D529" s="345" t="s">
        <v>373</v>
      </c>
      <c r="E529" s="345" t="s">
        <v>374</v>
      </c>
      <c r="F529" s="345" t="s">
        <v>375</v>
      </c>
      <c r="G529" s="346" t="s">
        <v>376</v>
      </c>
      <c r="H529" s="339" t="s">
        <v>14</v>
      </c>
      <c r="I529" s="345" t="s">
        <v>60</v>
      </c>
      <c r="J529" s="316">
        <v>41834.50277777778</v>
      </c>
      <c r="K529" s="347"/>
      <c r="L529" s="347" t="s">
        <v>377</v>
      </c>
      <c r="M529" s="348" t="s">
        <v>378</v>
      </c>
      <c r="N529" s="348" t="s">
        <v>389</v>
      </c>
      <c r="O529" s="348" t="s">
        <v>177</v>
      </c>
      <c r="P529" s="349">
        <v>18.973461321287399</v>
      </c>
      <c r="Q529" s="321" t="str">
        <f t="shared" si="25"/>
        <v/>
      </c>
      <c r="R529" s="318">
        <f t="shared" si="26"/>
        <v>41834</v>
      </c>
      <c r="S529" s="318" t="str">
        <f t="shared" si="27"/>
        <v/>
      </c>
    </row>
    <row r="530" spans="3:19" ht="27.75" customHeight="1">
      <c r="C530" s="345" t="s">
        <v>98</v>
      </c>
      <c r="D530" s="345" t="s">
        <v>373</v>
      </c>
      <c r="E530" s="345" t="s">
        <v>374</v>
      </c>
      <c r="F530" s="345" t="s">
        <v>375</v>
      </c>
      <c r="G530" s="346" t="s">
        <v>376</v>
      </c>
      <c r="H530" s="339" t="s">
        <v>14</v>
      </c>
      <c r="I530" s="345" t="s">
        <v>60</v>
      </c>
      <c r="J530" s="316">
        <v>41834.474999999999</v>
      </c>
      <c r="K530" s="347"/>
      <c r="L530" s="347" t="s">
        <v>377</v>
      </c>
      <c r="M530" s="348" t="s">
        <v>378</v>
      </c>
      <c r="N530" s="348" t="s">
        <v>389</v>
      </c>
      <c r="O530" s="348" t="s">
        <v>177</v>
      </c>
      <c r="P530" s="349">
        <v>19.0062111801242</v>
      </c>
      <c r="Q530" s="321" t="str">
        <f t="shared" si="25"/>
        <v/>
      </c>
      <c r="R530" s="318">
        <f t="shared" si="26"/>
        <v>41834</v>
      </c>
      <c r="S530" s="318" t="str">
        <f t="shared" si="27"/>
        <v/>
      </c>
    </row>
    <row r="531" spans="3:19" ht="27.75" customHeight="1">
      <c r="C531" s="345" t="s">
        <v>98</v>
      </c>
      <c r="D531" s="345" t="s">
        <v>373</v>
      </c>
      <c r="E531" s="345" t="s">
        <v>374</v>
      </c>
      <c r="F531" s="345" t="s">
        <v>375</v>
      </c>
      <c r="G531" s="346" t="s">
        <v>376</v>
      </c>
      <c r="H531" s="345" t="s">
        <v>138</v>
      </c>
      <c r="I531" s="345" t="s">
        <v>59</v>
      </c>
      <c r="J531" s="316">
        <v>41834.468055555553</v>
      </c>
      <c r="K531" s="347"/>
      <c r="L531" s="347" t="s">
        <v>377</v>
      </c>
      <c r="M531" s="348" t="s">
        <v>378</v>
      </c>
      <c r="N531" s="348" t="s">
        <v>389</v>
      </c>
      <c r="O531" s="348" t="s">
        <v>175</v>
      </c>
      <c r="P531" s="349">
        <v>19.038961038960998</v>
      </c>
      <c r="Q531" s="321" t="str">
        <f t="shared" si="25"/>
        <v/>
      </c>
      <c r="R531" s="318">
        <f t="shared" si="26"/>
        <v>41834</v>
      </c>
      <c r="S531" s="318" t="str">
        <f t="shared" si="27"/>
        <v/>
      </c>
    </row>
    <row r="532" spans="3:19" ht="27.75" customHeight="1">
      <c r="C532" s="345" t="s">
        <v>98</v>
      </c>
      <c r="D532" s="345" t="s">
        <v>373</v>
      </c>
      <c r="E532" s="345" t="s">
        <v>374</v>
      </c>
      <c r="F532" s="345" t="s">
        <v>375</v>
      </c>
      <c r="G532" s="346" t="s">
        <v>376</v>
      </c>
      <c r="H532" s="339" t="s">
        <v>14</v>
      </c>
      <c r="I532" s="345" t="s">
        <v>61</v>
      </c>
      <c r="J532" s="316">
        <v>41834.383333333331</v>
      </c>
      <c r="K532" s="347"/>
      <c r="L532" s="347" t="s">
        <v>377</v>
      </c>
      <c r="M532" s="348" t="s">
        <v>378</v>
      </c>
      <c r="N532" s="348" t="s">
        <v>389</v>
      </c>
      <c r="O532" s="348" t="s">
        <v>175</v>
      </c>
      <c r="P532" s="349">
        <v>19.0717108977978</v>
      </c>
      <c r="Q532" s="321" t="str">
        <f t="shared" si="25"/>
        <v/>
      </c>
      <c r="R532" s="318">
        <f t="shared" si="26"/>
        <v>41834</v>
      </c>
      <c r="S532" s="318" t="str">
        <f t="shared" si="27"/>
        <v/>
      </c>
    </row>
    <row r="533" spans="3:19" ht="27.75" customHeight="1">
      <c r="C533" s="345" t="s">
        <v>98</v>
      </c>
      <c r="D533" s="345" t="s">
        <v>373</v>
      </c>
      <c r="E533" s="345" t="s">
        <v>374</v>
      </c>
      <c r="F533" s="345" t="s">
        <v>375</v>
      </c>
      <c r="G533" s="346" t="s">
        <v>376</v>
      </c>
      <c r="H533" s="339" t="s">
        <v>14</v>
      </c>
      <c r="I533" s="345" t="s">
        <v>61</v>
      </c>
      <c r="J533" s="316">
        <v>41833.711805555555</v>
      </c>
      <c r="K533" s="347"/>
      <c r="L533" s="347" t="s">
        <v>377</v>
      </c>
      <c r="M533" s="348" t="s">
        <v>378</v>
      </c>
      <c r="N533" s="348" t="s">
        <v>389</v>
      </c>
      <c r="O533" s="348" t="s">
        <v>175</v>
      </c>
      <c r="P533" s="349">
        <v>19.104460756634602</v>
      </c>
      <c r="Q533" s="321" t="str">
        <f t="shared" si="25"/>
        <v/>
      </c>
      <c r="R533" s="318">
        <f t="shared" si="26"/>
        <v>41833</v>
      </c>
      <c r="S533" s="318" t="str">
        <f t="shared" si="27"/>
        <v/>
      </c>
    </row>
    <row r="534" spans="3:19" ht="27.75" customHeight="1">
      <c r="C534" s="345" t="s">
        <v>98</v>
      </c>
      <c r="D534" s="345" t="s">
        <v>373</v>
      </c>
      <c r="E534" s="345" t="s">
        <v>374</v>
      </c>
      <c r="F534" s="345" t="s">
        <v>375</v>
      </c>
      <c r="G534" s="346" t="s">
        <v>376</v>
      </c>
      <c r="H534" s="339" t="s">
        <v>14</v>
      </c>
      <c r="I534" s="345" t="s">
        <v>60</v>
      </c>
      <c r="J534" s="316">
        <v>41833.70416666667</v>
      </c>
      <c r="K534" s="347"/>
      <c r="L534" s="347" t="s">
        <v>378</v>
      </c>
      <c r="M534" s="348" t="s">
        <v>378</v>
      </c>
      <c r="N534" s="348" t="s">
        <v>389</v>
      </c>
      <c r="O534" s="348" t="s">
        <v>175</v>
      </c>
      <c r="P534" s="349">
        <v>19.137210615471499</v>
      </c>
      <c r="Q534" s="321" t="str">
        <f t="shared" si="25"/>
        <v/>
      </c>
      <c r="R534" s="318">
        <f t="shared" si="26"/>
        <v>41833</v>
      </c>
      <c r="S534" s="318" t="str">
        <f t="shared" si="27"/>
        <v/>
      </c>
    </row>
    <row r="535" spans="3:19" ht="27.75" customHeight="1">
      <c r="C535" s="345" t="s">
        <v>98</v>
      </c>
      <c r="D535" s="345" t="s">
        <v>373</v>
      </c>
      <c r="E535" s="345" t="s">
        <v>374</v>
      </c>
      <c r="F535" s="345" t="s">
        <v>375</v>
      </c>
      <c r="G535" s="346" t="s">
        <v>376</v>
      </c>
      <c r="H535" s="339" t="s">
        <v>14</v>
      </c>
      <c r="I535" s="345" t="s">
        <v>61</v>
      </c>
      <c r="J535" s="316">
        <v>41833.701388888891</v>
      </c>
      <c r="K535" s="347"/>
      <c r="L535" s="347" t="s">
        <v>377</v>
      </c>
      <c r="M535" s="348" t="s">
        <v>378</v>
      </c>
      <c r="N535" s="348" t="s">
        <v>389</v>
      </c>
      <c r="O535" s="348" t="s">
        <v>175</v>
      </c>
      <c r="P535" s="349">
        <v>19.169960474308301</v>
      </c>
      <c r="Q535" s="321" t="str">
        <f t="shared" si="25"/>
        <v/>
      </c>
      <c r="R535" s="318">
        <f t="shared" si="26"/>
        <v>41833</v>
      </c>
      <c r="S535" s="318" t="str">
        <f t="shared" si="27"/>
        <v/>
      </c>
    </row>
    <row r="536" spans="3:19" ht="27.75" customHeight="1">
      <c r="C536" s="345" t="s">
        <v>98</v>
      </c>
      <c r="D536" s="345" t="s">
        <v>373</v>
      </c>
      <c r="E536" s="345" t="s">
        <v>374</v>
      </c>
      <c r="F536" s="345" t="s">
        <v>375</v>
      </c>
      <c r="G536" s="346" t="s">
        <v>376</v>
      </c>
      <c r="H536" s="339" t="s">
        <v>14</v>
      </c>
      <c r="I536" s="345" t="s">
        <v>60</v>
      </c>
      <c r="J536" s="316">
        <v>41833.693749999999</v>
      </c>
      <c r="K536" s="347"/>
      <c r="L536" s="347" t="s">
        <v>378</v>
      </c>
      <c r="M536" s="348" t="s">
        <v>378</v>
      </c>
      <c r="N536" s="348" t="s">
        <v>389</v>
      </c>
      <c r="O536" s="348" t="s">
        <v>175</v>
      </c>
      <c r="P536" s="349">
        <v>19.202710333145099</v>
      </c>
      <c r="Q536" s="321" t="str">
        <f t="shared" si="25"/>
        <v/>
      </c>
      <c r="R536" s="318">
        <f t="shared" si="26"/>
        <v>41833</v>
      </c>
      <c r="S536" s="318" t="str">
        <f t="shared" si="27"/>
        <v/>
      </c>
    </row>
    <row r="537" spans="3:19" ht="27.75" customHeight="1">
      <c r="C537" s="345" t="s">
        <v>98</v>
      </c>
      <c r="D537" s="345" t="s">
        <v>373</v>
      </c>
      <c r="E537" s="345" t="s">
        <v>374</v>
      </c>
      <c r="F537" s="345" t="s">
        <v>375</v>
      </c>
      <c r="G537" s="346" t="s">
        <v>376</v>
      </c>
      <c r="H537" s="345" t="s">
        <v>5</v>
      </c>
      <c r="I537" s="345" t="s">
        <v>60</v>
      </c>
      <c r="J537" s="316">
        <v>41833.688194444447</v>
      </c>
      <c r="K537" s="347">
        <v>41838.688194444447</v>
      </c>
      <c r="L537" s="347" t="s">
        <v>378</v>
      </c>
      <c r="M537" s="348" t="s">
        <v>378</v>
      </c>
      <c r="N537" s="348" t="s">
        <v>389</v>
      </c>
      <c r="O537" s="348" t="s">
        <v>175</v>
      </c>
      <c r="P537" s="349">
        <v>19.2354601919819</v>
      </c>
      <c r="Q537" s="321">
        <f t="shared" si="25"/>
        <v>5</v>
      </c>
      <c r="R537" s="318">
        <f t="shared" si="26"/>
        <v>41833</v>
      </c>
      <c r="S537" s="318">
        <f t="shared" si="27"/>
        <v>41838</v>
      </c>
    </row>
    <row r="538" spans="3:19" ht="27.75" customHeight="1">
      <c r="C538" s="345" t="s">
        <v>98</v>
      </c>
      <c r="D538" s="345" t="s">
        <v>373</v>
      </c>
      <c r="E538" s="345" t="s">
        <v>374</v>
      </c>
      <c r="F538" s="345" t="s">
        <v>375</v>
      </c>
      <c r="G538" s="346" t="s">
        <v>376</v>
      </c>
      <c r="H538" s="339" t="s">
        <v>14</v>
      </c>
      <c r="I538" s="345" t="s">
        <v>60</v>
      </c>
      <c r="J538" s="316">
        <v>41833.680555555555</v>
      </c>
      <c r="K538" s="347"/>
      <c r="L538" s="347" t="s">
        <v>377</v>
      </c>
      <c r="M538" s="348" t="s">
        <v>378</v>
      </c>
      <c r="N538" s="348" t="s">
        <v>389</v>
      </c>
      <c r="O538" s="348" t="s">
        <v>175</v>
      </c>
      <c r="P538" s="349">
        <v>19.268210050818698</v>
      </c>
      <c r="Q538" s="321" t="str">
        <f t="shared" ref="Q538:Q601" si="28">IF(ISERROR(DATEDIF(J538,K538,"D")),"",DATEDIF(J538,K538,"D"))</f>
        <v/>
      </c>
      <c r="R538" s="318">
        <f t="shared" ref="R538:R601" si="29">DATE(YEAR(J538),MONTH(J538),DAY(J538))</f>
        <v>41833</v>
      </c>
      <c r="S538" s="318" t="str">
        <f t="shared" ref="S538:S601" si="30">IF(K538&lt;&gt;"",DATE(YEAR(K538),MONTH(K538),DAY(K538)),"")</f>
        <v/>
      </c>
    </row>
    <row r="539" spans="3:19" ht="27.75" customHeight="1">
      <c r="C539" s="345" t="s">
        <v>98</v>
      </c>
      <c r="D539" s="345" t="s">
        <v>373</v>
      </c>
      <c r="E539" s="345" t="s">
        <v>374</v>
      </c>
      <c r="F539" s="345" t="s">
        <v>375</v>
      </c>
      <c r="G539" s="346" t="s">
        <v>376</v>
      </c>
      <c r="H539" s="345" t="s">
        <v>5</v>
      </c>
      <c r="I539" s="345" t="s">
        <v>60</v>
      </c>
      <c r="J539" s="316">
        <v>41833.667361111111</v>
      </c>
      <c r="K539" s="347">
        <v>41848.667361111111</v>
      </c>
      <c r="L539" s="347" t="s">
        <v>378</v>
      </c>
      <c r="M539" s="348" t="s">
        <v>378</v>
      </c>
      <c r="N539" s="348" t="s">
        <v>389</v>
      </c>
      <c r="O539" s="348" t="s">
        <v>175</v>
      </c>
      <c r="P539" s="349">
        <v>19.3009599096555</v>
      </c>
      <c r="Q539" s="321">
        <f t="shared" si="28"/>
        <v>15</v>
      </c>
      <c r="R539" s="318">
        <f t="shared" si="29"/>
        <v>41833</v>
      </c>
      <c r="S539" s="318">
        <f t="shared" si="30"/>
        <v>41848</v>
      </c>
    </row>
    <row r="540" spans="3:19" ht="27.75" customHeight="1">
      <c r="C540" s="345" t="s">
        <v>98</v>
      </c>
      <c r="D540" s="345" t="s">
        <v>373</v>
      </c>
      <c r="E540" s="345" t="s">
        <v>374</v>
      </c>
      <c r="F540" s="345" t="s">
        <v>375</v>
      </c>
      <c r="G540" s="346" t="s">
        <v>376</v>
      </c>
      <c r="H540" s="339" t="s">
        <v>14</v>
      </c>
      <c r="I540" s="345" t="s">
        <v>61</v>
      </c>
      <c r="J540" s="316">
        <v>41833.664583333331</v>
      </c>
      <c r="K540" s="347"/>
      <c r="L540" s="347" t="s">
        <v>378</v>
      </c>
      <c r="M540" s="348" t="s">
        <v>378</v>
      </c>
      <c r="N540" s="348" t="s">
        <v>389</v>
      </c>
      <c r="O540" s="348" t="s">
        <v>175</v>
      </c>
      <c r="P540" s="349">
        <v>19.333709768492401</v>
      </c>
      <c r="Q540" s="321" t="str">
        <f t="shared" si="28"/>
        <v/>
      </c>
      <c r="R540" s="318">
        <f t="shared" si="29"/>
        <v>41833</v>
      </c>
      <c r="S540" s="318" t="str">
        <f t="shared" si="30"/>
        <v/>
      </c>
    </row>
    <row r="541" spans="3:19" ht="27.75" customHeight="1">
      <c r="C541" s="345" t="s">
        <v>98</v>
      </c>
      <c r="D541" s="345" t="s">
        <v>373</v>
      </c>
      <c r="E541" s="345" t="s">
        <v>374</v>
      </c>
      <c r="F541" s="345" t="s">
        <v>375</v>
      </c>
      <c r="G541" s="346" t="s">
        <v>376</v>
      </c>
      <c r="H541" s="339" t="s">
        <v>14</v>
      </c>
      <c r="I541" s="345" t="s">
        <v>60</v>
      </c>
      <c r="J541" s="316">
        <v>41833.656944444447</v>
      </c>
      <c r="K541" s="347"/>
      <c r="L541" s="347" t="s">
        <v>378</v>
      </c>
      <c r="M541" s="348" t="s">
        <v>378</v>
      </c>
      <c r="N541" s="348" t="s">
        <v>389</v>
      </c>
      <c r="O541" s="348" t="s">
        <v>175</v>
      </c>
      <c r="P541" s="349">
        <v>19.366459627329199</v>
      </c>
      <c r="Q541" s="321" t="str">
        <f t="shared" si="28"/>
        <v/>
      </c>
      <c r="R541" s="318">
        <f t="shared" si="29"/>
        <v>41833</v>
      </c>
      <c r="S541" s="318" t="str">
        <f t="shared" si="30"/>
        <v/>
      </c>
    </row>
    <row r="542" spans="3:19" ht="27.75" customHeight="1">
      <c r="C542" s="345" t="s">
        <v>98</v>
      </c>
      <c r="D542" s="345" t="s">
        <v>373</v>
      </c>
      <c r="E542" s="345" t="s">
        <v>374</v>
      </c>
      <c r="F542" s="345" t="s">
        <v>375</v>
      </c>
      <c r="G542" s="346" t="s">
        <v>376</v>
      </c>
      <c r="H542" s="339" t="s">
        <v>14</v>
      </c>
      <c r="I542" s="345" t="s">
        <v>59</v>
      </c>
      <c r="J542" s="316">
        <v>41833.650694444441</v>
      </c>
      <c r="K542" s="347"/>
      <c r="L542" s="347" t="s">
        <v>377</v>
      </c>
      <c r="M542" s="348" t="s">
        <v>378</v>
      </c>
      <c r="N542" s="348" t="s">
        <v>389</v>
      </c>
      <c r="O542" s="348" t="s">
        <v>177</v>
      </c>
      <c r="P542" s="349">
        <v>19.399209486166001</v>
      </c>
      <c r="Q542" s="321" t="str">
        <f t="shared" si="28"/>
        <v/>
      </c>
      <c r="R542" s="318">
        <f t="shared" si="29"/>
        <v>41833</v>
      </c>
      <c r="S542" s="318" t="str">
        <f t="shared" si="30"/>
        <v/>
      </c>
    </row>
    <row r="543" spans="3:19" ht="27.75" customHeight="1">
      <c r="C543" s="345" t="s">
        <v>98</v>
      </c>
      <c r="D543" s="345" t="s">
        <v>373</v>
      </c>
      <c r="E543" s="345" t="s">
        <v>374</v>
      </c>
      <c r="F543" s="345" t="s">
        <v>375</v>
      </c>
      <c r="G543" s="346" t="s">
        <v>376</v>
      </c>
      <c r="H543" s="345" t="s">
        <v>14</v>
      </c>
      <c r="I543" s="345" t="s">
        <v>61</v>
      </c>
      <c r="J543" s="316">
        <v>41833.648611111108</v>
      </c>
      <c r="K543" s="347"/>
      <c r="L543" s="347" t="s">
        <v>377</v>
      </c>
      <c r="M543" s="348" t="s">
        <v>378</v>
      </c>
      <c r="N543" s="348" t="s">
        <v>389</v>
      </c>
      <c r="O543" s="348" t="s">
        <v>177</v>
      </c>
      <c r="P543" s="349">
        <v>19.431959345002799</v>
      </c>
      <c r="Q543" s="321" t="str">
        <f t="shared" si="28"/>
        <v/>
      </c>
      <c r="R543" s="318">
        <f t="shared" si="29"/>
        <v>41833</v>
      </c>
      <c r="S543" s="318" t="str">
        <f t="shared" si="30"/>
        <v/>
      </c>
    </row>
    <row r="544" spans="3:19" ht="27.75" customHeight="1">
      <c r="C544" s="345" t="s">
        <v>98</v>
      </c>
      <c r="D544" s="345" t="s">
        <v>373</v>
      </c>
      <c r="E544" s="345" t="s">
        <v>374</v>
      </c>
      <c r="F544" s="345" t="s">
        <v>375</v>
      </c>
      <c r="G544" s="346" t="s">
        <v>376</v>
      </c>
      <c r="H544" s="339" t="s">
        <v>14</v>
      </c>
      <c r="I544" s="345" t="s">
        <v>60</v>
      </c>
      <c r="J544" s="316">
        <v>41833.618750000001</v>
      </c>
      <c r="K544" s="347"/>
      <c r="L544" s="347" t="s">
        <v>378</v>
      </c>
      <c r="M544" s="348" t="s">
        <v>378</v>
      </c>
      <c r="N544" s="348" t="s">
        <v>389</v>
      </c>
      <c r="O544" s="348" t="s">
        <v>175</v>
      </c>
      <c r="P544" s="349">
        <v>19.4647092038396</v>
      </c>
      <c r="Q544" s="321" t="str">
        <f t="shared" si="28"/>
        <v/>
      </c>
      <c r="R544" s="318">
        <f t="shared" si="29"/>
        <v>41833</v>
      </c>
      <c r="S544" s="318" t="str">
        <f t="shared" si="30"/>
        <v/>
      </c>
    </row>
    <row r="545" spans="3:19" ht="27.75" customHeight="1">
      <c r="C545" s="345" t="s">
        <v>98</v>
      </c>
      <c r="D545" s="345" t="s">
        <v>373</v>
      </c>
      <c r="E545" s="345" t="s">
        <v>374</v>
      </c>
      <c r="F545" s="345" t="s">
        <v>375</v>
      </c>
      <c r="G545" s="346" t="s">
        <v>376</v>
      </c>
      <c r="H545" s="339" t="s">
        <v>14</v>
      </c>
      <c r="I545" s="345" t="s">
        <v>61</v>
      </c>
      <c r="J545" s="316">
        <v>41833.612500000003</v>
      </c>
      <c r="K545" s="347"/>
      <c r="L545" s="347" t="s">
        <v>377</v>
      </c>
      <c r="M545" s="348" t="s">
        <v>378</v>
      </c>
      <c r="N545" s="348" t="s">
        <v>389</v>
      </c>
      <c r="O545" s="348" t="s">
        <v>175</v>
      </c>
      <c r="P545" s="349">
        <v>19.497459062676398</v>
      </c>
      <c r="Q545" s="321" t="str">
        <f t="shared" si="28"/>
        <v/>
      </c>
      <c r="R545" s="318">
        <f t="shared" si="29"/>
        <v>41833</v>
      </c>
      <c r="S545" s="318" t="str">
        <f t="shared" si="30"/>
        <v/>
      </c>
    </row>
    <row r="546" spans="3:19" ht="27.75" customHeight="1">
      <c r="C546" s="345" t="s">
        <v>98</v>
      </c>
      <c r="D546" s="345" t="s">
        <v>373</v>
      </c>
      <c r="E546" s="345" t="s">
        <v>374</v>
      </c>
      <c r="F546" s="345" t="s">
        <v>375</v>
      </c>
      <c r="G546" s="346" t="s">
        <v>376</v>
      </c>
      <c r="H546" s="345" t="s">
        <v>140</v>
      </c>
      <c r="I546" s="345" t="s">
        <v>60</v>
      </c>
      <c r="J546" s="316">
        <v>41833.597222222219</v>
      </c>
      <c r="K546" s="347"/>
      <c r="L546" s="347" t="s">
        <v>378</v>
      </c>
      <c r="M546" s="348" t="s">
        <v>378</v>
      </c>
      <c r="N546" s="348" t="s">
        <v>389</v>
      </c>
      <c r="O546" s="348" t="s">
        <v>175</v>
      </c>
      <c r="P546" s="349">
        <v>19.5302089215132</v>
      </c>
      <c r="Q546" s="321" t="str">
        <f t="shared" si="28"/>
        <v/>
      </c>
      <c r="R546" s="318">
        <f t="shared" si="29"/>
        <v>41833</v>
      </c>
      <c r="S546" s="318" t="str">
        <f t="shared" si="30"/>
        <v/>
      </c>
    </row>
    <row r="547" spans="3:19" ht="27.75" customHeight="1">
      <c r="C547" s="345" t="s">
        <v>98</v>
      </c>
      <c r="D547" s="345" t="s">
        <v>373</v>
      </c>
      <c r="E547" s="345" t="s">
        <v>374</v>
      </c>
      <c r="F547" s="345" t="s">
        <v>375</v>
      </c>
      <c r="G547" s="346" t="s">
        <v>376</v>
      </c>
      <c r="H547" s="345" t="s">
        <v>140</v>
      </c>
      <c r="I547" s="345" t="s">
        <v>60</v>
      </c>
      <c r="J547" s="316">
        <v>41833.594444444447</v>
      </c>
      <c r="K547" s="347"/>
      <c r="L547" s="347" t="s">
        <v>378</v>
      </c>
      <c r="M547" s="348" t="s">
        <v>378</v>
      </c>
      <c r="N547" s="348" t="s">
        <v>389</v>
      </c>
      <c r="O547" s="348" t="s">
        <v>177</v>
      </c>
      <c r="P547" s="349">
        <v>19.562958780350101</v>
      </c>
      <c r="Q547" s="321" t="str">
        <f t="shared" si="28"/>
        <v/>
      </c>
      <c r="R547" s="318">
        <f t="shared" si="29"/>
        <v>41833</v>
      </c>
      <c r="S547" s="318" t="str">
        <f t="shared" si="30"/>
        <v/>
      </c>
    </row>
    <row r="548" spans="3:19" ht="27.75" customHeight="1">
      <c r="C548" s="345" t="s">
        <v>98</v>
      </c>
      <c r="D548" s="345" t="s">
        <v>373</v>
      </c>
      <c r="E548" s="345" t="s">
        <v>374</v>
      </c>
      <c r="F548" s="345" t="s">
        <v>375</v>
      </c>
      <c r="G548" s="346" t="s">
        <v>376</v>
      </c>
      <c r="H548" s="345" t="s">
        <v>391</v>
      </c>
      <c r="I548" s="345" t="s">
        <v>60</v>
      </c>
      <c r="J548" s="316">
        <v>41833.576388888891</v>
      </c>
      <c r="K548" s="347"/>
      <c r="L548" s="347" t="s">
        <v>378</v>
      </c>
      <c r="M548" s="348" t="s">
        <v>378</v>
      </c>
      <c r="N548" s="348" t="s">
        <v>389</v>
      </c>
      <c r="O548" s="348" t="s">
        <v>177</v>
      </c>
      <c r="P548" s="349">
        <v>19.595708639186899</v>
      </c>
      <c r="Q548" s="321" t="str">
        <f t="shared" si="28"/>
        <v/>
      </c>
      <c r="R548" s="318">
        <f t="shared" si="29"/>
        <v>41833</v>
      </c>
      <c r="S548" s="318" t="str">
        <f t="shared" si="30"/>
        <v/>
      </c>
    </row>
    <row r="549" spans="3:19" ht="27.75" customHeight="1">
      <c r="C549" s="345" t="s">
        <v>98</v>
      </c>
      <c r="D549" s="345" t="s">
        <v>373</v>
      </c>
      <c r="E549" s="345" t="s">
        <v>374</v>
      </c>
      <c r="F549" s="345" t="s">
        <v>375</v>
      </c>
      <c r="G549" s="346" t="s">
        <v>376</v>
      </c>
      <c r="H549" s="345" t="s">
        <v>5</v>
      </c>
      <c r="I549" s="345" t="s">
        <v>61</v>
      </c>
      <c r="J549" s="316">
        <v>41833.550694444442</v>
      </c>
      <c r="K549" s="347">
        <v>41837.550694444442</v>
      </c>
      <c r="L549" s="347" t="s">
        <v>378</v>
      </c>
      <c r="M549" s="348" t="s">
        <v>378</v>
      </c>
      <c r="N549" s="348" t="s">
        <v>389</v>
      </c>
      <c r="O549" s="348" t="s">
        <v>177</v>
      </c>
      <c r="P549" s="349">
        <v>19.628458498023701</v>
      </c>
      <c r="Q549" s="321">
        <f t="shared" si="28"/>
        <v>4</v>
      </c>
      <c r="R549" s="318">
        <f t="shared" si="29"/>
        <v>41833</v>
      </c>
      <c r="S549" s="318">
        <f t="shared" si="30"/>
        <v>41837</v>
      </c>
    </row>
    <row r="550" spans="3:19" ht="27.75" customHeight="1">
      <c r="C550" s="345" t="s">
        <v>98</v>
      </c>
      <c r="D550" s="345" t="s">
        <v>373</v>
      </c>
      <c r="E550" s="345" t="s">
        <v>374</v>
      </c>
      <c r="F550" s="345" t="s">
        <v>375</v>
      </c>
      <c r="G550" s="346" t="s">
        <v>376</v>
      </c>
      <c r="H550" s="345" t="s">
        <v>5</v>
      </c>
      <c r="I550" s="345" t="s">
        <v>60</v>
      </c>
      <c r="J550" s="316">
        <v>41833.543055555558</v>
      </c>
      <c r="K550" s="347">
        <v>41838.543055555558</v>
      </c>
      <c r="L550" s="347" t="s">
        <v>378</v>
      </c>
      <c r="M550" s="348" t="s">
        <v>378</v>
      </c>
      <c r="N550" s="348" t="s">
        <v>389</v>
      </c>
      <c r="O550" s="348" t="s">
        <v>177</v>
      </c>
      <c r="P550" s="349">
        <v>19.661208356860499</v>
      </c>
      <c r="Q550" s="321">
        <f t="shared" si="28"/>
        <v>5</v>
      </c>
      <c r="R550" s="318">
        <f t="shared" si="29"/>
        <v>41833</v>
      </c>
      <c r="S550" s="318">
        <f t="shared" si="30"/>
        <v>41838</v>
      </c>
    </row>
    <row r="551" spans="3:19" ht="27.75" customHeight="1">
      <c r="C551" s="345" t="s">
        <v>98</v>
      </c>
      <c r="D551" s="345" t="s">
        <v>373</v>
      </c>
      <c r="E551" s="345" t="s">
        <v>374</v>
      </c>
      <c r="F551" s="345" t="s">
        <v>375</v>
      </c>
      <c r="G551" s="346" t="s">
        <v>376</v>
      </c>
      <c r="H551" s="345" t="s">
        <v>5</v>
      </c>
      <c r="I551" s="345" t="s">
        <v>61</v>
      </c>
      <c r="J551" s="316">
        <v>41833.537499999999</v>
      </c>
      <c r="K551" s="347">
        <v>41847.537499999999</v>
      </c>
      <c r="L551" s="347" t="s">
        <v>378</v>
      </c>
      <c r="M551" s="348" t="s">
        <v>378</v>
      </c>
      <c r="N551" s="348" t="s">
        <v>389</v>
      </c>
      <c r="O551" s="348" t="s">
        <v>177</v>
      </c>
      <c r="P551" s="349">
        <v>19.6939582156973</v>
      </c>
      <c r="Q551" s="321">
        <f t="shared" si="28"/>
        <v>14</v>
      </c>
      <c r="R551" s="318">
        <f t="shared" si="29"/>
        <v>41833</v>
      </c>
      <c r="S551" s="318">
        <f t="shared" si="30"/>
        <v>41847</v>
      </c>
    </row>
    <row r="552" spans="3:19" ht="27.75" customHeight="1">
      <c r="C552" s="345" t="s">
        <v>98</v>
      </c>
      <c r="D552" s="345" t="s">
        <v>373</v>
      </c>
      <c r="E552" s="345" t="s">
        <v>374</v>
      </c>
      <c r="F552" s="345" t="s">
        <v>375</v>
      </c>
      <c r="G552" s="346" t="s">
        <v>376</v>
      </c>
      <c r="H552" s="339" t="s">
        <v>14</v>
      </c>
      <c r="I552" s="345" t="s">
        <v>60</v>
      </c>
      <c r="J552" s="316">
        <v>41833.532638888886</v>
      </c>
      <c r="K552" s="347"/>
      <c r="L552" s="347" t="s">
        <v>378</v>
      </c>
      <c r="M552" s="348" t="s">
        <v>378</v>
      </c>
      <c r="N552" s="348" t="s">
        <v>389</v>
      </c>
      <c r="O552" s="348" t="s">
        <v>177</v>
      </c>
      <c r="P552" s="349">
        <v>19.726708074534098</v>
      </c>
      <c r="Q552" s="321" t="str">
        <f t="shared" si="28"/>
        <v/>
      </c>
      <c r="R552" s="318">
        <f t="shared" si="29"/>
        <v>41833</v>
      </c>
      <c r="S552" s="318" t="str">
        <f t="shared" si="30"/>
        <v/>
      </c>
    </row>
    <row r="553" spans="3:19" ht="27.75" customHeight="1">
      <c r="C553" s="345" t="s">
        <v>98</v>
      </c>
      <c r="D553" s="345" t="s">
        <v>373</v>
      </c>
      <c r="E553" s="345" t="s">
        <v>374</v>
      </c>
      <c r="F553" s="345" t="s">
        <v>375</v>
      </c>
      <c r="G553" s="346" t="s">
        <v>376</v>
      </c>
      <c r="H553" s="339" t="s">
        <v>14</v>
      </c>
      <c r="I553" s="345" t="s">
        <v>60</v>
      </c>
      <c r="J553" s="316">
        <v>41833.527777777781</v>
      </c>
      <c r="K553" s="347"/>
      <c r="L553" s="347" t="s">
        <v>188</v>
      </c>
      <c r="M553" s="348" t="s">
        <v>382</v>
      </c>
      <c r="N553" s="348" t="s">
        <v>382</v>
      </c>
      <c r="O553" s="348" t="s">
        <v>175</v>
      </c>
      <c r="P553" s="349">
        <v>19.759457933370999</v>
      </c>
      <c r="Q553" s="321" t="str">
        <f t="shared" si="28"/>
        <v/>
      </c>
      <c r="R553" s="318">
        <f t="shared" si="29"/>
        <v>41833</v>
      </c>
      <c r="S553" s="318" t="str">
        <f t="shared" si="30"/>
        <v/>
      </c>
    </row>
    <row r="554" spans="3:19" ht="27.75" customHeight="1">
      <c r="C554" s="345" t="s">
        <v>98</v>
      </c>
      <c r="D554" s="345" t="s">
        <v>373</v>
      </c>
      <c r="E554" s="345" t="s">
        <v>374</v>
      </c>
      <c r="F554" s="345" t="s">
        <v>375</v>
      </c>
      <c r="G554" s="346" t="s">
        <v>376</v>
      </c>
      <c r="H554" s="339" t="s">
        <v>14</v>
      </c>
      <c r="I554" s="345" t="s">
        <v>61</v>
      </c>
      <c r="J554" s="316">
        <v>41833.526388888888</v>
      </c>
      <c r="K554" s="347"/>
      <c r="L554" s="347" t="s">
        <v>378</v>
      </c>
      <c r="M554" s="348" t="s">
        <v>378</v>
      </c>
      <c r="N554" s="348" t="s">
        <v>389</v>
      </c>
      <c r="O554" s="348" t="s">
        <v>175</v>
      </c>
      <c r="P554" s="349">
        <v>19.792207792207801</v>
      </c>
      <c r="Q554" s="321" t="str">
        <f t="shared" si="28"/>
        <v/>
      </c>
      <c r="R554" s="318">
        <f t="shared" si="29"/>
        <v>41833</v>
      </c>
      <c r="S554" s="318" t="str">
        <f t="shared" si="30"/>
        <v/>
      </c>
    </row>
    <row r="555" spans="3:19" ht="27.75" customHeight="1">
      <c r="C555" s="345" t="s">
        <v>98</v>
      </c>
      <c r="D555" s="345" t="s">
        <v>373</v>
      </c>
      <c r="E555" s="345" t="s">
        <v>374</v>
      </c>
      <c r="F555" s="345" t="s">
        <v>375</v>
      </c>
      <c r="G555" s="346" t="s">
        <v>376</v>
      </c>
      <c r="H555" s="339" t="s">
        <v>14</v>
      </c>
      <c r="I555" s="345" t="s">
        <v>61</v>
      </c>
      <c r="J555" s="316">
        <v>41833.520833333336</v>
      </c>
      <c r="K555" s="347"/>
      <c r="L555" s="347" t="s">
        <v>378</v>
      </c>
      <c r="M555" s="348" t="s">
        <v>378</v>
      </c>
      <c r="N555" s="348" t="s">
        <v>389</v>
      </c>
      <c r="O555" s="348" t="s">
        <v>175</v>
      </c>
      <c r="P555" s="349">
        <v>19.824957651044599</v>
      </c>
      <c r="Q555" s="321" t="str">
        <f t="shared" si="28"/>
        <v/>
      </c>
      <c r="R555" s="318">
        <f t="shared" si="29"/>
        <v>41833</v>
      </c>
      <c r="S555" s="318" t="str">
        <f t="shared" si="30"/>
        <v/>
      </c>
    </row>
    <row r="556" spans="3:19" ht="27.75" customHeight="1">
      <c r="C556" s="345" t="s">
        <v>98</v>
      </c>
      <c r="D556" s="345" t="s">
        <v>373</v>
      </c>
      <c r="E556" s="345" t="s">
        <v>374</v>
      </c>
      <c r="F556" s="345" t="s">
        <v>375</v>
      </c>
      <c r="G556" s="346" t="s">
        <v>376</v>
      </c>
      <c r="H556" s="339" t="s">
        <v>14</v>
      </c>
      <c r="I556" s="345" t="s">
        <v>61</v>
      </c>
      <c r="J556" s="316">
        <v>41833.51666666667</v>
      </c>
      <c r="K556" s="347"/>
      <c r="L556" s="347" t="s">
        <v>378</v>
      </c>
      <c r="M556" s="348" t="s">
        <v>378</v>
      </c>
      <c r="N556" s="348" t="s">
        <v>389</v>
      </c>
      <c r="O556" s="348" t="s">
        <v>175</v>
      </c>
      <c r="P556" s="349">
        <v>19.857707509881401</v>
      </c>
      <c r="Q556" s="321" t="str">
        <f t="shared" si="28"/>
        <v/>
      </c>
      <c r="R556" s="318">
        <f t="shared" si="29"/>
        <v>41833</v>
      </c>
      <c r="S556" s="318" t="str">
        <f t="shared" si="30"/>
        <v/>
      </c>
    </row>
    <row r="557" spans="3:19" ht="27.75" customHeight="1">
      <c r="C557" s="345" t="s">
        <v>98</v>
      </c>
      <c r="D557" s="345" t="s">
        <v>373</v>
      </c>
      <c r="E557" s="345" t="s">
        <v>374</v>
      </c>
      <c r="F557" s="345" t="s">
        <v>375</v>
      </c>
      <c r="G557" s="346" t="s">
        <v>376</v>
      </c>
      <c r="H557" s="339" t="s">
        <v>14</v>
      </c>
      <c r="I557" s="345" t="s">
        <v>61</v>
      </c>
      <c r="J557" s="316">
        <v>41833.502083333333</v>
      </c>
      <c r="K557" s="347"/>
      <c r="L557" s="347" t="s">
        <v>378</v>
      </c>
      <c r="M557" s="348" t="s">
        <v>378</v>
      </c>
      <c r="N557" s="348" t="s">
        <v>389</v>
      </c>
      <c r="O557" s="348" t="s">
        <v>175</v>
      </c>
      <c r="P557" s="349">
        <v>19.890457368718199</v>
      </c>
      <c r="Q557" s="321" t="str">
        <f t="shared" si="28"/>
        <v/>
      </c>
      <c r="R557" s="318">
        <f t="shared" si="29"/>
        <v>41833</v>
      </c>
      <c r="S557" s="318" t="str">
        <f t="shared" si="30"/>
        <v/>
      </c>
    </row>
    <row r="558" spans="3:19" ht="27.75" customHeight="1">
      <c r="C558" s="345" t="s">
        <v>98</v>
      </c>
      <c r="D558" s="345" t="s">
        <v>373</v>
      </c>
      <c r="E558" s="345" t="s">
        <v>374</v>
      </c>
      <c r="F558" s="345" t="s">
        <v>375</v>
      </c>
      <c r="G558" s="346" t="s">
        <v>376</v>
      </c>
      <c r="H558" s="339" t="s">
        <v>14</v>
      </c>
      <c r="I558" s="345" t="s">
        <v>60</v>
      </c>
      <c r="J558" s="316">
        <v>41833.495138888888</v>
      </c>
      <c r="K558" s="347"/>
      <c r="L558" s="347" t="s">
        <v>378</v>
      </c>
      <c r="M558" s="348" t="s">
        <v>378</v>
      </c>
      <c r="N558" s="348" t="s">
        <v>389</v>
      </c>
      <c r="O558" s="348" t="s">
        <v>175</v>
      </c>
      <c r="P558" s="349">
        <v>19.923207227555</v>
      </c>
      <c r="Q558" s="321" t="str">
        <f t="shared" si="28"/>
        <v/>
      </c>
      <c r="R558" s="318">
        <f t="shared" si="29"/>
        <v>41833</v>
      </c>
      <c r="S558" s="318" t="str">
        <f t="shared" si="30"/>
        <v/>
      </c>
    </row>
    <row r="559" spans="3:19" ht="27.75" customHeight="1">
      <c r="C559" s="345" t="s">
        <v>98</v>
      </c>
      <c r="D559" s="345" t="s">
        <v>373</v>
      </c>
      <c r="E559" s="345" t="s">
        <v>374</v>
      </c>
      <c r="F559" s="345" t="s">
        <v>375</v>
      </c>
      <c r="G559" s="346" t="s">
        <v>376</v>
      </c>
      <c r="H559" s="345" t="s">
        <v>5</v>
      </c>
      <c r="I559" s="345" t="s">
        <v>61</v>
      </c>
      <c r="J559" s="316">
        <v>41833.493750000001</v>
      </c>
      <c r="K559" s="347">
        <v>41839.493750000001</v>
      </c>
      <c r="L559" s="347" t="s">
        <v>378</v>
      </c>
      <c r="M559" s="348" t="s">
        <v>378</v>
      </c>
      <c r="N559" s="348" t="s">
        <v>400</v>
      </c>
      <c r="O559" s="348" t="s">
        <v>175</v>
      </c>
      <c r="P559" s="349">
        <v>19.955957086391798</v>
      </c>
      <c r="Q559" s="321">
        <f t="shared" si="28"/>
        <v>6</v>
      </c>
      <c r="R559" s="318">
        <f t="shared" si="29"/>
        <v>41833</v>
      </c>
      <c r="S559" s="318">
        <f t="shared" si="30"/>
        <v>41839</v>
      </c>
    </row>
    <row r="560" spans="3:19" ht="27.75" customHeight="1">
      <c r="C560" s="345" t="s">
        <v>98</v>
      </c>
      <c r="D560" s="345" t="s">
        <v>373</v>
      </c>
      <c r="E560" s="345" t="s">
        <v>374</v>
      </c>
      <c r="F560" s="345" t="s">
        <v>375</v>
      </c>
      <c r="G560" s="346" t="s">
        <v>376</v>
      </c>
      <c r="H560" s="339" t="s">
        <v>14</v>
      </c>
      <c r="I560" s="345" t="s">
        <v>60</v>
      </c>
      <c r="J560" s="316">
        <v>41833.48333333333</v>
      </c>
      <c r="K560" s="347"/>
      <c r="L560" s="347" t="s">
        <v>378</v>
      </c>
      <c r="M560" s="348" t="s">
        <v>378</v>
      </c>
      <c r="N560" s="348" t="s">
        <v>400</v>
      </c>
      <c r="O560" s="348" t="s">
        <v>175</v>
      </c>
      <c r="P560" s="349">
        <v>19.988706945228699</v>
      </c>
      <c r="Q560" s="321" t="str">
        <f t="shared" si="28"/>
        <v/>
      </c>
      <c r="R560" s="318">
        <f t="shared" si="29"/>
        <v>41833</v>
      </c>
      <c r="S560" s="318" t="str">
        <f t="shared" si="30"/>
        <v/>
      </c>
    </row>
    <row r="561" spans="3:19" ht="27.75" customHeight="1">
      <c r="C561" s="345" t="s">
        <v>98</v>
      </c>
      <c r="D561" s="345" t="s">
        <v>373</v>
      </c>
      <c r="E561" s="345" t="s">
        <v>374</v>
      </c>
      <c r="F561" s="345" t="s">
        <v>375</v>
      </c>
      <c r="G561" s="346" t="s">
        <v>376</v>
      </c>
      <c r="H561" s="345" t="s">
        <v>5</v>
      </c>
      <c r="I561" s="345" t="s">
        <v>61</v>
      </c>
      <c r="J561" s="316">
        <v>41833.479861111111</v>
      </c>
      <c r="K561" s="347">
        <v>41847.479861111111</v>
      </c>
      <c r="L561" s="347" t="s">
        <v>378</v>
      </c>
      <c r="M561" s="348" t="s">
        <v>378</v>
      </c>
      <c r="N561" s="348" t="s">
        <v>390</v>
      </c>
      <c r="O561" s="348" t="s">
        <v>175</v>
      </c>
      <c r="P561" s="349">
        <v>20.021456804065501</v>
      </c>
      <c r="Q561" s="321">
        <f t="shared" si="28"/>
        <v>14</v>
      </c>
      <c r="R561" s="318">
        <f t="shared" si="29"/>
        <v>41833</v>
      </c>
      <c r="S561" s="318">
        <f t="shared" si="30"/>
        <v>41847</v>
      </c>
    </row>
    <row r="562" spans="3:19" ht="27.75" customHeight="1">
      <c r="C562" s="345" t="s">
        <v>98</v>
      </c>
      <c r="D562" s="345" t="s">
        <v>373</v>
      </c>
      <c r="E562" s="345" t="s">
        <v>374</v>
      </c>
      <c r="F562" s="345" t="s">
        <v>375</v>
      </c>
      <c r="G562" s="346" t="s">
        <v>376</v>
      </c>
      <c r="H562" s="339" t="s">
        <v>14</v>
      </c>
      <c r="I562" s="345" t="s">
        <v>61</v>
      </c>
      <c r="J562" s="316">
        <v>41833.474999999999</v>
      </c>
      <c r="K562" s="347"/>
      <c r="L562" s="347" t="s">
        <v>378</v>
      </c>
      <c r="M562" s="348" t="s">
        <v>378</v>
      </c>
      <c r="N562" s="348" t="s">
        <v>390</v>
      </c>
      <c r="O562" s="348" t="s">
        <v>175</v>
      </c>
      <c r="P562" s="349">
        <v>20.054206662902299</v>
      </c>
      <c r="Q562" s="321" t="str">
        <f t="shared" si="28"/>
        <v/>
      </c>
      <c r="R562" s="318">
        <f t="shared" si="29"/>
        <v>41833</v>
      </c>
      <c r="S562" s="318" t="str">
        <f t="shared" si="30"/>
        <v/>
      </c>
    </row>
    <row r="563" spans="3:19" ht="27.75" customHeight="1">
      <c r="C563" s="345" t="s">
        <v>98</v>
      </c>
      <c r="D563" s="345" t="s">
        <v>373</v>
      </c>
      <c r="E563" s="345" t="s">
        <v>374</v>
      </c>
      <c r="F563" s="345" t="s">
        <v>375</v>
      </c>
      <c r="G563" s="346" t="s">
        <v>376</v>
      </c>
      <c r="H563" s="339" t="s">
        <v>14</v>
      </c>
      <c r="I563" s="345" t="s">
        <v>58</v>
      </c>
      <c r="J563" s="316">
        <v>41833.474305555559</v>
      </c>
      <c r="K563" s="347"/>
      <c r="L563" s="347" t="s">
        <v>378</v>
      </c>
      <c r="M563" s="348" t="s">
        <v>378</v>
      </c>
      <c r="N563" s="348" t="s">
        <v>390</v>
      </c>
      <c r="O563" s="348" t="s">
        <v>175</v>
      </c>
      <c r="P563" s="349">
        <v>20.086956521739101</v>
      </c>
      <c r="Q563" s="321" t="str">
        <f t="shared" si="28"/>
        <v/>
      </c>
      <c r="R563" s="318">
        <f t="shared" si="29"/>
        <v>41833</v>
      </c>
      <c r="S563" s="318" t="str">
        <f t="shared" si="30"/>
        <v/>
      </c>
    </row>
    <row r="564" spans="3:19" ht="27.75" customHeight="1">
      <c r="C564" s="345" t="s">
        <v>98</v>
      </c>
      <c r="D564" s="345" t="s">
        <v>373</v>
      </c>
      <c r="E564" s="345" t="s">
        <v>374</v>
      </c>
      <c r="F564" s="345" t="s">
        <v>375</v>
      </c>
      <c r="G564" s="346" t="s">
        <v>376</v>
      </c>
      <c r="H564" s="339" t="s">
        <v>14</v>
      </c>
      <c r="I564" s="345" t="s">
        <v>60</v>
      </c>
      <c r="J564" s="316">
        <v>41833.474305555559</v>
      </c>
      <c r="K564" s="347"/>
      <c r="L564" s="347" t="s">
        <v>378</v>
      </c>
      <c r="M564" s="348" t="s">
        <v>378</v>
      </c>
      <c r="N564" s="348" t="s">
        <v>390</v>
      </c>
      <c r="O564" s="348" t="s">
        <v>177</v>
      </c>
      <c r="P564" s="349">
        <v>20.119706380575899</v>
      </c>
      <c r="Q564" s="321" t="str">
        <f t="shared" si="28"/>
        <v/>
      </c>
      <c r="R564" s="318">
        <f t="shared" si="29"/>
        <v>41833</v>
      </c>
      <c r="S564" s="318" t="str">
        <f t="shared" si="30"/>
        <v/>
      </c>
    </row>
    <row r="565" spans="3:19" ht="27.75" customHeight="1">
      <c r="C565" s="345" t="s">
        <v>98</v>
      </c>
      <c r="D565" s="345" t="s">
        <v>373</v>
      </c>
      <c r="E565" s="345" t="s">
        <v>374</v>
      </c>
      <c r="F565" s="345" t="s">
        <v>375</v>
      </c>
      <c r="G565" s="346" t="s">
        <v>376</v>
      </c>
      <c r="H565" s="345" t="s">
        <v>5</v>
      </c>
      <c r="I565" s="345" t="s">
        <v>61</v>
      </c>
      <c r="J565" s="316">
        <v>41833.423611111109</v>
      </c>
      <c r="K565" s="347">
        <v>41840.423611111109</v>
      </c>
      <c r="L565" s="347" t="s">
        <v>378</v>
      </c>
      <c r="M565" s="348" t="s">
        <v>378</v>
      </c>
      <c r="N565" s="348" t="s">
        <v>390</v>
      </c>
      <c r="O565" s="348" t="s">
        <v>177</v>
      </c>
      <c r="P565" s="349">
        <v>20.1524562394127</v>
      </c>
      <c r="Q565" s="321">
        <f t="shared" si="28"/>
        <v>7</v>
      </c>
      <c r="R565" s="318">
        <f t="shared" si="29"/>
        <v>41833</v>
      </c>
      <c r="S565" s="318">
        <f t="shared" si="30"/>
        <v>41840</v>
      </c>
    </row>
    <row r="566" spans="3:19" ht="27.75" customHeight="1">
      <c r="C566" s="345" t="s">
        <v>98</v>
      </c>
      <c r="D566" s="345" t="s">
        <v>373</v>
      </c>
      <c r="E566" s="345" t="s">
        <v>374</v>
      </c>
      <c r="F566" s="345" t="s">
        <v>375</v>
      </c>
      <c r="G566" s="346" t="s">
        <v>376</v>
      </c>
      <c r="H566" s="345" t="s">
        <v>5</v>
      </c>
      <c r="I566" s="345" t="s">
        <v>61</v>
      </c>
      <c r="J566" s="316">
        <v>41833.411805555559</v>
      </c>
      <c r="K566" s="347">
        <v>41847.411805555559</v>
      </c>
      <c r="L566" s="347" t="s">
        <v>188</v>
      </c>
      <c r="M566" s="348" t="s">
        <v>382</v>
      </c>
      <c r="N566" s="348" t="s">
        <v>382</v>
      </c>
      <c r="O566" s="348" t="s">
        <v>175</v>
      </c>
      <c r="P566" s="349">
        <v>20.185206098249601</v>
      </c>
      <c r="Q566" s="321">
        <f t="shared" si="28"/>
        <v>14</v>
      </c>
      <c r="R566" s="318">
        <f t="shared" si="29"/>
        <v>41833</v>
      </c>
      <c r="S566" s="318">
        <f t="shared" si="30"/>
        <v>41847</v>
      </c>
    </row>
    <row r="567" spans="3:19" ht="27.75" customHeight="1">
      <c r="C567" s="345" t="s">
        <v>98</v>
      </c>
      <c r="D567" s="345" t="s">
        <v>373</v>
      </c>
      <c r="E567" s="345" t="s">
        <v>374</v>
      </c>
      <c r="F567" s="345" t="s">
        <v>375</v>
      </c>
      <c r="G567" s="346" t="s">
        <v>376</v>
      </c>
      <c r="H567" s="339" t="s">
        <v>14</v>
      </c>
      <c r="I567" s="345" t="s">
        <v>59</v>
      </c>
      <c r="J567" s="316">
        <v>41833.406944444447</v>
      </c>
      <c r="K567" s="347"/>
      <c r="L567" s="347" t="s">
        <v>378</v>
      </c>
      <c r="M567" s="348" t="s">
        <v>378</v>
      </c>
      <c r="N567" s="348" t="s">
        <v>390</v>
      </c>
      <c r="O567" s="348" t="s">
        <v>175</v>
      </c>
      <c r="P567" s="349">
        <v>20.217955957086399</v>
      </c>
      <c r="Q567" s="321" t="str">
        <f t="shared" si="28"/>
        <v/>
      </c>
      <c r="R567" s="318">
        <f t="shared" si="29"/>
        <v>41833</v>
      </c>
      <c r="S567" s="318" t="str">
        <f t="shared" si="30"/>
        <v/>
      </c>
    </row>
    <row r="568" spans="3:19" ht="27.75" customHeight="1">
      <c r="C568" s="345" t="s">
        <v>98</v>
      </c>
      <c r="D568" s="345" t="s">
        <v>373</v>
      </c>
      <c r="E568" s="345" t="s">
        <v>374</v>
      </c>
      <c r="F568" s="345" t="s">
        <v>375</v>
      </c>
      <c r="G568" s="346" t="s">
        <v>376</v>
      </c>
      <c r="H568" s="339" t="s">
        <v>14</v>
      </c>
      <c r="I568" s="345" t="s">
        <v>61</v>
      </c>
      <c r="J568" s="316">
        <v>41833.379861111112</v>
      </c>
      <c r="K568" s="347"/>
      <c r="L568" s="347" t="s">
        <v>378</v>
      </c>
      <c r="M568" s="348" t="s">
        <v>378</v>
      </c>
      <c r="N568" s="348" t="s">
        <v>390</v>
      </c>
      <c r="O568" s="348" t="s">
        <v>175</v>
      </c>
      <c r="P568" s="349">
        <v>20.250705815923201</v>
      </c>
      <c r="Q568" s="321" t="str">
        <f t="shared" si="28"/>
        <v/>
      </c>
      <c r="R568" s="318">
        <f t="shared" si="29"/>
        <v>41833</v>
      </c>
      <c r="S568" s="318" t="str">
        <f t="shared" si="30"/>
        <v/>
      </c>
    </row>
    <row r="569" spans="3:19" ht="27.75" customHeight="1">
      <c r="C569" s="345" t="s">
        <v>98</v>
      </c>
      <c r="D569" s="345" t="s">
        <v>373</v>
      </c>
      <c r="E569" s="345" t="s">
        <v>374</v>
      </c>
      <c r="F569" s="345" t="s">
        <v>375</v>
      </c>
      <c r="G569" s="346" t="s">
        <v>376</v>
      </c>
      <c r="H569" s="339" t="s">
        <v>14</v>
      </c>
      <c r="I569" s="345" t="s">
        <v>60</v>
      </c>
      <c r="J569" s="316">
        <v>41826.825694444444</v>
      </c>
      <c r="K569" s="347"/>
      <c r="L569" s="347" t="s">
        <v>378</v>
      </c>
      <c r="M569" s="348" t="s">
        <v>378</v>
      </c>
      <c r="N569" s="348" t="s">
        <v>390</v>
      </c>
      <c r="O569" s="348" t="s">
        <v>177</v>
      </c>
      <c r="P569" s="349">
        <v>20.283455674759999</v>
      </c>
      <c r="Q569" s="321" t="str">
        <f t="shared" si="28"/>
        <v/>
      </c>
      <c r="R569" s="318">
        <f t="shared" si="29"/>
        <v>41826</v>
      </c>
      <c r="S569" s="318" t="str">
        <f t="shared" si="30"/>
        <v/>
      </c>
    </row>
    <row r="570" spans="3:19" ht="27.75" customHeight="1">
      <c r="C570" s="345" t="s">
        <v>98</v>
      </c>
      <c r="D570" s="345" t="s">
        <v>373</v>
      </c>
      <c r="E570" s="345" t="s">
        <v>374</v>
      </c>
      <c r="F570" s="345" t="s">
        <v>375</v>
      </c>
      <c r="G570" s="346" t="s">
        <v>376</v>
      </c>
      <c r="H570" s="339" t="s">
        <v>14</v>
      </c>
      <c r="I570" s="345" t="s">
        <v>61</v>
      </c>
      <c r="J570" s="316">
        <v>41826.71875</v>
      </c>
      <c r="K570" s="347"/>
      <c r="L570" s="347" t="s">
        <v>378</v>
      </c>
      <c r="M570" s="348" t="s">
        <v>378</v>
      </c>
      <c r="N570" s="348" t="s">
        <v>390</v>
      </c>
      <c r="O570" s="348" t="s">
        <v>177</v>
      </c>
      <c r="P570" s="349">
        <v>20.316205533596801</v>
      </c>
      <c r="Q570" s="321" t="str">
        <f t="shared" si="28"/>
        <v/>
      </c>
      <c r="R570" s="318">
        <f t="shared" si="29"/>
        <v>41826</v>
      </c>
      <c r="S570" s="318" t="str">
        <f t="shared" si="30"/>
        <v/>
      </c>
    </row>
    <row r="571" spans="3:19" ht="27.75" customHeight="1">
      <c r="C571" s="345" t="s">
        <v>98</v>
      </c>
      <c r="D571" s="345" t="s">
        <v>373</v>
      </c>
      <c r="E571" s="345" t="s">
        <v>374</v>
      </c>
      <c r="F571" s="345" t="s">
        <v>375</v>
      </c>
      <c r="G571" s="346" t="s">
        <v>376</v>
      </c>
      <c r="H571" s="339" t="s">
        <v>14</v>
      </c>
      <c r="I571" s="345" t="s">
        <v>60</v>
      </c>
      <c r="J571" s="316">
        <v>41826.709027777775</v>
      </c>
      <c r="K571" s="347"/>
      <c r="L571" s="347" t="s">
        <v>377</v>
      </c>
      <c r="M571" s="348" t="s">
        <v>390</v>
      </c>
      <c r="N571" s="348" t="s">
        <v>390</v>
      </c>
      <c r="O571" s="348" t="s">
        <v>177</v>
      </c>
      <c r="P571" s="349">
        <v>20.348955392433599</v>
      </c>
      <c r="Q571" s="321" t="str">
        <f t="shared" si="28"/>
        <v/>
      </c>
      <c r="R571" s="318">
        <f t="shared" si="29"/>
        <v>41826</v>
      </c>
      <c r="S571" s="318" t="str">
        <f t="shared" si="30"/>
        <v/>
      </c>
    </row>
    <row r="572" spans="3:19" ht="27.75" customHeight="1">
      <c r="C572" s="345" t="s">
        <v>98</v>
      </c>
      <c r="D572" s="345" t="s">
        <v>373</v>
      </c>
      <c r="E572" s="345" t="s">
        <v>374</v>
      </c>
      <c r="F572" s="345" t="s">
        <v>375</v>
      </c>
      <c r="G572" s="346" t="s">
        <v>376</v>
      </c>
      <c r="H572" s="339" t="s">
        <v>14</v>
      </c>
      <c r="I572" s="345" t="s">
        <v>60</v>
      </c>
      <c r="J572" s="316">
        <v>41826.697916666664</v>
      </c>
      <c r="K572" s="347"/>
      <c r="L572" s="347" t="s">
        <v>378</v>
      </c>
      <c r="M572" s="348" t="s">
        <v>378</v>
      </c>
      <c r="N572" s="348" t="s">
        <v>390</v>
      </c>
      <c r="O572" s="348" t="s">
        <v>177</v>
      </c>
      <c r="P572" s="349">
        <v>20.3817052512704</v>
      </c>
      <c r="Q572" s="321" t="str">
        <f t="shared" si="28"/>
        <v/>
      </c>
      <c r="R572" s="318">
        <f t="shared" si="29"/>
        <v>41826</v>
      </c>
      <c r="S572" s="318" t="str">
        <f t="shared" si="30"/>
        <v/>
      </c>
    </row>
    <row r="573" spans="3:19" ht="27.75" customHeight="1">
      <c r="C573" s="345" t="s">
        <v>98</v>
      </c>
      <c r="D573" s="345" t="s">
        <v>373</v>
      </c>
      <c r="E573" s="345" t="s">
        <v>374</v>
      </c>
      <c r="F573" s="345" t="s">
        <v>375</v>
      </c>
      <c r="G573" s="346" t="s">
        <v>376</v>
      </c>
      <c r="H573" s="339" t="s">
        <v>14</v>
      </c>
      <c r="I573" s="345" t="s">
        <v>60</v>
      </c>
      <c r="J573" s="316">
        <v>41826.684027777781</v>
      </c>
      <c r="K573" s="347"/>
      <c r="L573" s="347" t="s">
        <v>188</v>
      </c>
      <c r="M573" s="348" t="s">
        <v>382</v>
      </c>
      <c r="N573" s="348" t="s">
        <v>382</v>
      </c>
      <c r="O573" s="348" t="s">
        <v>177</v>
      </c>
      <c r="P573" s="349">
        <v>20.414455110107301</v>
      </c>
      <c r="Q573" s="321" t="str">
        <f t="shared" si="28"/>
        <v/>
      </c>
      <c r="R573" s="318">
        <f t="shared" si="29"/>
        <v>41826</v>
      </c>
      <c r="S573" s="318" t="str">
        <f t="shared" si="30"/>
        <v/>
      </c>
    </row>
    <row r="574" spans="3:19" ht="27.75" customHeight="1">
      <c r="C574" s="345" t="s">
        <v>98</v>
      </c>
      <c r="D574" s="345" t="s">
        <v>373</v>
      </c>
      <c r="E574" s="345" t="s">
        <v>374</v>
      </c>
      <c r="F574" s="345" t="s">
        <v>375</v>
      </c>
      <c r="G574" s="346" t="s">
        <v>376</v>
      </c>
      <c r="H574" s="339" t="s">
        <v>14</v>
      </c>
      <c r="I574" s="345" t="s">
        <v>61</v>
      </c>
      <c r="J574" s="316">
        <v>41826.67291666667</v>
      </c>
      <c r="K574" s="347"/>
      <c r="L574" s="347" t="s">
        <v>378</v>
      </c>
      <c r="M574" s="348" t="s">
        <v>378</v>
      </c>
      <c r="N574" s="348" t="s">
        <v>390</v>
      </c>
      <c r="O574" s="348" t="s">
        <v>177</v>
      </c>
      <c r="P574" s="349">
        <v>20.447204968944099</v>
      </c>
      <c r="Q574" s="321" t="str">
        <f t="shared" si="28"/>
        <v/>
      </c>
      <c r="R574" s="318">
        <f t="shared" si="29"/>
        <v>41826</v>
      </c>
      <c r="S574" s="318" t="str">
        <f t="shared" si="30"/>
        <v/>
      </c>
    </row>
    <row r="575" spans="3:19" ht="27.75" customHeight="1">
      <c r="C575" s="345" t="s">
        <v>98</v>
      </c>
      <c r="D575" s="345" t="s">
        <v>373</v>
      </c>
      <c r="E575" s="345" t="s">
        <v>374</v>
      </c>
      <c r="F575" s="345" t="s">
        <v>375</v>
      </c>
      <c r="G575" s="346" t="s">
        <v>376</v>
      </c>
      <c r="H575" s="339" t="s">
        <v>14</v>
      </c>
      <c r="I575" s="345" t="s">
        <v>60</v>
      </c>
      <c r="J575" s="316">
        <v>41826.661111111112</v>
      </c>
      <c r="K575" s="347"/>
      <c r="L575" s="347" t="s">
        <v>378</v>
      </c>
      <c r="M575" s="348" t="s">
        <v>378</v>
      </c>
      <c r="N575" s="348" t="s">
        <v>390</v>
      </c>
      <c r="O575" s="348" t="s">
        <v>175</v>
      </c>
      <c r="P575" s="349">
        <v>20.479954827780901</v>
      </c>
      <c r="Q575" s="321" t="str">
        <f t="shared" si="28"/>
        <v/>
      </c>
      <c r="R575" s="318">
        <f t="shared" si="29"/>
        <v>41826</v>
      </c>
      <c r="S575" s="318" t="str">
        <f t="shared" si="30"/>
        <v/>
      </c>
    </row>
    <row r="576" spans="3:19" ht="27.75" customHeight="1">
      <c r="C576" s="345" t="s">
        <v>98</v>
      </c>
      <c r="D576" s="345" t="s">
        <v>373</v>
      </c>
      <c r="E576" s="345" t="s">
        <v>374</v>
      </c>
      <c r="F576" s="345" t="s">
        <v>375</v>
      </c>
      <c r="G576" s="346" t="s">
        <v>376</v>
      </c>
      <c r="H576" s="339" t="s">
        <v>14</v>
      </c>
      <c r="I576" s="345" t="s">
        <v>60</v>
      </c>
      <c r="J576" s="316">
        <v>41826.660416666666</v>
      </c>
      <c r="K576" s="347"/>
      <c r="L576" s="347" t="s">
        <v>188</v>
      </c>
      <c r="M576" s="348" t="s">
        <v>382</v>
      </c>
      <c r="N576" s="348" t="s">
        <v>382</v>
      </c>
      <c r="O576" s="348" t="s">
        <v>175</v>
      </c>
      <c r="P576" s="349">
        <v>20.512704686617699</v>
      </c>
      <c r="Q576" s="321" t="str">
        <f t="shared" si="28"/>
        <v/>
      </c>
      <c r="R576" s="318">
        <f t="shared" si="29"/>
        <v>41826</v>
      </c>
      <c r="S576" s="318" t="str">
        <f t="shared" si="30"/>
        <v/>
      </c>
    </row>
    <row r="577" spans="3:19" ht="27.75" customHeight="1">
      <c r="C577" s="345" t="s">
        <v>98</v>
      </c>
      <c r="D577" s="345" t="s">
        <v>373</v>
      </c>
      <c r="E577" s="345" t="s">
        <v>374</v>
      </c>
      <c r="F577" s="345" t="s">
        <v>375</v>
      </c>
      <c r="G577" s="346" t="s">
        <v>376</v>
      </c>
      <c r="H577" s="339" t="s">
        <v>14</v>
      </c>
      <c r="I577" s="345" t="s">
        <v>58</v>
      </c>
      <c r="J577" s="316">
        <v>41826.654166666667</v>
      </c>
      <c r="K577" s="347"/>
      <c r="L577" s="347" t="s">
        <v>377</v>
      </c>
      <c r="M577" s="348" t="s">
        <v>390</v>
      </c>
      <c r="N577" s="348" t="s">
        <v>390</v>
      </c>
      <c r="O577" s="348" t="s">
        <v>175</v>
      </c>
      <c r="P577" s="349">
        <v>20.545454545454501</v>
      </c>
      <c r="Q577" s="321" t="str">
        <f t="shared" si="28"/>
        <v/>
      </c>
      <c r="R577" s="318">
        <f t="shared" si="29"/>
        <v>41826</v>
      </c>
      <c r="S577" s="318" t="str">
        <f t="shared" si="30"/>
        <v/>
      </c>
    </row>
    <row r="578" spans="3:19" ht="27.75" customHeight="1">
      <c r="C578" s="345" t="s">
        <v>98</v>
      </c>
      <c r="D578" s="345" t="s">
        <v>373</v>
      </c>
      <c r="E578" s="345" t="s">
        <v>374</v>
      </c>
      <c r="F578" s="345" t="s">
        <v>375</v>
      </c>
      <c r="G578" s="346" t="s">
        <v>376</v>
      </c>
      <c r="H578" s="339" t="s">
        <v>14</v>
      </c>
      <c r="I578" s="345" t="s">
        <v>60</v>
      </c>
      <c r="J578" s="316">
        <v>41826.652083333334</v>
      </c>
      <c r="K578" s="347"/>
      <c r="L578" s="347" t="s">
        <v>188</v>
      </c>
      <c r="M578" s="348" t="s">
        <v>378</v>
      </c>
      <c r="N578" s="348" t="s">
        <v>390</v>
      </c>
      <c r="O578" s="348" t="s">
        <v>175</v>
      </c>
      <c r="P578" s="349">
        <v>20.578204404291299</v>
      </c>
      <c r="Q578" s="321" t="str">
        <f t="shared" si="28"/>
        <v/>
      </c>
      <c r="R578" s="318">
        <f t="shared" si="29"/>
        <v>41826</v>
      </c>
      <c r="S578" s="318" t="str">
        <f t="shared" si="30"/>
        <v/>
      </c>
    </row>
    <row r="579" spans="3:19" ht="27.75" customHeight="1">
      <c r="C579" s="345" t="s">
        <v>98</v>
      </c>
      <c r="D579" s="345" t="s">
        <v>373</v>
      </c>
      <c r="E579" s="345" t="s">
        <v>374</v>
      </c>
      <c r="F579" s="345" t="s">
        <v>375</v>
      </c>
      <c r="G579" s="346" t="s">
        <v>376</v>
      </c>
      <c r="H579" s="339" t="s">
        <v>14</v>
      </c>
      <c r="I579" s="345" t="s">
        <v>60</v>
      </c>
      <c r="J579" s="316">
        <v>41826.645138888889</v>
      </c>
      <c r="K579" s="347"/>
      <c r="L579" s="347" t="s">
        <v>377</v>
      </c>
      <c r="M579" s="348" t="s">
        <v>390</v>
      </c>
      <c r="N579" s="348" t="s">
        <v>390</v>
      </c>
      <c r="O579" s="348" t="s">
        <v>175</v>
      </c>
      <c r="P579" s="349">
        <v>20.6109542631282</v>
      </c>
      <c r="Q579" s="321" t="str">
        <f t="shared" si="28"/>
        <v/>
      </c>
      <c r="R579" s="318">
        <f t="shared" si="29"/>
        <v>41826</v>
      </c>
      <c r="S579" s="318" t="str">
        <f t="shared" si="30"/>
        <v/>
      </c>
    </row>
    <row r="580" spans="3:19" ht="27.75" customHeight="1">
      <c r="C580" s="345" t="s">
        <v>98</v>
      </c>
      <c r="D580" s="345" t="s">
        <v>373</v>
      </c>
      <c r="E580" s="345" t="s">
        <v>374</v>
      </c>
      <c r="F580" s="345" t="s">
        <v>375</v>
      </c>
      <c r="G580" s="346" t="s">
        <v>376</v>
      </c>
      <c r="H580" s="345" t="s">
        <v>5</v>
      </c>
      <c r="I580" s="345" t="s">
        <v>60</v>
      </c>
      <c r="J580" s="316">
        <v>41826.584027777775</v>
      </c>
      <c r="K580" s="347">
        <v>41836.584027777775</v>
      </c>
      <c r="L580" s="347" t="s">
        <v>377</v>
      </c>
      <c r="M580" s="348" t="s">
        <v>390</v>
      </c>
      <c r="N580" s="348" t="s">
        <v>390</v>
      </c>
      <c r="O580" s="348" t="s">
        <v>175</v>
      </c>
      <c r="P580" s="349">
        <v>20.643704121965001</v>
      </c>
      <c r="Q580" s="321">
        <f t="shared" si="28"/>
        <v>10</v>
      </c>
      <c r="R580" s="318">
        <f t="shared" si="29"/>
        <v>41826</v>
      </c>
      <c r="S580" s="318">
        <f t="shared" si="30"/>
        <v>41836</v>
      </c>
    </row>
    <row r="581" spans="3:19" ht="27.75" customHeight="1">
      <c r="C581" s="345" t="s">
        <v>98</v>
      </c>
      <c r="D581" s="345" t="s">
        <v>373</v>
      </c>
      <c r="E581" s="345" t="s">
        <v>374</v>
      </c>
      <c r="F581" s="345" t="s">
        <v>375</v>
      </c>
      <c r="G581" s="346" t="s">
        <v>376</v>
      </c>
      <c r="H581" s="339" t="s">
        <v>14</v>
      </c>
      <c r="I581" s="345" t="s">
        <v>59</v>
      </c>
      <c r="J581" s="316">
        <v>41826.573611111111</v>
      </c>
      <c r="K581" s="347"/>
      <c r="L581" s="347" t="s">
        <v>188</v>
      </c>
      <c r="M581" s="348" t="s">
        <v>382</v>
      </c>
      <c r="N581" s="348" t="s">
        <v>382</v>
      </c>
      <c r="O581" s="348" t="s">
        <v>175</v>
      </c>
      <c r="P581" s="349">
        <v>20.676453980801799</v>
      </c>
      <c r="Q581" s="321" t="str">
        <f t="shared" si="28"/>
        <v/>
      </c>
      <c r="R581" s="318">
        <f t="shared" si="29"/>
        <v>41826</v>
      </c>
      <c r="S581" s="318" t="str">
        <f t="shared" si="30"/>
        <v/>
      </c>
    </row>
    <row r="582" spans="3:19" ht="27.75" customHeight="1">
      <c r="C582" s="345" t="s">
        <v>98</v>
      </c>
      <c r="D582" s="345" t="s">
        <v>373</v>
      </c>
      <c r="E582" s="345" t="s">
        <v>374</v>
      </c>
      <c r="F582" s="345" t="s">
        <v>375</v>
      </c>
      <c r="G582" s="346" t="s">
        <v>376</v>
      </c>
      <c r="H582" s="339" t="s">
        <v>14</v>
      </c>
      <c r="I582" s="345" t="s">
        <v>61</v>
      </c>
      <c r="J582" s="316">
        <v>41826.554861111108</v>
      </c>
      <c r="K582" s="347"/>
      <c r="L582" s="347" t="s">
        <v>377</v>
      </c>
      <c r="M582" s="348" t="s">
        <v>378</v>
      </c>
      <c r="N582" s="348" t="s">
        <v>390</v>
      </c>
      <c r="O582" s="348" t="s">
        <v>175</v>
      </c>
      <c r="P582" s="349">
        <v>20.709203839638601</v>
      </c>
      <c r="Q582" s="321" t="str">
        <f t="shared" si="28"/>
        <v/>
      </c>
      <c r="R582" s="318">
        <f t="shared" si="29"/>
        <v>41826</v>
      </c>
      <c r="S582" s="318" t="str">
        <f t="shared" si="30"/>
        <v/>
      </c>
    </row>
    <row r="583" spans="3:19" ht="27.75" customHeight="1">
      <c r="C583" s="345" t="s">
        <v>98</v>
      </c>
      <c r="D583" s="345" t="s">
        <v>373</v>
      </c>
      <c r="E583" s="345" t="s">
        <v>374</v>
      </c>
      <c r="F583" s="345" t="s">
        <v>375</v>
      </c>
      <c r="G583" s="346" t="s">
        <v>376</v>
      </c>
      <c r="H583" s="339" t="s">
        <v>14</v>
      </c>
      <c r="I583" s="345" t="s">
        <v>59</v>
      </c>
      <c r="J583" s="316">
        <v>41826.53402777778</v>
      </c>
      <c r="K583" s="347"/>
      <c r="L583" s="347" t="s">
        <v>377</v>
      </c>
      <c r="M583" s="348" t="s">
        <v>378</v>
      </c>
      <c r="N583" s="348" t="s">
        <v>390</v>
      </c>
      <c r="O583" s="348" t="s">
        <v>175</v>
      </c>
      <c r="P583" s="349">
        <v>20.741953698475399</v>
      </c>
      <c r="Q583" s="321" t="str">
        <f t="shared" si="28"/>
        <v/>
      </c>
      <c r="R583" s="318">
        <f t="shared" si="29"/>
        <v>41826</v>
      </c>
      <c r="S583" s="318" t="str">
        <f t="shared" si="30"/>
        <v/>
      </c>
    </row>
    <row r="584" spans="3:19" ht="27.75" customHeight="1">
      <c r="C584" s="345" t="s">
        <v>98</v>
      </c>
      <c r="D584" s="345" t="s">
        <v>373</v>
      </c>
      <c r="E584" s="345" t="s">
        <v>374</v>
      </c>
      <c r="F584" s="345" t="s">
        <v>375</v>
      </c>
      <c r="G584" s="346" t="s">
        <v>376</v>
      </c>
      <c r="H584" s="339" t="s">
        <v>14</v>
      </c>
      <c r="I584" s="345" t="s">
        <v>61</v>
      </c>
      <c r="J584" s="316">
        <v>41826.513888888891</v>
      </c>
      <c r="K584" s="347"/>
      <c r="L584" s="347" t="s">
        <v>377</v>
      </c>
      <c r="M584" s="348" t="s">
        <v>378</v>
      </c>
      <c r="N584" s="348" t="s">
        <v>390</v>
      </c>
      <c r="O584" s="348" t="s">
        <v>175</v>
      </c>
      <c r="P584" s="349">
        <v>20.774703557312201</v>
      </c>
      <c r="Q584" s="321" t="str">
        <f t="shared" si="28"/>
        <v/>
      </c>
      <c r="R584" s="318">
        <f t="shared" si="29"/>
        <v>41826</v>
      </c>
      <c r="S584" s="318" t="str">
        <f t="shared" si="30"/>
        <v/>
      </c>
    </row>
    <row r="585" spans="3:19" ht="27.75" customHeight="1">
      <c r="C585" s="345" t="s">
        <v>98</v>
      </c>
      <c r="D585" s="345" t="s">
        <v>373</v>
      </c>
      <c r="E585" s="345" t="s">
        <v>374</v>
      </c>
      <c r="F585" s="345" t="s">
        <v>375</v>
      </c>
      <c r="G585" s="346" t="s">
        <v>376</v>
      </c>
      <c r="H585" s="339" t="s">
        <v>14</v>
      </c>
      <c r="I585" s="345" t="s">
        <v>58</v>
      </c>
      <c r="J585" s="316">
        <v>41826.513194444444</v>
      </c>
      <c r="K585" s="347"/>
      <c r="L585" s="347" t="s">
        <v>188</v>
      </c>
      <c r="M585" s="348" t="s">
        <v>382</v>
      </c>
      <c r="N585" s="348" t="s">
        <v>382</v>
      </c>
      <c r="O585" s="348" t="s">
        <v>175</v>
      </c>
      <c r="P585" s="349">
        <v>20.807453416148999</v>
      </c>
      <c r="Q585" s="321" t="str">
        <f t="shared" si="28"/>
        <v/>
      </c>
      <c r="R585" s="318">
        <f t="shared" si="29"/>
        <v>41826</v>
      </c>
      <c r="S585" s="318" t="str">
        <f t="shared" si="30"/>
        <v/>
      </c>
    </row>
    <row r="586" spans="3:19" ht="27.75" customHeight="1">
      <c r="C586" s="345" t="s">
        <v>98</v>
      </c>
      <c r="D586" s="345" t="s">
        <v>373</v>
      </c>
      <c r="E586" s="345" t="s">
        <v>374</v>
      </c>
      <c r="F586" s="345" t="s">
        <v>375</v>
      </c>
      <c r="G586" s="346" t="s">
        <v>376</v>
      </c>
      <c r="H586" s="345" t="s">
        <v>138</v>
      </c>
      <c r="I586" s="345" t="s">
        <v>58</v>
      </c>
      <c r="J586" s="316">
        <v>41826.505555555559</v>
      </c>
      <c r="K586" s="347"/>
      <c r="L586" s="347" t="s">
        <v>378</v>
      </c>
      <c r="M586" s="348" t="s">
        <v>378</v>
      </c>
      <c r="N586" s="348" t="s">
        <v>390</v>
      </c>
      <c r="O586" s="348" t="s">
        <v>177</v>
      </c>
      <c r="P586" s="349">
        <v>20.8402032749859</v>
      </c>
      <c r="Q586" s="321" t="str">
        <f t="shared" si="28"/>
        <v/>
      </c>
      <c r="R586" s="318">
        <f t="shared" si="29"/>
        <v>41826</v>
      </c>
      <c r="S586" s="318" t="str">
        <f t="shared" si="30"/>
        <v/>
      </c>
    </row>
    <row r="587" spans="3:19" ht="27.75" customHeight="1">
      <c r="C587" s="345" t="s">
        <v>98</v>
      </c>
      <c r="D587" s="345" t="s">
        <v>373</v>
      </c>
      <c r="E587" s="345" t="s">
        <v>374</v>
      </c>
      <c r="F587" s="345" t="s">
        <v>375</v>
      </c>
      <c r="G587" s="346" t="s">
        <v>376</v>
      </c>
      <c r="H587" s="339" t="s">
        <v>14</v>
      </c>
      <c r="I587" s="345" t="s">
        <v>60</v>
      </c>
      <c r="J587" s="316">
        <v>41830.762499999997</v>
      </c>
      <c r="K587" s="347"/>
      <c r="L587" s="347" t="s">
        <v>377</v>
      </c>
      <c r="M587" s="348" t="s">
        <v>378</v>
      </c>
      <c r="N587" s="348" t="s">
        <v>390</v>
      </c>
      <c r="O587" s="348" t="s">
        <v>177</v>
      </c>
      <c r="P587" s="349">
        <v>20.872953133822701</v>
      </c>
      <c r="Q587" s="321" t="str">
        <f t="shared" si="28"/>
        <v/>
      </c>
      <c r="R587" s="318">
        <f t="shared" si="29"/>
        <v>41830</v>
      </c>
      <c r="S587" s="318" t="str">
        <f t="shared" si="30"/>
        <v/>
      </c>
    </row>
    <row r="588" spans="3:19" ht="27.75" customHeight="1">
      <c r="C588" s="345" t="s">
        <v>98</v>
      </c>
      <c r="D588" s="345" t="s">
        <v>373</v>
      </c>
      <c r="E588" s="345" t="s">
        <v>374</v>
      </c>
      <c r="F588" s="345" t="s">
        <v>375</v>
      </c>
      <c r="G588" s="346" t="s">
        <v>376</v>
      </c>
      <c r="H588" s="339" t="s">
        <v>14</v>
      </c>
      <c r="I588" s="345" t="s">
        <v>60</v>
      </c>
      <c r="J588" s="316">
        <v>41830.747916666667</v>
      </c>
      <c r="K588" s="347"/>
      <c r="L588" s="347" t="s">
        <v>377</v>
      </c>
      <c r="M588" s="348" t="s">
        <v>378</v>
      </c>
      <c r="N588" s="348" t="s">
        <v>390</v>
      </c>
      <c r="O588" s="348" t="s">
        <v>175</v>
      </c>
      <c r="P588" s="349">
        <v>20.905702992659499</v>
      </c>
      <c r="Q588" s="321" t="str">
        <f t="shared" si="28"/>
        <v/>
      </c>
      <c r="R588" s="318">
        <f t="shared" si="29"/>
        <v>41830</v>
      </c>
      <c r="S588" s="318" t="str">
        <f t="shared" si="30"/>
        <v/>
      </c>
    </row>
    <row r="589" spans="3:19" ht="27.75" customHeight="1">
      <c r="C589" s="345" t="s">
        <v>98</v>
      </c>
      <c r="D589" s="345" t="s">
        <v>373</v>
      </c>
      <c r="E589" s="345" t="s">
        <v>374</v>
      </c>
      <c r="F589" s="345" t="s">
        <v>375</v>
      </c>
      <c r="G589" s="346" t="s">
        <v>376</v>
      </c>
      <c r="H589" s="339" t="s">
        <v>14</v>
      </c>
      <c r="I589" s="345" t="s">
        <v>60</v>
      </c>
      <c r="J589" s="316">
        <v>41830.745833333334</v>
      </c>
      <c r="K589" s="347"/>
      <c r="L589" s="347" t="s">
        <v>377</v>
      </c>
      <c r="M589" s="348" t="s">
        <v>378</v>
      </c>
      <c r="N589" s="348" t="s">
        <v>390</v>
      </c>
      <c r="O589" s="348" t="s">
        <v>175</v>
      </c>
      <c r="P589" s="349">
        <v>20.938452851496301</v>
      </c>
      <c r="Q589" s="321" t="str">
        <f t="shared" si="28"/>
        <v/>
      </c>
      <c r="R589" s="318">
        <f t="shared" si="29"/>
        <v>41830</v>
      </c>
      <c r="S589" s="318" t="str">
        <f t="shared" si="30"/>
        <v/>
      </c>
    </row>
    <row r="590" spans="3:19" ht="27.75" customHeight="1">
      <c r="C590" s="345" t="s">
        <v>98</v>
      </c>
      <c r="D590" s="345" t="s">
        <v>373</v>
      </c>
      <c r="E590" s="345" t="s">
        <v>374</v>
      </c>
      <c r="F590" s="345" t="s">
        <v>375</v>
      </c>
      <c r="G590" s="346" t="s">
        <v>376</v>
      </c>
      <c r="H590" s="345" t="s">
        <v>5</v>
      </c>
      <c r="I590" s="345" t="s">
        <v>60</v>
      </c>
      <c r="J590" s="316">
        <v>41830.745138888888</v>
      </c>
      <c r="K590" s="347">
        <v>41826.745138888888</v>
      </c>
      <c r="L590" s="347" t="s">
        <v>377</v>
      </c>
      <c r="M590" s="348" t="s">
        <v>378</v>
      </c>
      <c r="N590" s="348" t="s">
        <v>390</v>
      </c>
      <c r="O590" s="348" t="s">
        <v>175</v>
      </c>
      <c r="P590" s="349">
        <v>20.971202710333099</v>
      </c>
      <c r="Q590" s="321" t="str">
        <f t="shared" si="28"/>
        <v/>
      </c>
      <c r="R590" s="318">
        <f t="shared" si="29"/>
        <v>41830</v>
      </c>
      <c r="S590" s="318">
        <f t="shared" si="30"/>
        <v>41826</v>
      </c>
    </row>
    <row r="591" spans="3:19" ht="27.75" customHeight="1">
      <c r="C591" s="345" t="s">
        <v>98</v>
      </c>
      <c r="D591" s="345" t="s">
        <v>373</v>
      </c>
      <c r="E591" s="345" t="s">
        <v>374</v>
      </c>
      <c r="F591" s="345" t="s">
        <v>375</v>
      </c>
      <c r="G591" s="346" t="s">
        <v>376</v>
      </c>
      <c r="H591" s="339" t="s">
        <v>14</v>
      </c>
      <c r="I591" s="345" t="s">
        <v>60</v>
      </c>
      <c r="J591" s="316">
        <v>41830.744444444441</v>
      </c>
      <c r="K591" s="347"/>
      <c r="L591" s="347" t="s">
        <v>378</v>
      </c>
      <c r="M591" s="348" t="s">
        <v>378</v>
      </c>
      <c r="N591" s="348" t="s">
        <v>390</v>
      </c>
      <c r="O591" s="348" t="s">
        <v>177</v>
      </c>
      <c r="P591" s="349">
        <v>21.0039525691699</v>
      </c>
      <c r="Q591" s="321" t="str">
        <f t="shared" si="28"/>
        <v/>
      </c>
      <c r="R591" s="318">
        <f t="shared" si="29"/>
        <v>41830</v>
      </c>
      <c r="S591" s="318" t="str">
        <f t="shared" si="30"/>
        <v/>
      </c>
    </row>
    <row r="592" spans="3:19" ht="27.75" customHeight="1">
      <c r="C592" s="345" t="s">
        <v>98</v>
      </c>
      <c r="D592" s="345" t="s">
        <v>373</v>
      </c>
      <c r="E592" s="345" t="s">
        <v>374</v>
      </c>
      <c r="F592" s="345" t="s">
        <v>375</v>
      </c>
      <c r="G592" s="346" t="s">
        <v>376</v>
      </c>
      <c r="H592" s="345" t="s">
        <v>138</v>
      </c>
      <c r="I592" s="345" t="s">
        <v>59</v>
      </c>
      <c r="J592" s="316">
        <v>41830.743750000001</v>
      </c>
      <c r="K592" s="347"/>
      <c r="L592" s="347" t="s">
        <v>188</v>
      </c>
      <c r="M592" s="348" t="s">
        <v>378</v>
      </c>
      <c r="N592" s="348" t="s">
        <v>390</v>
      </c>
      <c r="O592" s="348" t="s">
        <v>177</v>
      </c>
      <c r="P592" s="349">
        <v>21.036702428006802</v>
      </c>
      <c r="Q592" s="321" t="str">
        <f t="shared" si="28"/>
        <v/>
      </c>
      <c r="R592" s="318">
        <f t="shared" si="29"/>
        <v>41830</v>
      </c>
      <c r="S592" s="318" t="str">
        <f t="shared" si="30"/>
        <v/>
      </c>
    </row>
    <row r="593" spans="3:19" ht="27.75" customHeight="1">
      <c r="C593" s="345" t="s">
        <v>98</v>
      </c>
      <c r="D593" s="345" t="s">
        <v>373</v>
      </c>
      <c r="E593" s="345" t="s">
        <v>374</v>
      </c>
      <c r="F593" s="345" t="s">
        <v>375</v>
      </c>
      <c r="G593" s="346" t="s">
        <v>376</v>
      </c>
      <c r="H593" s="345" t="s">
        <v>5</v>
      </c>
      <c r="I593" s="345" t="s">
        <v>60</v>
      </c>
      <c r="J593" s="316">
        <v>41830.739583333336</v>
      </c>
      <c r="K593" s="347">
        <v>41840.739583333336</v>
      </c>
      <c r="L593" s="347" t="s">
        <v>378</v>
      </c>
      <c r="M593" s="348" t="s">
        <v>378</v>
      </c>
      <c r="N593" s="348" t="s">
        <v>390</v>
      </c>
      <c r="O593" s="348" t="s">
        <v>177</v>
      </c>
      <c r="P593" s="349">
        <v>21.0694522868436</v>
      </c>
      <c r="Q593" s="321">
        <f t="shared" si="28"/>
        <v>10</v>
      </c>
      <c r="R593" s="318">
        <f t="shared" si="29"/>
        <v>41830</v>
      </c>
      <c r="S593" s="318">
        <f t="shared" si="30"/>
        <v>41840</v>
      </c>
    </row>
    <row r="594" spans="3:19" ht="27.75" customHeight="1">
      <c r="C594" s="345" t="s">
        <v>98</v>
      </c>
      <c r="D594" s="345" t="s">
        <v>373</v>
      </c>
      <c r="E594" s="345" t="s">
        <v>374</v>
      </c>
      <c r="F594" s="345" t="s">
        <v>375</v>
      </c>
      <c r="G594" s="346" t="s">
        <v>376</v>
      </c>
      <c r="H594" s="345" t="s">
        <v>5</v>
      </c>
      <c r="I594" s="345" t="s">
        <v>60</v>
      </c>
      <c r="J594" s="316">
        <v>41830.712500000001</v>
      </c>
      <c r="K594" s="347">
        <v>41835.712500000001</v>
      </c>
      <c r="L594" s="347" t="s">
        <v>378</v>
      </c>
      <c r="M594" s="348" t="s">
        <v>378</v>
      </c>
      <c r="N594" s="348" t="s">
        <v>390</v>
      </c>
      <c r="O594" s="348" t="s">
        <v>177</v>
      </c>
      <c r="P594" s="349">
        <v>21.102202145680401</v>
      </c>
      <c r="Q594" s="321">
        <f t="shared" si="28"/>
        <v>5</v>
      </c>
      <c r="R594" s="318">
        <f t="shared" si="29"/>
        <v>41830</v>
      </c>
      <c r="S594" s="318">
        <f t="shared" si="30"/>
        <v>41835</v>
      </c>
    </row>
    <row r="595" spans="3:19" ht="27.75" customHeight="1">
      <c r="C595" s="345" t="s">
        <v>98</v>
      </c>
      <c r="D595" s="345" t="s">
        <v>373</v>
      </c>
      <c r="E595" s="345" t="s">
        <v>374</v>
      </c>
      <c r="F595" s="345" t="s">
        <v>375</v>
      </c>
      <c r="G595" s="346" t="s">
        <v>376</v>
      </c>
      <c r="H595" s="339" t="s">
        <v>14</v>
      </c>
      <c r="I595" s="345" t="s">
        <v>60</v>
      </c>
      <c r="J595" s="316">
        <v>41830.708333333336</v>
      </c>
      <c r="K595" s="347"/>
      <c r="L595" s="347" t="s">
        <v>378</v>
      </c>
      <c r="M595" s="348" t="s">
        <v>378</v>
      </c>
      <c r="N595" s="348" t="s">
        <v>390</v>
      </c>
      <c r="O595" s="348" t="s">
        <v>177</v>
      </c>
      <c r="P595" s="349">
        <v>21.134952004517199</v>
      </c>
      <c r="Q595" s="321" t="str">
        <f t="shared" si="28"/>
        <v/>
      </c>
      <c r="R595" s="318">
        <f t="shared" si="29"/>
        <v>41830</v>
      </c>
      <c r="S595" s="318" t="str">
        <f t="shared" si="30"/>
        <v/>
      </c>
    </row>
    <row r="596" spans="3:19" ht="27.75" customHeight="1">
      <c r="C596" s="345" t="s">
        <v>98</v>
      </c>
      <c r="D596" s="345" t="s">
        <v>373</v>
      </c>
      <c r="E596" s="345" t="s">
        <v>374</v>
      </c>
      <c r="F596" s="345" t="s">
        <v>375</v>
      </c>
      <c r="G596" s="346" t="s">
        <v>376</v>
      </c>
      <c r="H596" s="339" t="s">
        <v>14</v>
      </c>
      <c r="I596" s="345" t="s">
        <v>61</v>
      </c>
      <c r="J596" s="316">
        <v>41830.70416666667</v>
      </c>
      <c r="K596" s="347"/>
      <c r="L596" s="347" t="s">
        <v>378</v>
      </c>
      <c r="M596" s="348" t="s">
        <v>378</v>
      </c>
      <c r="N596" s="348" t="s">
        <v>390</v>
      </c>
      <c r="O596" s="348" t="s">
        <v>177</v>
      </c>
      <c r="P596" s="349">
        <v>21.167701863354001</v>
      </c>
      <c r="Q596" s="321" t="str">
        <f t="shared" si="28"/>
        <v/>
      </c>
      <c r="R596" s="318">
        <f t="shared" si="29"/>
        <v>41830</v>
      </c>
      <c r="S596" s="318" t="str">
        <f t="shared" si="30"/>
        <v/>
      </c>
    </row>
    <row r="597" spans="3:19" ht="27.75" customHeight="1">
      <c r="C597" s="345" t="s">
        <v>98</v>
      </c>
      <c r="D597" s="345" t="s">
        <v>373</v>
      </c>
      <c r="E597" s="345" t="s">
        <v>374</v>
      </c>
      <c r="F597" s="345" t="s">
        <v>375</v>
      </c>
      <c r="G597" s="346" t="s">
        <v>376</v>
      </c>
      <c r="H597" s="345" t="s">
        <v>140</v>
      </c>
      <c r="I597" s="345" t="s">
        <v>59</v>
      </c>
      <c r="J597" s="316">
        <v>41830.697222222225</v>
      </c>
      <c r="K597" s="347"/>
      <c r="L597" s="347" t="s">
        <v>378</v>
      </c>
      <c r="M597" s="348" t="s">
        <v>378</v>
      </c>
      <c r="N597" s="348" t="s">
        <v>390</v>
      </c>
      <c r="O597" s="348" t="s">
        <v>175</v>
      </c>
      <c r="P597" s="349">
        <v>21.200451722190799</v>
      </c>
      <c r="Q597" s="321" t="str">
        <f t="shared" si="28"/>
        <v/>
      </c>
      <c r="R597" s="318">
        <f t="shared" si="29"/>
        <v>41830</v>
      </c>
      <c r="S597" s="318" t="str">
        <f t="shared" si="30"/>
        <v/>
      </c>
    </row>
    <row r="598" spans="3:19" ht="27.75" customHeight="1">
      <c r="C598" s="345" t="s">
        <v>98</v>
      </c>
      <c r="D598" s="345" t="s">
        <v>373</v>
      </c>
      <c r="E598" s="345" t="s">
        <v>374</v>
      </c>
      <c r="F598" s="345" t="s">
        <v>375</v>
      </c>
      <c r="G598" s="346" t="s">
        <v>376</v>
      </c>
      <c r="H598" s="339" t="s">
        <v>14</v>
      </c>
      <c r="I598" s="345" t="s">
        <v>60</v>
      </c>
      <c r="J598" s="316">
        <v>41830.690972222219</v>
      </c>
      <c r="K598" s="347"/>
      <c r="L598" s="347" t="s">
        <v>378</v>
      </c>
      <c r="M598" s="348" t="s">
        <v>378</v>
      </c>
      <c r="N598" s="348" t="s">
        <v>390</v>
      </c>
      <c r="O598" s="348" t="s">
        <v>175</v>
      </c>
      <c r="P598" s="349">
        <v>21.2332015810276</v>
      </c>
      <c r="Q598" s="321" t="str">
        <f t="shared" si="28"/>
        <v/>
      </c>
      <c r="R598" s="318">
        <f t="shared" si="29"/>
        <v>41830</v>
      </c>
      <c r="S598" s="318" t="str">
        <f t="shared" si="30"/>
        <v/>
      </c>
    </row>
    <row r="599" spans="3:19" ht="27.75" customHeight="1">
      <c r="C599" s="345" t="s">
        <v>98</v>
      </c>
      <c r="D599" s="345" t="s">
        <v>373</v>
      </c>
      <c r="E599" s="345" t="s">
        <v>374</v>
      </c>
      <c r="F599" s="345" t="s">
        <v>375</v>
      </c>
      <c r="G599" s="346" t="s">
        <v>376</v>
      </c>
      <c r="H599" s="339" t="s">
        <v>14</v>
      </c>
      <c r="I599" s="345" t="s">
        <v>59</v>
      </c>
      <c r="J599" s="316">
        <v>41830.666666666664</v>
      </c>
      <c r="K599" s="347"/>
      <c r="L599" s="347" t="s">
        <v>188</v>
      </c>
      <c r="M599" s="348" t="s">
        <v>382</v>
      </c>
      <c r="N599" s="348" t="s">
        <v>382</v>
      </c>
      <c r="O599" s="348" t="s">
        <v>175</v>
      </c>
      <c r="P599" s="349">
        <v>21.265951439864502</v>
      </c>
      <c r="Q599" s="321" t="str">
        <f t="shared" si="28"/>
        <v/>
      </c>
      <c r="R599" s="318">
        <f t="shared" si="29"/>
        <v>41830</v>
      </c>
      <c r="S599" s="318" t="str">
        <f t="shared" si="30"/>
        <v/>
      </c>
    </row>
    <row r="600" spans="3:19" ht="27.75" customHeight="1">
      <c r="C600" s="345" t="s">
        <v>98</v>
      </c>
      <c r="D600" s="345" t="s">
        <v>373</v>
      </c>
      <c r="E600" s="345" t="s">
        <v>374</v>
      </c>
      <c r="F600" s="345" t="s">
        <v>375</v>
      </c>
      <c r="G600" s="346" t="s">
        <v>376</v>
      </c>
      <c r="H600" s="339" t="s">
        <v>14</v>
      </c>
      <c r="I600" s="345" t="s">
        <v>59</v>
      </c>
      <c r="J600" s="316">
        <v>41830.661805555559</v>
      </c>
      <c r="K600" s="347"/>
      <c r="L600" s="347" t="s">
        <v>188</v>
      </c>
      <c r="M600" s="348" t="s">
        <v>382</v>
      </c>
      <c r="N600" s="348" t="s">
        <v>382</v>
      </c>
      <c r="O600" s="348" t="s">
        <v>175</v>
      </c>
      <c r="P600" s="349">
        <v>21.2987012987013</v>
      </c>
      <c r="Q600" s="321" t="str">
        <f t="shared" si="28"/>
        <v/>
      </c>
      <c r="R600" s="318">
        <f t="shared" si="29"/>
        <v>41830</v>
      </c>
      <c r="S600" s="318" t="str">
        <f t="shared" si="30"/>
        <v/>
      </c>
    </row>
    <row r="601" spans="3:19" ht="27.75" customHeight="1">
      <c r="C601" s="345" t="s">
        <v>98</v>
      </c>
      <c r="D601" s="345" t="s">
        <v>373</v>
      </c>
      <c r="E601" s="345" t="s">
        <v>374</v>
      </c>
      <c r="F601" s="345" t="s">
        <v>375</v>
      </c>
      <c r="G601" s="346" t="s">
        <v>376</v>
      </c>
      <c r="H601" s="345" t="s">
        <v>14</v>
      </c>
      <c r="I601" s="345" t="s">
        <v>60</v>
      </c>
      <c r="J601" s="316">
        <v>41830.658333333333</v>
      </c>
      <c r="K601" s="347"/>
      <c r="L601" s="347" t="s">
        <v>378</v>
      </c>
      <c r="M601" s="348" t="s">
        <v>378</v>
      </c>
      <c r="N601" s="348" t="s">
        <v>390</v>
      </c>
      <c r="O601" s="348" t="s">
        <v>175</v>
      </c>
      <c r="P601" s="349">
        <v>21.331451157538101</v>
      </c>
      <c r="Q601" s="321" t="str">
        <f t="shared" si="28"/>
        <v/>
      </c>
      <c r="R601" s="318">
        <f t="shared" si="29"/>
        <v>41830</v>
      </c>
      <c r="S601" s="318" t="str">
        <f t="shared" si="30"/>
        <v/>
      </c>
    </row>
    <row r="602" spans="3:19" ht="27.75" customHeight="1">
      <c r="C602" s="345" t="s">
        <v>98</v>
      </c>
      <c r="D602" s="345" t="s">
        <v>373</v>
      </c>
      <c r="E602" s="345" t="s">
        <v>374</v>
      </c>
      <c r="F602" s="345" t="s">
        <v>375</v>
      </c>
      <c r="G602" s="346" t="s">
        <v>376</v>
      </c>
      <c r="H602" s="345" t="s">
        <v>5</v>
      </c>
      <c r="I602" s="345" t="s">
        <v>59</v>
      </c>
      <c r="J602" s="316">
        <v>41830.648611111108</v>
      </c>
      <c r="K602" s="347">
        <v>41834.648611111108</v>
      </c>
      <c r="L602" s="347" t="s">
        <v>378</v>
      </c>
      <c r="M602" s="348" t="s">
        <v>378</v>
      </c>
      <c r="N602" s="348" t="s">
        <v>390</v>
      </c>
      <c r="O602" s="348" t="s">
        <v>175</v>
      </c>
      <c r="P602" s="349">
        <v>21.364201016374899</v>
      </c>
      <c r="Q602" s="321">
        <f t="shared" ref="Q602:Q665" si="31">IF(ISERROR(DATEDIF(J602,K602,"D")),"",DATEDIF(J602,K602,"D"))</f>
        <v>4</v>
      </c>
      <c r="R602" s="318">
        <f t="shared" ref="R602:R665" si="32">DATE(YEAR(J602),MONTH(J602),DAY(J602))</f>
        <v>41830</v>
      </c>
      <c r="S602" s="318">
        <f t="shared" ref="S602:S665" si="33">IF(K602&lt;&gt;"",DATE(YEAR(K602),MONTH(K602),DAY(K602)),"")</f>
        <v>41834</v>
      </c>
    </row>
    <row r="603" spans="3:19" ht="27.75" customHeight="1">
      <c r="C603" s="345" t="s">
        <v>98</v>
      </c>
      <c r="D603" s="345" t="s">
        <v>373</v>
      </c>
      <c r="E603" s="345" t="s">
        <v>374</v>
      </c>
      <c r="F603" s="345" t="s">
        <v>375</v>
      </c>
      <c r="G603" s="346" t="s">
        <v>376</v>
      </c>
      <c r="H603" s="345" t="s">
        <v>138</v>
      </c>
      <c r="I603" s="345" t="s">
        <v>60</v>
      </c>
      <c r="J603" s="316">
        <v>41830.647916666669</v>
      </c>
      <c r="K603" s="347"/>
      <c r="L603" s="347" t="s">
        <v>188</v>
      </c>
      <c r="M603" s="348" t="s">
        <v>378</v>
      </c>
      <c r="N603" s="348" t="s">
        <v>390</v>
      </c>
      <c r="O603" s="348" t="s">
        <v>175</v>
      </c>
      <c r="P603" s="349">
        <v>21.396950875211701</v>
      </c>
      <c r="Q603" s="321" t="str">
        <f t="shared" si="31"/>
        <v/>
      </c>
      <c r="R603" s="318">
        <f t="shared" si="32"/>
        <v>41830</v>
      </c>
      <c r="S603" s="318" t="str">
        <f t="shared" si="33"/>
        <v/>
      </c>
    </row>
    <row r="604" spans="3:19" ht="27.75" customHeight="1">
      <c r="C604" s="345" t="s">
        <v>98</v>
      </c>
      <c r="D604" s="345" t="s">
        <v>373</v>
      </c>
      <c r="E604" s="345" t="s">
        <v>374</v>
      </c>
      <c r="F604" s="345" t="s">
        <v>375</v>
      </c>
      <c r="G604" s="346" t="s">
        <v>376</v>
      </c>
      <c r="H604" s="345" t="s">
        <v>138</v>
      </c>
      <c r="I604" s="345" t="s">
        <v>60</v>
      </c>
      <c r="J604" s="316">
        <v>41830.645833333336</v>
      </c>
      <c r="K604" s="347"/>
      <c r="L604" s="347" t="s">
        <v>378</v>
      </c>
      <c r="M604" s="348" t="s">
        <v>378</v>
      </c>
      <c r="N604" s="348" t="s">
        <v>390</v>
      </c>
      <c r="O604" s="348" t="s">
        <v>175</v>
      </c>
      <c r="P604" s="349">
        <v>21.429700734048499</v>
      </c>
      <c r="Q604" s="321" t="str">
        <f t="shared" si="31"/>
        <v/>
      </c>
      <c r="R604" s="318">
        <f t="shared" si="32"/>
        <v>41830</v>
      </c>
      <c r="S604" s="318" t="str">
        <f t="shared" si="33"/>
        <v/>
      </c>
    </row>
    <row r="605" spans="3:19" ht="27.75" customHeight="1">
      <c r="C605" s="345" t="s">
        <v>98</v>
      </c>
      <c r="D605" s="345" t="s">
        <v>373</v>
      </c>
      <c r="E605" s="345" t="s">
        <v>374</v>
      </c>
      <c r="F605" s="345" t="s">
        <v>375</v>
      </c>
      <c r="G605" s="346" t="s">
        <v>376</v>
      </c>
      <c r="H605" s="345" t="s">
        <v>138</v>
      </c>
      <c r="I605" s="345" t="s">
        <v>60</v>
      </c>
      <c r="J605" s="316">
        <v>41830.64166666667</v>
      </c>
      <c r="K605" s="347"/>
      <c r="L605" s="347" t="s">
        <v>378</v>
      </c>
      <c r="M605" s="348" t="s">
        <v>378</v>
      </c>
      <c r="N605" s="348" t="s">
        <v>390</v>
      </c>
      <c r="O605" s="348" t="s">
        <v>175</v>
      </c>
      <c r="P605" s="349">
        <v>21.4624505928854</v>
      </c>
      <c r="Q605" s="321" t="str">
        <f t="shared" si="31"/>
        <v/>
      </c>
      <c r="R605" s="318">
        <f t="shared" si="32"/>
        <v>41830</v>
      </c>
      <c r="S605" s="318" t="str">
        <f t="shared" si="33"/>
        <v/>
      </c>
    </row>
    <row r="606" spans="3:19" ht="27.75" customHeight="1">
      <c r="C606" s="345" t="s">
        <v>98</v>
      </c>
      <c r="D606" s="345" t="s">
        <v>373</v>
      </c>
      <c r="E606" s="345" t="s">
        <v>374</v>
      </c>
      <c r="F606" s="345" t="s">
        <v>375</v>
      </c>
      <c r="G606" s="346" t="s">
        <v>376</v>
      </c>
      <c r="H606" s="345" t="s">
        <v>383</v>
      </c>
      <c r="I606" s="345" t="s">
        <v>60</v>
      </c>
      <c r="J606" s="316">
        <v>41830.63958333333</v>
      </c>
      <c r="K606" s="347"/>
      <c r="L606" s="347" t="s">
        <v>378</v>
      </c>
      <c r="M606" s="348" t="s">
        <v>378</v>
      </c>
      <c r="N606" s="348" t="s">
        <v>390</v>
      </c>
      <c r="O606" s="348" t="s">
        <v>175</v>
      </c>
      <c r="P606" s="349">
        <v>21.495200451722202</v>
      </c>
      <c r="Q606" s="321" t="str">
        <f t="shared" si="31"/>
        <v/>
      </c>
      <c r="R606" s="318">
        <f t="shared" si="32"/>
        <v>41830</v>
      </c>
      <c r="S606" s="318" t="str">
        <f t="shared" si="33"/>
        <v/>
      </c>
    </row>
    <row r="607" spans="3:19" ht="27.75" customHeight="1">
      <c r="C607" s="345" t="s">
        <v>98</v>
      </c>
      <c r="D607" s="345" t="s">
        <v>373</v>
      </c>
      <c r="E607" s="345" t="s">
        <v>374</v>
      </c>
      <c r="F607" s="345" t="s">
        <v>375</v>
      </c>
      <c r="G607" s="346" t="s">
        <v>376</v>
      </c>
      <c r="H607" s="345" t="s">
        <v>138</v>
      </c>
      <c r="I607" s="345" t="s">
        <v>60</v>
      </c>
      <c r="J607" s="316">
        <v>41830.63958333333</v>
      </c>
      <c r="K607" s="347"/>
      <c r="L607" s="347" t="s">
        <v>378</v>
      </c>
      <c r="M607" s="348" t="s">
        <v>378</v>
      </c>
      <c r="N607" s="348" t="s">
        <v>390</v>
      </c>
      <c r="O607" s="348" t="s">
        <v>175</v>
      </c>
      <c r="P607" s="349">
        <v>21.527950310559</v>
      </c>
      <c r="Q607" s="321" t="str">
        <f t="shared" si="31"/>
        <v/>
      </c>
      <c r="R607" s="318">
        <f t="shared" si="32"/>
        <v>41830</v>
      </c>
      <c r="S607" s="318" t="str">
        <f t="shared" si="33"/>
        <v/>
      </c>
    </row>
    <row r="608" spans="3:19" ht="27.75" customHeight="1">
      <c r="C608" s="345" t="s">
        <v>98</v>
      </c>
      <c r="D608" s="345" t="s">
        <v>373</v>
      </c>
      <c r="E608" s="345" t="s">
        <v>374</v>
      </c>
      <c r="F608" s="345" t="s">
        <v>375</v>
      </c>
      <c r="G608" s="346" t="s">
        <v>376</v>
      </c>
      <c r="H608" s="339" t="s">
        <v>14</v>
      </c>
      <c r="I608" s="345" t="s">
        <v>60</v>
      </c>
      <c r="J608" s="316">
        <v>41830.635416666664</v>
      </c>
      <c r="K608" s="347"/>
      <c r="L608" s="347" t="s">
        <v>378</v>
      </c>
      <c r="M608" s="348" t="s">
        <v>378</v>
      </c>
      <c r="N608" s="348" t="s">
        <v>390</v>
      </c>
      <c r="O608" s="348" t="s">
        <v>177</v>
      </c>
      <c r="P608" s="349">
        <v>21.560700169395801</v>
      </c>
      <c r="Q608" s="321" t="str">
        <f t="shared" si="31"/>
        <v/>
      </c>
      <c r="R608" s="318">
        <f t="shared" si="32"/>
        <v>41830</v>
      </c>
      <c r="S608" s="318" t="str">
        <f t="shared" si="33"/>
        <v/>
      </c>
    </row>
    <row r="609" spans="3:19" ht="27.75" customHeight="1">
      <c r="C609" s="345" t="s">
        <v>98</v>
      </c>
      <c r="D609" s="345" t="s">
        <v>373</v>
      </c>
      <c r="E609" s="345" t="s">
        <v>374</v>
      </c>
      <c r="F609" s="345" t="s">
        <v>375</v>
      </c>
      <c r="G609" s="346" t="s">
        <v>376</v>
      </c>
      <c r="H609" s="345" t="s">
        <v>138</v>
      </c>
      <c r="I609" s="345" t="s">
        <v>60</v>
      </c>
      <c r="J609" s="316">
        <v>41830.630555555559</v>
      </c>
      <c r="K609" s="347"/>
      <c r="L609" s="347" t="s">
        <v>378</v>
      </c>
      <c r="M609" s="348" t="s">
        <v>378</v>
      </c>
      <c r="N609" s="348" t="s">
        <v>390</v>
      </c>
      <c r="O609" s="348" t="s">
        <v>177</v>
      </c>
      <c r="P609" s="349">
        <v>21.593450028232599</v>
      </c>
      <c r="Q609" s="321" t="str">
        <f t="shared" si="31"/>
        <v/>
      </c>
      <c r="R609" s="318">
        <f t="shared" si="32"/>
        <v>41830</v>
      </c>
      <c r="S609" s="318" t="str">
        <f t="shared" si="33"/>
        <v/>
      </c>
    </row>
    <row r="610" spans="3:19" ht="27.75" customHeight="1">
      <c r="C610" s="345" t="s">
        <v>98</v>
      </c>
      <c r="D610" s="345" t="s">
        <v>373</v>
      </c>
      <c r="E610" s="345" t="s">
        <v>374</v>
      </c>
      <c r="F610" s="345" t="s">
        <v>375</v>
      </c>
      <c r="G610" s="346" t="s">
        <v>376</v>
      </c>
      <c r="H610" s="345" t="s">
        <v>384</v>
      </c>
      <c r="I610" s="345" t="s">
        <v>60</v>
      </c>
      <c r="J610" s="316">
        <v>41830.629861111112</v>
      </c>
      <c r="K610" s="347"/>
      <c r="L610" s="347" t="s">
        <v>378</v>
      </c>
      <c r="M610" s="348" t="s">
        <v>378</v>
      </c>
      <c r="N610" s="348" t="s">
        <v>390</v>
      </c>
      <c r="O610" s="348" t="s">
        <v>175</v>
      </c>
      <c r="P610" s="349">
        <v>21.626199887069401</v>
      </c>
      <c r="Q610" s="321" t="str">
        <f t="shared" si="31"/>
        <v/>
      </c>
      <c r="R610" s="318">
        <f t="shared" si="32"/>
        <v>41830</v>
      </c>
      <c r="S610" s="318" t="str">
        <f t="shared" si="33"/>
        <v/>
      </c>
    </row>
    <row r="611" spans="3:19" ht="27.75" customHeight="1">
      <c r="C611" s="345" t="s">
        <v>98</v>
      </c>
      <c r="D611" s="345" t="s">
        <v>373</v>
      </c>
      <c r="E611" s="345" t="s">
        <v>374</v>
      </c>
      <c r="F611" s="345" t="s">
        <v>375</v>
      </c>
      <c r="G611" s="346" t="s">
        <v>376</v>
      </c>
      <c r="H611" s="339" t="s">
        <v>14</v>
      </c>
      <c r="I611" s="345" t="s">
        <v>60</v>
      </c>
      <c r="J611" s="316">
        <v>41830.619444444441</v>
      </c>
      <c r="K611" s="347"/>
      <c r="L611" s="347" t="s">
        <v>378</v>
      </c>
      <c r="M611" s="348" t="s">
        <v>378</v>
      </c>
      <c r="N611" s="348" t="s">
        <v>390</v>
      </c>
      <c r="O611" s="348" t="s">
        <v>175</v>
      </c>
      <c r="P611" s="349">
        <v>21.658949745906199</v>
      </c>
      <c r="Q611" s="321" t="str">
        <f t="shared" si="31"/>
        <v/>
      </c>
      <c r="R611" s="318">
        <f t="shared" si="32"/>
        <v>41830</v>
      </c>
      <c r="S611" s="318" t="str">
        <f t="shared" si="33"/>
        <v/>
      </c>
    </row>
    <row r="612" spans="3:19" ht="27.75" customHeight="1">
      <c r="C612" s="345" t="s">
        <v>98</v>
      </c>
      <c r="D612" s="345" t="s">
        <v>373</v>
      </c>
      <c r="E612" s="345" t="s">
        <v>374</v>
      </c>
      <c r="F612" s="345" t="s">
        <v>375</v>
      </c>
      <c r="G612" s="346" t="s">
        <v>376</v>
      </c>
      <c r="H612" s="339" t="s">
        <v>14</v>
      </c>
      <c r="I612" s="345" t="s">
        <v>60</v>
      </c>
      <c r="J612" s="316">
        <v>41830.614583333336</v>
      </c>
      <c r="K612" s="347"/>
      <c r="L612" s="347" t="s">
        <v>378</v>
      </c>
      <c r="M612" s="348" t="s">
        <v>378</v>
      </c>
      <c r="N612" s="348" t="s">
        <v>390</v>
      </c>
      <c r="O612" s="348" t="s">
        <v>175</v>
      </c>
      <c r="P612" s="349">
        <v>21.6916996047431</v>
      </c>
      <c r="Q612" s="321" t="str">
        <f t="shared" si="31"/>
        <v/>
      </c>
      <c r="R612" s="318">
        <f t="shared" si="32"/>
        <v>41830</v>
      </c>
      <c r="S612" s="318" t="str">
        <f t="shared" si="33"/>
        <v/>
      </c>
    </row>
    <row r="613" spans="3:19" ht="27.75" customHeight="1">
      <c r="C613" s="345" t="s">
        <v>98</v>
      </c>
      <c r="D613" s="345" t="s">
        <v>373</v>
      </c>
      <c r="E613" s="345" t="s">
        <v>374</v>
      </c>
      <c r="F613" s="345" t="s">
        <v>375</v>
      </c>
      <c r="G613" s="346" t="s">
        <v>376</v>
      </c>
      <c r="H613" s="339" t="s">
        <v>14</v>
      </c>
      <c r="I613" s="345" t="s">
        <v>60</v>
      </c>
      <c r="J613" s="316">
        <v>41830.588194444441</v>
      </c>
      <c r="K613" s="347"/>
      <c r="L613" s="347" t="s">
        <v>378</v>
      </c>
      <c r="M613" s="348" t="s">
        <v>378</v>
      </c>
      <c r="N613" s="348" t="s">
        <v>390</v>
      </c>
      <c r="O613" s="348" t="s">
        <v>177</v>
      </c>
      <c r="P613" s="349">
        <v>21.724449463579901</v>
      </c>
      <c r="Q613" s="321" t="str">
        <f t="shared" si="31"/>
        <v/>
      </c>
      <c r="R613" s="318">
        <f t="shared" si="32"/>
        <v>41830</v>
      </c>
      <c r="S613" s="318" t="str">
        <f t="shared" si="33"/>
        <v/>
      </c>
    </row>
    <row r="614" spans="3:19" ht="27.75" customHeight="1">
      <c r="C614" s="345" t="s">
        <v>98</v>
      </c>
      <c r="D614" s="345" t="s">
        <v>373</v>
      </c>
      <c r="E614" s="345" t="s">
        <v>374</v>
      </c>
      <c r="F614" s="345" t="s">
        <v>375</v>
      </c>
      <c r="G614" s="346" t="s">
        <v>376</v>
      </c>
      <c r="H614" s="339" t="s">
        <v>14</v>
      </c>
      <c r="I614" s="345" t="s">
        <v>60</v>
      </c>
      <c r="J614" s="316">
        <v>41830.557638888888</v>
      </c>
      <c r="K614" s="347"/>
      <c r="L614" s="347" t="s">
        <v>378</v>
      </c>
      <c r="M614" s="348" t="s">
        <v>378</v>
      </c>
      <c r="N614" s="348" t="s">
        <v>390</v>
      </c>
      <c r="O614" s="348" t="s">
        <v>177</v>
      </c>
      <c r="P614" s="349">
        <v>21.7571993224167</v>
      </c>
      <c r="Q614" s="321" t="str">
        <f t="shared" si="31"/>
        <v/>
      </c>
      <c r="R614" s="318">
        <f t="shared" si="32"/>
        <v>41830</v>
      </c>
      <c r="S614" s="318" t="str">
        <f t="shared" si="33"/>
        <v/>
      </c>
    </row>
    <row r="615" spans="3:19" ht="27.75" customHeight="1">
      <c r="C615" s="345" t="s">
        <v>98</v>
      </c>
      <c r="D615" s="345" t="s">
        <v>373</v>
      </c>
      <c r="E615" s="345" t="s">
        <v>374</v>
      </c>
      <c r="F615" s="345" t="s">
        <v>375</v>
      </c>
      <c r="G615" s="346" t="s">
        <v>376</v>
      </c>
      <c r="H615" s="339" t="s">
        <v>14</v>
      </c>
      <c r="I615" s="345" t="s">
        <v>60</v>
      </c>
      <c r="J615" s="316">
        <v>41830.550000000003</v>
      </c>
      <c r="K615" s="347"/>
      <c r="L615" s="347" t="s">
        <v>378</v>
      </c>
      <c r="M615" s="348" t="s">
        <v>378</v>
      </c>
      <c r="N615" s="348" t="s">
        <v>390</v>
      </c>
      <c r="O615" s="348" t="s">
        <v>177</v>
      </c>
      <c r="P615" s="349">
        <v>21.789949181253501</v>
      </c>
      <c r="Q615" s="321" t="str">
        <f t="shared" si="31"/>
        <v/>
      </c>
      <c r="R615" s="318">
        <f t="shared" si="32"/>
        <v>41830</v>
      </c>
      <c r="S615" s="318" t="str">
        <f t="shared" si="33"/>
        <v/>
      </c>
    </row>
    <row r="616" spans="3:19" ht="27.75" customHeight="1">
      <c r="C616" s="345" t="s">
        <v>98</v>
      </c>
      <c r="D616" s="345" t="s">
        <v>373</v>
      </c>
      <c r="E616" s="345" t="s">
        <v>374</v>
      </c>
      <c r="F616" s="345" t="s">
        <v>375</v>
      </c>
      <c r="G616" s="346" t="s">
        <v>376</v>
      </c>
      <c r="H616" s="339" t="s">
        <v>14</v>
      </c>
      <c r="I616" s="345" t="s">
        <v>60</v>
      </c>
      <c r="J616" s="316">
        <v>41830.549305555556</v>
      </c>
      <c r="K616" s="347"/>
      <c r="L616" s="347" t="s">
        <v>377</v>
      </c>
      <c r="M616" s="348" t="s">
        <v>378</v>
      </c>
      <c r="N616" s="348" t="s">
        <v>390</v>
      </c>
      <c r="O616" s="348" t="s">
        <v>177</v>
      </c>
      <c r="P616" s="349">
        <v>21.822699040090299</v>
      </c>
      <c r="Q616" s="321" t="str">
        <f t="shared" si="31"/>
        <v/>
      </c>
      <c r="R616" s="318">
        <f t="shared" si="32"/>
        <v>41830</v>
      </c>
      <c r="S616" s="318" t="str">
        <f t="shared" si="33"/>
        <v/>
      </c>
    </row>
    <row r="617" spans="3:19" ht="27.75" customHeight="1">
      <c r="C617" s="345" t="s">
        <v>98</v>
      </c>
      <c r="D617" s="345" t="s">
        <v>373</v>
      </c>
      <c r="E617" s="345" t="s">
        <v>374</v>
      </c>
      <c r="F617" s="345" t="s">
        <v>375</v>
      </c>
      <c r="G617" s="346" t="s">
        <v>376</v>
      </c>
      <c r="H617" s="345" t="s">
        <v>5</v>
      </c>
      <c r="I617" s="345" t="s">
        <v>60</v>
      </c>
      <c r="J617" s="316">
        <v>41830.548611111109</v>
      </c>
      <c r="K617" s="347">
        <v>41838.548611111109</v>
      </c>
      <c r="L617" s="347" t="s">
        <v>378</v>
      </c>
      <c r="M617" s="348" t="s">
        <v>378</v>
      </c>
      <c r="N617" s="348" t="s">
        <v>390</v>
      </c>
      <c r="O617" s="348" t="s">
        <v>177</v>
      </c>
      <c r="P617" s="349">
        <v>21.855448898927101</v>
      </c>
      <c r="Q617" s="321">
        <f t="shared" si="31"/>
        <v>8</v>
      </c>
      <c r="R617" s="318">
        <f t="shared" si="32"/>
        <v>41830</v>
      </c>
      <c r="S617" s="318">
        <f t="shared" si="33"/>
        <v>41838</v>
      </c>
    </row>
    <row r="618" spans="3:19" ht="27.75" customHeight="1">
      <c r="C618" s="345" t="s">
        <v>98</v>
      </c>
      <c r="D618" s="345" t="s">
        <v>373</v>
      </c>
      <c r="E618" s="345" t="s">
        <v>374</v>
      </c>
      <c r="F618" s="345" t="s">
        <v>375</v>
      </c>
      <c r="G618" s="346" t="s">
        <v>376</v>
      </c>
      <c r="H618" s="345" t="s">
        <v>5</v>
      </c>
      <c r="I618" s="345" t="s">
        <v>60</v>
      </c>
      <c r="J618" s="316">
        <v>41830.546527777777</v>
      </c>
      <c r="K618" s="347">
        <v>41835.546527777777</v>
      </c>
      <c r="L618" s="347" t="s">
        <v>378</v>
      </c>
      <c r="M618" s="348" t="s">
        <v>378</v>
      </c>
      <c r="N618" s="348" t="s">
        <v>390</v>
      </c>
      <c r="O618" s="348" t="s">
        <v>177</v>
      </c>
      <c r="P618" s="349">
        <v>21.888198757763998</v>
      </c>
      <c r="Q618" s="321">
        <f t="shared" si="31"/>
        <v>5</v>
      </c>
      <c r="R618" s="318">
        <f t="shared" si="32"/>
        <v>41830</v>
      </c>
      <c r="S618" s="318">
        <f t="shared" si="33"/>
        <v>41835</v>
      </c>
    </row>
    <row r="619" spans="3:19" ht="27.75" customHeight="1">
      <c r="C619" s="345" t="s">
        <v>98</v>
      </c>
      <c r="D619" s="345" t="s">
        <v>373</v>
      </c>
      <c r="E619" s="345" t="s">
        <v>374</v>
      </c>
      <c r="F619" s="345" t="s">
        <v>375</v>
      </c>
      <c r="G619" s="346" t="s">
        <v>376</v>
      </c>
      <c r="H619" s="339" t="s">
        <v>14</v>
      </c>
      <c r="I619" s="345" t="s">
        <v>60</v>
      </c>
      <c r="J619" s="316">
        <v>41830.543749999997</v>
      </c>
      <c r="K619" s="347"/>
      <c r="L619" s="347" t="s">
        <v>377</v>
      </c>
      <c r="M619" s="348" t="s">
        <v>378</v>
      </c>
      <c r="N619" s="348" t="s">
        <v>390</v>
      </c>
      <c r="O619" s="348" t="s">
        <v>175</v>
      </c>
      <c r="P619" s="349">
        <v>21.9209486166008</v>
      </c>
      <c r="Q619" s="321" t="str">
        <f t="shared" si="31"/>
        <v/>
      </c>
      <c r="R619" s="318">
        <f t="shared" si="32"/>
        <v>41830</v>
      </c>
      <c r="S619" s="318" t="str">
        <f t="shared" si="33"/>
        <v/>
      </c>
    </row>
    <row r="620" spans="3:19" ht="27.75" customHeight="1">
      <c r="C620" s="345" t="s">
        <v>98</v>
      </c>
      <c r="D620" s="345" t="s">
        <v>373</v>
      </c>
      <c r="E620" s="345" t="s">
        <v>374</v>
      </c>
      <c r="F620" s="345" t="s">
        <v>375</v>
      </c>
      <c r="G620" s="346" t="s">
        <v>376</v>
      </c>
      <c r="H620" s="339" t="s">
        <v>14</v>
      </c>
      <c r="I620" s="345" t="s">
        <v>60</v>
      </c>
      <c r="J620" s="316">
        <v>41830.539583333331</v>
      </c>
      <c r="K620" s="347"/>
      <c r="L620" s="347" t="s">
        <v>378</v>
      </c>
      <c r="M620" s="348" t="s">
        <v>382</v>
      </c>
      <c r="N620" s="348" t="s">
        <v>382</v>
      </c>
      <c r="O620" s="348" t="s">
        <v>175</v>
      </c>
      <c r="P620" s="349">
        <v>21.953698475437601</v>
      </c>
      <c r="Q620" s="321" t="str">
        <f t="shared" si="31"/>
        <v/>
      </c>
      <c r="R620" s="318">
        <f t="shared" si="32"/>
        <v>41830</v>
      </c>
      <c r="S620" s="318" t="str">
        <f t="shared" si="33"/>
        <v/>
      </c>
    </row>
    <row r="621" spans="3:19" ht="27.75" customHeight="1">
      <c r="C621" s="345" t="s">
        <v>98</v>
      </c>
      <c r="D621" s="345" t="s">
        <v>373</v>
      </c>
      <c r="E621" s="345" t="s">
        <v>374</v>
      </c>
      <c r="F621" s="345" t="s">
        <v>375</v>
      </c>
      <c r="G621" s="346" t="s">
        <v>376</v>
      </c>
      <c r="H621" s="339" t="s">
        <v>14</v>
      </c>
      <c r="I621" s="345" t="s">
        <v>60</v>
      </c>
      <c r="J621" s="316">
        <v>41830.538194444445</v>
      </c>
      <c r="K621" s="347"/>
      <c r="L621" s="347" t="s">
        <v>378</v>
      </c>
      <c r="M621" s="348" t="s">
        <v>378</v>
      </c>
      <c r="N621" s="348" t="s">
        <v>390</v>
      </c>
      <c r="O621" s="348" t="s">
        <v>175</v>
      </c>
      <c r="P621" s="349">
        <v>21.986448334274399</v>
      </c>
      <c r="Q621" s="321" t="str">
        <f t="shared" si="31"/>
        <v/>
      </c>
      <c r="R621" s="318">
        <f t="shared" si="32"/>
        <v>41830</v>
      </c>
      <c r="S621" s="318" t="str">
        <f t="shared" si="33"/>
        <v/>
      </c>
    </row>
    <row r="622" spans="3:19" ht="27.75" customHeight="1">
      <c r="C622" s="345" t="s">
        <v>98</v>
      </c>
      <c r="D622" s="345" t="s">
        <v>373</v>
      </c>
      <c r="E622" s="345" t="s">
        <v>374</v>
      </c>
      <c r="F622" s="345" t="s">
        <v>375</v>
      </c>
      <c r="G622" s="346" t="s">
        <v>376</v>
      </c>
      <c r="H622" s="339" t="s">
        <v>14</v>
      </c>
      <c r="I622" s="345" t="s">
        <v>60</v>
      </c>
      <c r="J622" s="316">
        <v>41830.536805555559</v>
      </c>
      <c r="K622" s="347"/>
      <c r="L622" s="347" t="s">
        <v>378</v>
      </c>
      <c r="M622" s="348" t="s">
        <v>378</v>
      </c>
      <c r="N622" s="348" t="s">
        <v>390</v>
      </c>
      <c r="O622" s="348" t="s">
        <v>175</v>
      </c>
      <c r="P622" s="349">
        <v>22.019198193111201</v>
      </c>
      <c r="Q622" s="321" t="str">
        <f t="shared" si="31"/>
        <v/>
      </c>
      <c r="R622" s="318">
        <f t="shared" si="32"/>
        <v>41830</v>
      </c>
      <c r="S622" s="318" t="str">
        <f t="shared" si="33"/>
        <v/>
      </c>
    </row>
    <row r="623" spans="3:19" ht="27.75" customHeight="1">
      <c r="C623" s="345" t="s">
        <v>98</v>
      </c>
      <c r="D623" s="345" t="s">
        <v>373</v>
      </c>
      <c r="E623" s="345" t="s">
        <v>374</v>
      </c>
      <c r="F623" s="345" t="s">
        <v>375</v>
      </c>
      <c r="G623" s="346" t="s">
        <v>376</v>
      </c>
      <c r="H623" s="339" t="s">
        <v>14</v>
      </c>
      <c r="I623" s="345" t="s">
        <v>60</v>
      </c>
      <c r="J623" s="316">
        <v>41830.536111111112</v>
      </c>
      <c r="K623" s="347"/>
      <c r="L623" s="347" t="s">
        <v>378</v>
      </c>
      <c r="M623" s="348" t="s">
        <v>378</v>
      </c>
      <c r="N623" s="348" t="s">
        <v>390</v>
      </c>
      <c r="O623" s="348" t="s">
        <v>175</v>
      </c>
      <c r="P623" s="349">
        <v>22.051948051947999</v>
      </c>
      <c r="Q623" s="321" t="str">
        <f t="shared" si="31"/>
        <v/>
      </c>
      <c r="R623" s="318">
        <f t="shared" si="32"/>
        <v>41830</v>
      </c>
      <c r="S623" s="318" t="str">
        <f t="shared" si="33"/>
        <v/>
      </c>
    </row>
    <row r="624" spans="3:19" ht="27.75" customHeight="1">
      <c r="C624" s="345" t="s">
        <v>98</v>
      </c>
      <c r="D624" s="345" t="s">
        <v>373</v>
      </c>
      <c r="E624" s="345" t="s">
        <v>374</v>
      </c>
      <c r="F624" s="345" t="s">
        <v>375</v>
      </c>
      <c r="G624" s="346" t="s">
        <v>376</v>
      </c>
      <c r="H624" s="339" t="s">
        <v>14</v>
      </c>
      <c r="I624" s="345" t="s">
        <v>60</v>
      </c>
      <c r="J624" s="316">
        <v>41830.535416666666</v>
      </c>
      <c r="K624" s="347"/>
      <c r="L624" s="347" t="s">
        <v>378</v>
      </c>
      <c r="M624" s="348" t="s">
        <v>382</v>
      </c>
      <c r="N624" s="348" t="s">
        <v>382</v>
      </c>
      <c r="O624" s="348" t="s">
        <v>175</v>
      </c>
      <c r="P624" s="349">
        <v>22.084697910784801</v>
      </c>
      <c r="Q624" s="321" t="str">
        <f t="shared" si="31"/>
        <v/>
      </c>
      <c r="R624" s="318">
        <f t="shared" si="32"/>
        <v>41830</v>
      </c>
      <c r="S624" s="318" t="str">
        <f t="shared" si="33"/>
        <v/>
      </c>
    </row>
    <row r="625" spans="3:19" ht="27.75" customHeight="1">
      <c r="C625" s="345" t="s">
        <v>98</v>
      </c>
      <c r="D625" s="345" t="s">
        <v>373</v>
      </c>
      <c r="E625" s="345" t="s">
        <v>374</v>
      </c>
      <c r="F625" s="345" t="s">
        <v>375</v>
      </c>
      <c r="G625" s="346" t="s">
        <v>376</v>
      </c>
      <c r="H625" s="339" t="s">
        <v>14</v>
      </c>
      <c r="I625" s="345" t="s">
        <v>60</v>
      </c>
      <c r="J625" s="316">
        <v>41830.53402777778</v>
      </c>
      <c r="K625" s="347"/>
      <c r="L625" s="347" t="s">
        <v>378</v>
      </c>
      <c r="M625" s="348" t="s">
        <v>389</v>
      </c>
      <c r="N625" s="348" t="s">
        <v>389</v>
      </c>
      <c r="O625" s="348" t="s">
        <v>175</v>
      </c>
      <c r="P625" s="349">
        <v>22.117447769621698</v>
      </c>
      <c r="Q625" s="321" t="str">
        <f t="shared" si="31"/>
        <v/>
      </c>
      <c r="R625" s="318">
        <f t="shared" si="32"/>
        <v>41830</v>
      </c>
      <c r="S625" s="318" t="str">
        <f t="shared" si="33"/>
        <v/>
      </c>
    </row>
    <row r="626" spans="3:19" ht="27.75" customHeight="1">
      <c r="C626" s="345" t="s">
        <v>98</v>
      </c>
      <c r="D626" s="345" t="s">
        <v>373</v>
      </c>
      <c r="E626" s="345" t="s">
        <v>374</v>
      </c>
      <c r="F626" s="345" t="s">
        <v>375</v>
      </c>
      <c r="G626" s="346" t="s">
        <v>376</v>
      </c>
      <c r="H626" s="339" t="s">
        <v>14</v>
      </c>
      <c r="I626" s="345" t="s">
        <v>61</v>
      </c>
      <c r="J626" s="316">
        <v>41830.505555555559</v>
      </c>
      <c r="K626" s="347"/>
      <c r="L626" s="347" t="s">
        <v>378</v>
      </c>
      <c r="M626" s="348" t="s">
        <v>378</v>
      </c>
      <c r="N626" s="348" t="s">
        <v>390</v>
      </c>
      <c r="O626" s="348" t="s">
        <v>175</v>
      </c>
      <c r="P626" s="349">
        <v>22.1501976284585</v>
      </c>
      <c r="Q626" s="321" t="str">
        <f t="shared" si="31"/>
        <v/>
      </c>
      <c r="R626" s="318">
        <f t="shared" si="32"/>
        <v>41830</v>
      </c>
      <c r="S626" s="318" t="str">
        <f t="shared" si="33"/>
        <v/>
      </c>
    </row>
    <row r="627" spans="3:19" ht="27.75" customHeight="1">
      <c r="C627" s="345" t="s">
        <v>98</v>
      </c>
      <c r="D627" s="345" t="s">
        <v>373</v>
      </c>
      <c r="E627" s="345" t="s">
        <v>374</v>
      </c>
      <c r="F627" s="345" t="s">
        <v>375</v>
      </c>
      <c r="G627" s="346" t="s">
        <v>376</v>
      </c>
      <c r="H627" s="339" t="s">
        <v>14</v>
      </c>
      <c r="I627" s="345" t="s">
        <v>60</v>
      </c>
      <c r="J627" s="316">
        <v>41830.50277777778</v>
      </c>
      <c r="K627" s="347"/>
      <c r="L627" s="347" t="s">
        <v>377</v>
      </c>
      <c r="M627" s="348" t="s">
        <v>378</v>
      </c>
      <c r="N627" s="348" t="s">
        <v>397</v>
      </c>
      <c r="O627" s="348" t="s">
        <v>175</v>
      </c>
      <c r="P627" s="349">
        <v>22.182947487295301</v>
      </c>
      <c r="Q627" s="321" t="str">
        <f t="shared" si="31"/>
        <v/>
      </c>
      <c r="R627" s="318">
        <f t="shared" si="32"/>
        <v>41830</v>
      </c>
      <c r="S627" s="318" t="str">
        <f t="shared" si="33"/>
        <v/>
      </c>
    </row>
    <row r="628" spans="3:19" ht="27.75" customHeight="1">
      <c r="C628" s="345" t="s">
        <v>98</v>
      </c>
      <c r="D628" s="345" t="s">
        <v>373</v>
      </c>
      <c r="E628" s="345" t="s">
        <v>374</v>
      </c>
      <c r="F628" s="345" t="s">
        <v>375</v>
      </c>
      <c r="G628" s="346" t="s">
        <v>376</v>
      </c>
      <c r="H628" s="339" t="s">
        <v>14</v>
      </c>
      <c r="I628" s="345" t="s">
        <v>60</v>
      </c>
      <c r="J628" s="316">
        <v>41830.493750000001</v>
      </c>
      <c r="K628" s="347"/>
      <c r="L628" s="347" t="s">
        <v>378</v>
      </c>
      <c r="M628" s="348" t="s">
        <v>382</v>
      </c>
      <c r="N628" s="348" t="s">
        <v>382</v>
      </c>
      <c r="O628" s="348" t="s">
        <v>175</v>
      </c>
      <c r="P628" s="349">
        <v>22.215697346132099</v>
      </c>
      <c r="Q628" s="321" t="str">
        <f t="shared" si="31"/>
        <v/>
      </c>
      <c r="R628" s="318">
        <f t="shared" si="32"/>
        <v>41830</v>
      </c>
      <c r="S628" s="318" t="str">
        <f t="shared" si="33"/>
        <v/>
      </c>
    </row>
    <row r="629" spans="3:19" ht="27.75" customHeight="1">
      <c r="C629" s="345" t="s">
        <v>98</v>
      </c>
      <c r="D629" s="345" t="s">
        <v>373</v>
      </c>
      <c r="E629" s="345" t="s">
        <v>374</v>
      </c>
      <c r="F629" s="345" t="s">
        <v>375</v>
      </c>
      <c r="G629" s="346" t="s">
        <v>376</v>
      </c>
      <c r="H629" s="339" t="s">
        <v>14</v>
      </c>
      <c r="I629" s="345" t="s">
        <v>60</v>
      </c>
      <c r="J629" s="316">
        <v>41830.489583333336</v>
      </c>
      <c r="K629" s="347"/>
      <c r="L629" s="347" t="s">
        <v>378</v>
      </c>
      <c r="M629" s="348" t="s">
        <v>382</v>
      </c>
      <c r="N629" s="348" t="s">
        <v>382</v>
      </c>
      <c r="O629" s="348" t="s">
        <v>175</v>
      </c>
      <c r="P629" s="349">
        <v>22.248447204968901</v>
      </c>
      <c r="Q629" s="321" t="str">
        <f t="shared" si="31"/>
        <v/>
      </c>
      <c r="R629" s="318">
        <f t="shared" si="32"/>
        <v>41830</v>
      </c>
      <c r="S629" s="318" t="str">
        <f t="shared" si="33"/>
        <v/>
      </c>
    </row>
    <row r="630" spans="3:19" ht="27.75" customHeight="1">
      <c r="C630" s="345" t="s">
        <v>98</v>
      </c>
      <c r="D630" s="345" t="s">
        <v>373</v>
      </c>
      <c r="E630" s="345" t="s">
        <v>374</v>
      </c>
      <c r="F630" s="345" t="s">
        <v>375</v>
      </c>
      <c r="G630" s="346" t="s">
        <v>376</v>
      </c>
      <c r="H630" s="339" t="s">
        <v>14</v>
      </c>
      <c r="I630" s="345" t="s">
        <v>60</v>
      </c>
      <c r="J630" s="316">
        <v>41830.459722222222</v>
      </c>
      <c r="K630" s="347"/>
      <c r="L630" s="347" t="s">
        <v>377</v>
      </c>
      <c r="M630" s="348" t="s">
        <v>378</v>
      </c>
      <c r="N630" s="348" t="s">
        <v>397</v>
      </c>
      <c r="O630" s="348" t="s">
        <v>177</v>
      </c>
      <c r="P630" s="349">
        <v>22.281197063805699</v>
      </c>
      <c r="Q630" s="321" t="str">
        <f t="shared" si="31"/>
        <v/>
      </c>
      <c r="R630" s="318">
        <f t="shared" si="32"/>
        <v>41830</v>
      </c>
      <c r="S630" s="318" t="str">
        <f t="shared" si="33"/>
        <v/>
      </c>
    </row>
    <row r="631" spans="3:19" ht="27.75" customHeight="1">
      <c r="C631" s="345" t="s">
        <v>98</v>
      </c>
      <c r="D631" s="345" t="s">
        <v>373</v>
      </c>
      <c r="E631" s="345" t="s">
        <v>374</v>
      </c>
      <c r="F631" s="345" t="s">
        <v>375</v>
      </c>
      <c r="G631" s="346" t="s">
        <v>376</v>
      </c>
      <c r="H631" s="339" t="s">
        <v>14</v>
      </c>
      <c r="I631" s="345" t="s">
        <v>60</v>
      </c>
      <c r="J631" s="316">
        <v>41830.459027777775</v>
      </c>
      <c r="K631" s="347"/>
      <c r="L631" s="347" t="s">
        <v>378</v>
      </c>
      <c r="M631" s="348" t="s">
        <v>378</v>
      </c>
      <c r="N631" s="348" t="s">
        <v>397</v>
      </c>
      <c r="O631" s="348" t="s">
        <v>177</v>
      </c>
      <c r="P631" s="349">
        <v>22.3139469226426</v>
      </c>
      <c r="Q631" s="321" t="str">
        <f t="shared" si="31"/>
        <v/>
      </c>
      <c r="R631" s="318">
        <f t="shared" si="32"/>
        <v>41830</v>
      </c>
      <c r="S631" s="318" t="str">
        <f t="shared" si="33"/>
        <v/>
      </c>
    </row>
    <row r="632" spans="3:19" ht="27.75" customHeight="1">
      <c r="C632" s="345" t="s">
        <v>98</v>
      </c>
      <c r="D632" s="345" t="s">
        <v>373</v>
      </c>
      <c r="E632" s="345" t="s">
        <v>374</v>
      </c>
      <c r="F632" s="345" t="s">
        <v>375</v>
      </c>
      <c r="G632" s="346" t="s">
        <v>376</v>
      </c>
      <c r="H632" s="345" t="s">
        <v>141</v>
      </c>
      <c r="I632" s="345" t="s">
        <v>59</v>
      </c>
      <c r="J632" s="316">
        <v>41830.458333333336</v>
      </c>
      <c r="K632" s="347"/>
      <c r="L632" s="347" t="s">
        <v>378</v>
      </c>
      <c r="M632" s="348" t="s">
        <v>382</v>
      </c>
      <c r="N632" s="348" t="s">
        <v>382</v>
      </c>
      <c r="O632" s="348" t="s">
        <v>175</v>
      </c>
      <c r="P632" s="349">
        <v>22.346696781479402</v>
      </c>
      <c r="Q632" s="321" t="str">
        <f t="shared" si="31"/>
        <v/>
      </c>
      <c r="R632" s="318">
        <f t="shared" si="32"/>
        <v>41830</v>
      </c>
      <c r="S632" s="318" t="str">
        <f t="shared" si="33"/>
        <v/>
      </c>
    </row>
    <row r="633" spans="3:19" ht="27.75" customHeight="1">
      <c r="C633" s="345" t="s">
        <v>98</v>
      </c>
      <c r="D633" s="345" t="s">
        <v>373</v>
      </c>
      <c r="E633" s="345" t="s">
        <v>374</v>
      </c>
      <c r="F633" s="345" t="s">
        <v>375</v>
      </c>
      <c r="G633" s="346" t="s">
        <v>376</v>
      </c>
      <c r="H633" s="345" t="s">
        <v>138</v>
      </c>
      <c r="I633" s="345" t="s">
        <v>59</v>
      </c>
      <c r="J633" s="316">
        <v>41829.804861111108</v>
      </c>
      <c r="K633" s="347"/>
      <c r="L633" s="347" t="s">
        <v>377</v>
      </c>
      <c r="M633" s="348" t="s">
        <v>378</v>
      </c>
      <c r="N633" s="348" t="s">
        <v>397</v>
      </c>
      <c r="O633" s="348" t="s">
        <v>175</v>
      </c>
      <c r="P633" s="349">
        <v>22.3794466403162</v>
      </c>
      <c r="Q633" s="321" t="str">
        <f t="shared" si="31"/>
        <v/>
      </c>
      <c r="R633" s="318">
        <f t="shared" si="32"/>
        <v>41829</v>
      </c>
      <c r="S633" s="318" t="str">
        <f t="shared" si="33"/>
        <v/>
      </c>
    </row>
    <row r="634" spans="3:19" ht="27.75" customHeight="1">
      <c r="C634" s="345" t="s">
        <v>98</v>
      </c>
      <c r="D634" s="345" t="s">
        <v>373</v>
      </c>
      <c r="E634" s="345" t="s">
        <v>374</v>
      </c>
      <c r="F634" s="345" t="s">
        <v>375</v>
      </c>
      <c r="G634" s="346" t="s">
        <v>376</v>
      </c>
      <c r="H634" s="345" t="s">
        <v>140</v>
      </c>
      <c r="I634" s="345" t="s">
        <v>60</v>
      </c>
      <c r="J634" s="316">
        <v>41829.780555555553</v>
      </c>
      <c r="K634" s="347"/>
      <c r="L634" s="347" t="s">
        <v>378</v>
      </c>
      <c r="M634" s="348" t="s">
        <v>382</v>
      </c>
      <c r="N634" s="348" t="s">
        <v>382</v>
      </c>
      <c r="O634" s="348" t="s">
        <v>175</v>
      </c>
      <c r="P634" s="349">
        <v>22.412196499153001</v>
      </c>
      <c r="Q634" s="321" t="str">
        <f t="shared" si="31"/>
        <v/>
      </c>
      <c r="R634" s="318">
        <f t="shared" si="32"/>
        <v>41829</v>
      </c>
      <c r="S634" s="318" t="str">
        <f t="shared" si="33"/>
        <v/>
      </c>
    </row>
    <row r="635" spans="3:19" ht="27.75" customHeight="1">
      <c r="C635" s="345" t="s">
        <v>98</v>
      </c>
      <c r="D635" s="345" t="s">
        <v>373</v>
      </c>
      <c r="E635" s="345" t="s">
        <v>374</v>
      </c>
      <c r="F635" s="345" t="s">
        <v>375</v>
      </c>
      <c r="G635" s="346" t="s">
        <v>376</v>
      </c>
      <c r="H635" s="345" t="s">
        <v>140</v>
      </c>
      <c r="I635" s="345" t="s">
        <v>59</v>
      </c>
      <c r="J635" s="316">
        <v>41829.765277777777</v>
      </c>
      <c r="K635" s="347"/>
      <c r="L635" s="347" t="s">
        <v>378</v>
      </c>
      <c r="M635" s="348" t="s">
        <v>378</v>
      </c>
      <c r="N635" s="348" t="s">
        <v>397</v>
      </c>
      <c r="O635" s="348" t="s">
        <v>177</v>
      </c>
      <c r="P635" s="349">
        <v>22.444946357989799</v>
      </c>
      <c r="Q635" s="321" t="str">
        <f t="shared" si="31"/>
        <v/>
      </c>
      <c r="R635" s="318">
        <f t="shared" si="32"/>
        <v>41829</v>
      </c>
      <c r="S635" s="318" t="str">
        <f t="shared" si="33"/>
        <v/>
      </c>
    </row>
    <row r="636" spans="3:19" ht="27.75" customHeight="1">
      <c r="C636" s="345" t="s">
        <v>98</v>
      </c>
      <c r="D636" s="345" t="s">
        <v>373</v>
      </c>
      <c r="E636" s="345" t="s">
        <v>374</v>
      </c>
      <c r="F636" s="345" t="s">
        <v>375</v>
      </c>
      <c r="G636" s="346" t="s">
        <v>376</v>
      </c>
      <c r="H636" s="345" t="s">
        <v>384</v>
      </c>
      <c r="I636" s="345" t="s">
        <v>61</v>
      </c>
      <c r="J636" s="316">
        <v>41829.75277777778</v>
      </c>
      <c r="K636" s="347"/>
      <c r="L636" s="347" t="s">
        <v>377</v>
      </c>
      <c r="M636" s="348" t="s">
        <v>382</v>
      </c>
      <c r="N636" s="348" t="s">
        <v>382</v>
      </c>
      <c r="O636" s="348" t="s">
        <v>177</v>
      </c>
      <c r="P636" s="349">
        <v>22.477696216826601</v>
      </c>
      <c r="Q636" s="321" t="str">
        <f t="shared" si="31"/>
        <v/>
      </c>
      <c r="R636" s="318">
        <f t="shared" si="32"/>
        <v>41829</v>
      </c>
      <c r="S636" s="318" t="str">
        <f t="shared" si="33"/>
        <v/>
      </c>
    </row>
    <row r="637" spans="3:19" ht="27.75" customHeight="1">
      <c r="C637" s="345" t="s">
        <v>98</v>
      </c>
      <c r="D637" s="345" t="s">
        <v>373</v>
      </c>
      <c r="E637" s="345" t="s">
        <v>374</v>
      </c>
      <c r="F637" s="345" t="s">
        <v>375</v>
      </c>
      <c r="G637" s="346" t="s">
        <v>376</v>
      </c>
      <c r="H637" s="339" t="s">
        <v>14</v>
      </c>
      <c r="I637" s="345" t="s">
        <v>60</v>
      </c>
      <c r="J637" s="316">
        <v>41829.738888888889</v>
      </c>
      <c r="K637" s="347"/>
      <c r="L637" s="347" t="s">
        <v>377</v>
      </c>
      <c r="M637" s="348" t="s">
        <v>378</v>
      </c>
      <c r="N637" s="348" t="s">
        <v>397</v>
      </c>
      <c r="O637" s="348" t="s">
        <v>177</v>
      </c>
      <c r="P637" s="349">
        <v>22.510446075663399</v>
      </c>
      <c r="Q637" s="321" t="str">
        <f t="shared" si="31"/>
        <v/>
      </c>
      <c r="R637" s="318">
        <f t="shared" si="32"/>
        <v>41829</v>
      </c>
      <c r="S637" s="318" t="str">
        <f t="shared" si="33"/>
        <v/>
      </c>
    </row>
    <row r="638" spans="3:19" ht="27.75" customHeight="1">
      <c r="C638" s="345" t="s">
        <v>98</v>
      </c>
      <c r="D638" s="345" t="s">
        <v>373</v>
      </c>
      <c r="E638" s="345" t="s">
        <v>374</v>
      </c>
      <c r="F638" s="345" t="s">
        <v>375</v>
      </c>
      <c r="G638" s="346" t="s">
        <v>376</v>
      </c>
      <c r="H638" s="345" t="s">
        <v>141</v>
      </c>
      <c r="I638" s="345" t="s">
        <v>60</v>
      </c>
      <c r="J638" s="316">
        <v>41829.729166666664</v>
      </c>
      <c r="K638" s="347"/>
      <c r="L638" s="347" t="s">
        <v>378</v>
      </c>
      <c r="M638" s="348" t="s">
        <v>378</v>
      </c>
      <c r="N638" s="348" t="s">
        <v>397</v>
      </c>
      <c r="O638" s="348" t="s">
        <v>177</v>
      </c>
      <c r="P638" s="349">
        <v>22.5431959345003</v>
      </c>
      <c r="Q638" s="321" t="str">
        <f t="shared" si="31"/>
        <v/>
      </c>
      <c r="R638" s="318">
        <f t="shared" si="32"/>
        <v>41829</v>
      </c>
      <c r="S638" s="318" t="str">
        <f t="shared" si="33"/>
        <v/>
      </c>
    </row>
    <row r="639" spans="3:19" ht="27.75" customHeight="1">
      <c r="C639" s="345" t="s">
        <v>98</v>
      </c>
      <c r="D639" s="345" t="s">
        <v>373</v>
      </c>
      <c r="E639" s="345" t="s">
        <v>374</v>
      </c>
      <c r="F639" s="345" t="s">
        <v>375</v>
      </c>
      <c r="G639" s="346" t="s">
        <v>376</v>
      </c>
      <c r="H639" s="339" t="s">
        <v>14</v>
      </c>
      <c r="I639" s="345" t="s">
        <v>59</v>
      </c>
      <c r="J639" s="316">
        <v>41829.720138888886</v>
      </c>
      <c r="K639" s="347"/>
      <c r="L639" s="347" t="s">
        <v>377</v>
      </c>
      <c r="M639" s="348" t="s">
        <v>382</v>
      </c>
      <c r="N639" s="348" t="s">
        <v>382</v>
      </c>
      <c r="O639" s="348" t="s">
        <v>177</v>
      </c>
      <c r="P639" s="349">
        <v>22.575945793337102</v>
      </c>
      <c r="Q639" s="321" t="str">
        <f t="shared" si="31"/>
        <v/>
      </c>
      <c r="R639" s="318">
        <f t="shared" si="32"/>
        <v>41829</v>
      </c>
      <c r="S639" s="318" t="str">
        <f t="shared" si="33"/>
        <v/>
      </c>
    </row>
    <row r="640" spans="3:19" ht="27.75" customHeight="1">
      <c r="C640" s="345" t="s">
        <v>98</v>
      </c>
      <c r="D640" s="345" t="s">
        <v>373</v>
      </c>
      <c r="E640" s="345" t="s">
        <v>374</v>
      </c>
      <c r="F640" s="345" t="s">
        <v>375</v>
      </c>
      <c r="G640" s="346" t="s">
        <v>376</v>
      </c>
      <c r="H640" s="339" t="s">
        <v>14</v>
      </c>
      <c r="I640" s="345" t="s">
        <v>61</v>
      </c>
      <c r="J640" s="316">
        <v>41829.712500000001</v>
      </c>
      <c r="K640" s="347"/>
      <c r="L640" s="347" t="s">
        <v>378</v>
      </c>
      <c r="M640" s="348" t="s">
        <v>378</v>
      </c>
      <c r="N640" s="348" t="s">
        <v>397</v>
      </c>
      <c r="O640" s="348" t="s">
        <v>177</v>
      </c>
      <c r="P640" s="349">
        <v>22.6086956521739</v>
      </c>
      <c r="Q640" s="321" t="str">
        <f t="shared" si="31"/>
        <v/>
      </c>
      <c r="R640" s="318">
        <f t="shared" si="32"/>
        <v>41829</v>
      </c>
      <c r="S640" s="318" t="str">
        <f t="shared" si="33"/>
        <v/>
      </c>
    </row>
    <row r="641" spans="3:19" ht="27.75" customHeight="1">
      <c r="C641" s="345" t="s">
        <v>98</v>
      </c>
      <c r="D641" s="345" t="s">
        <v>373</v>
      </c>
      <c r="E641" s="345" t="s">
        <v>374</v>
      </c>
      <c r="F641" s="345" t="s">
        <v>375</v>
      </c>
      <c r="G641" s="346" t="s">
        <v>376</v>
      </c>
      <c r="H641" s="339" t="s">
        <v>14</v>
      </c>
      <c r="I641" s="345" t="s">
        <v>59</v>
      </c>
      <c r="J641" s="316">
        <v>41829.707638888889</v>
      </c>
      <c r="K641" s="347"/>
      <c r="L641" s="347" t="s">
        <v>188</v>
      </c>
      <c r="M641" s="348" t="s">
        <v>382</v>
      </c>
      <c r="N641" s="348" t="s">
        <v>382</v>
      </c>
      <c r="O641" s="348" t="s">
        <v>175</v>
      </c>
      <c r="P641" s="349">
        <v>22.641445511010701</v>
      </c>
      <c r="Q641" s="321" t="str">
        <f t="shared" si="31"/>
        <v/>
      </c>
      <c r="R641" s="318">
        <f t="shared" si="32"/>
        <v>41829</v>
      </c>
      <c r="S641" s="318" t="str">
        <f t="shared" si="33"/>
        <v/>
      </c>
    </row>
    <row r="642" spans="3:19" ht="27.75" customHeight="1">
      <c r="C642" s="345" t="s">
        <v>98</v>
      </c>
      <c r="D642" s="345" t="s">
        <v>373</v>
      </c>
      <c r="E642" s="345" t="s">
        <v>374</v>
      </c>
      <c r="F642" s="345" t="s">
        <v>375</v>
      </c>
      <c r="G642" s="346" t="s">
        <v>376</v>
      </c>
      <c r="H642" s="339" t="s">
        <v>14</v>
      </c>
      <c r="I642" s="345" t="s">
        <v>58</v>
      </c>
      <c r="J642" s="316">
        <v>41829.704861111109</v>
      </c>
      <c r="K642" s="347"/>
      <c r="L642" s="347" t="s">
        <v>378</v>
      </c>
      <c r="M642" s="348" t="s">
        <v>378</v>
      </c>
      <c r="N642" s="348" t="s">
        <v>397</v>
      </c>
      <c r="O642" s="348" t="s">
        <v>175</v>
      </c>
      <c r="P642" s="349">
        <v>22.674195369847499</v>
      </c>
      <c r="Q642" s="321" t="str">
        <f t="shared" si="31"/>
        <v/>
      </c>
      <c r="R642" s="318">
        <f t="shared" si="32"/>
        <v>41829</v>
      </c>
      <c r="S642" s="318" t="str">
        <f t="shared" si="33"/>
        <v/>
      </c>
    </row>
    <row r="643" spans="3:19" ht="27.75" customHeight="1">
      <c r="C643" s="345" t="s">
        <v>98</v>
      </c>
      <c r="D643" s="345" t="s">
        <v>373</v>
      </c>
      <c r="E643" s="345" t="s">
        <v>374</v>
      </c>
      <c r="F643" s="345" t="s">
        <v>375</v>
      </c>
      <c r="G643" s="346" t="s">
        <v>376</v>
      </c>
      <c r="H643" s="339" t="s">
        <v>14</v>
      </c>
      <c r="I643" s="345" t="s">
        <v>59</v>
      </c>
      <c r="J643" s="316">
        <v>41829.699999999997</v>
      </c>
      <c r="K643" s="347"/>
      <c r="L643" s="347" t="s">
        <v>378</v>
      </c>
      <c r="M643" s="348" t="s">
        <v>382</v>
      </c>
      <c r="N643" s="348" t="s">
        <v>382</v>
      </c>
      <c r="O643" s="348" t="s">
        <v>175</v>
      </c>
      <c r="P643" s="349">
        <v>22.706945228684301</v>
      </c>
      <c r="Q643" s="321" t="str">
        <f t="shared" si="31"/>
        <v/>
      </c>
      <c r="R643" s="318">
        <f t="shared" si="32"/>
        <v>41829</v>
      </c>
      <c r="S643" s="318" t="str">
        <f t="shared" si="33"/>
        <v/>
      </c>
    </row>
    <row r="644" spans="3:19" ht="27.75" customHeight="1">
      <c r="C644" s="345" t="s">
        <v>98</v>
      </c>
      <c r="D644" s="345" t="s">
        <v>373</v>
      </c>
      <c r="E644" s="345" t="s">
        <v>374</v>
      </c>
      <c r="F644" s="345" t="s">
        <v>375</v>
      </c>
      <c r="G644" s="346" t="s">
        <v>376</v>
      </c>
      <c r="H644" s="345" t="s">
        <v>14</v>
      </c>
      <c r="I644" s="345" t="s">
        <v>59</v>
      </c>
      <c r="J644" s="316">
        <v>41829.698611111111</v>
      </c>
      <c r="K644" s="347"/>
      <c r="L644" s="347" t="s">
        <v>188</v>
      </c>
      <c r="M644" s="348" t="s">
        <v>378</v>
      </c>
      <c r="N644" s="348" t="s">
        <v>397</v>
      </c>
      <c r="O644" s="348" t="s">
        <v>175</v>
      </c>
      <c r="P644" s="349">
        <v>22.739695087521199</v>
      </c>
      <c r="Q644" s="321" t="str">
        <f t="shared" si="31"/>
        <v/>
      </c>
      <c r="R644" s="318">
        <f t="shared" si="32"/>
        <v>41829</v>
      </c>
      <c r="S644" s="318" t="str">
        <f t="shared" si="33"/>
        <v/>
      </c>
    </row>
    <row r="645" spans="3:19" ht="27.75" customHeight="1">
      <c r="C645" s="345" t="s">
        <v>98</v>
      </c>
      <c r="D645" s="345" t="s">
        <v>373</v>
      </c>
      <c r="E645" s="345" t="s">
        <v>374</v>
      </c>
      <c r="F645" s="345" t="s">
        <v>375</v>
      </c>
      <c r="G645" s="346" t="s">
        <v>376</v>
      </c>
      <c r="H645" s="339" t="s">
        <v>14</v>
      </c>
      <c r="I645" s="345" t="s">
        <v>60</v>
      </c>
      <c r="J645" s="316">
        <v>41829.672222222223</v>
      </c>
      <c r="K645" s="347"/>
      <c r="L645" s="347" t="s">
        <v>377</v>
      </c>
      <c r="M645" s="348" t="s">
        <v>378</v>
      </c>
      <c r="N645" s="348" t="s">
        <v>397</v>
      </c>
      <c r="O645" s="348" t="s">
        <v>175</v>
      </c>
      <c r="P645" s="349">
        <v>22.772444946358</v>
      </c>
      <c r="Q645" s="321" t="str">
        <f t="shared" si="31"/>
        <v/>
      </c>
      <c r="R645" s="318">
        <f t="shared" si="32"/>
        <v>41829</v>
      </c>
      <c r="S645" s="318" t="str">
        <f t="shared" si="33"/>
        <v/>
      </c>
    </row>
    <row r="646" spans="3:19" ht="27.75" customHeight="1">
      <c r="C646" s="345" t="s">
        <v>98</v>
      </c>
      <c r="D646" s="345" t="s">
        <v>373</v>
      </c>
      <c r="E646" s="345" t="s">
        <v>374</v>
      </c>
      <c r="F646" s="345" t="s">
        <v>375</v>
      </c>
      <c r="G646" s="346" t="s">
        <v>376</v>
      </c>
      <c r="H646" s="339" t="s">
        <v>14</v>
      </c>
      <c r="I646" s="345" t="s">
        <v>60</v>
      </c>
      <c r="J646" s="316">
        <v>41829.672222222223</v>
      </c>
      <c r="K646" s="347"/>
      <c r="L646" s="347" t="s">
        <v>377</v>
      </c>
      <c r="M646" s="348" t="s">
        <v>378</v>
      </c>
      <c r="N646" s="348" t="s">
        <v>397</v>
      </c>
      <c r="O646" s="348" t="s">
        <v>175</v>
      </c>
      <c r="P646" s="349">
        <v>22.805194805194802</v>
      </c>
      <c r="Q646" s="321" t="str">
        <f t="shared" si="31"/>
        <v/>
      </c>
      <c r="R646" s="318">
        <f t="shared" si="32"/>
        <v>41829</v>
      </c>
      <c r="S646" s="318" t="str">
        <f t="shared" si="33"/>
        <v/>
      </c>
    </row>
    <row r="647" spans="3:19" ht="27.75" customHeight="1">
      <c r="C647" s="345" t="s">
        <v>98</v>
      </c>
      <c r="D647" s="345" t="s">
        <v>373</v>
      </c>
      <c r="E647" s="345" t="s">
        <v>374</v>
      </c>
      <c r="F647" s="345" t="s">
        <v>375</v>
      </c>
      <c r="G647" s="346" t="s">
        <v>376</v>
      </c>
      <c r="H647" s="339" t="s">
        <v>14</v>
      </c>
      <c r="I647" s="345" t="s">
        <v>60</v>
      </c>
      <c r="J647" s="316">
        <v>41829.654166666667</v>
      </c>
      <c r="K647" s="347"/>
      <c r="L647" s="347" t="s">
        <v>378</v>
      </c>
      <c r="M647" s="348" t="s">
        <v>387</v>
      </c>
      <c r="N647" s="348" t="s">
        <v>397</v>
      </c>
      <c r="O647" s="348" t="s">
        <v>175</v>
      </c>
      <c r="P647" s="349">
        <v>22.8379446640316</v>
      </c>
      <c r="Q647" s="321" t="str">
        <f t="shared" si="31"/>
        <v/>
      </c>
      <c r="R647" s="318">
        <f t="shared" si="32"/>
        <v>41829</v>
      </c>
      <c r="S647" s="318" t="str">
        <f t="shared" si="33"/>
        <v/>
      </c>
    </row>
    <row r="648" spans="3:19" ht="27.75" customHeight="1">
      <c r="C648" s="345" t="s">
        <v>98</v>
      </c>
      <c r="D648" s="345" t="s">
        <v>373</v>
      </c>
      <c r="E648" s="345" t="s">
        <v>374</v>
      </c>
      <c r="F648" s="345" t="s">
        <v>375</v>
      </c>
      <c r="G648" s="346" t="s">
        <v>376</v>
      </c>
      <c r="H648" s="339" t="s">
        <v>14</v>
      </c>
      <c r="I648" s="345" t="s">
        <v>61</v>
      </c>
      <c r="J648" s="316">
        <v>41829.543055555558</v>
      </c>
      <c r="K648" s="347"/>
      <c r="L648" s="347" t="s">
        <v>188</v>
      </c>
      <c r="M648" s="348" t="s">
        <v>378</v>
      </c>
      <c r="N648" s="348" t="s">
        <v>397</v>
      </c>
      <c r="O648" s="348" t="s">
        <v>175</v>
      </c>
      <c r="P648" s="349">
        <v>22.870694522868401</v>
      </c>
      <c r="Q648" s="321" t="str">
        <f t="shared" si="31"/>
        <v/>
      </c>
      <c r="R648" s="318">
        <f t="shared" si="32"/>
        <v>41829</v>
      </c>
      <c r="S648" s="318" t="str">
        <f t="shared" si="33"/>
        <v/>
      </c>
    </row>
    <row r="649" spans="3:19" ht="27.75" customHeight="1">
      <c r="C649" s="345" t="s">
        <v>98</v>
      </c>
      <c r="D649" s="345" t="s">
        <v>373</v>
      </c>
      <c r="E649" s="345" t="s">
        <v>374</v>
      </c>
      <c r="F649" s="345" t="s">
        <v>375</v>
      </c>
      <c r="G649" s="346" t="s">
        <v>376</v>
      </c>
      <c r="H649" s="339" t="s">
        <v>14</v>
      </c>
      <c r="I649" s="345" t="s">
        <v>60</v>
      </c>
      <c r="J649" s="316">
        <v>41829.538194444445</v>
      </c>
      <c r="K649" s="347"/>
      <c r="L649" s="347" t="s">
        <v>378</v>
      </c>
      <c r="M649" s="348" t="s">
        <v>387</v>
      </c>
      <c r="N649" s="348" t="s">
        <v>397</v>
      </c>
      <c r="O649" s="348" t="s">
        <v>175</v>
      </c>
      <c r="P649" s="349">
        <v>22.903444381705199</v>
      </c>
      <c r="Q649" s="321" t="str">
        <f t="shared" si="31"/>
        <v/>
      </c>
      <c r="R649" s="318">
        <f t="shared" si="32"/>
        <v>41829</v>
      </c>
      <c r="S649" s="318" t="str">
        <f t="shared" si="33"/>
        <v/>
      </c>
    </row>
    <row r="650" spans="3:19" ht="27.75" customHeight="1">
      <c r="C650" s="345" t="s">
        <v>98</v>
      </c>
      <c r="D650" s="345" t="s">
        <v>373</v>
      </c>
      <c r="E650" s="345" t="s">
        <v>374</v>
      </c>
      <c r="F650" s="345" t="s">
        <v>375</v>
      </c>
      <c r="G650" s="346" t="s">
        <v>376</v>
      </c>
      <c r="H650" s="339" t="s">
        <v>14</v>
      </c>
      <c r="I650" s="345" t="s">
        <v>61</v>
      </c>
      <c r="J650" s="316">
        <v>41828.787499999999</v>
      </c>
      <c r="K650" s="347"/>
      <c r="L650" s="347" t="s">
        <v>378</v>
      </c>
      <c r="M650" s="348" t="s">
        <v>378</v>
      </c>
      <c r="N650" s="348" t="s">
        <v>397</v>
      </c>
      <c r="O650" s="348" t="s">
        <v>175</v>
      </c>
      <c r="P650" s="349">
        <v>22.936194240542001</v>
      </c>
      <c r="Q650" s="321" t="str">
        <f t="shared" si="31"/>
        <v/>
      </c>
      <c r="R650" s="318">
        <f t="shared" si="32"/>
        <v>41828</v>
      </c>
      <c r="S650" s="318" t="str">
        <f t="shared" si="33"/>
        <v/>
      </c>
    </row>
    <row r="651" spans="3:19" ht="27.75" customHeight="1">
      <c r="C651" s="345" t="s">
        <v>98</v>
      </c>
      <c r="D651" s="345" t="s">
        <v>373</v>
      </c>
      <c r="E651" s="345" t="s">
        <v>374</v>
      </c>
      <c r="F651" s="345" t="s">
        <v>375</v>
      </c>
      <c r="G651" s="346" t="s">
        <v>376</v>
      </c>
      <c r="H651" s="339" t="s">
        <v>14</v>
      </c>
      <c r="I651" s="345" t="s">
        <v>60</v>
      </c>
      <c r="J651" s="316">
        <v>41828.780555555553</v>
      </c>
      <c r="K651" s="347"/>
      <c r="L651" s="347" t="s">
        <v>378</v>
      </c>
      <c r="M651" s="348" t="s">
        <v>378</v>
      </c>
      <c r="N651" s="348" t="s">
        <v>397</v>
      </c>
      <c r="O651" s="348" t="s">
        <v>175</v>
      </c>
      <c r="P651" s="349">
        <v>22.968944099378898</v>
      </c>
      <c r="Q651" s="321" t="str">
        <f t="shared" si="31"/>
        <v/>
      </c>
      <c r="R651" s="318">
        <f t="shared" si="32"/>
        <v>41828</v>
      </c>
      <c r="S651" s="318" t="str">
        <f t="shared" si="33"/>
        <v/>
      </c>
    </row>
    <row r="652" spans="3:19" ht="27.75" customHeight="1">
      <c r="C652" s="345" t="s">
        <v>98</v>
      </c>
      <c r="D652" s="345" t="s">
        <v>373</v>
      </c>
      <c r="E652" s="345" t="s">
        <v>374</v>
      </c>
      <c r="F652" s="345" t="s">
        <v>375</v>
      </c>
      <c r="G652" s="346" t="s">
        <v>376</v>
      </c>
      <c r="H652" s="339" t="s">
        <v>14</v>
      </c>
      <c r="I652" s="345" t="s">
        <v>59</v>
      </c>
      <c r="J652" s="316">
        <v>41828.718055555553</v>
      </c>
      <c r="K652" s="347"/>
      <c r="L652" s="347" t="s">
        <v>378</v>
      </c>
      <c r="M652" s="348" t="s">
        <v>378</v>
      </c>
      <c r="N652" s="348" t="s">
        <v>397</v>
      </c>
      <c r="O652" s="348" t="s">
        <v>177</v>
      </c>
      <c r="P652" s="349">
        <v>23.0016939582157</v>
      </c>
      <c r="Q652" s="321" t="str">
        <f t="shared" si="31"/>
        <v/>
      </c>
      <c r="R652" s="318">
        <f t="shared" si="32"/>
        <v>41828</v>
      </c>
      <c r="S652" s="318" t="str">
        <f t="shared" si="33"/>
        <v/>
      </c>
    </row>
    <row r="653" spans="3:19" ht="27.75" customHeight="1">
      <c r="C653" s="345" t="s">
        <v>98</v>
      </c>
      <c r="D653" s="345" t="s">
        <v>373</v>
      </c>
      <c r="E653" s="345" t="s">
        <v>374</v>
      </c>
      <c r="F653" s="345" t="s">
        <v>375</v>
      </c>
      <c r="G653" s="346" t="s">
        <v>376</v>
      </c>
      <c r="H653" s="339" t="s">
        <v>14</v>
      </c>
      <c r="I653" s="345" t="s">
        <v>58</v>
      </c>
      <c r="J653" s="316">
        <v>41828.706944444442</v>
      </c>
      <c r="K653" s="347"/>
      <c r="L653" s="347" t="s">
        <v>378</v>
      </c>
      <c r="M653" s="348" t="s">
        <v>382</v>
      </c>
      <c r="N653" s="348" t="s">
        <v>382</v>
      </c>
      <c r="O653" s="348" t="s">
        <v>177</v>
      </c>
      <c r="P653" s="349">
        <v>23.034443817052502</v>
      </c>
      <c r="Q653" s="321" t="str">
        <f t="shared" si="31"/>
        <v/>
      </c>
      <c r="R653" s="318">
        <f t="shared" si="32"/>
        <v>41828</v>
      </c>
      <c r="S653" s="318" t="str">
        <f t="shared" si="33"/>
        <v/>
      </c>
    </row>
    <row r="654" spans="3:19" ht="27.75" customHeight="1">
      <c r="C654" s="345" t="s">
        <v>98</v>
      </c>
      <c r="D654" s="345" t="s">
        <v>373</v>
      </c>
      <c r="E654" s="345" t="s">
        <v>374</v>
      </c>
      <c r="F654" s="345" t="s">
        <v>375</v>
      </c>
      <c r="G654" s="346" t="s">
        <v>376</v>
      </c>
      <c r="H654" s="339" t="s">
        <v>14</v>
      </c>
      <c r="I654" s="345" t="s">
        <v>60</v>
      </c>
      <c r="J654" s="316">
        <v>41828.677777777775</v>
      </c>
      <c r="K654" s="347"/>
      <c r="L654" s="347" t="s">
        <v>378</v>
      </c>
      <c r="M654" s="348" t="s">
        <v>382</v>
      </c>
      <c r="N654" s="348" t="s">
        <v>382</v>
      </c>
      <c r="O654" s="348" t="s">
        <v>175</v>
      </c>
      <c r="P654" s="349">
        <v>23.0671936758893</v>
      </c>
      <c r="Q654" s="321" t="str">
        <f t="shared" si="31"/>
        <v/>
      </c>
      <c r="R654" s="318">
        <f t="shared" si="32"/>
        <v>41828</v>
      </c>
      <c r="S654" s="318" t="str">
        <f t="shared" si="33"/>
        <v/>
      </c>
    </row>
    <row r="655" spans="3:19" ht="27.75" customHeight="1">
      <c r="C655" s="345" t="s">
        <v>98</v>
      </c>
      <c r="D655" s="345" t="s">
        <v>373</v>
      </c>
      <c r="E655" s="345" t="s">
        <v>374</v>
      </c>
      <c r="F655" s="345" t="s">
        <v>375</v>
      </c>
      <c r="G655" s="346" t="s">
        <v>376</v>
      </c>
      <c r="H655" s="339" t="s">
        <v>14</v>
      </c>
      <c r="I655" s="345" t="s">
        <v>60</v>
      </c>
      <c r="J655" s="316">
        <v>41828.677083333336</v>
      </c>
      <c r="K655" s="347"/>
      <c r="L655" s="347" t="s">
        <v>378</v>
      </c>
      <c r="M655" s="348" t="s">
        <v>378</v>
      </c>
      <c r="N655" s="348" t="s">
        <v>397</v>
      </c>
      <c r="O655" s="348" t="s">
        <v>175</v>
      </c>
      <c r="P655" s="349">
        <v>23.099943534726101</v>
      </c>
      <c r="Q655" s="321" t="str">
        <f t="shared" si="31"/>
        <v/>
      </c>
      <c r="R655" s="318">
        <f t="shared" si="32"/>
        <v>41828</v>
      </c>
      <c r="S655" s="318" t="str">
        <f t="shared" si="33"/>
        <v/>
      </c>
    </row>
    <row r="656" spans="3:19" ht="27.75" customHeight="1">
      <c r="C656" s="345" t="s">
        <v>98</v>
      </c>
      <c r="D656" s="345" t="s">
        <v>373</v>
      </c>
      <c r="E656" s="345" t="s">
        <v>374</v>
      </c>
      <c r="F656" s="345" t="s">
        <v>375</v>
      </c>
      <c r="G656" s="346" t="s">
        <v>376</v>
      </c>
      <c r="H656" s="339" t="s">
        <v>14</v>
      </c>
      <c r="I656" s="345" t="s">
        <v>59</v>
      </c>
      <c r="J656" s="316">
        <v>41828.67083333333</v>
      </c>
      <c r="K656" s="347"/>
      <c r="L656" s="347" t="s">
        <v>378</v>
      </c>
      <c r="M656" s="348" t="s">
        <v>378</v>
      </c>
      <c r="N656" s="348" t="s">
        <v>397</v>
      </c>
      <c r="O656" s="348" t="s">
        <v>175</v>
      </c>
      <c r="P656" s="349">
        <v>23.132693393562899</v>
      </c>
      <c r="Q656" s="321" t="str">
        <f t="shared" si="31"/>
        <v/>
      </c>
      <c r="R656" s="318">
        <f t="shared" si="32"/>
        <v>41828</v>
      </c>
      <c r="S656" s="318" t="str">
        <f t="shared" si="33"/>
        <v/>
      </c>
    </row>
    <row r="657" spans="3:19" ht="27.75" customHeight="1">
      <c r="C657" s="345" t="s">
        <v>98</v>
      </c>
      <c r="D657" s="345" t="s">
        <v>373</v>
      </c>
      <c r="E657" s="345" t="s">
        <v>374</v>
      </c>
      <c r="F657" s="345" t="s">
        <v>375</v>
      </c>
      <c r="G657" s="346" t="s">
        <v>376</v>
      </c>
      <c r="H657" s="339" t="s">
        <v>14</v>
      </c>
      <c r="I657" s="345" t="s">
        <v>59</v>
      </c>
      <c r="J657" s="316">
        <v>41828.665277777778</v>
      </c>
      <c r="K657" s="347"/>
      <c r="L657" s="347" t="s">
        <v>378</v>
      </c>
      <c r="M657" s="348" t="s">
        <v>378</v>
      </c>
      <c r="N657" s="348" t="s">
        <v>397</v>
      </c>
      <c r="O657" s="348" t="s">
        <v>177</v>
      </c>
      <c r="P657" s="349">
        <v>23.1654432523998</v>
      </c>
      <c r="Q657" s="321" t="str">
        <f t="shared" si="31"/>
        <v/>
      </c>
      <c r="R657" s="318">
        <f t="shared" si="32"/>
        <v>41828</v>
      </c>
      <c r="S657" s="318" t="str">
        <f t="shared" si="33"/>
        <v/>
      </c>
    </row>
    <row r="658" spans="3:19" ht="27.75" customHeight="1">
      <c r="C658" s="345" t="s">
        <v>98</v>
      </c>
      <c r="D658" s="345" t="s">
        <v>373</v>
      </c>
      <c r="E658" s="345" t="s">
        <v>374</v>
      </c>
      <c r="F658" s="345" t="s">
        <v>375</v>
      </c>
      <c r="G658" s="346" t="s">
        <v>376</v>
      </c>
      <c r="H658" s="339" t="s">
        <v>14</v>
      </c>
      <c r="I658" s="345" t="s">
        <v>60</v>
      </c>
      <c r="J658" s="316">
        <v>41828.659722222219</v>
      </c>
      <c r="K658" s="347"/>
      <c r="L658" s="347" t="s">
        <v>378</v>
      </c>
      <c r="M658" s="348" t="s">
        <v>382</v>
      </c>
      <c r="N658" s="348" t="s">
        <v>382</v>
      </c>
      <c r="O658" s="348" t="s">
        <v>177</v>
      </c>
      <c r="P658" s="349">
        <v>23.198193111236598</v>
      </c>
      <c r="Q658" s="321" t="str">
        <f t="shared" si="31"/>
        <v/>
      </c>
      <c r="R658" s="318">
        <f t="shared" si="32"/>
        <v>41828</v>
      </c>
      <c r="S658" s="318" t="str">
        <f t="shared" si="33"/>
        <v/>
      </c>
    </row>
    <row r="659" spans="3:19" ht="27.75" customHeight="1">
      <c r="C659" s="345" t="s">
        <v>98</v>
      </c>
      <c r="D659" s="345" t="s">
        <v>373</v>
      </c>
      <c r="E659" s="345" t="s">
        <v>374</v>
      </c>
      <c r="F659" s="345" t="s">
        <v>375</v>
      </c>
      <c r="G659" s="346" t="s">
        <v>376</v>
      </c>
      <c r="H659" s="339" t="s">
        <v>14</v>
      </c>
      <c r="I659" s="345" t="s">
        <v>60</v>
      </c>
      <c r="J659" s="316">
        <v>41828.659722222219</v>
      </c>
      <c r="K659" s="347"/>
      <c r="L659" s="347" t="s">
        <v>378</v>
      </c>
      <c r="M659" s="348" t="s">
        <v>378</v>
      </c>
      <c r="N659" s="348" t="s">
        <v>397</v>
      </c>
      <c r="O659" s="348" t="s">
        <v>177</v>
      </c>
      <c r="P659" s="349">
        <v>23.2309429700734</v>
      </c>
      <c r="Q659" s="321" t="str">
        <f t="shared" si="31"/>
        <v/>
      </c>
      <c r="R659" s="318">
        <f t="shared" si="32"/>
        <v>41828</v>
      </c>
      <c r="S659" s="318" t="str">
        <f t="shared" si="33"/>
        <v/>
      </c>
    </row>
    <row r="660" spans="3:19" ht="27.75" customHeight="1">
      <c r="C660" s="345" t="s">
        <v>98</v>
      </c>
      <c r="D660" s="345" t="s">
        <v>373</v>
      </c>
      <c r="E660" s="345" t="s">
        <v>374</v>
      </c>
      <c r="F660" s="345" t="s">
        <v>375</v>
      </c>
      <c r="G660" s="346" t="s">
        <v>376</v>
      </c>
      <c r="H660" s="345" t="s">
        <v>14</v>
      </c>
      <c r="I660" s="345" t="s">
        <v>61</v>
      </c>
      <c r="J660" s="316">
        <v>41828.606249999997</v>
      </c>
      <c r="K660" s="347"/>
      <c r="L660" s="347" t="s">
        <v>378</v>
      </c>
      <c r="M660" s="348" t="s">
        <v>378</v>
      </c>
      <c r="N660" s="348" t="s">
        <v>397</v>
      </c>
      <c r="O660" s="348" t="s">
        <v>177</v>
      </c>
      <c r="P660" s="349">
        <v>23.263692828910202</v>
      </c>
      <c r="Q660" s="321" t="str">
        <f t="shared" si="31"/>
        <v/>
      </c>
      <c r="R660" s="318">
        <f t="shared" si="32"/>
        <v>41828</v>
      </c>
      <c r="S660" s="318" t="str">
        <f t="shared" si="33"/>
        <v/>
      </c>
    </row>
    <row r="661" spans="3:19" ht="27.75" customHeight="1">
      <c r="C661" s="345" t="s">
        <v>98</v>
      </c>
      <c r="D661" s="345" t="s">
        <v>373</v>
      </c>
      <c r="E661" s="345" t="s">
        <v>374</v>
      </c>
      <c r="F661" s="345" t="s">
        <v>375</v>
      </c>
      <c r="G661" s="346" t="s">
        <v>376</v>
      </c>
      <c r="H661" s="339" t="s">
        <v>14</v>
      </c>
      <c r="I661" s="345" t="s">
        <v>61</v>
      </c>
      <c r="J661" s="316">
        <v>41828.597222222219</v>
      </c>
      <c r="K661" s="347"/>
      <c r="L661" s="347" t="s">
        <v>188</v>
      </c>
      <c r="M661" s="348" t="s">
        <v>382</v>
      </c>
      <c r="N661" s="348" t="s">
        <v>382</v>
      </c>
      <c r="O661" s="348" t="s">
        <v>177</v>
      </c>
      <c r="P661" s="349">
        <v>23.296442687747</v>
      </c>
      <c r="Q661" s="321" t="str">
        <f t="shared" si="31"/>
        <v/>
      </c>
      <c r="R661" s="318">
        <f t="shared" si="32"/>
        <v>41828</v>
      </c>
      <c r="S661" s="318" t="str">
        <f t="shared" si="33"/>
        <v/>
      </c>
    </row>
    <row r="662" spans="3:19" ht="27.75" customHeight="1">
      <c r="C662" s="345" t="s">
        <v>98</v>
      </c>
      <c r="D662" s="345" t="s">
        <v>373</v>
      </c>
      <c r="E662" s="345" t="s">
        <v>374</v>
      </c>
      <c r="F662" s="345" t="s">
        <v>375</v>
      </c>
      <c r="G662" s="346" t="s">
        <v>376</v>
      </c>
      <c r="H662" s="339" t="s">
        <v>14</v>
      </c>
      <c r="I662" s="345" t="s">
        <v>61</v>
      </c>
      <c r="J662" s="316">
        <v>41828.565972222219</v>
      </c>
      <c r="K662" s="347"/>
      <c r="L662" s="347" t="s">
        <v>378</v>
      </c>
      <c r="M662" s="348" t="s">
        <v>378</v>
      </c>
      <c r="N662" s="348" t="s">
        <v>397</v>
      </c>
      <c r="O662" s="348" t="s">
        <v>177</v>
      </c>
      <c r="P662" s="349">
        <v>23.329192546583801</v>
      </c>
      <c r="Q662" s="321" t="str">
        <f t="shared" si="31"/>
        <v/>
      </c>
      <c r="R662" s="318">
        <f t="shared" si="32"/>
        <v>41828</v>
      </c>
      <c r="S662" s="318" t="str">
        <f t="shared" si="33"/>
        <v/>
      </c>
    </row>
    <row r="663" spans="3:19" ht="27.75" customHeight="1">
      <c r="C663" s="345" t="s">
        <v>98</v>
      </c>
      <c r="D663" s="345" t="s">
        <v>373</v>
      </c>
      <c r="E663" s="345" t="s">
        <v>374</v>
      </c>
      <c r="F663" s="345" t="s">
        <v>375</v>
      </c>
      <c r="G663" s="346" t="s">
        <v>376</v>
      </c>
      <c r="H663" s="345" t="s">
        <v>14</v>
      </c>
      <c r="I663" s="345" t="s">
        <v>61</v>
      </c>
      <c r="J663" s="316">
        <v>41828.559027777781</v>
      </c>
      <c r="K663" s="347"/>
      <c r="L663" s="347" t="s">
        <v>378</v>
      </c>
      <c r="M663" s="348" t="s">
        <v>382</v>
      </c>
      <c r="N663" s="348" t="s">
        <v>382</v>
      </c>
      <c r="O663" s="348" t="s">
        <v>175</v>
      </c>
      <c r="P663" s="349">
        <v>23.361942405420599</v>
      </c>
      <c r="Q663" s="321" t="str">
        <f t="shared" si="31"/>
        <v/>
      </c>
      <c r="R663" s="318">
        <f t="shared" si="32"/>
        <v>41828</v>
      </c>
      <c r="S663" s="318" t="str">
        <f t="shared" si="33"/>
        <v/>
      </c>
    </row>
    <row r="664" spans="3:19" ht="27.75" customHeight="1">
      <c r="C664" s="345" t="s">
        <v>98</v>
      </c>
      <c r="D664" s="345" t="s">
        <v>373</v>
      </c>
      <c r="E664" s="345" t="s">
        <v>374</v>
      </c>
      <c r="F664" s="345" t="s">
        <v>375</v>
      </c>
      <c r="G664" s="346" t="s">
        <v>376</v>
      </c>
      <c r="H664" s="339" t="s">
        <v>14</v>
      </c>
      <c r="I664" s="345" t="s">
        <v>60</v>
      </c>
      <c r="J664" s="316">
        <v>41828.552083333336</v>
      </c>
      <c r="K664" s="347"/>
      <c r="L664" s="347" t="s">
        <v>378</v>
      </c>
      <c r="M664" s="348" t="s">
        <v>378</v>
      </c>
      <c r="N664" s="348" t="s">
        <v>397</v>
      </c>
      <c r="O664" s="348" t="s">
        <v>175</v>
      </c>
      <c r="P664" s="349">
        <v>23.3946922642575</v>
      </c>
      <c r="Q664" s="321" t="str">
        <f t="shared" si="31"/>
        <v/>
      </c>
      <c r="R664" s="318">
        <f t="shared" si="32"/>
        <v>41828</v>
      </c>
      <c r="S664" s="318" t="str">
        <f t="shared" si="33"/>
        <v/>
      </c>
    </row>
    <row r="665" spans="3:19" ht="27.75" customHeight="1">
      <c r="C665" s="345" t="s">
        <v>98</v>
      </c>
      <c r="D665" s="345" t="s">
        <v>373</v>
      </c>
      <c r="E665" s="345" t="s">
        <v>374</v>
      </c>
      <c r="F665" s="345" t="s">
        <v>375</v>
      </c>
      <c r="G665" s="346" t="s">
        <v>376</v>
      </c>
      <c r="H665" s="339" t="s">
        <v>14</v>
      </c>
      <c r="I665" s="345" t="s">
        <v>61</v>
      </c>
      <c r="J665" s="316">
        <v>41828.543055555558</v>
      </c>
      <c r="K665" s="347"/>
      <c r="L665" s="347" t="s">
        <v>378</v>
      </c>
      <c r="M665" s="348" t="s">
        <v>378</v>
      </c>
      <c r="N665" s="348" t="s">
        <v>397</v>
      </c>
      <c r="O665" s="348" t="s">
        <v>175</v>
      </c>
      <c r="P665" s="349">
        <v>23.427442123094298</v>
      </c>
      <c r="Q665" s="321" t="str">
        <f t="shared" si="31"/>
        <v/>
      </c>
      <c r="R665" s="318">
        <f t="shared" si="32"/>
        <v>41828</v>
      </c>
      <c r="S665" s="318" t="str">
        <f t="shared" si="33"/>
        <v/>
      </c>
    </row>
    <row r="666" spans="3:19" ht="27.75" customHeight="1">
      <c r="C666" s="345" t="s">
        <v>98</v>
      </c>
      <c r="D666" s="345" t="s">
        <v>373</v>
      </c>
      <c r="E666" s="345" t="s">
        <v>374</v>
      </c>
      <c r="F666" s="345" t="s">
        <v>375</v>
      </c>
      <c r="G666" s="346" t="s">
        <v>376</v>
      </c>
      <c r="H666" s="339" t="s">
        <v>14</v>
      </c>
      <c r="I666" s="345" t="s">
        <v>60</v>
      </c>
      <c r="J666" s="316">
        <v>41828.520833333336</v>
      </c>
      <c r="K666" s="347"/>
      <c r="L666" s="347" t="s">
        <v>378</v>
      </c>
      <c r="M666" s="348" t="s">
        <v>378</v>
      </c>
      <c r="N666" s="348" t="s">
        <v>397</v>
      </c>
      <c r="O666" s="348" t="s">
        <v>175</v>
      </c>
      <c r="P666" s="349">
        <v>23.4601919819311</v>
      </c>
      <c r="Q666" s="321" t="str">
        <f t="shared" ref="Q666:Q729" si="34">IF(ISERROR(DATEDIF(J666,K666,"D")),"",DATEDIF(J666,K666,"D"))</f>
        <v/>
      </c>
      <c r="R666" s="318">
        <f t="shared" ref="R666:R729" si="35">DATE(YEAR(J666),MONTH(J666),DAY(J666))</f>
        <v>41828</v>
      </c>
      <c r="S666" s="318" t="str">
        <f t="shared" ref="S666:S729" si="36">IF(K666&lt;&gt;"",DATE(YEAR(K666),MONTH(K666),DAY(K666)),"")</f>
        <v/>
      </c>
    </row>
    <row r="667" spans="3:19" ht="27.75" customHeight="1">
      <c r="C667" s="345" t="s">
        <v>98</v>
      </c>
      <c r="D667" s="345" t="s">
        <v>373</v>
      </c>
      <c r="E667" s="345" t="s">
        <v>374</v>
      </c>
      <c r="F667" s="345" t="s">
        <v>375</v>
      </c>
      <c r="G667" s="346" t="s">
        <v>376</v>
      </c>
      <c r="H667" s="339" t="s">
        <v>14</v>
      </c>
      <c r="I667" s="345" t="s">
        <v>61</v>
      </c>
      <c r="J667" s="316">
        <v>41828.513194444444</v>
      </c>
      <c r="K667" s="347"/>
      <c r="L667" s="347" t="s">
        <v>378</v>
      </c>
      <c r="M667" s="348" t="s">
        <v>378</v>
      </c>
      <c r="N667" s="348" t="s">
        <v>397</v>
      </c>
      <c r="O667" s="348" t="s">
        <v>175</v>
      </c>
      <c r="P667" s="349">
        <v>23.492941840767902</v>
      </c>
      <c r="Q667" s="321" t="str">
        <f t="shared" si="34"/>
        <v/>
      </c>
      <c r="R667" s="318">
        <f t="shared" si="35"/>
        <v>41828</v>
      </c>
      <c r="S667" s="318" t="str">
        <f t="shared" si="36"/>
        <v/>
      </c>
    </row>
    <row r="668" spans="3:19" ht="27.75" customHeight="1">
      <c r="C668" s="345" t="s">
        <v>98</v>
      </c>
      <c r="D668" s="345" t="s">
        <v>373</v>
      </c>
      <c r="E668" s="345" t="s">
        <v>374</v>
      </c>
      <c r="F668" s="345" t="s">
        <v>375</v>
      </c>
      <c r="G668" s="346" t="s">
        <v>376</v>
      </c>
      <c r="H668" s="339" t="s">
        <v>14</v>
      </c>
      <c r="I668" s="345" t="s">
        <v>61</v>
      </c>
      <c r="J668" s="316">
        <v>41828.495833333334</v>
      </c>
      <c r="K668" s="347"/>
      <c r="L668" s="347" t="s">
        <v>378</v>
      </c>
      <c r="M668" s="348" t="s">
        <v>378</v>
      </c>
      <c r="N668" s="348" t="s">
        <v>397</v>
      </c>
      <c r="O668" s="348" t="s">
        <v>175</v>
      </c>
      <c r="P668" s="349">
        <v>23.5256916996047</v>
      </c>
      <c r="Q668" s="321" t="str">
        <f t="shared" si="34"/>
        <v/>
      </c>
      <c r="R668" s="318">
        <f t="shared" si="35"/>
        <v>41828</v>
      </c>
      <c r="S668" s="318" t="str">
        <f t="shared" si="36"/>
        <v/>
      </c>
    </row>
    <row r="669" spans="3:19" ht="27.75" customHeight="1">
      <c r="C669" s="345" t="s">
        <v>98</v>
      </c>
      <c r="D669" s="345" t="s">
        <v>373</v>
      </c>
      <c r="E669" s="345" t="s">
        <v>374</v>
      </c>
      <c r="F669" s="345" t="s">
        <v>375</v>
      </c>
      <c r="G669" s="346" t="s">
        <v>376</v>
      </c>
      <c r="H669" s="339" t="s">
        <v>14</v>
      </c>
      <c r="I669" s="345" t="s">
        <v>59</v>
      </c>
      <c r="J669" s="316">
        <v>41828.488194444442</v>
      </c>
      <c r="K669" s="347"/>
      <c r="L669" s="347" t="s">
        <v>377</v>
      </c>
      <c r="M669" s="348" t="s">
        <v>378</v>
      </c>
      <c r="N669" s="348" t="s">
        <v>397</v>
      </c>
      <c r="O669" s="348" t="s">
        <v>175</v>
      </c>
      <c r="P669" s="349">
        <v>23.558441558441501</v>
      </c>
      <c r="Q669" s="321" t="str">
        <f t="shared" si="34"/>
        <v/>
      </c>
      <c r="R669" s="318">
        <f t="shared" si="35"/>
        <v>41828</v>
      </c>
      <c r="S669" s="318" t="str">
        <f t="shared" si="36"/>
        <v/>
      </c>
    </row>
    <row r="670" spans="3:19" ht="27.75" customHeight="1">
      <c r="C670" s="345" t="s">
        <v>98</v>
      </c>
      <c r="D670" s="345" t="s">
        <v>373</v>
      </c>
      <c r="E670" s="345" t="s">
        <v>374</v>
      </c>
      <c r="F670" s="345" t="s">
        <v>375</v>
      </c>
      <c r="G670" s="346" t="s">
        <v>376</v>
      </c>
      <c r="H670" s="339" t="s">
        <v>14</v>
      </c>
      <c r="I670" s="345" t="s">
        <v>61</v>
      </c>
      <c r="J670" s="316">
        <v>41828.479166666664</v>
      </c>
      <c r="K670" s="347"/>
      <c r="L670" s="347" t="s">
        <v>378</v>
      </c>
      <c r="M670" s="348" t="s">
        <v>378</v>
      </c>
      <c r="N670" s="348" t="s">
        <v>397</v>
      </c>
      <c r="O670" s="348" t="s">
        <v>175</v>
      </c>
      <c r="P670" s="349">
        <v>23.591191417278399</v>
      </c>
      <c r="Q670" s="321" t="str">
        <f t="shared" si="34"/>
        <v/>
      </c>
      <c r="R670" s="318">
        <f t="shared" si="35"/>
        <v>41828</v>
      </c>
      <c r="S670" s="318" t="str">
        <f t="shared" si="36"/>
        <v/>
      </c>
    </row>
    <row r="671" spans="3:19" ht="27.75" customHeight="1">
      <c r="C671" s="345" t="s">
        <v>98</v>
      </c>
      <c r="D671" s="345" t="s">
        <v>373</v>
      </c>
      <c r="E671" s="345" t="s">
        <v>374</v>
      </c>
      <c r="F671" s="345" t="s">
        <v>375</v>
      </c>
      <c r="G671" s="346" t="s">
        <v>376</v>
      </c>
      <c r="H671" s="339" t="s">
        <v>14</v>
      </c>
      <c r="I671" s="345" t="s">
        <v>61</v>
      </c>
      <c r="J671" s="316">
        <v>41828.47152777778</v>
      </c>
      <c r="K671" s="347"/>
      <c r="L671" s="347" t="s">
        <v>377</v>
      </c>
      <c r="M671" s="348" t="s">
        <v>390</v>
      </c>
      <c r="N671" s="348" t="s">
        <v>390</v>
      </c>
      <c r="O671" s="348" t="s">
        <v>175</v>
      </c>
      <c r="P671" s="349">
        <v>23.6239412761152</v>
      </c>
      <c r="Q671" s="321" t="str">
        <f t="shared" si="34"/>
        <v/>
      </c>
      <c r="R671" s="318">
        <f t="shared" si="35"/>
        <v>41828</v>
      </c>
      <c r="S671" s="318" t="str">
        <f t="shared" si="36"/>
        <v/>
      </c>
    </row>
    <row r="672" spans="3:19" ht="27.75" customHeight="1">
      <c r="C672" s="345" t="s">
        <v>98</v>
      </c>
      <c r="D672" s="345" t="s">
        <v>373</v>
      </c>
      <c r="E672" s="345" t="s">
        <v>374</v>
      </c>
      <c r="F672" s="345" t="s">
        <v>375</v>
      </c>
      <c r="G672" s="346" t="s">
        <v>376</v>
      </c>
      <c r="H672" s="339" t="s">
        <v>14</v>
      </c>
      <c r="I672" s="345" t="s">
        <v>60</v>
      </c>
      <c r="J672" s="316">
        <v>41828.462500000001</v>
      </c>
      <c r="K672" s="347"/>
      <c r="L672" s="347" t="s">
        <v>377</v>
      </c>
      <c r="M672" s="348" t="s">
        <v>390</v>
      </c>
      <c r="N672" s="348" t="s">
        <v>390</v>
      </c>
      <c r="O672" s="348" t="s">
        <v>175</v>
      </c>
      <c r="P672" s="349">
        <v>23.656691134951998</v>
      </c>
      <c r="Q672" s="321" t="str">
        <f t="shared" si="34"/>
        <v/>
      </c>
      <c r="R672" s="318">
        <f t="shared" si="35"/>
        <v>41828</v>
      </c>
      <c r="S672" s="318" t="str">
        <f t="shared" si="36"/>
        <v/>
      </c>
    </row>
    <row r="673" spans="3:19" ht="27.75" customHeight="1">
      <c r="C673" s="345" t="s">
        <v>98</v>
      </c>
      <c r="D673" s="345" t="s">
        <v>373</v>
      </c>
      <c r="E673" s="345" t="s">
        <v>374</v>
      </c>
      <c r="F673" s="345" t="s">
        <v>375</v>
      </c>
      <c r="G673" s="346" t="s">
        <v>376</v>
      </c>
      <c r="H673" s="339" t="s">
        <v>14</v>
      </c>
      <c r="I673" s="345" t="s">
        <v>61</v>
      </c>
      <c r="J673" s="316">
        <v>41828.400000000001</v>
      </c>
      <c r="K673" s="347"/>
      <c r="L673" s="347" t="s">
        <v>377</v>
      </c>
      <c r="M673" s="348" t="s">
        <v>382</v>
      </c>
      <c r="N673" s="348" t="s">
        <v>382</v>
      </c>
      <c r="O673" s="348" t="s">
        <v>175</v>
      </c>
      <c r="P673" s="349">
        <v>23.6894409937888</v>
      </c>
      <c r="Q673" s="321" t="str">
        <f t="shared" si="34"/>
        <v/>
      </c>
      <c r="R673" s="318">
        <f t="shared" si="35"/>
        <v>41828</v>
      </c>
      <c r="S673" s="318" t="str">
        <f t="shared" si="36"/>
        <v/>
      </c>
    </row>
    <row r="674" spans="3:19" ht="27.75" customHeight="1">
      <c r="C674" s="345" t="s">
        <v>98</v>
      </c>
      <c r="D674" s="345" t="s">
        <v>373</v>
      </c>
      <c r="E674" s="345" t="s">
        <v>374</v>
      </c>
      <c r="F674" s="345" t="s">
        <v>375</v>
      </c>
      <c r="G674" s="346" t="s">
        <v>376</v>
      </c>
      <c r="H674" s="339" t="s">
        <v>14</v>
      </c>
      <c r="I674" s="345" t="s">
        <v>61</v>
      </c>
      <c r="J674" s="316">
        <v>41827.692361111112</v>
      </c>
      <c r="K674" s="347"/>
      <c r="L674" s="347" t="s">
        <v>377</v>
      </c>
      <c r="M674" s="348" t="s">
        <v>378</v>
      </c>
      <c r="N674" s="348" t="s">
        <v>397</v>
      </c>
      <c r="O674" s="348" t="s">
        <v>177</v>
      </c>
      <c r="P674" s="349">
        <v>23.722190852625602</v>
      </c>
      <c r="Q674" s="321" t="str">
        <f t="shared" si="34"/>
        <v/>
      </c>
      <c r="R674" s="318">
        <f t="shared" si="35"/>
        <v>41827</v>
      </c>
      <c r="S674" s="318" t="str">
        <f t="shared" si="36"/>
        <v/>
      </c>
    </row>
    <row r="675" spans="3:19" ht="27.75" customHeight="1">
      <c r="C675" s="345" t="s">
        <v>98</v>
      </c>
      <c r="D675" s="345" t="s">
        <v>373</v>
      </c>
      <c r="E675" s="345" t="s">
        <v>374</v>
      </c>
      <c r="F675" s="345" t="s">
        <v>375</v>
      </c>
      <c r="G675" s="346" t="s">
        <v>376</v>
      </c>
      <c r="H675" s="339" t="s">
        <v>14</v>
      </c>
      <c r="I675" s="345" t="s">
        <v>61</v>
      </c>
      <c r="J675" s="316">
        <v>41827.677777777775</v>
      </c>
      <c r="K675" s="347"/>
      <c r="L675" s="347" t="s">
        <v>377</v>
      </c>
      <c r="M675" s="348" t="s">
        <v>382</v>
      </c>
      <c r="N675" s="348" t="s">
        <v>382</v>
      </c>
      <c r="O675" s="348" t="s">
        <v>177</v>
      </c>
      <c r="P675" s="349">
        <v>23.7549407114624</v>
      </c>
      <c r="Q675" s="321" t="str">
        <f t="shared" si="34"/>
        <v/>
      </c>
      <c r="R675" s="318">
        <f t="shared" si="35"/>
        <v>41827</v>
      </c>
      <c r="S675" s="318" t="str">
        <f t="shared" si="36"/>
        <v/>
      </c>
    </row>
    <row r="676" spans="3:19" ht="27.75" customHeight="1">
      <c r="C676" s="345" t="s">
        <v>98</v>
      </c>
      <c r="D676" s="345" t="s">
        <v>373</v>
      </c>
      <c r="E676" s="345" t="s">
        <v>374</v>
      </c>
      <c r="F676" s="345" t="s">
        <v>375</v>
      </c>
      <c r="G676" s="346" t="s">
        <v>376</v>
      </c>
      <c r="H676" s="339" t="s">
        <v>14</v>
      </c>
      <c r="I676" s="345" t="s">
        <v>59</v>
      </c>
      <c r="J676" s="316">
        <v>41827.672222222223</v>
      </c>
      <c r="K676" s="347"/>
      <c r="L676" s="347" t="s">
        <v>378</v>
      </c>
      <c r="M676" s="348" t="s">
        <v>382</v>
      </c>
      <c r="N676" s="348" t="s">
        <v>382</v>
      </c>
      <c r="O676" s="348" t="s">
        <v>175</v>
      </c>
      <c r="P676" s="349">
        <v>23.787690570299201</v>
      </c>
      <c r="Q676" s="321" t="str">
        <f t="shared" si="34"/>
        <v/>
      </c>
      <c r="R676" s="318">
        <f t="shared" si="35"/>
        <v>41827</v>
      </c>
      <c r="S676" s="318" t="str">
        <f t="shared" si="36"/>
        <v/>
      </c>
    </row>
    <row r="677" spans="3:19" ht="27.75" customHeight="1">
      <c r="C677" s="345" t="s">
        <v>98</v>
      </c>
      <c r="D677" s="345" t="s">
        <v>373</v>
      </c>
      <c r="E677" s="345" t="s">
        <v>374</v>
      </c>
      <c r="F677" s="345" t="s">
        <v>375</v>
      </c>
      <c r="G677" s="346" t="s">
        <v>376</v>
      </c>
      <c r="H677" s="339" t="s">
        <v>14</v>
      </c>
      <c r="I677" s="345" t="s">
        <v>60</v>
      </c>
      <c r="J677" s="316">
        <v>41827.64166666667</v>
      </c>
      <c r="K677" s="347"/>
      <c r="L677" s="347" t="s">
        <v>399</v>
      </c>
      <c r="M677" s="348" t="s">
        <v>382</v>
      </c>
      <c r="N677" s="348" t="s">
        <v>382</v>
      </c>
      <c r="O677" s="348" t="s">
        <v>175</v>
      </c>
      <c r="P677" s="349">
        <v>23.820440429136099</v>
      </c>
      <c r="Q677" s="321" t="str">
        <f t="shared" si="34"/>
        <v/>
      </c>
      <c r="R677" s="318">
        <f t="shared" si="35"/>
        <v>41827</v>
      </c>
      <c r="S677" s="318" t="str">
        <f t="shared" si="36"/>
        <v/>
      </c>
    </row>
    <row r="678" spans="3:19" ht="27.75" customHeight="1">
      <c r="C678" s="345" t="s">
        <v>98</v>
      </c>
      <c r="D678" s="345" t="s">
        <v>373</v>
      </c>
      <c r="E678" s="345" t="s">
        <v>374</v>
      </c>
      <c r="F678" s="345" t="s">
        <v>375</v>
      </c>
      <c r="G678" s="346" t="s">
        <v>376</v>
      </c>
      <c r="H678" s="339" t="s">
        <v>14</v>
      </c>
      <c r="I678" s="345" t="s">
        <v>59</v>
      </c>
      <c r="J678" s="316">
        <v>41827.640277777777</v>
      </c>
      <c r="K678" s="347"/>
      <c r="L678" s="347" t="s">
        <v>377</v>
      </c>
      <c r="M678" s="348" t="s">
        <v>382</v>
      </c>
      <c r="N678" s="348" t="s">
        <v>382</v>
      </c>
      <c r="O678" s="348" t="s">
        <v>175</v>
      </c>
      <c r="P678" s="349">
        <v>23.8531902879729</v>
      </c>
      <c r="Q678" s="321" t="str">
        <f t="shared" si="34"/>
        <v/>
      </c>
      <c r="R678" s="318">
        <f t="shared" si="35"/>
        <v>41827</v>
      </c>
      <c r="S678" s="318" t="str">
        <f t="shared" si="36"/>
        <v/>
      </c>
    </row>
    <row r="679" spans="3:19" ht="27.75" customHeight="1">
      <c r="C679" s="345" t="s">
        <v>98</v>
      </c>
      <c r="D679" s="345" t="s">
        <v>373</v>
      </c>
      <c r="E679" s="345" t="s">
        <v>374</v>
      </c>
      <c r="F679" s="345" t="s">
        <v>375</v>
      </c>
      <c r="G679" s="346" t="s">
        <v>376</v>
      </c>
      <c r="H679" s="339" t="s">
        <v>14</v>
      </c>
      <c r="I679" s="345" t="s">
        <v>59</v>
      </c>
      <c r="J679" s="316">
        <v>41827.63958333333</v>
      </c>
      <c r="K679" s="347"/>
      <c r="L679" s="347" t="s">
        <v>377</v>
      </c>
      <c r="M679" s="348" t="s">
        <v>390</v>
      </c>
      <c r="N679" s="348" t="s">
        <v>390</v>
      </c>
      <c r="O679" s="348" t="s">
        <v>177</v>
      </c>
      <c r="P679" s="349">
        <v>23.885940146809698</v>
      </c>
      <c r="Q679" s="321" t="str">
        <f t="shared" si="34"/>
        <v/>
      </c>
      <c r="R679" s="318">
        <f t="shared" si="35"/>
        <v>41827</v>
      </c>
      <c r="S679" s="318" t="str">
        <f t="shared" si="36"/>
        <v/>
      </c>
    </row>
    <row r="680" spans="3:19" ht="27.75" customHeight="1">
      <c r="C680" s="345" t="s">
        <v>98</v>
      </c>
      <c r="D680" s="345" t="s">
        <v>373</v>
      </c>
      <c r="E680" s="345" t="s">
        <v>374</v>
      </c>
      <c r="F680" s="345" t="s">
        <v>375</v>
      </c>
      <c r="G680" s="346" t="s">
        <v>376</v>
      </c>
      <c r="H680" s="339" t="s">
        <v>14</v>
      </c>
      <c r="I680" s="345" t="s">
        <v>60</v>
      </c>
      <c r="J680" s="316">
        <v>41827.638194444444</v>
      </c>
      <c r="K680" s="347"/>
      <c r="L680" s="347" t="s">
        <v>378</v>
      </c>
      <c r="M680" s="348" t="s">
        <v>390</v>
      </c>
      <c r="N680" s="348" t="s">
        <v>390</v>
      </c>
      <c r="O680" s="348" t="s">
        <v>177</v>
      </c>
      <c r="P680" s="349">
        <v>23.9186900056465</v>
      </c>
      <c r="Q680" s="321" t="str">
        <f t="shared" si="34"/>
        <v/>
      </c>
      <c r="R680" s="318">
        <f t="shared" si="35"/>
        <v>41827</v>
      </c>
      <c r="S680" s="318" t="str">
        <f t="shared" si="36"/>
        <v/>
      </c>
    </row>
    <row r="681" spans="3:19" ht="27.75" customHeight="1">
      <c r="C681" s="345" t="s">
        <v>98</v>
      </c>
      <c r="D681" s="345" t="s">
        <v>373</v>
      </c>
      <c r="E681" s="345" t="s">
        <v>374</v>
      </c>
      <c r="F681" s="345" t="s">
        <v>375</v>
      </c>
      <c r="G681" s="346" t="s">
        <v>376</v>
      </c>
      <c r="H681" s="339" t="s">
        <v>14</v>
      </c>
      <c r="I681" s="345" t="s">
        <v>60</v>
      </c>
      <c r="J681" s="316">
        <v>41827.636805555558</v>
      </c>
      <c r="K681" s="347"/>
      <c r="L681" s="347" t="s">
        <v>378</v>
      </c>
      <c r="M681" s="348" t="s">
        <v>390</v>
      </c>
      <c r="N681" s="348" t="s">
        <v>390</v>
      </c>
      <c r="O681" s="348" t="s">
        <v>177</v>
      </c>
      <c r="P681" s="349">
        <v>23.951439864483302</v>
      </c>
      <c r="Q681" s="321" t="str">
        <f t="shared" si="34"/>
        <v/>
      </c>
      <c r="R681" s="318">
        <f t="shared" si="35"/>
        <v>41827</v>
      </c>
      <c r="S681" s="318" t="str">
        <f t="shared" si="36"/>
        <v/>
      </c>
    </row>
    <row r="682" spans="3:19" ht="27.75" customHeight="1">
      <c r="C682" s="345" t="s">
        <v>98</v>
      </c>
      <c r="D682" s="345" t="s">
        <v>373</v>
      </c>
      <c r="E682" s="345" t="s">
        <v>374</v>
      </c>
      <c r="F682" s="345" t="s">
        <v>375</v>
      </c>
      <c r="G682" s="346" t="s">
        <v>376</v>
      </c>
      <c r="H682" s="345" t="s">
        <v>384</v>
      </c>
      <c r="I682" s="345" t="s">
        <v>61</v>
      </c>
      <c r="J682" s="316">
        <v>41827.635416666664</v>
      </c>
      <c r="K682" s="347"/>
      <c r="L682" s="347" t="s">
        <v>377</v>
      </c>
      <c r="M682" s="348" t="s">
        <v>378</v>
      </c>
      <c r="N682" s="348" t="s">
        <v>397</v>
      </c>
      <c r="O682" s="348" t="s">
        <v>177</v>
      </c>
      <c r="P682" s="349">
        <v>23.9841897233201</v>
      </c>
      <c r="Q682" s="321" t="str">
        <f t="shared" si="34"/>
        <v/>
      </c>
      <c r="R682" s="318">
        <f t="shared" si="35"/>
        <v>41827</v>
      </c>
      <c r="S682" s="318" t="str">
        <f t="shared" si="36"/>
        <v/>
      </c>
    </row>
    <row r="683" spans="3:19" ht="27.75" customHeight="1">
      <c r="C683" s="345" t="s">
        <v>98</v>
      </c>
      <c r="D683" s="345" t="s">
        <v>373</v>
      </c>
      <c r="E683" s="345" t="s">
        <v>374</v>
      </c>
      <c r="F683" s="345" t="s">
        <v>375</v>
      </c>
      <c r="G683" s="346" t="s">
        <v>376</v>
      </c>
      <c r="H683" s="345" t="s">
        <v>384</v>
      </c>
      <c r="I683" s="345" t="s">
        <v>60</v>
      </c>
      <c r="J683" s="316">
        <v>41827.634722222225</v>
      </c>
      <c r="K683" s="347"/>
      <c r="L683" s="347" t="s">
        <v>377</v>
      </c>
      <c r="M683" s="348" t="s">
        <v>378</v>
      </c>
      <c r="N683" s="348" t="s">
        <v>397</v>
      </c>
      <c r="O683" s="348" t="s">
        <v>177</v>
      </c>
      <c r="P683" s="349">
        <v>24.016939582157001</v>
      </c>
      <c r="Q683" s="321" t="str">
        <f t="shared" si="34"/>
        <v/>
      </c>
      <c r="R683" s="318">
        <f t="shared" si="35"/>
        <v>41827</v>
      </c>
      <c r="S683" s="318" t="str">
        <f t="shared" si="36"/>
        <v/>
      </c>
    </row>
    <row r="684" spans="3:19" ht="27.75" customHeight="1">
      <c r="C684" s="345" t="s">
        <v>98</v>
      </c>
      <c r="D684" s="345" t="s">
        <v>373</v>
      </c>
      <c r="E684" s="345" t="s">
        <v>374</v>
      </c>
      <c r="F684" s="345" t="s">
        <v>375</v>
      </c>
      <c r="G684" s="346" t="s">
        <v>376</v>
      </c>
      <c r="H684" s="339" t="s">
        <v>14</v>
      </c>
      <c r="I684" s="345" t="s">
        <v>60</v>
      </c>
      <c r="J684" s="316">
        <v>41827.634027777778</v>
      </c>
      <c r="K684" s="347"/>
      <c r="L684" s="347" t="s">
        <v>378</v>
      </c>
      <c r="M684" s="348" t="s">
        <v>382</v>
      </c>
      <c r="N684" s="348" t="s">
        <v>382</v>
      </c>
      <c r="O684" s="348" t="s">
        <v>177</v>
      </c>
      <c r="P684" s="349">
        <v>24.049689440993799</v>
      </c>
      <c r="Q684" s="321" t="str">
        <f t="shared" si="34"/>
        <v/>
      </c>
      <c r="R684" s="318">
        <f t="shared" si="35"/>
        <v>41827</v>
      </c>
      <c r="S684" s="318" t="str">
        <f t="shared" si="36"/>
        <v/>
      </c>
    </row>
    <row r="685" spans="3:19" ht="27.75" customHeight="1">
      <c r="C685" s="345" t="s">
        <v>98</v>
      </c>
      <c r="D685" s="345" t="s">
        <v>373</v>
      </c>
      <c r="E685" s="345" t="s">
        <v>374</v>
      </c>
      <c r="F685" s="345" t="s">
        <v>375</v>
      </c>
      <c r="G685" s="346" t="s">
        <v>376</v>
      </c>
      <c r="H685" s="339" t="s">
        <v>14</v>
      </c>
      <c r="I685" s="345" t="s">
        <v>59</v>
      </c>
      <c r="J685" s="316">
        <v>41827.633333333331</v>
      </c>
      <c r="K685" s="347"/>
      <c r="L685" s="347" t="s">
        <v>377</v>
      </c>
      <c r="M685" s="348" t="s">
        <v>378</v>
      </c>
      <c r="N685" s="348" t="s">
        <v>397</v>
      </c>
      <c r="O685" s="348" t="s">
        <v>175</v>
      </c>
      <c r="P685" s="349">
        <v>24.0824392998306</v>
      </c>
      <c r="Q685" s="321" t="str">
        <f t="shared" si="34"/>
        <v/>
      </c>
      <c r="R685" s="318">
        <f t="shared" si="35"/>
        <v>41827</v>
      </c>
      <c r="S685" s="318" t="str">
        <f t="shared" si="36"/>
        <v/>
      </c>
    </row>
    <row r="686" spans="3:19" ht="27.75" customHeight="1">
      <c r="C686" s="345" t="s">
        <v>98</v>
      </c>
      <c r="D686" s="345" t="s">
        <v>373</v>
      </c>
      <c r="E686" s="345" t="s">
        <v>374</v>
      </c>
      <c r="F686" s="345" t="s">
        <v>375</v>
      </c>
      <c r="G686" s="346" t="s">
        <v>376</v>
      </c>
      <c r="H686" s="345" t="s">
        <v>384</v>
      </c>
      <c r="I686" s="345" t="s">
        <v>60</v>
      </c>
      <c r="J686" s="316">
        <v>41827.632638888892</v>
      </c>
      <c r="K686" s="347"/>
      <c r="L686" s="347" t="s">
        <v>377</v>
      </c>
      <c r="M686" s="348" t="s">
        <v>382</v>
      </c>
      <c r="N686" s="348" t="s">
        <v>382</v>
      </c>
      <c r="O686" s="348" t="s">
        <v>175</v>
      </c>
      <c r="P686" s="349">
        <v>24.115189158667398</v>
      </c>
      <c r="Q686" s="321" t="str">
        <f t="shared" si="34"/>
        <v/>
      </c>
      <c r="R686" s="318">
        <f t="shared" si="35"/>
        <v>41827</v>
      </c>
      <c r="S686" s="318" t="str">
        <f t="shared" si="36"/>
        <v/>
      </c>
    </row>
    <row r="687" spans="3:19" ht="27.75" customHeight="1">
      <c r="C687" s="345" t="s">
        <v>98</v>
      </c>
      <c r="D687" s="345" t="s">
        <v>373</v>
      </c>
      <c r="E687" s="345" t="s">
        <v>374</v>
      </c>
      <c r="F687" s="345" t="s">
        <v>375</v>
      </c>
      <c r="G687" s="346" t="s">
        <v>376</v>
      </c>
      <c r="H687" s="345" t="s">
        <v>140</v>
      </c>
      <c r="I687" s="345" t="s">
        <v>60</v>
      </c>
      <c r="J687" s="316">
        <v>41827.631944444445</v>
      </c>
      <c r="K687" s="347"/>
      <c r="L687" s="347" t="s">
        <v>377</v>
      </c>
      <c r="M687" s="348" t="s">
        <v>390</v>
      </c>
      <c r="N687" s="348" t="s">
        <v>390</v>
      </c>
      <c r="O687" s="348" t="s">
        <v>175</v>
      </c>
      <c r="P687" s="349">
        <v>24.1479390175042</v>
      </c>
      <c r="Q687" s="321" t="str">
        <f t="shared" si="34"/>
        <v/>
      </c>
      <c r="R687" s="318">
        <f t="shared" si="35"/>
        <v>41827</v>
      </c>
      <c r="S687" s="318" t="str">
        <f t="shared" si="36"/>
        <v/>
      </c>
    </row>
    <row r="688" spans="3:19" ht="27.75" customHeight="1">
      <c r="C688" s="345" t="s">
        <v>98</v>
      </c>
      <c r="D688" s="345" t="s">
        <v>373</v>
      </c>
      <c r="E688" s="345" t="s">
        <v>374</v>
      </c>
      <c r="F688" s="345" t="s">
        <v>375</v>
      </c>
      <c r="G688" s="346" t="s">
        <v>376</v>
      </c>
      <c r="H688" s="339" t="s">
        <v>14</v>
      </c>
      <c r="I688" s="345" t="s">
        <v>59</v>
      </c>
      <c r="J688" s="316">
        <v>41827.630555555559</v>
      </c>
      <c r="K688" s="347"/>
      <c r="L688" s="347" t="s">
        <v>377</v>
      </c>
      <c r="M688" s="348" t="s">
        <v>390</v>
      </c>
      <c r="N688" s="348" t="s">
        <v>390</v>
      </c>
      <c r="O688" s="348" t="s">
        <v>175</v>
      </c>
      <c r="P688" s="349">
        <v>24.180688876341002</v>
      </c>
      <c r="Q688" s="321" t="str">
        <f t="shared" si="34"/>
        <v/>
      </c>
      <c r="R688" s="318">
        <f t="shared" si="35"/>
        <v>41827</v>
      </c>
      <c r="S688" s="318" t="str">
        <f t="shared" si="36"/>
        <v/>
      </c>
    </row>
    <row r="689" spans="3:19" ht="27.75" customHeight="1">
      <c r="C689" s="345" t="s">
        <v>98</v>
      </c>
      <c r="D689" s="345" t="s">
        <v>373</v>
      </c>
      <c r="E689" s="345" t="s">
        <v>374</v>
      </c>
      <c r="F689" s="345" t="s">
        <v>375</v>
      </c>
      <c r="G689" s="346" t="s">
        <v>376</v>
      </c>
      <c r="H689" s="345" t="s">
        <v>140</v>
      </c>
      <c r="I689" s="345" t="s">
        <v>60</v>
      </c>
      <c r="J689" s="316">
        <v>41827.557638888888</v>
      </c>
      <c r="K689" s="347"/>
      <c r="L689" s="347" t="s">
        <v>188</v>
      </c>
      <c r="M689" s="348" t="s">
        <v>382</v>
      </c>
      <c r="N689" s="348" t="s">
        <v>382</v>
      </c>
      <c r="O689" s="348" t="s">
        <v>175</v>
      </c>
      <c r="P689" s="349">
        <v>24.2134387351778</v>
      </c>
      <c r="Q689" s="321" t="str">
        <f t="shared" si="34"/>
        <v/>
      </c>
      <c r="R689" s="318">
        <f t="shared" si="35"/>
        <v>41827</v>
      </c>
      <c r="S689" s="318" t="str">
        <f t="shared" si="36"/>
        <v/>
      </c>
    </row>
    <row r="690" spans="3:19" ht="27.75" customHeight="1">
      <c r="C690" s="345" t="s">
        <v>98</v>
      </c>
      <c r="D690" s="345" t="s">
        <v>373</v>
      </c>
      <c r="E690" s="345" t="s">
        <v>374</v>
      </c>
      <c r="F690" s="345" t="s">
        <v>375</v>
      </c>
      <c r="G690" s="346" t="s">
        <v>376</v>
      </c>
      <c r="H690" s="345" t="s">
        <v>14</v>
      </c>
      <c r="I690" s="345" t="s">
        <v>60</v>
      </c>
      <c r="J690" s="316">
        <v>41827.517361111109</v>
      </c>
      <c r="K690" s="347"/>
      <c r="L690" s="347" t="s">
        <v>377</v>
      </c>
      <c r="M690" s="348" t="s">
        <v>390</v>
      </c>
      <c r="N690" s="348" t="s">
        <v>390</v>
      </c>
      <c r="O690" s="348" t="s">
        <v>175</v>
      </c>
      <c r="P690" s="349">
        <v>24.246188594014701</v>
      </c>
      <c r="Q690" s="321" t="str">
        <f t="shared" si="34"/>
        <v/>
      </c>
      <c r="R690" s="318">
        <f t="shared" si="35"/>
        <v>41827</v>
      </c>
      <c r="S690" s="318" t="str">
        <f t="shared" si="36"/>
        <v/>
      </c>
    </row>
    <row r="691" spans="3:19" ht="27.75" customHeight="1">
      <c r="C691" s="345" t="s">
        <v>98</v>
      </c>
      <c r="D691" s="345" t="s">
        <v>373</v>
      </c>
      <c r="E691" s="345" t="s">
        <v>374</v>
      </c>
      <c r="F691" s="345" t="s">
        <v>375</v>
      </c>
      <c r="G691" s="346" t="s">
        <v>376</v>
      </c>
      <c r="H691" s="345" t="s">
        <v>140</v>
      </c>
      <c r="I691" s="345" t="s">
        <v>60</v>
      </c>
      <c r="J691" s="316">
        <v>41827.515972222223</v>
      </c>
      <c r="K691" s="347"/>
      <c r="L691" s="347" t="s">
        <v>377</v>
      </c>
      <c r="M691" s="348" t="s">
        <v>378</v>
      </c>
      <c r="N691" s="348" t="s">
        <v>397</v>
      </c>
      <c r="O691" s="348" t="s">
        <v>175</v>
      </c>
      <c r="P691" s="349">
        <v>24.278938452851499</v>
      </c>
      <c r="Q691" s="321" t="str">
        <f t="shared" si="34"/>
        <v/>
      </c>
      <c r="R691" s="318">
        <f t="shared" si="35"/>
        <v>41827</v>
      </c>
      <c r="S691" s="318" t="str">
        <f t="shared" si="36"/>
        <v/>
      </c>
    </row>
    <row r="692" spans="3:19" ht="27.75" customHeight="1">
      <c r="C692" s="345" t="s">
        <v>98</v>
      </c>
      <c r="D692" s="345" t="s">
        <v>373</v>
      </c>
      <c r="E692" s="345" t="s">
        <v>374</v>
      </c>
      <c r="F692" s="345" t="s">
        <v>375</v>
      </c>
      <c r="G692" s="346" t="s">
        <v>376</v>
      </c>
      <c r="H692" s="339" t="s">
        <v>14</v>
      </c>
      <c r="I692" s="345" t="s">
        <v>60</v>
      </c>
      <c r="J692" s="316">
        <v>41827.51458333333</v>
      </c>
      <c r="K692" s="347"/>
      <c r="L692" s="347" t="s">
        <v>377</v>
      </c>
      <c r="M692" s="348" t="s">
        <v>378</v>
      </c>
      <c r="N692" s="348" t="s">
        <v>397</v>
      </c>
      <c r="O692" s="348" t="s">
        <v>175</v>
      </c>
      <c r="P692" s="349">
        <v>24.3116883116883</v>
      </c>
      <c r="Q692" s="321" t="str">
        <f t="shared" si="34"/>
        <v/>
      </c>
      <c r="R692" s="318">
        <f t="shared" si="35"/>
        <v>41827</v>
      </c>
      <c r="S692" s="318" t="str">
        <f t="shared" si="36"/>
        <v/>
      </c>
    </row>
    <row r="693" spans="3:19" ht="27.75" customHeight="1">
      <c r="C693" s="345" t="s">
        <v>98</v>
      </c>
      <c r="D693" s="345" t="s">
        <v>373</v>
      </c>
      <c r="E693" s="345" t="s">
        <v>374</v>
      </c>
      <c r="F693" s="345" t="s">
        <v>375</v>
      </c>
      <c r="G693" s="346" t="s">
        <v>376</v>
      </c>
      <c r="H693" s="339" t="s">
        <v>14</v>
      </c>
      <c r="I693" s="345" t="s">
        <v>59</v>
      </c>
      <c r="J693" s="316">
        <v>41826.763888888891</v>
      </c>
      <c r="K693" s="347"/>
      <c r="L693" s="347" t="s">
        <v>377</v>
      </c>
      <c r="M693" s="348" t="s">
        <v>378</v>
      </c>
      <c r="N693" s="348" t="s">
        <v>397</v>
      </c>
      <c r="O693" s="348" t="s">
        <v>175</v>
      </c>
      <c r="P693" s="349">
        <v>24.344438170525098</v>
      </c>
      <c r="Q693" s="321" t="str">
        <f t="shared" si="34"/>
        <v/>
      </c>
      <c r="R693" s="318">
        <f t="shared" si="35"/>
        <v>41826</v>
      </c>
      <c r="S693" s="318" t="str">
        <f t="shared" si="36"/>
        <v/>
      </c>
    </row>
    <row r="694" spans="3:19" ht="27.75" customHeight="1">
      <c r="C694" s="345" t="s">
        <v>98</v>
      </c>
      <c r="D694" s="345" t="s">
        <v>373</v>
      </c>
      <c r="E694" s="345" t="s">
        <v>374</v>
      </c>
      <c r="F694" s="345" t="s">
        <v>375</v>
      </c>
      <c r="G694" s="346" t="s">
        <v>376</v>
      </c>
      <c r="H694" s="339" t="s">
        <v>14</v>
      </c>
      <c r="I694" s="345" t="s">
        <v>59</v>
      </c>
      <c r="J694" s="316">
        <v>41826.717361111114</v>
      </c>
      <c r="K694" s="347"/>
      <c r="L694" s="347" t="s">
        <v>377</v>
      </c>
      <c r="M694" s="348" t="s">
        <v>378</v>
      </c>
      <c r="N694" s="348" t="s">
        <v>397</v>
      </c>
      <c r="O694" s="348" t="s">
        <v>175</v>
      </c>
      <c r="P694" s="349">
        <v>24.3771880293619</v>
      </c>
      <c r="Q694" s="321" t="str">
        <f t="shared" si="34"/>
        <v/>
      </c>
      <c r="R694" s="318">
        <f t="shared" si="35"/>
        <v>41826</v>
      </c>
      <c r="S694" s="318" t="str">
        <f t="shared" si="36"/>
        <v/>
      </c>
    </row>
    <row r="695" spans="3:19" ht="27.75" customHeight="1">
      <c r="C695" s="345" t="s">
        <v>98</v>
      </c>
      <c r="D695" s="345" t="s">
        <v>373</v>
      </c>
      <c r="E695" s="345" t="s">
        <v>374</v>
      </c>
      <c r="F695" s="345" t="s">
        <v>375</v>
      </c>
      <c r="G695" s="346" t="s">
        <v>376</v>
      </c>
      <c r="H695" s="339" t="s">
        <v>14</v>
      </c>
      <c r="I695" s="345" t="s">
        <v>58</v>
      </c>
      <c r="J695" s="316">
        <v>41826.717361111114</v>
      </c>
      <c r="K695" s="347"/>
      <c r="L695" s="347" t="s">
        <v>377</v>
      </c>
      <c r="M695" s="348" t="s">
        <v>378</v>
      </c>
      <c r="N695" s="348" t="s">
        <v>397</v>
      </c>
      <c r="O695" s="348" t="s">
        <v>175</v>
      </c>
      <c r="P695" s="349">
        <v>24.409937888198701</v>
      </c>
      <c r="Q695" s="321" t="str">
        <f t="shared" si="34"/>
        <v/>
      </c>
      <c r="R695" s="318">
        <f t="shared" si="35"/>
        <v>41826</v>
      </c>
      <c r="S695" s="318" t="str">
        <f t="shared" si="36"/>
        <v/>
      </c>
    </row>
    <row r="696" spans="3:19" ht="27.75" customHeight="1">
      <c r="C696" s="345" t="s">
        <v>98</v>
      </c>
      <c r="D696" s="345" t="s">
        <v>373</v>
      </c>
      <c r="E696" s="345" t="s">
        <v>374</v>
      </c>
      <c r="F696" s="345" t="s">
        <v>375</v>
      </c>
      <c r="G696" s="346" t="s">
        <v>376</v>
      </c>
      <c r="H696" s="339" t="s">
        <v>14</v>
      </c>
      <c r="I696" s="345" t="s">
        <v>58</v>
      </c>
      <c r="J696" s="316">
        <v>41826.711805555555</v>
      </c>
      <c r="K696" s="347"/>
      <c r="L696" s="347" t="s">
        <v>188</v>
      </c>
      <c r="M696" s="348" t="s">
        <v>378</v>
      </c>
      <c r="N696" s="348" t="s">
        <v>397</v>
      </c>
      <c r="O696" s="348" t="s">
        <v>177</v>
      </c>
      <c r="P696" s="349">
        <v>24.442687747035599</v>
      </c>
      <c r="Q696" s="321" t="str">
        <f t="shared" si="34"/>
        <v/>
      </c>
      <c r="R696" s="318">
        <f t="shared" si="35"/>
        <v>41826</v>
      </c>
      <c r="S696" s="318" t="str">
        <f t="shared" si="36"/>
        <v/>
      </c>
    </row>
    <row r="697" spans="3:19" ht="27.75" customHeight="1">
      <c r="C697" s="345" t="s">
        <v>98</v>
      </c>
      <c r="D697" s="345" t="s">
        <v>373</v>
      </c>
      <c r="E697" s="345" t="s">
        <v>374</v>
      </c>
      <c r="F697" s="345" t="s">
        <v>375</v>
      </c>
      <c r="G697" s="346" t="s">
        <v>376</v>
      </c>
      <c r="H697" s="339" t="s">
        <v>14</v>
      </c>
      <c r="I697" s="345" t="s">
        <v>59</v>
      </c>
      <c r="J697" s="316">
        <v>41826.529861111114</v>
      </c>
      <c r="K697" s="347"/>
      <c r="L697" s="347" t="s">
        <v>377</v>
      </c>
      <c r="M697" s="348" t="s">
        <v>378</v>
      </c>
      <c r="N697" s="348" t="s">
        <v>397</v>
      </c>
      <c r="O697" s="348" t="s">
        <v>177</v>
      </c>
      <c r="P697" s="349">
        <v>24.475437605872401</v>
      </c>
      <c r="Q697" s="321" t="str">
        <f t="shared" si="34"/>
        <v/>
      </c>
      <c r="R697" s="318">
        <f t="shared" si="35"/>
        <v>41826</v>
      </c>
      <c r="S697" s="318" t="str">
        <f t="shared" si="36"/>
        <v/>
      </c>
    </row>
    <row r="698" spans="3:19" ht="27.75" customHeight="1">
      <c r="C698" s="345" t="s">
        <v>98</v>
      </c>
      <c r="D698" s="345" t="s">
        <v>373</v>
      </c>
      <c r="E698" s="345" t="s">
        <v>374</v>
      </c>
      <c r="F698" s="345" t="s">
        <v>375</v>
      </c>
      <c r="G698" s="346" t="s">
        <v>376</v>
      </c>
      <c r="H698" s="339" t="s">
        <v>14</v>
      </c>
      <c r="I698" s="345" t="s">
        <v>59</v>
      </c>
      <c r="J698" s="316">
        <v>41823.833333333336</v>
      </c>
      <c r="K698" s="347"/>
      <c r="L698" s="347" t="s">
        <v>188</v>
      </c>
      <c r="M698" s="348" t="s">
        <v>382</v>
      </c>
      <c r="N698" s="348" t="s">
        <v>382</v>
      </c>
      <c r="O698" s="348" t="s">
        <v>175</v>
      </c>
      <c r="P698" s="349">
        <v>24.508187464709199</v>
      </c>
      <c r="Q698" s="321" t="str">
        <f t="shared" si="34"/>
        <v/>
      </c>
      <c r="R698" s="318">
        <f t="shared" si="35"/>
        <v>41823</v>
      </c>
      <c r="S698" s="318" t="str">
        <f t="shared" si="36"/>
        <v/>
      </c>
    </row>
    <row r="699" spans="3:19" ht="27.75" customHeight="1">
      <c r="C699" s="345" t="s">
        <v>98</v>
      </c>
      <c r="D699" s="345" t="s">
        <v>373</v>
      </c>
      <c r="E699" s="345" t="s">
        <v>374</v>
      </c>
      <c r="F699" s="345" t="s">
        <v>375</v>
      </c>
      <c r="G699" s="346" t="s">
        <v>376</v>
      </c>
      <c r="H699" s="345" t="s">
        <v>5</v>
      </c>
      <c r="I699" s="345" t="s">
        <v>59</v>
      </c>
      <c r="J699" s="316">
        <v>41823.797222222223</v>
      </c>
      <c r="K699" s="347">
        <v>41826.797222222223</v>
      </c>
      <c r="L699" s="347" t="s">
        <v>377</v>
      </c>
      <c r="M699" s="348" t="s">
        <v>378</v>
      </c>
      <c r="N699" s="348" t="s">
        <v>397</v>
      </c>
      <c r="O699" s="348" t="s">
        <v>175</v>
      </c>
      <c r="P699" s="349">
        <v>24.540937323546</v>
      </c>
      <c r="Q699" s="321">
        <f t="shared" si="34"/>
        <v>3</v>
      </c>
      <c r="R699" s="318">
        <f t="shared" si="35"/>
        <v>41823</v>
      </c>
      <c r="S699" s="318">
        <f t="shared" si="36"/>
        <v>41826</v>
      </c>
    </row>
    <row r="700" spans="3:19" ht="27.75" customHeight="1">
      <c r="C700" s="345" t="s">
        <v>98</v>
      </c>
      <c r="D700" s="345" t="s">
        <v>373</v>
      </c>
      <c r="E700" s="345" t="s">
        <v>374</v>
      </c>
      <c r="F700" s="345" t="s">
        <v>375</v>
      </c>
      <c r="G700" s="346" t="s">
        <v>376</v>
      </c>
      <c r="H700" s="339" t="s">
        <v>14</v>
      </c>
      <c r="I700" s="345" t="s">
        <v>59</v>
      </c>
      <c r="J700" s="316">
        <v>41823.796527777777</v>
      </c>
      <c r="K700" s="347"/>
      <c r="L700" s="347" t="s">
        <v>188</v>
      </c>
      <c r="M700" s="348" t="s">
        <v>382</v>
      </c>
      <c r="N700" s="348" t="s">
        <v>382</v>
      </c>
      <c r="O700" s="348" t="s">
        <v>175</v>
      </c>
      <c r="P700" s="349">
        <v>24.573687182382798</v>
      </c>
      <c r="Q700" s="321" t="str">
        <f t="shared" si="34"/>
        <v/>
      </c>
      <c r="R700" s="318">
        <f t="shared" si="35"/>
        <v>41823</v>
      </c>
      <c r="S700" s="318" t="str">
        <f t="shared" si="36"/>
        <v/>
      </c>
    </row>
    <row r="701" spans="3:19" ht="27.75" customHeight="1">
      <c r="C701" s="345" t="s">
        <v>98</v>
      </c>
      <c r="D701" s="345" t="s">
        <v>373</v>
      </c>
      <c r="E701" s="345" t="s">
        <v>374</v>
      </c>
      <c r="F701" s="345" t="s">
        <v>375</v>
      </c>
      <c r="G701" s="346" t="s">
        <v>376</v>
      </c>
      <c r="H701" s="345" t="s">
        <v>5</v>
      </c>
      <c r="I701" s="345" t="s">
        <v>59</v>
      </c>
      <c r="J701" s="316">
        <v>41823.796527777777</v>
      </c>
      <c r="K701" s="347">
        <v>41827.796527777777</v>
      </c>
      <c r="L701" s="347" t="s">
        <v>377</v>
      </c>
      <c r="M701" s="348" t="s">
        <v>378</v>
      </c>
      <c r="N701" s="348" t="s">
        <v>397</v>
      </c>
      <c r="O701" s="348" t="s">
        <v>177</v>
      </c>
      <c r="P701" s="349">
        <v>24.6064370412196</v>
      </c>
      <c r="Q701" s="321">
        <f t="shared" si="34"/>
        <v>4</v>
      </c>
      <c r="R701" s="318">
        <f t="shared" si="35"/>
        <v>41823</v>
      </c>
      <c r="S701" s="318">
        <f t="shared" si="36"/>
        <v>41827</v>
      </c>
    </row>
    <row r="702" spans="3:19" ht="27.75" customHeight="1">
      <c r="C702" s="345" t="s">
        <v>98</v>
      </c>
      <c r="D702" s="345" t="s">
        <v>373</v>
      </c>
      <c r="E702" s="345" t="s">
        <v>374</v>
      </c>
      <c r="F702" s="345" t="s">
        <v>375</v>
      </c>
      <c r="G702" s="346" t="s">
        <v>376</v>
      </c>
      <c r="H702" s="345" t="s">
        <v>5</v>
      </c>
      <c r="I702" s="345" t="s">
        <v>59</v>
      </c>
      <c r="J702" s="316">
        <v>41823.79583333333</v>
      </c>
      <c r="K702" s="347">
        <v>41830.79583333333</v>
      </c>
      <c r="L702" s="347" t="s">
        <v>188</v>
      </c>
      <c r="M702" s="348" t="s">
        <v>382</v>
      </c>
      <c r="N702" s="348" t="s">
        <v>382</v>
      </c>
      <c r="O702" s="348" t="s">
        <v>177</v>
      </c>
      <c r="P702" s="349">
        <v>24.639186900056401</v>
      </c>
      <c r="Q702" s="321">
        <f t="shared" si="34"/>
        <v>7</v>
      </c>
      <c r="R702" s="318">
        <f t="shared" si="35"/>
        <v>41823</v>
      </c>
      <c r="S702" s="318">
        <f t="shared" si="36"/>
        <v>41830</v>
      </c>
    </row>
    <row r="703" spans="3:19" ht="27.75" customHeight="1">
      <c r="C703" s="345" t="s">
        <v>98</v>
      </c>
      <c r="D703" s="345" t="s">
        <v>373</v>
      </c>
      <c r="E703" s="345" t="s">
        <v>374</v>
      </c>
      <c r="F703" s="345" t="s">
        <v>375</v>
      </c>
      <c r="G703" s="346" t="s">
        <v>376</v>
      </c>
      <c r="H703" s="345" t="s">
        <v>5</v>
      </c>
      <c r="I703" s="345" t="s">
        <v>59</v>
      </c>
      <c r="J703" s="316">
        <v>41823.795138888891</v>
      </c>
      <c r="K703" s="347">
        <v>41830.795138888891</v>
      </c>
      <c r="L703" s="347" t="s">
        <v>377</v>
      </c>
      <c r="M703" s="348" t="s">
        <v>378</v>
      </c>
      <c r="N703" s="348" t="s">
        <v>397</v>
      </c>
      <c r="O703" s="348" t="s">
        <v>177</v>
      </c>
      <c r="P703" s="349">
        <v>24.671936758893299</v>
      </c>
      <c r="Q703" s="321">
        <f t="shared" si="34"/>
        <v>7</v>
      </c>
      <c r="R703" s="318">
        <f t="shared" si="35"/>
        <v>41823</v>
      </c>
      <c r="S703" s="318">
        <f t="shared" si="36"/>
        <v>41830</v>
      </c>
    </row>
    <row r="704" spans="3:19" ht="27.75" customHeight="1">
      <c r="C704" s="345" t="s">
        <v>98</v>
      </c>
      <c r="D704" s="345" t="s">
        <v>373</v>
      </c>
      <c r="E704" s="345" t="s">
        <v>374</v>
      </c>
      <c r="F704" s="345" t="s">
        <v>375</v>
      </c>
      <c r="G704" s="346" t="s">
        <v>376</v>
      </c>
      <c r="H704" s="339" t="s">
        <v>14</v>
      </c>
      <c r="I704" s="345" t="s">
        <v>59</v>
      </c>
      <c r="J704" s="316">
        <v>41823.795138888891</v>
      </c>
      <c r="K704" s="347"/>
      <c r="L704" s="347" t="s">
        <v>377</v>
      </c>
      <c r="M704" s="348" t="s">
        <v>378</v>
      </c>
      <c r="N704" s="348" t="s">
        <v>397</v>
      </c>
      <c r="O704" s="348" t="s">
        <v>177</v>
      </c>
      <c r="P704" s="349">
        <v>24.704686617730101</v>
      </c>
      <c r="Q704" s="321" t="str">
        <f t="shared" si="34"/>
        <v/>
      </c>
      <c r="R704" s="318">
        <f t="shared" si="35"/>
        <v>41823</v>
      </c>
      <c r="S704" s="318" t="str">
        <f t="shared" si="36"/>
        <v/>
      </c>
    </row>
    <row r="705" spans="3:19" ht="27.75" customHeight="1">
      <c r="C705" s="345" t="s">
        <v>98</v>
      </c>
      <c r="D705" s="345" t="s">
        <v>373</v>
      </c>
      <c r="E705" s="345" t="s">
        <v>374</v>
      </c>
      <c r="F705" s="345" t="s">
        <v>375</v>
      </c>
      <c r="G705" s="346" t="s">
        <v>376</v>
      </c>
      <c r="H705" s="339" t="s">
        <v>14</v>
      </c>
      <c r="I705" s="345" t="s">
        <v>59</v>
      </c>
      <c r="J705" s="316">
        <v>41823.793749999997</v>
      </c>
      <c r="K705" s="347"/>
      <c r="L705" s="347" t="s">
        <v>377</v>
      </c>
      <c r="M705" s="348" t="s">
        <v>378</v>
      </c>
      <c r="N705" s="348" t="s">
        <v>397</v>
      </c>
      <c r="O705" s="348" t="s">
        <v>177</v>
      </c>
      <c r="P705" s="349">
        <v>24.737436476566899</v>
      </c>
      <c r="Q705" s="321" t="str">
        <f t="shared" si="34"/>
        <v/>
      </c>
      <c r="R705" s="318">
        <f t="shared" si="35"/>
        <v>41823</v>
      </c>
      <c r="S705" s="318" t="str">
        <f t="shared" si="36"/>
        <v/>
      </c>
    </row>
    <row r="706" spans="3:19" ht="27.75" customHeight="1">
      <c r="C706" s="345" t="s">
        <v>98</v>
      </c>
      <c r="D706" s="345" t="s">
        <v>373</v>
      </c>
      <c r="E706" s="345" t="s">
        <v>374</v>
      </c>
      <c r="F706" s="345" t="s">
        <v>375</v>
      </c>
      <c r="G706" s="346" t="s">
        <v>376</v>
      </c>
      <c r="H706" s="339" t="s">
        <v>14</v>
      </c>
      <c r="I706" s="345" t="s">
        <v>59</v>
      </c>
      <c r="J706" s="316">
        <v>41823.793055555558</v>
      </c>
      <c r="K706" s="347"/>
      <c r="L706" s="347" t="s">
        <v>377</v>
      </c>
      <c r="M706" s="348" t="s">
        <v>378</v>
      </c>
      <c r="N706" s="348" t="s">
        <v>397</v>
      </c>
      <c r="O706" s="348" t="s">
        <v>177</v>
      </c>
      <c r="P706" s="349">
        <v>24.7701863354037</v>
      </c>
      <c r="Q706" s="321" t="str">
        <f t="shared" si="34"/>
        <v/>
      </c>
      <c r="R706" s="318">
        <f t="shared" si="35"/>
        <v>41823</v>
      </c>
      <c r="S706" s="318" t="str">
        <f t="shared" si="36"/>
        <v/>
      </c>
    </row>
    <row r="707" spans="3:19" ht="27.75" customHeight="1">
      <c r="C707" s="345" t="s">
        <v>98</v>
      </c>
      <c r="D707" s="345" t="s">
        <v>373</v>
      </c>
      <c r="E707" s="345" t="s">
        <v>374</v>
      </c>
      <c r="F707" s="345" t="s">
        <v>375</v>
      </c>
      <c r="G707" s="346" t="s">
        <v>376</v>
      </c>
      <c r="H707" s="345" t="s">
        <v>14</v>
      </c>
      <c r="I707" s="345" t="s">
        <v>59</v>
      </c>
      <c r="J707" s="316">
        <v>41823.792361111111</v>
      </c>
      <c r="K707" s="347"/>
      <c r="L707" s="347" t="s">
        <v>378</v>
      </c>
      <c r="M707" s="348" t="s">
        <v>382</v>
      </c>
      <c r="N707" s="348" t="s">
        <v>382</v>
      </c>
      <c r="O707" s="348" t="s">
        <v>175</v>
      </c>
      <c r="P707" s="349">
        <v>24.802936194240498</v>
      </c>
      <c r="Q707" s="321" t="str">
        <f t="shared" si="34"/>
        <v/>
      </c>
      <c r="R707" s="318">
        <f t="shared" si="35"/>
        <v>41823</v>
      </c>
      <c r="S707" s="318" t="str">
        <f t="shared" si="36"/>
        <v/>
      </c>
    </row>
    <row r="708" spans="3:19" ht="27.75" customHeight="1">
      <c r="C708" s="345" t="s">
        <v>98</v>
      </c>
      <c r="D708" s="345" t="s">
        <v>373</v>
      </c>
      <c r="E708" s="345" t="s">
        <v>374</v>
      </c>
      <c r="F708" s="345" t="s">
        <v>375</v>
      </c>
      <c r="G708" s="346" t="s">
        <v>376</v>
      </c>
      <c r="H708" s="339" t="s">
        <v>14</v>
      </c>
      <c r="I708" s="345" t="s">
        <v>59</v>
      </c>
      <c r="J708" s="316">
        <v>41823.790972222225</v>
      </c>
      <c r="K708" s="347"/>
      <c r="L708" s="347" t="s">
        <v>378</v>
      </c>
      <c r="M708" s="348" t="s">
        <v>382</v>
      </c>
      <c r="N708" s="348" t="s">
        <v>382</v>
      </c>
      <c r="O708" s="348" t="s">
        <v>175</v>
      </c>
      <c r="P708" s="349">
        <v>24.8356860530773</v>
      </c>
      <c r="Q708" s="321" t="str">
        <f t="shared" si="34"/>
        <v/>
      </c>
      <c r="R708" s="318">
        <f t="shared" si="35"/>
        <v>41823</v>
      </c>
      <c r="S708" s="318" t="str">
        <f t="shared" si="36"/>
        <v/>
      </c>
    </row>
    <row r="709" spans="3:19" ht="27.75" customHeight="1">
      <c r="C709" s="345" t="s">
        <v>98</v>
      </c>
      <c r="D709" s="345" t="s">
        <v>373</v>
      </c>
      <c r="E709" s="345" t="s">
        <v>374</v>
      </c>
      <c r="F709" s="345" t="s">
        <v>375</v>
      </c>
      <c r="G709" s="346" t="s">
        <v>376</v>
      </c>
      <c r="H709" s="339" t="s">
        <v>14</v>
      </c>
      <c r="I709" s="345" t="s">
        <v>59</v>
      </c>
      <c r="J709" s="316">
        <v>41823.790972222225</v>
      </c>
      <c r="K709" s="347"/>
      <c r="L709" s="347" t="s">
        <v>377</v>
      </c>
      <c r="M709" s="348" t="s">
        <v>378</v>
      </c>
      <c r="N709" s="348" t="s">
        <v>397</v>
      </c>
      <c r="O709" s="348" t="s">
        <v>175</v>
      </c>
      <c r="P709" s="349">
        <v>24.868435911914201</v>
      </c>
      <c r="Q709" s="321" t="str">
        <f t="shared" si="34"/>
        <v/>
      </c>
      <c r="R709" s="318">
        <f t="shared" si="35"/>
        <v>41823</v>
      </c>
      <c r="S709" s="318" t="str">
        <f t="shared" si="36"/>
        <v/>
      </c>
    </row>
    <row r="710" spans="3:19" ht="27.75" customHeight="1">
      <c r="C710" s="345" t="s">
        <v>98</v>
      </c>
      <c r="D710" s="345" t="s">
        <v>373</v>
      </c>
      <c r="E710" s="345" t="s">
        <v>374</v>
      </c>
      <c r="F710" s="345" t="s">
        <v>375</v>
      </c>
      <c r="G710" s="346" t="s">
        <v>376</v>
      </c>
      <c r="H710" s="345" t="s">
        <v>5</v>
      </c>
      <c r="I710" s="345" t="s">
        <v>59</v>
      </c>
      <c r="J710" s="316">
        <v>41823.790277777778</v>
      </c>
      <c r="K710" s="347">
        <v>41826.790277777778</v>
      </c>
      <c r="L710" s="347" t="s">
        <v>188</v>
      </c>
      <c r="M710" s="348" t="s">
        <v>378</v>
      </c>
      <c r="N710" s="348" t="s">
        <v>397</v>
      </c>
      <c r="O710" s="348" t="s">
        <v>175</v>
      </c>
      <c r="P710" s="349">
        <v>24.901185770750999</v>
      </c>
      <c r="Q710" s="321">
        <f t="shared" si="34"/>
        <v>3</v>
      </c>
      <c r="R710" s="318">
        <f t="shared" si="35"/>
        <v>41823</v>
      </c>
      <c r="S710" s="318">
        <f t="shared" si="36"/>
        <v>41826</v>
      </c>
    </row>
    <row r="711" spans="3:19" ht="27.75" customHeight="1">
      <c r="C711" s="345" t="s">
        <v>98</v>
      </c>
      <c r="D711" s="345" t="s">
        <v>373</v>
      </c>
      <c r="E711" s="345" t="s">
        <v>374</v>
      </c>
      <c r="F711" s="345" t="s">
        <v>375</v>
      </c>
      <c r="G711" s="346" t="s">
        <v>376</v>
      </c>
      <c r="H711" s="339" t="s">
        <v>14</v>
      </c>
      <c r="I711" s="345" t="s">
        <v>59</v>
      </c>
      <c r="J711" s="316">
        <v>41823.789583333331</v>
      </c>
      <c r="K711" s="347"/>
      <c r="L711" s="347" t="s">
        <v>377</v>
      </c>
      <c r="M711" s="348" t="s">
        <v>390</v>
      </c>
      <c r="N711" s="348" t="s">
        <v>390</v>
      </c>
      <c r="O711" s="348" t="s">
        <v>175</v>
      </c>
      <c r="P711" s="349">
        <v>24.933935629587801</v>
      </c>
      <c r="Q711" s="321" t="str">
        <f t="shared" si="34"/>
        <v/>
      </c>
      <c r="R711" s="318">
        <f t="shared" si="35"/>
        <v>41823</v>
      </c>
      <c r="S711" s="318" t="str">
        <f t="shared" si="36"/>
        <v/>
      </c>
    </row>
    <row r="712" spans="3:19" ht="27.75" customHeight="1">
      <c r="C712" s="345" t="s">
        <v>98</v>
      </c>
      <c r="D712" s="345" t="s">
        <v>373</v>
      </c>
      <c r="E712" s="345" t="s">
        <v>374</v>
      </c>
      <c r="F712" s="345" t="s">
        <v>375</v>
      </c>
      <c r="G712" s="346" t="s">
        <v>376</v>
      </c>
      <c r="H712" s="345" t="s">
        <v>5</v>
      </c>
      <c r="I712" s="345" t="s">
        <v>59</v>
      </c>
      <c r="J712" s="316">
        <v>41823.788888888892</v>
      </c>
      <c r="K712" s="347">
        <v>41829.788888888892</v>
      </c>
      <c r="L712" s="347" t="s">
        <v>377</v>
      </c>
      <c r="M712" s="348" t="s">
        <v>390</v>
      </c>
      <c r="N712" s="348" t="s">
        <v>390</v>
      </c>
      <c r="O712" s="348" t="s">
        <v>175</v>
      </c>
      <c r="P712" s="349">
        <v>24.966685488424599</v>
      </c>
      <c r="Q712" s="321">
        <f t="shared" si="34"/>
        <v>6</v>
      </c>
      <c r="R712" s="318">
        <f t="shared" si="35"/>
        <v>41823</v>
      </c>
      <c r="S712" s="318">
        <f t="shared" si="36"/>
        <v>41829</v>
      </c>
    </row>
    <row r="713" spans="3:19" ht="27.75" customHeight="1">
      <c r="C713" s="345" t="s">
        <v>98</v>
      </c>
      <c r="D713" s="345" t="s">
        <v>373</v>
      </c>
      <c r="E713" s="345" t="s">
        <v>374</v>
      </c>
      <c r="F713" s="345" t="s">
        <v>375</v>
      </c>
      <c r="G713" s="346" t="s">
        <v>376</v>
      </c>
      <c r="H713" s="345" t="s">
        <v>14</v>
      </c>
      <c r="I713" s="345" t="s">
        <v>59</v>
      </c>
      <c r="J713" s="316">
        <v>41823.788194444445</v>
      </c>
      <c r="K713" s="347"/>
      <c r="L713" s="347" t="s">
        <v>377</v>
      </c>
      <c r="M713" s="348" t="s">
        <v>378</v>
      </c>
      <c r="N713" s="348" t="s">
        <v>397</v>
      </c>
      <c r="O713" s="348" t="s">
        <v>175</v>
      </c>
      <c r="P713" s="349">
        <v>24.9994353472614</v>
      </c>
      <c r="Q713" s="321" t="str">
        <f t="shared" si="34"/>
        <v/>
      </c>
      <c r="R713" s="318">
        <f t="shared" si="35"/>
        <v>41823</v>
      </c>
      <c r="S713" s="318" t="str">
        <f t="shared" si="36"/>
        <v/>
      </c>
    </row>
    <row r="714" spans="3:19" ht="27.75" customHeight="1">
      <c r="C714" s="345" t="s">
        <v>98</v>
      </c>
      <c r="D714" s="345" t="s">
        <v>373</v>
      </c>
      <c r="E714" s="345" t="s">
        <v>374</v>
      </c>
      <c r="F714" s="345" t="s">
        <v>375</v>
      </c>
      <c r="G714" s="346" t="s">
        <v>376</v>
      </c>
      <c r="H714" s="339" t="s">
        <v>14</v>
      </c>
      <c r="I714" s="345" t="s">
        <v>59</v>
      </c>
      <c r="J714" s="316">
        <v>41823.786805555559</v>
      </c>
      <c r="K714" s="347"/>
      <c r="L714" s="347" t="s">
        <v>377</v>
      </c>
      <c r="M714" s="348" t="s">
        <v>378</v>
      </c>
      <c r="N714" s="348" t="s">
        <v>397</v>
      </c>
      <c r="O714" s="348" t="s">
        <v>175</v>
      </c>
      <c r="P714" s="349">
        <v>25.032185206098202</v>
      </c>
      <c r="Q714" s="321" t="str">
        <f t="shared" si="34"/>
        <v/>
      </c>
      <c r="R714" s="318">
        <f t="shared" si="35"/>
        <v>41823</v>
      </c>
      <c r="S714" s="318" t="str">
        <f t="shared" si="36"/>
        <v/>
      </c>
    </row>
    <row r="715" spans="3:19" ht="27.75" customHeight="1">
      <c r="C715" s="345" t="s">
        <v>98</v>
      </c>
      <c r="D715" s="345" t="s">
        <v>373</v>
      </c>
      <c r="E715" s="345" t="s">
        <v>374</v>
      </c>
      <c r="F715" s="345" t="s">
        <v>375</v>
      </c>
      <c r="G715" s="346" t="s">
        <v>376</v>
      </c>
      <c r="H715" s="345" t="s">
        <v>14</v>
      </c>
      <c r="I715" s="345" t="s">
        <v>59</v>
      </c>
      <c r="J715" s="316">
        <v>41823.786805555559</v>
      </c>
      <c r="K715" s="347"/>
      <c r="L715" s="347" t="s">
        <v>188</v>
      </c>
      <c r="M715" s="348" t="s">
        <v>382</v>
      </c>
      <c r="N715" s="348" t="s">
        <v>382</v>
      </c>
      <c r="O715" s="348" t="s">
        <v>175</v>
      </c>
      <c r="P715" s="349">
        <v>25.064935064935</v>
      </c>
      <c r="Q715" s="321" t="str">
        <f t="shared" si="34"/>
        <v/>
      </c>
      <c r="R715" s="318">
        <f t="shared" si="35"/>
        <v>41823</v>
      </c>
      <c r="S715" s="318" t="str">
        <f t="shared" si="36"/>
        <v/>
      </c>
    </row>
    <row r="716" spans="3:19" ht="27.75" customHeight="1">
      <c r="C716" s="345" t="s">
        <v>98</v>
      </c>
      <c r="D716" s="345" t="s">
        <v>373</v>
      </c>
      <c r="E716" s="345" t="s">
        <v>374</v>
      </c>
      <c r="F716" s="345" t="s">
        <v>375</v>
      </c>
      <c r="G716" s="346" t="s">
        <v>376</v>
      </c>
      <c r="H716" s="345" t="s">
        <v>5</v>
      </c>
      <c r="I716" s="345" t="s">
        <v>59</v>
      </c>
      <c r="J716" s="316">
        <v>41823.785416666666</v>
      </c>
      <c r="K716" s="347">
        <v>41827.785416666666</v>
      </c>
      <c r="L716" s="347" t="s">
        <v>188</v>
      </c>
      <c r="M716" s="348" t="s">
        <v>378</v>
      </c>
      <c r="N716" s="348" t="s">
        <v>397</v>
      </c>
      <c r="O716" s="348" t="s">
        <v>175</v>
      </c>
      <c r="P716" s="349">
        <v>25.097684923771901</v>
      </c>
      <c r="Q716" s="321">
        <f t="shared" si="34"/>
        <v>4</v>
      </c>
      <c r="R716" s="318">
        <f t="shared" si="35"/>
        <v>41823</v>
      </c>
      <c r="S716" s="318">
        <f t="shared" si="36"/>
        <v>41827</v>
      </c>
    </row>
    <row r="717" spans="3:19" ht="27.75" customHeight="1">
      <c r="C717" s="345" t="s">
        <v>98</v>
      </c>
      <c r="D717" s="345" t="s">
        <v>373</v>
      </c>
      <c r="E717" s="345" t="s">
        <v>374</v>
      </c>
      <c r="F717" s="345" t="s">
        <v>375</v>
      </c>
      <c r="G717" s="346" t="s">
        <v>376</v>
      </c>
      <c r="H717" s="345" t="s">
        <v>5</v>
      </c>
      <c r="I717" s="345" t="s">
        <v>59</v>
      </c>
      <c r="J717" s="316">
        <v>41823.785416666666</v>
      </c>
      <c r="K717" s="347">
        <v>41826.785416666666</v>
      </c>
      <c r="L717" s="347" t="s">
        <v>377</v>
      </c>
      <c r="M717" s="348" t="s">
        <v>378</v>
      </c>
      <c r="N717" s="348" t="s">
        <v>397</v>
      </c>
      <c r="O717" s="348" t="s">
        <v>175</v>
      </c>
      <c r="P717" s="349">
        <v>25.130434782608699</v>
      </c>
      <c r="Q717" s="321">
        <f t="shared" si="34"/>
        <v>3</v>
      </c>
      <c r="R717" s="318">
        <f t="shared" si="35"/>
        <v>41823</v>
      </c>
      <c r="S717" s="318">
        <f t="shared" si="36"/>
        <v>41826</v>
      </c>
    </row>
    <row r="718" spans="3:19" ht="27.75" customHeight="1">
      <c r="C718" s="345" t="s">
        <v>98</v>
      </c>
      <c r="D718" s="345" t="s">
        <v>373</v>
      </c>
      <c r="E718" s="345" t="s">
        <v>374</v>
      </c>
      <c r="F718" s="345" t="s">
        <v>375</v>
      </c>
      <c r="G718" s="346" t="s">
        <v>376</v>
      </c>
      <c r="H718" s="339" t="s">
        <v>14</v>
      </c>
      <c r="I718" s="345" t="s">
        <v>59</v>
      </c>
      <c r="J718" s="316">
        <v>41823.784722222219</v>
      </c>
      <c r="K718" s="347"/>
      <c r="L718" s="347" t="s">
        <v>377</v>
      </c>
      <c r="M718" s="348" t="s">
        <v>378</v>
      </c>
      <c r="N718" s="348" t="s">
        <v>397</v>
      </c>
      <c r="O718" s="348" t="s">
        <v>177</v>
      </c>
      <c r="P718" s="349">
        <v>25.1631846414455</v>
      </c>
      <c r="Q718" s="321" t="str">
        <f t="shared" si="34"/>
        <v/>
      </c>
      <c r="R718" s="318">
        <f t="shared" si="35"/>
        <v>41823</v>
      </c>
      <c r="S718" s="318" t="str">
        <f t="shared" si="36"/>
        <v/>
      </c>
    </row>
    <row r="719" spans="3:19" ht="27.75" customHeight="1">
      <c r="C719" s="345" t="s">
        <v>98</v>
      </c>
      <c r="D719" s="345" t="s">
        <v>373</v>
      </c>
      <c r="E719" s="345" t="s">
        <v>374</v>
      </c>
      <c r="F719" s="345" t="s">
        <v>375</v>
      </c>
      <c r="G719" s="346" t="s">
        <v>376</v>
      </c>
      <c r="H719" s="345" t="s">
        <v>5</v>
      </c>
      <c r="I719" s="345" t="s">
        <v>59</v>
      </c>
      <c r="J719" s="316">
        <v>41823.783333333333</v>
      </c>
      <c r="K719" s="347">
        <v>41826.783333333333</v>
      </c>
      <c r="L719" s="347" t="s">
        <v>377</v>
      </c>
      <c r="M719" s="348" t="s">
        <v>378</v>
      </c>
      <c r="N719" s="348" t="s">
        <v>397</v>
      </c>
      <c r="O719" s="348" t="s">
        <v>177</v>
      </c>
      <c r="P719" s="349">
        <v>25.195934500282299</v>
      </c>
      <c r="Q719" s="321">
        <f t="shared" si="34"/>
        <v>3</v>
      </c>
      <c r="R719" s="318">
        <f t="shared" si="35"/>
        <v>41823</v>
      </c>
      <c r="S719" s="318">
        <f t="shared" si="36"/>
        <v>41826</v>
      </c>
    </row>
    <row r="720" spans="3:19" ht="27.75" customHeight="1">
      <c r="C720" s="345" t="s">
        <v>98</v>
      </c>
      <c r="D720" s="345" t="s">
        <v>373</v>
      </c>
      <c r="E720" s="345" t="s">
        <v>374</v>
      </c>
      <c r="F720" s="345" t="s">
        <v>375</v>
      </c>
      <c r="G720" s="346" t="s">
        <v>376</v>
      </c>
      <c r="H720" s="345" t="s">
        <v>140</v>
      </c>
      <c r="I720" s="345" t="s">
        <v>59</v>
      </c>
      <c r="J720" s="316">
        <v>41823.781944444447</v>
      </c>
      <c r="K720" s="347"/>
      <c r="L720" s="347" t="s">
        <v>377</v>
      </c>
      <c r="M720" s="348" t="s">
        <v>378</v>
      </c>
      <c r="N720" s="348" t="s">
        <v>397</v>
      </c>
      <c r="O720" s="348" t="s">
        <v>175</v>
      </c>
      <c r="P720" s="349">
        <v>25.2286843591191</v>
      </c>
      <c r="Q720" s="321" t="str">
        <f t="shared" si="34"/>
        <v/>
      </c>
      <c r="R720" s="318">
        <f t="shared" si="35"/>
        <v>41823</v>
      </c>
      <c r="S720" s="318" t="str">
        <f t="shared" si="36"/>
        <v/>
      </c>
    </row>
    <row r="721" spans="3:19" ht="27.75" customHeight="1">
      <c r="C721" s="345" t="s">
        <v>98</v>
      </c>
      <c r="D721" s="345" t="s">
        <v>373</v>
      </c>
      <c r="E721" s="345" t="s">
        <v>374</v>
      </c>
      <c r="F721" s="345" t="s">
        <v>375</v>
      </c>
      <c r="G721" s="346" t="s">
        <v>376</v>
      </c>
      <c r="H721" s="339" t="s">
        <v>14</v>
      </c>
      <c r="I721" s="345" t="s">
        <v>59</v>
      </c>
      <c r="J721" s="316">
        <v>41823.78125</v>
      </c>
      <c r="K721" s="347"/>
      <c r="L721" s="347" t="s">
        <v>377</v>
      </c>
      <c r="M721" s="348" t="s">
        <v>378</v>
      </c>
      <c r="N721" s="348" t="s">
        <v>397</v>
      </c>
      <c r="O721" s="348" t="s">
        <v>175</v>
      </c>
      <c r="P721" s="349">
        <v>25.261434217955902</v>
      </c>
      <c r="Q721" s="321" t="str">
        <f t="shared" si="34"/>
        <v/>
      </c>
      <c r="R721" s="318">
        <f t="shared" si="35"/>
        <v>41823</v>
      </c>
      <c r="S721" s="318" t="str">
        <f t="shared" si="36"/>
        <v/>
      </c>
    </row>
    <row r="722" spans="3:19" ht="27.75" customHeight="1">
      <c r="C722" s="345" t="s">
        <v>98</v>
      </c>
      <c r="D722" s="345" t="s">
        <v>373</v>
      </c>
      <c r="E722" s="345" t="s">
        <v>374</v>
      </c>
      <c r="F722" s="345" t="s">
        <v>375</v>
      </c>
      <c r="G722" s="346" t="s">
        <v>376</v>
      </c>
      <c r="H722" s="345" t="s">
        <v>5</v>
      </c>
      <c r="I722" s="345" t="s">
        <v>59</v>
      </c>
      <c r="J722" s="316">
        <v>41823.780555555553</v>
      </c>
      <c r="K722" s="347">
        <v>41828.780555555553</v>
      </c>
      <c r="L722" s="347" t="s">
        <v>377</v>
      </c>
      <c r="M722" s="348" t="s">
        <v>378</v>
      </c>
      <c r="N722" s="348" t="s">
        <v>400</v>
      </c>
      <c r="O722" s="348" t="s">
        <v>175</v>
      </c>
      <c r="P722" s="349">
        <v>25.294184076792799</v>
      </c>
      <c r="Q722" s="321">
        <f t="shared" si="34"/>
        <v>5</v>
      </c>
      <c r="R722" s="318">
        <f t="shared" si="35"/>
        <v>41823</v>
      </c>
      <c r="S722" s="318">
        <f t="shared" si="36"/>
        <v>41828</v>
      </c>
    </row>
    <row r="723" spans="3:19" ht="27.75" customHeight="1">
      <c r="C723" s="345" t="s">
        <v>98</v>
      </c>
      <c r="D723" s="345" t="s">
        <v>373</v>
      </c>
      <c r="E723" s="345" t="s">
        <v>374</v>
      </c>
      <c r="F723" s="345" t="s">
        <v>375</v>
      </c>
      <c r="G723" s="346" t="s">
        <v>376</v>
      </c>
      <c r="H723" s="345" t="s">
        <v>5</v>
      </c>
      <c r="I723" s="345" t="s">
        <v>59</v>
      </c>
      <c r="J723" s="316">
        <v>41823.780555555553</v>
      </c>
      <c r="K723" s="347">
        <v>41826.780555555553</v>
      </c>
      <c r="L723" s="347" t="s">
        <v>377</v>
      </c>
      <c r="M723" s="348" t="s">
        <v>378</v>
      </c>
      <c r="N723" s="348" t="s">
        <v>400</v>
      </c>
      <c r="O723" s="348" t="s">
        <v>177</v>
      </c>
      <c r="P723" s="349">
        <v>25.326933935629601</v>
      </c>
      <c r="Q723" s="321">
        <f t="shared" si="34"/>
        <v>3</v>
      </c>
      <c r="R723" s="318">
        <f t="shared" si="35"/>
        <v>41823</v>
      </c>
      <c r="S723" s="318">
        <f t="shared" si="36"/>
        <v>41826</v>
      </c>
    </row>
    <row r="724" spans="3:19" ht="27.75" customHeight="1">
      <c r="C724" s="345" t="s">
        <v>98</v>
      </c>
      <c r="D724" s="345" t="s">
        <v>373</v>
      </c>
      <c r="E724" s="345" t="s">
        <v>374</v>
      </c>
      <c r="F724" s="345" t="s">
        <v>375</v>
      </c>
      <c r="G724" s="346" t="s">
        <v>376</v>
      </c>
      <c r="H724" s="339" t="s">
        <v>14</v>
      </c>
      <c r="I724" s="345" t="s">
        <v>59</v>
      </c>
      <c r="J724" s="316">
        <v>41823.77847222222</v>
      </c>
      <c r="K724" s="347"/>
      <c r="L724" s="347" t="s">
        <v>377</v>
      </c>
      <c r="M724" s="348" t="s">
        <v>378</v>
      </c>
      <c r="N724" s="348" t="s">
        <v>400</v>
      </c>
      <c r="O724" s="348" t="s">
        <v>177</v>
      </c>
      <c r="P724" s="349">
        <v>25.359683794466399</v>
      </c>
      <c r="Q724" s="321" t="str">
        <f t="shared" si="34"/>
        <v/>
      </c>
      <c r="R724" s="318">
        <f t="shared" si="35"/>
        <v>41823</v>
      </c>
      <c r="S724" s="318" t="str">
        <f t="shared" si="36"/>
        <v/>
      </c>
    </row>
    <row r="725" spans="3:19" ht="27.75" customHeight="1">
      <c r="C725" s="345" t="s">
        <v>98</v>
      </c>
      <c r="D725" s="345" t="s">
        <v>373</v>
      </c>
      <c r="E725" s="345" t="s">
        <v>374</v>
      </c>
      <c r="F725" s="345" t="s">
        <v>375</v>
      </c>
      <c r="G725" s="346" t="s">
        <v>376</v>
      </c>
      <c r="H725" s="339" t="s">
        <v>14</v>
      </c>
      <c r="I725" s="345" t="s">
        <v>59</v>
      </c>
      <c r="J725" s="316">
        <v>41823.777777777781</v>
      </c>
      <c r="K725" s="347"/>
      <c r="L725" s="347" t="s">
        <v>378</v>
      </c>
      <c r="M725" s="348" t="s">
        <v>382</v>
      </c>
      <c r="N725" s="348" t="s">
        <v>382</v>
      </c>
      <c r="O725" s="348" t="s">
        <v>177</v>
      </c>
      <c r="P725" s="349">
        <v>25.3924336533032</v>
      </c>
      <c r="Q725" s="321" t="str">
        <f t="shared" si="34"/>
        <v/>
      </c>
      <c r="R725" s="318">
        <f t="shared" si="35"/>
        <v>41823</v>
      </c>
      <c r="S725" s="318" t="str">
        <f t="shared" si="36"/>
        <v/>
      </c>
    </row>
    <row r="726" spans="3:19" ht="27.75" customHeight="1">
      <c r="C726" s="345" t="s">
        <v>98</v>
      </c>
      <c r="D726" s="345" t="s">
        <v>373</v>
      </c>
      <c r="E726" s="345" t="s">
        <v>374</v>
      </c>
      <c r="F726" s="345" t="s">
        <v>375</v>
      </c>
      <c r="G726" s="346" t="s">
        <v>376</v>
      </c>
      <c r="H726" s="339" t="s">
        <v>14</v>
      </c>
      <c r="I726" s="345" t="s">
        <v>59</v>
      </c>
      <c r="J726" s="316">
        <v>41823.776388888888</v>
      </c>
      <c r="K726" s="347"/>
      <c r="L726" s="347" t="s">
        <v>378</v>
      </c>
      <c r="M726" s="348" t="s">
        <v>378</v>
      </c>
      <c r="N726" s="348" t="s">
        <v>400</v>
      </c>
      <c r="O726" s="348" t="s">
        <v>177</v>
      </c>
      <c r="P726" s="349">
        <v>25.425183512139998</v>
      </c>
      <c r="Q726" s="321" t="str">
        <f t="shared" si="34"/>
        <v/>
      </c>
      <c r="R726" s="318">
        <f t="shared" si="35"/>
        <v>41823</v>
      </c>
      <c r="S726" s="318" t="str">
        <f t="shared" si="36"/>
        <v/>
      </c>
    </row>
    <row r="727" spans="3:19" ht="27.75" customHeight="1">
      <c r="C727" s="345" t="s">
        <v>98</v>
      </c>
      <c r="D727" s="345" t="s">
        <v>373</v>
      </c>
      <c r="E727" s="345" t="s">
        <v>374</v>
      </c>
      <c r="F727" s="345" t="s">
        <v>375</v>
      </c>
      <c r="G727" s="346" t="s">
        <v>376</v>
      </c>
      <c r="H727" s="345" t="s">
        <v>14</v>
      </c>
      <c r="I727" s="345" t="s">
        <v>59</v>
      </c>
      <c r="J727" s="316">
        <v>41823.775694444441</v>
      </c>
      <c r="K727" s="347"/>
      <c r="L727" s="347" t="s">
        <v>378</v>
      </c>
      <c r="M727" s="348" t="s">
        <v>394</v>
      </c>
      <c r="N727" s="348" t="s">
        <v>381</v>
      </c>
      <c r="O727" s="348" t="s">
        <v>177</v>
      </c>
      <c r="P727" s="349">
        <v>25.4579333709768</v>
      </c>
      <c r="Q727" s="321" t="str">
        <f t="shared" si="34"/>
        <v/>
      </c>
      <c r="R727" s="318">
        <f t="shared" si="35"/>
        <v>41823</v>
      </c>
      <c r="S727" s="318" t="str">
        <f t="shared" si="36"/>
        <v/>
      </c>
    </row>
    <row r="728" spans="3:19" ht="27.75" customHeight="1">
      <c r="C728" s="345" t="s">
        <v>98</v>
      </c>
      <c r="D728" s="345" t="s">
        <v>373</v>
      </c>
      <c r="E728" s="345" t="s">
        <v>374</v>
      </c>
      <c r="F728" s="345" t="s">
        <v>375</v>
      </c>
      <c r="G728" s="346" t="s">
        <v>376</v>
      </c>
      <c r="H728" s="339" t="s">
        <v>14</v>
      </c>
      <c r="I728" s="345" t="s">
        <v>59</v>
      </c>
      <c r="J728" s="316">
        <v>41823.775000000001</v>
      </c>
      <c r="K728" s="347"/>
      <c r="L728" s="347" t="s">
        <v>188</v>
      </c>
      <c r="M728" s="348" t="s">
        <v>378</v>
      </c>
      <c r="N728" s="348" t="s">
        <v>400</v>
      </c>
      <c r="O728" s="348" t="s">
        <v>177</v>
      </c>
      <c r="P728" s="349">
        <v>25.490683229813602</v>
      </c>
      <c r="Q728" s="321" t="str">
        <f t="shared" si="34"/>
        <v/>
      </c>
      <c r="R728" s="318">
        <f t="shared" si="35"/>
        <v>41823</v>
      </c>
      <c r="S728" s="318" t="str">
        <f t="shared" si="36"/>
        <v/>
      </c>
    </row>
    <row r="729" spans="3:19" ht="27.75" customHeight="1">
      <c r="C729" s="345" t="s">
        <v>98</v>
      </c>
      <c r="D729" s="345" t="s">
        <v>373</v>
      </c>
      <c r="E729" s="345" t="s">
        <v>374</v>
      </c>
      <c r="F729" s="345" t="s">
        <v>375</v>
      </c>
      <c r="G729" s="346" t="s">
        <v>376</v>
      </c>
      <c r="H729" s="345" t="s">
        <v>14</v>
      </c>
      <c r="I729" s="345" t="s">
        <v>59</v>
      </c>
      <c r="J729" s="316">
        <v>41823.773611111108</v>
      </c>
      <c r="K729" s="347"/>
      <c r="L729" s="347" t="s">
        <v>378</v>
      </c>
      <c r="M729" s="348" t="s">
        <v>382</v>
      </c>
      <c r="N729" s="348" t="s">
        <v>382</v>
      </c>
      <c r="O729" s="348" t="s">
        <v>175</v>
      </c>
      <c r="P729" s="349">
        <v>25.523433088650499</v>
      </c>
      <c r="Q729" s="321" t="str">
        <f t="shared" si="34"/>
        <v/>
      </c>
      <c r="R729" s="318">
        <f t="shared" si="35"/>
        <v>41823</v>
      </c>
      <c r="S729" s="318" t="str">
        <f t="shared" si="36"/>
        <v/>
      </c>
    </row>
    <row r="730" spans="3:19" ht="27.75" customHeight="1">
      <c r="C730" s="345" t="s">
        <v>98</v>
      </c>
      <c r="D730" s="345" t="s">
        <v>373</v>
      </c>
      <c r="E730" s="345" t="s">
        <v>374</v>
      </c>
      <c r="F730" s="345" t="s">
        <v>375</v>
      </c>
      <c r="G730" s="346" t="s">
        <v>376</v>
      </c>
      <c r="H730" s="345" t="s">
        <v>5</v>
      </c>
      <c r="I730" s="345" t="s">
        <v>59</v>
      </c>
      <c r="J730" s="316">
        <v>41823.773611111108</v>
      </c>
      <c r="K730" s="347">
        <v>41827.773611111108</v>
      </c>
      <c r="L730" s="347" t="s">
        <v>188</v>
      </c>
      <c r="M730" s="348" t="s">
        <v>382</v>
      </c>
      <c r="N730" s="348" t="s">
        <v>382</v>
      </c>
      <c r="O730" s="348" t="s">
        <v>175</v>
      </c>
      <c r="P730" s="349">
        <v>25.556182947487301</v>
      </c>
      <c r="Q730" s="321">
        <f t="shared" ref="Q730:Q793" si="37">IF(ISERROR(DATEDIF(J730,K730,"D")),"",DATEDIF(J730,K730,"D"))</f>
        <v>4</v>
      </c>
      <c r="R730" s="318">
        <f t="shared" ref="R730:R793" si="38">DATE(YEAR(J730),MONTH(J730),DAY(J730))</f>
        <v>41823</v>
      </c>
      <c r="S730" s="318">
        <f t="shared" ref="S730:S793" si="39">IF(K730&lt;&gt;"",DATE(YEAR(K730),MONTH(K730),DAY(K730)),"")</f>
        <v>41827</v>
      </c>
    </row>
    <row r="731" spans="3:19" ht="27.75" customHeight="1">
      <c r="C731" s="345" t="s">
        <v>98</v>
      </c>
      <c r="D731" s="345" t="s">
        <v>373</v>
      </c>
      <c r="E731" s="345" t="s">
        <v>374</v>
      </c>
      <c r="F731" s="345" t="s">
        <v>375</v>
      </c>
      <c r="G731" s="346" t="s">
        <v>376</v>
      </c>
      <c r="H731" s="345" t="s">
        <v>140</v>
      </c>
      <c r="I731" s="345" t="s">
        <v>59</v>
      </c>
      <c r="J731" s="316">
        <v>41823.773611111108</v>
      </c>
      <c r="K731" s="347"/>
      <c r="L731" s="347" t="s">
        <v>377</v>
      </c>
      <c r="M731" s="348" t="s">
        <v>378</v>
      </c>
      <c r="N731" s="348" t="s">
        <v>400</v>
      </c>
      <c r="O731" s="348" t="s">
        <v>175</v>
      </c>
      <c r="P731" s="349">
        <v>25.588932806324099</v>
      </c>
      <c r="Q731" s="321" t="str">
        <f t="shared" si="37"/>
        <v/>
      </c>
      <c r="R731" s="318">
        <f t="shared" si="38"/>
        <v>41823</v>
      </c>
      <c r="S731" s="318" t="str">
        <f t="shared" si="39"/>
        <v/>
      </c>
    </row>
    <row r="732" spans="3:19" ht="27.75" customHeight="1">
      <c r="C732" s="345" t="s">
        <v>98</v>
      </c>
      <c r="D732" s="345" t="s">
        <v>373</v>
      </c>
      <c r="E732" s="345" t="s">
        <v>374</v>
      </c>
      <c r="F732" s="345" t="s">
        <v>375</v>
      </c>
      <c r="G732" s="346" t="s">
        <v>376</v>
      </c>
      <c r="H732" s="339" t="s">
        <v>14</v>
      </c>
      <c r="I732" s="345" t="s">
        <v>59</v>
      </c>
      <c r="J732" s="316">
        <v>41823.772916666669</v>
      </c>
      <c r="K732" s="347"/>
      <c r="L732" s="347" t="s">
        <v>188</v>
      </c>
      <c r="M732" s="348" t="s">
        <v>382</v>
      </c>
      <c r="N732" s="348" t="s">
        <v>382</v>
      </c>
      <c r="O732" s="348" t="s">
        <v>175</v>
      </c>
      <c r="P732" s="349">
        <v>25.6216826651609</v>
      </c>
      <c r="Q732" s="321" t="str">
        <f t="shared" si="37"/>
        <v/>
      </c>
      <c r="R732" s="318">
        <f t="shared" si="38"/>
        <v>41823</v>
      </c>
      <c r="S732" s="318" t="str">
        <f t="shared" si="39"/>
        <v/>
      </c>
    </row>
    <row r="733" spans="3:19" ht="27.75" customHeight="1">
      <c r="C733" s="345" t="s">
        <v>98</v>
      </c>
      <c r="D733" s="345" t="s">
        <v>373</v>
      </c>
      <c r="E733" s="345" t="s">
        <v>374</v>
      </c>
      <c r="F733" s="345" t="s">
        <v>375</v>
      </c>
      <c r="G733" s="346" t="s">
        <v>376</v>
      </c>
      <c r="H733" s="345" t="s">
        <v>141</v>
      </c>
      <c r="I733" s="345" t="s">
        <v>59</v>
      </c>
      <c r="J733" s="316">
        <v>41823.771527777775</v>
      </c>
      <c r="K733" s="347"/>
      <c r="L733" s="347" t="s">
        <v>377</v>
      </c>
      <c r="M733" s="348" t="s">
        <v>378</v>
      </c>
      <c r="N733" s="348" t="s">
        <v>400</v>
      </c>
      <c r="O733" s="348" t="s">
        <v>175</v>
      </c>
      <c r="P733" s="349">
        <v>25.654432523997698</v>
      </c>
      <c r="Q733" s="321" t="str">
        <f t="shared" si="37"/>
        <v/>
      </c>
      <c r="R733" s="318">
        <f t="shared" si="38"/>
        <v>41823</v>
      </c>
      <c r="S733" s="318" t="str">
        <f t="shared" si="39"/>
        <v/>
      </c>
    </row>
    <row r="734" spans="3:19" ht="27.75" customHeight="1">
      <c r="C734" s="345" t="s">
        <v>98</v>
      </c>
      <c r="D734" s="345" t="s">
        <v>373</v>
      </c>
      <c r="E734" s="345" t="s">
        <v>374</v>
      </c>
      <c r="F734" s="345" t="s">
        <v>375</v>
      </c>
      <c r="G734" s="346" t="s">
        <v>376</v>
      </c>
      <c r="H734" s="345" t="s">
        <v>383</v>
      </c>
      <c r="I734" s="345" t="s">
        <v>59</v>
      </c>
      <c r="J734" s="316">
        <v>41823.770138888889</v>
      </c>
      <c r="K734" s="347"/>
      <c r="L734" s="347" t="s">
        <v>377</v>
      </c>
      <c r="M734" s="348" t="s">
        <v>378</v>
      </c>
      <c r="N734" s="348" t="s">
        <v>400</v>
      </c>
      <c r="O734" s="348" t="s">
        <v>175</v>
      </c>
      <c r="P734" s="349">
        <v>25.6871823828345</v>
      </c>
      <c r="Q734" s="321" t="str">
        <f t="shared" si="37"/>
        <v/>
      </c>
      <c r="R734" s="318">
        <f t="shared" si="38"/>
        <v>41823</v>
      </c>
      <c r="S734" s="318" t="str">
        <f t="shared" si="39"/>
        <v/>
      </c>
    </row>
    <row r="735" spans="3:19" ht="27.75" customHeight="1">
      <c r="C735" s="345" t="s">
        <v>98</v>
      </c>
      <c r="D735" s="345" t="s">
        <v>373</v>
      </c>
      <c r="E735" s="345" t="s">
        <v>374</v>
      </c>
      <c r="F735" s="345" t="s">
        <v>375</v>
      </c>
      <c r="G735" s="346" t="s">
        <v>376</v>
      </c>
      <c r="H735" s="339" t="s">
        <v>14</v>
      </c>
      <c r="I735" s="345" t="s">
        <v>59</v>
      </c>
      <c r="J735" s="316">
        <v>41823.770138888889</v>
      </c>
      <c r="K735" s="347"/>
      <c r="L735" s="347" t="s">
        <v>188</v>
      </c>
      <c r="M735" s="348" t="s">
        <v>378</v>
      </c>
      <c r="N735" s="348" t="s">
        <v>400</v>
      </c>
      <c r="O735" s="348" t="s">
        <v>175</v>
      </c>
      <c r="P735" s="349">
        <v>25.719932241671401</v>
      </c>
      <c r="Q735" s="321" t="str">
        <f t="shared" si="37"/>
        <v/>
      </c>
      <c r="R735" s="318">
        <f t="shared" si="38"/>
        <v>41823</v>
      </c>
      <c r="S735" s="318" t="str">
        <f t="shared" si="39"/>
        <v/>
      </c>
    </row>
    <row r="736" spans="3:19" ht="27.75" customHeight="1">
      <c r="C736" s="345" t="s">
        <v>98</v>
      </c>
      <c r="D736" s="345" t="s">
        <v>373</v>
      </c>
      <c r="E736" s="345" t="s">
        <v>374</v>
      </c>
      <c r="F736" s="345" t="s">
        <v>375</v>
      </c>
      <c r="G736" s="346" t="s">
        <v>376</v>
      </c>
      <c r="H736" s="339" t="s">
        <v>14</v>
      </c>
      <c r="I736" s="345" t="s">
        <v>59</v>
      </c>
      <c r="J736" s="316">
        <v>41823.769444444442</v>
      </c>
      <c r="K736" s="347"/>
      <c r="L736" s="347" t="s">
        <v>377</v>
      </c>
      <c r="M736" s="348" t="s">
        <v>382</v>
      </c>
      <c r="N736" s="348" t="s">
        <v>382</v>
      </c>
      <c r="O736" s="348" t="s">
        <v>175</v>
      </c>
      <c r="P736" s="349">
        <v>25.752682100508199</v>
      </c>
      <c r="Q736" s="321" t="str">
        <f t="shared" si="37"/>
        <v/>
      </c>
      <c r="R736" s="318">
        <f t="shared" si="38"/>
        <v>41823</v>
      </c>
      <c r="S736" s="318" t="str">
        <f t="shared" si="39"/>
        <v/>
      </c>
    </row>
    <row r="737" spans="3:19" ht="27.75" customHeight="1">
      <c r="C737" s="345" t="s">
        <v>98</v>
      </c>
      <c r="D737" s="345" t="s">
        <v>373</v>
      </c>
      <c r="E737" s="345" t="s">
        <v>374</v>
      </c>
      <c r="F737" s="345" t="s">
        <v>375</v>
      </c>
      <c r="G737" s="346" t="s">
        <v>376</v>
      </c>
      <c r="H737" s="339" t="s">
        <v>14</v>
      </c>
      <c r="I737" s="345" t="s">
        <v>59</v>
      </c>
      <c r="J737" s="316">
        <v>41823.768750000003</v>
      </c>
      <c r="K737" s="347"/>
      <c r="L737" s="347" t="s">
        <v>377</v>
      </c>
      <c r="M737" s="348" t="s">
        <v>378</v>
      </c>
      <c r="N737" s="348" t="s">
        <v>400</v>
      </c>
      <c r="O737" s="348" t="s">
        <v>175</v>
      </c>
      <c r="P737" s="349">
        <v>25.785431959345001</v>
      </c>
      <c r="Q737" s="321" t="str">
        <f t="shared" si="37"/>
        <v/>
      </c>
      <c r="R737" s="318">
        <f t="shared" si="38"/>
        <v>41823</v>
      </c>
      <c r="S737" s="318" t="str">
        <f t="shared" si="39"/>
        <v/>
      </c>
    </row>
    <row r="738" spans="3:19" ht="27.75" customHeight="1">
      <c r="C738" s="345" t="s">
        <v>98</v>
      </c>
      <c r="D738" s="345" t="s">
        <v>373</v>
      </c>
      <c r="E738" s="345" t="s">
        <v>374</v>
      </c>
      <c r="F738" s="345" t="s">
        <v>375</v>
      </c>
      <c r="G738" s="346" t="s">
        <v>376</v>
      </c>
      <c r="H738" s="339" t="s">
        <v>14</v>
      </c>
      <c r="I738" s="345" t="s">
        <v>59</v>
      </c>
      <c r="J738" s="316">
        <v>41823.768055555556</v>
      </c>
      <c r="K738" s="347"/>
      <c r="L738" s="347" t="s">
        <v>377</v>
      </c>
      <c r="M738" s="348" t="s">
        <v>378</v>
      </c>
      <c r="N738" s="348" t="s">
        <v>400</v>
      </c>
      <c r="O738" s="348" t="s">
        <v>175</v>
      </c>
      <c r="P738" s="349">
        <v>25.818181818181799</v>
      </c>
      <c r="Q738" s="321" t="str">
        <f t="shared" si="37"/>
        <v/>
      </c>
      <c r="R738" s="318">
        <f t="shared" si="38"/>
        <v>41823</v>
      </c>
      <c r="S738" s="318" t="str">
        <f t="shared" si="39"/>
        <v/>
      </c>
    </row>
    <row r="739" spans="3:19" ht="27.75" customHeight="1">
      <c r="C739" s="345" t="s">
        <v>98</v>
      </c>
      <c r="D739" s="345" t="s">
        <v>373</v>
      </c>
      <c r="E739" s="345" t="s">
        <v>374</v>
      </c>
      <c r="F739" s="345" t="s">
        <v>375</v>
      </c>
      <c r="G739" s="346" t="s">
        <v>376</v>
      </c>
      <c r="H739" s="339" t="s">
        <v>14</v>
      </c>
      <c r="I739" s="345" t="s">
        <v>59</v>
      </c>
      <c r="J739" s="316">
        <v>41823.768055555556</v>
      </c>
      <c r="K739" s="347"/>
      <c r="L739" s="347" t="s">
        <v>188</v>
      </c>
      <c r="M739" s="348" t="s">
        <v>378</v>
      </c>
      <c r="N739" s="348" t="s">
        <v>400</v>
      </c>
      <c r="O739" s="348" t="s">
        <v>175</v>
      </c>
      <c r="P739" s="349">
        <v>25.8509316770186</v>
      </c>
      <c r="Q739" s="321" t="str">
        <f t="shared" si="37"/>
        <v/>
      </c>
      <c r="R739" s="318">
        <f t="shared" si="38"/>
        <v>41823</v>
      </c>
      <c r="S739" s="318" t="str">
        <f t="shared" si="39"/>
        <v/>
      </c>
    </row>
    <row r="740" spans="3:19" ht="27.75" customHeight="1">
      <c r="C740" s="345" t="s">
        <v>98</v>
      </c>
      <c r="D740" s="345" t="s">
        <v>373</v>
      </c>
      <c r="E740" s="345" t="s">
        <v>374</v>
      </c>
      <c r="F740" s="345" t="s">
        <v>375</v>
      </c>
      <c r="G740" s="346" t="s">
        <v>376</v>
      </c>
      <c r="H740" s="339" t="s">
        <v>14</v>
      </c>
      <c r="I740" s="345" t="s">
        <v>59</v>
      </c>
      <c r="J740" s="316">
        <v>41823.767361111109</v>
      </c>
      <c r="K740" s="347"/>
      <c r="L740" s="347" t="s">
        <v>188</v>
      </c>
      <c r="M740" s="348" t="s">
        <v>378</v>
      </c>
      <c r="N740" s="348" t="s">
        <v>400</v>
      </c>
      <c r="O740" s="348" t="s">
        <v>177</v>
      </c>
      <c r="P740" s="349">
        <v>25.883681535855398</v>
      </c>
      <c r="Q740" s="321" t="str">
        <f t="shared" si="37"/>
        <v/>
      </c>
      <c r="R740" s="318">
        <f t="shared" si="38"/>
        <v>41823</v>
      </c>
      <c r="S740" s="318" t="str">
        <f t="shared" si="39"/>
        <v/>
      </c>
    </row>
    <row r="741" spans="3:19" ht="27.75" customHeight="1">
      <c r="C741" s="345" t="s">
        <v>98</v>
      </c>
      <c r="D741" s="345" t="s">
        <v>373</v>
      </c>
      <c r="E741" s="345" t="s">
        <v>374</v>
      </c>
      <c r="F741" s="345" t="s">
        <v>375</v>
      </c>
      <c r="G741" s="346" t="s">
        <v>376</v>
      </c>
      <c r="H741" s="339" t="s">
        <v>14</v>
      </c>
      <c r="I741" s="345" t="s">
        <v>59</v>
      </c>
      <c r="J741" s="316">
        <v>41823.76666666667</v>
      </c>
      <c r="K741" s="347"/>
      <c r="L741" s="347" t="s">
        <v>188</v>
      </c>
      <c r="M741" s="348" t="s">
        <v>378</v>
      </c>
      <c r="N741" s="348" t="s">
        <v>400</v>
      </c>
      <c r="O741" s="348" t="s">
        <v>177</v>
      </c>
      <c r="P741" s="349">
        <v>25.9164313946922</v>
      </c>
      <c r="Q741" s="321" t="str">
        <f t="shared" si="37"/>
        <v/>
      </c>
      <c r="R741" s="318">
        <f t="shared" si="38"/>
        <v>41823</v>
      </c>
      <c r="S741" s="318" t="str">
        <f t="shared" si="39"/>
        <v/>
      </c>
    </row>
    <row r="742" spans="3:19" ht="27.75" customHeight="1">
      <c r="C742" s="345" t="s">
        <v>98</v>
      </c>
      <c r="D742" s="345" t="s">
        <v>373</v>
      </c>
      <c r="E742" s="345" t="s">
        <v>374</v>
      </c>
      <c r="F742" s="345" t="s">
        <v>375</v>
      </c>
      <c r="G742" s="346" t="s">
        <v>376</v>
      </c>
      <c r="H742" s="345" t="s">
        <v>140</v>
      </c>
      <c r="I742" s="345" t="s">
        <v>59</v>
      </c>
      <c r="J742" s="316">
        <v>41823.76666666667</v>
      </c>
      <c r="K742" s="347"/>
      <c r="L742" s="347" t="s">
        <v>377</v>
      </c>
      <c r="M742" s="348" t="s">
        <v>378</v>
      </c>
      <c r="N742" s="348" t="s">
        <v>400</v>
      </c>
      <c r="O742" s="348" t="s">
        <v>175</v>
      </c>
      <c r="P742" s="349">
        <v>25.949181253529101</v>
      </c>
      <c r="Q742" s="321" t="str">
        <f t="shared" si="37"/>
        <v/>
      </c>
      <c r="R742" s="318">
        <f t="shared" si="38"/>
        <v>41823</v>
      </c>
      <c r="S742" s="318" t="str">
        <f t="shared" si="39"/>
        <v/>
      </c>
    </row>
    <row r="743" spans="3:19" ht="27.75" customHeight="1">
      <c r="C743" s="345" t="s">
        <v>98</v>
      </c>
      <c r="D743" s="345" t="s">
        <v>373</v>
      </c>
      <c r="E743" s="345" t="s">
        <v>374</v>
      </c>
      <c r="F743" s="345" t="s">
        <v>375</v>
      </c>
      <c r="G743" s="346" t="s">
        <v>376</v>
      </c>
      <c r="H743" s="345" t="s">
        <v>5</v>
      </c>
      <c r="I743" s="345" t="s">
        <v>59</v>
      </c>
      <c r="J743" s="316">
        <v>41823.765972222223</v>
      </c>
      <c r="K743" s="347">
        <v>41833.765972222223</v>
      </c>
      <c r="L743" s="347" t="s">
        <v>378</v>
      </c>
      <c r="M743" s="348" t="s">
        <v>378</v>
      </c>
      <c r="N743" s="348" t="s">
        <v>400</v>
      </c>
      <c r="O743" s="348" t="s">
        <v>175</v>
      </c>
      <c r="P743" s="349">
        <v>25.981931112365899</v>
      </c>
      <c r="Q743" s="321">
        <f t="shared" si="37"/>
        <v>10</v>
      </c>
      <c r="R743" s="318">
        <f t="shared" si="38"/>
        <v>41823</v>
      </c>
      <c r="S743" s="318">
        <f t="shared" si="39"/>
        <v>41833</v>
      </c>
    </row>
    <row r="744" spans="3:19" ht="27.75" customHeight="1">
      <c r="C744" s="345" t="s">
        <v>98</v>
      </c>
      <c r="D744" s="345" t="s">
        <v>373</v>
      </c>
      <c r="E744" s="345" t="s">
        <v>374</v>
      </c>
      <c r="F744" s="345" t="s">
        <v>375</v>
      </c>
      <c r="G744" s="346" t="s">
        <v>376</v>
      </c>
      <c r="H744" s="345" t="s">
        <v>5</v>
      </c>
      <c r="I744" s="345" t="s">
        <v>59</v>
      </c>
      <c r="J744" s="316">
        <v>41823.765277777777</v>
      </c>
      <c r="K744" s="347">
        <v>41826.765277777777</v>
      </c>
      <c r="L744" s="347" t="s">
        <v>188</v>
      </c>
      <c r="M744" s="348" t="s">
        <v>378</v>
      </c>
      <c r="N744" s="348" t="s">
        <v>400</v>
      </c>
      <c r="O744" s="348" t="s">
        <v>175</v>
      </c>
      <c r="P744" s="349">
        <v>26.014680971202701</v>
      </c>
      <c r="Q744" s="321">
        <f t="shared" si="37"/>
        <v>3</v>
      </c>
      <c r="R744" s="318">
        <f t="shared" si="38"/>
        <v>41823</v>
      </c>
      <c r="S744" s="318">
        <f t="shared" si="39"/>
        <v>41826</v>
      </c>
    </row>
    <row r="745" spans="3:19" ht="27.75" customHeight="1">
      <c r="C745" s="345" t="s">
        <v>98</v>
      </c>
      <c r="D745" s="345" t="s">
        <v>373</v>
      </c>
      <c r="E745" s="345" t="s">
        <v>374</v>
      </c>
      <c r="F745" s="345" t="s">
        <v>375</v>
      </c>
      <c r="G745" s="346" t="s">
        <v>376</v>
      </c>
      <c r="H745" s="345" t="s">
        <v>14</v>
      </c>
      <c r="I745" s="345" t="s">
        <v>59</v>
      </c>
      <c r="J745" s="316">
        <v>41823.76458333333</v>
      </c>
      <c r="K745" s="347"/>
      <c r="L745" s="347" t="s">
        <v>188</v>
      </c>
      <c r="M745" s="348" t="s">
        <v>382</v>
      </c>
      <c r="N745" s="348" t="s">
        <v>382</v>
      </c>
      <c r="O745" s="348" t="s">
        <v>177</v>
      </c>
      <c r="P745" s="349">
        <v>26.047430830039499</v>
      </c>
      <c r="Q745" s="321" t="str">
        <f t="shared" si="37"/>
        <v/>
      </c>
      <c r="R745" s="318">
        <f t="shared" si="38"/>
        <v>41823</v>
      </c>
      <c r="S745" s="318" t="str">
        <f t="shared" si="39"/>
        <v/>
      </c>
    </row>
    <row r="746" spans="3:19" ht="27.75" customHeight="1">
      <c r="C746" s="345" t="s">
        <v>98</v>
      </c>
      <c r="D746" s="345" t="s">
        <v>373</v>
      </c>
      <c r="E746" s="345" t="s">
        <v>374</v>
      </c>
      <c r="F746" s="345" t="s">
        <v>375</v>
      </c>
      <c r="G746" s="346" t="s">
        <v>376</v>
      </c>
      <c r="H746" s="339" t="s">
        <v>14</v>
      </c>
      <c r="I746" s="345" t="s">
        <v>59</v>
      </c>
      <c r="J746" s="316">
        <v>41823.763888888891</v>
      </c>
      <c r="K746" s="347"/>
      <c r="L746" s="347" t="s">
        <v>188</v>
      </c>
      <c r="M746" s="348" t="s">
        <v>382</v>
      </c>
      <c r="N746" s="348" t="s">
        <v>382</v>
      </c>
      <c r="O746" s="348" t="s">
        <v>177</v>
      </c>
      <c r="P746" s="349">
        <v>26.0801806888763</v>
      </c>
      <c r="Q746" s="321" t="str">
        <f t="shared" si="37"/>
        <v/>
      </c>
      <c r="R746" s="318">
        <f t="shared" si="38"/>
        <v>41823</v>
      </c>
      <c r="S746" s="318" t="str">
        <f t="shared" si="39"/>
        <v/>
      </c>
    </row>
    <row r="747" spans="3:19" ht="27.75" customHeight="1">
      <c r="C747" s="345" t="s">
        <v>98</v>
      </c>
      <c r="D747" s="345" t="s">
        <v>373</v>
      </c>
      <c r="E747" s="345" t="s">
        <v>374</v>
      </c>
      <c r="F747" s="345" t="s">
        <v>375</v>
      </c>
      <c r="G747" s="346" t="s">
        <v>376</v>
      </c>
      <c r="H747" s="339" t="s">
        <v>14</v>
      </c>
      <c r="I747" s="345" t="s">
        <v>59</v>
      </c>
      <c r="J747" s="316">
        <v>41823.763194444444</v>
      </c>
      <c r="K747" s="347"/>
      <c r="L747" s="347" t="s">
        <v>378</v>
      </c>
      <c r="M747" s="348" t="s">
        <v>382</v>
      </c>
      <c r="N747" s="348" t="s">
        <v>382</v>
      </c>
      <c r="O747" s="348" t="s">
        <v>177</v>
      </c>
      <c r="P747" s="349">
        <v>26.112930547713098</v>
      </c>
      <c r="Q747" s="321" t="str">
        <f t="shared" si="37"/>
        <v/>
      </c>
      <c r="R747" s="318">
        <f t="shared" si="38"/>
        <v>41823</v>
      </c>
      <c r="S747" s="318" t="str">
        <f t="shared" si="39"/>
        <v/>
      </c>
    </row>
    <row r="748" spans="3:19" ht="27.75" customHeight="1">
      <c r="C748" s="345" t="s">
        <v>98</v>
      </c>
      <c r="D748" s="345" t="s">
        <v>373</v>
      </c>
      <c r="E748" s="345" t="s">
        <v>374</v>
      </c>
      <c r="F748" s="345" t="s">
        <v>375</v>
      </c>
      <c r="G748" s="346" t="s">
        <v>376</v>
      </c>
      <c r="H748" s="339" t="s">
        <v>14</v>
      </c>
      <c r="I748" s="345" t="s">
        <v>59</v>
      </c>
      <c r="J748" s="316">
        <v>41823.763194444444</v>
      </c>
      <c r="K748" s="347"/>
      <c r="L748" s="347" t="s">
        <v>378</v>
      </c>
      <c r="M748" s="348" t="s">
        <v>378</v>
      </c>
      <c r="N748" s="348" t="s">
        <v>400</v>
      </c>
      <c r="O748" s="348" t="s">
        <v>177</v>
      </c>
      <c r="P748" s="349">
        <v>26.145680406549999</v>
      </c>
      <c r="Q748" s="321" t="str">
        <f t="shared" si="37"/>
        <v/>
      </c>
      <c r="R748" s="318">
        <f t="shared" si="38"/>
        <v>41823</v>
      </c>
      <c r="S748" s="318" t="str">
        <f t="shared" si="39"/>
        <v/>
      </c>
    </row>
    <row r="749" spans="3:19" ht="27.75" customHeight="1">
      <c r="C749" s="345" t="s">
        <v>98</v>
      </c>
      <c r="D749" s="345" t="s">
        <v>373</v>
      </c>
      <c r="E749" s="345" t="s">
        <v>374</v>
      </c>
      <c r="F749" s="345" t="s">
        <v>375</v>
      </c>
      <c r="G749" s="346" t="s">
        <v>376</v>
      </c>
      <c r="H749" s="345" t="s">
        <v>383</v>
      </c>
      <c r="I749" s="345" t="s">
        <v>59</v>
      </c>
      <c r="J749" s="316">
        <v>41823.762499999997</v>
      </c>
      <c r="K749" s="347"/>
      <c r="L749" s="347" t="s">
        <v>378</v>
      </c>
      <c r="M749" s="348" t="s">
        <v>378</v>
      </c>
      <c r="N749" s="348" t="s">
        <v>400</v>
      </c>
      <c r="O749" s="348" t="s">
        <v>177</v>
      </c>
      <c r="P749" s="349">
        <v>26.178430265386801</v>
      </c>
      <c r="Q749" s="321" t="str">
        <f t="shared" si="37"/>
        <v/>
      </c>
      <c r="R749" s="318">
        <f t="shared" si="38"/>
        <v>41823</v>
      </c>
      <c r="S749" s="318" t="str">
        <f t="shared" si="39"/>
        <v/>
      </c>
    </row>
    <row r="750" spans="3:19" ht="27.75" customHeight="1">
      <c r="C750" s="345" t="s">
        <v>98</v>
      </c>
      <c r="D750" s="345" t="s">
        <v>373</v>
      </c>
      <c r="E750" s="345" t="s">
        <v>374</v>
      </c>
      <c r="F750" s="345" t="s">
        <v>375</v>
      </c>
      <c r="G750" s="346" t="s">
        <v>376</v>
      </c>
      <c r="H750" s="339" t="s">
        <v>14</v>
      </c>
      <c r="I750" s="345" t="s">
        <v>59</v>
      </c>
      <c r="J750" s="316">
        <v>41823.761111111111</v>
      </c>
      <c r="K750" s="347"/>
      <c r="L750" s="347" t="s">
        <v>188</v>
      </c>
      <c r="M750" s="348" t="s">
        <v>382</v>
      </c>
      <c r="N750" s="348" t="s">
        <v>382</v>
      </c>
      <c r="O750" s="348" t="s">
        <v>177</v>
      </c>
      <c r="P750" s="349">
        <v>26.211180124223599</v>
      </c>
      <c r="Q750" s="321" t="str">
        <f t="shared" si="37"/>
        <v/>
      </c>
      <c r="R750" s="318">
        <f t="shared" si="38"/>
        <v>41823</v>
      </c>
      <c r="S750" s="318" t="str">
        <f t="shared" si="39"/>
        <v/>
      </c>
    </row>
    <row r="751" spans="3:19" ht="27.75" customHeight="1">
      <c r="C751" s="345" t="s">
        <v>98</v>
      </c>
      <c r="D751" s="345" t="s">
        <v>373</v>
      </c>
      <c r="E751" s="345" t="s">
        <v>374</v>
      </c>
      <c r="F751" s="345" t="s">
        <v>375</v>
      </c>
      <c r="G751" s="346" t="s">
        <v>376</v>
      </c>
      <c r="H751" s="339" t="s">
        <v>14</v>
      </c>
      <c r="I751" s="345" t="s">
        <v>59</v>
      </c>
      <c r="J751" s="316">
        <v>41823.759722222225</v>
      </c>
      <c r="K751" s="347"/>
      <c r="L751" s="347" t="s">
        <v>378</v>
      </c>
      <c r="M751" s="348" t="s">
        <v>378</v>
      </c>
      <c r="N751" s="348" t="s">
        <v>400</v>
      </c>
      <c r="O751" s="348" t="s">
        <v>175</v>
      </c>
      <c r="P751" s="349">
        <v>26.243929983060401</v>
      </c>
      <c r="Q751" s="321" t="str">
        <f t="shared" si="37"/>
        <v/>
      </c>
      <c r="R751" s="318">
        <f t="shared" si="38"/>
        <v>41823</v>
      </c>
      <c r="S751" s="318" t="str">
        <f t="shared" si="39"/>
        <v/>
      </c>
    </row>
    <row r="752" spans="3:19" ht="27.75" customHeight="1">
      <c r="C752" s="345" t="s">
        <v>98</v>
      </c>
      <c r="D752" s="345" t="s">
        <v>373</v>
      </c>
      <c r="E752" s="345" t="s">
        <v>374</v>
      </c>
      <c r="F752" s="345" t="s">
        <v>375</v>
      </c>
      <c r="G752" s="346" t="s">
        <v>376</v>
      </c>
      <c r="H752" s="345" t="s">
        <v>141</v>
      </c>
      <c r="I752" s="345" t="s">
        <v>59</v>
      </c>
      <c r="J752" s="316">
        <v>41823.759722222225</v>
      </c>
      <c r="K752" s="347"/>
      <c r="L752" s="347" t="s">
        <v>378</v>
      </c>
      <c r="M752" s="348" t="s">
        <v>378</v>
      </c>
      <c r="N752" s="348" t="s">
        <v>400</v>
      </c>
      <c r="O752" s="348" t="s">
        <v>175</v>
      </c>
      <c r="P752" s="349">
        <v>26.276679841897199</v>
      </c>
      <c r="Q752" s="321" t="str">
        <f t="shared" si="37"/>
        <v/>
      </c>
      <c r="R752" s="318">
        <f t="shared" si="38"/>
        <v>41823</v>
      </c>
      <c r="S752" s="318" t="str">
        <f t="shared" si="39"/>
        <v/>
      </c>
    </row>
    <row r="753" spans="3:19" ht="27.75" customHeight="1">
      <c r="C753" s="345" t="s">
        <v>98</v>
      </c>
      <c r="D753" s="345" t="s">
        <v>373</v>
      </c>
      <c r="E753" s="345" t="s">
        <v>374</v>
      </c>
      <c r="F753" s="345" t="s">
        <v>375</v>
      </c>
      <c r="G753" s="346" t="s">
        <v>376</v>
      </c>
      <c r="H753" s="339" t="s">
        <v>14</v>
      </c>
      <c r="I753" s="345" t="s">
        <v>59</v>
      </c>
      <c r="J753" s="316">
        <v>41823.759722222225</v>
      </c>
      <c r="K753" s="347"/>
      <c r="L753" s="347" t="s">
        <v>378</v>
      </c>
      <c r="M753" s="348" t="s">
        <v>382</v>
      </c>
      <c r="N753" s="348" t="s">
        <v>382</v>
      </c>
      <c r="O753" s="348" t="s">
        <v>175</v>
      </c>
      <c r="P753" s="349">
        <v>26.309429700734</v>
      </c>
      <c r="Q753" s="321" t="str">
        <f t="shared" si="37"/>
        <v/>
      </c>
      <c r="R753" s="318">
        <f t="shared" si="38"/>
        <v>41823</v>
      </c>
      <c r="S753" s="318" t="str">
        <f t="shared" si="39"/>
        <v/>
      </c>
    </row>
    <row r="754" spans="3:19" ht="27.75" customHeight="1">
      <c r="C754" s="345" t="s">
        <v>98</v>
      </c>
      <c r="D754" s="345" t="s">
        <v>373</v>
      </c>
      <c r="E754" s="345" t="s">
        <v>374</v>
      </c>
      <c r="F754" s="345" t="s">
        <v>375</v>
      </c>
      <c r="G754" s="346" t="s">
        <v>376</v>
      </c>
      <c r="H754" s="345" t="s">
        <v>5</v>
      </c>
      <c r="I754" s="345" t="s">
        <v>59</v>
      </c>
      <c r="J754" s="316">
        <v>41823.759027777778</v>
      </c>
      <c r="K754" s="347">
        <v>41833.759027777778</v>
      </c>
      <c r="L754" s="347" t="s">
        <v>378</v>
      </c>
      <c r="M754" s="348" t="s">
        <v>382</v>
      </c>
      <c r="N754" s="348" t="s">
        <v>382</v>
      </c>
      <c r="O754" s="348" t="s">
        <v>175</v>
      </c>
      <c r="P754" s="349">
        <v>26.342179559570798</v>
      </c>
      <c r="Q754" s="321">
        <f t="shared" si="37"/>
        <v>10</v>
      </c>
      <c r="R754" s="318">
        <f t="shared" si="38"/>
        <v>41823</v>
      </c>
      <c r="S754" s="318">
        <f t="shared" si="39"/>
        <v>41833</v>
      </c>
    </row>
    <row r="755" spans="3:19" ht="27.75" customHeight="1">
      <c r="C755" s="345" t="s">
        <v>98</v>
      </c>
      <c r="D755" s="345" t="s">
        <v>373</v>
      </c>
      <c r="E755" s="345" t="s">
        <v>374</v>
      </c>
      <c r="F755" s="345" t="s">
        <v>375</v>
      </c>
      <c r="G755" s="346" t="s">
        <v>376</v>
      </c>
      <c r="H755" s="345" t="s">
        <v>5</v>
      </c>
      <c r="I755" s="345" t="s">
        <v>59</v>
      </c>
      <c r="J755" s="316">
        <v>41823.757638888892</v>
      </c>
      <c r="K755" s="347">
        <v>41837.757638888892</v>
      </c>
      <c r="L755" s="347" t="s">
        <v>378</v>
      </c>
      <c r="M755" s="348" t="s">
        <v>382</v>
      </c>
      <c r="N755" s="348" t="s">
        <v>382</v>
      </c>
      <c r="O755" s="348" t="s">
        <v>175</v>
      </c>
      <c r="P755" s="349">
        <v>26.374929418407699</v>
      </c>
      <c r="Q755" s="321">
        <f t="shared" si="37"/>
        <v>14</v>
      </c>
      <c r="R755" s="318">
        <f t="shared" si="38"/>
        <v>41823</v>
      </c>
      <c r="S755" s="318">
        <f t="shared" si="39"/>
        <v>41837</v>
      </c>
    </row>
    <row r="756" spans="3:19" ht="27.75" customHeight="1">
      <c r="C756" s="345" t="s">
        <v>98</v>
      </c>
      <c r="D756" s="345" t="s">
        <v>373</v>
      </c>
      <c r="E756" s="345" t="s">
        <v>374</v>
      </c>
      <c r="F756" s="345" t="s">
        <v>375</v>
      </c>
      <c r="G756" s="346" t="s">
        <v>376</v>
      </c>
      <c r="H756" s="339" t="s">
        <v>14</v>
      </c>
      <c r="I756" s="345" t="s">
        <v>59</v>
      </c>
      <c r="J756" s="316">
        <v>41823.757638888892</v>
      </c>
      <c r="K756" s="347"/>
      <c r="L756" s="347" t="s">
        <v>378</v>
      </c>
      <c r="M756" s="348" t="s">
        <v>378</v>
      </c>
      <c r="N756" s="348" t="s">
        <v>400</v>
      </c>
      <c r="O756" s="348" t="s">
        <v>175</v>
      </c>
      <c r="P756" s="349">
        <v>26.407679277244501</v>
      </c>
      <c r="Q756" s="321" t="str">
        <f t="shared" si="37"/>
        <v/>
      </c>
      <c r="R756" s="318">
        <f t="shared" si="38"/>
        <v>41823</v>
      </c>
      <c r="S756" s="318" t="str">
        <f t="shared" si="39"/>
        <v/>
      </c>
    </row>
    <row r="757" spans="3:19" ht="27.75" customHeight="1">
      <c r="C757" s="345" t="s">
        <v>98</v>
      </c>
      <c r="D757" s="345" t="s">
        <v>373</v>
      </c>
      <c r="E757" s="345" t="s">
        <v>374</v>
      </c>
      <c r="F757" s="345" t="s">
        <v>375</v>
      </c>
      <c r="G757" s="346" t="s">
        <v>376</v>
      </c>
      <c r="H757" s="339" t="s">
        <v>14</v>
      </c>
      <c r="I757" s="345" t="s">
        <v>59</v>
      </c>
      <c r="J757" s="316">
        <v>41823.756944444445</v>
      </c>
      <c r="K757" s="347"/>
      <c r="L757" s="347" t="s">
        <v>378</v>
      </c>
      <c r="M757" s="348" t="s">
        <v>378</v>
      </c>
      <c r="N757" s="348" t="s">
        <v>400</v>
      </c>
      <c r="O757" s="348" t="s">
        <v>175</v>
      </c>
      <c r="P757" s="349">
        <v>26.440429136081299</v>
      </c>
      <c r="Q757" s="321" t="str">
        <f t="shared" si="37"/>
        <v/>
      </c>
      <c r="R757" s="318">
        <f t="shared" si="38"/>
        <v>41823</v>
      </c>
      <c r="S757" s="318" t="str">
        <f t="shared" si="39"/>
        <v/>
      </c>
    </row>
    <row r="758" spans="3:19" ht="27.75" customHeight="1">
      <c r="C758" s="345" t="s">
        <v>98</v>
      </c>
      <c r="D758" s="345" t="s">
        <v>373</v>
      </c>
      <c r="E758" s="345" t="s">
        <v>374</v>
      </c>
      <c r="F758" s="345" t="s">
        <v>375</v>
      </c>
      <c r="G758" s="346" t="s">
        <v>376</v>
      </c>
      <c r="H758" s="345" t="s">
        <v>14</v>
      </c>
      <c r="I758" s="345" t="s">
        <v>59</v>
      </c>
      <c r="J758" s="316">
        <v>41823.754861111112</v>
      </c>
      <c r="K758" s="347"/>
      <c r="L758" s="347" t="s">
        <v>378</v>
      </c>
      <c r="M758" s="348" t="s">
        <v>378</v>
      </c>
      <c r="N758" s="348" t="s">
        <v>400</v>
      </c>
      <c r="O758" s="348" t="s">
        <v>175</v>
      </c>
      <c r="P758" s="349">
        <v>26.473178994918101</v>
      </c>
      <c r="Q758" s="321" t="str">
        <f t="shared" si="37"/>
        <v/>
      </c>
      <c r="R758" s="318">
        <f t="shared" si="38"/>
        <v>41823</v>
      </c>
      <c r="S758" s="318" t="str">
        <f t="shared" si="39"/>
        <v/>
      </c>
    </row>
    <row r="759" spans="3:19" ht="27.75" customHeight="1">
      <c r="C759" s="345" t="s">
        <v>98</v>
      </c>
      <c r="D759" s="345" t="s">
        <v>373</v>
      </c>
      <c r="E759" s="345" t="s">
        <v>374</v>
      </c>
      <c r="F759" s="345" t="s">
        <v>375</v>
      </c>
      <c r="G759" s="346" t="s">
        <v>376</v>
      </c>
      <c r="H759" s="339" t="s">
        <v>14</v>
      </c>
      <c r="I759" s="345" t="s">
        <v>59</v>
      </c>
      <c r="J759" s="316">
        <v>41823.754861111112</v>
      </c>
      <c r="K759" s="347"/>
      <c r="L759" s="347" t="s">
        <v>378</v>
      </c>
      <c r="M759" s="348" t="s">
        <v>378</v>
      </c>
      <c r="N759" s="348" t="s">
        <v>400</v>
      </c>
      <c r="O759" s="348" t="s">
        <v>175</v>
      </c>
      <c r="P759" s="349">
        <v>26.505928853754899</v>
      </c>
      <c r="Q759" s="321" t="str">
        <f t="shared" si="37"/>
        <v/>
      </c>
      <c r="R759" s="318">
        <f t="shared" si="38"/>
        <v>41823</v>
      </c>
      <c r="S759" s="318" t="str">
        <f t="shared" si="39"/>
        <v/>
      </c>
    </row>
    <row r="760" spans="3:19" ht="27.75" customHeight="1">
      <c r="C760" s="345" t="s">
        <v>98</v>
      </c>
      <c r="D760" s="345" t="s">
        <v>373</v>
      </c>
      <c r="E760" s="345" t="s">
        <v>374</v>
      </c>
      <c r="F760" s="345" t="s">
        <v>375</v>
      </c>
      <c r="G760" s="346" t="s">
        <v>376</v>
      </c>
      <c r="H760" s="345" t="s">
        <v>5</v>
      </c>
      <c r="I760" s="345" t="s">
        <v>59</v>
      </c>
      <c r="J760" s="316">
        <v>41823.754861111112</v>
      </c>
      <c r="K760" s="347">
        <v>41829.754861111112</v>
      </c>
      <c r="L760" s="347" t="s">
        <v>378</v>
      </c>
      <c r="M760" s="348" t="s">
        <v>378</v>
      </c>
      <c r="N760" s="348" t="s">
        <v>400</v>
      </c>
      <c r="O760" s="348" t="s">
        <v>175</v>
      </c>
      <c r="P760" s="349">
        <v>26.5386787125917</v>
      </c>
      <c r="Q760" s="321">
        <f t="shared" si="37"/>
        <v>6</v>
      </c>
      <c r="R760" s="318">
        <f t="shared" si="38"/>
        <v>41823</v>
      </c>
      <c r="S760" s="318">
        <f t="shared" si="39"/>
        <v>41829</v>
      </c>
    </row>
    <row r="761" spans="3:19" ht="27.75" customHeight="1">
      <c r="C761" s="345" t="s">
        <v>98</v>
      </c>
      <c r="D761" s="345" t="s">
        <v>373</v>
      </c>
      <c r="E761" s="345" t="s">
        <v>374</v>
      </c>
      <c r="F761" s="345" t="s">
        <v>375</v>
      </c>
      <c r="G761" s="346" t="s">
        <v>376</v>
      </c>
      <c r="H761" s="345" t="s">
        <v>138</v>
      </c>
      <c r="I761" s="345" t="s">
        <v>59</v>
      </c>
      <c r="J761" s="316">
        <v>41823.754166666666</v>
      </c>
      <c r="K761" s="347"/>
      <c r="L761" s="347" t="s">
        <v>378</v>
      </c>
      <c r="M761" s="348" t="s">
        <v>382</v>
      </c>
      <c r="N761" s="348" t="s">
        <v>382</v>
      </c>
      <c r="O761" s="348" t="s">
        <v>175</v>
      </c>
      <c r="P761" s="349">
        <v>26.571428571428601</v>
      </c>
      <c r="Q761" s="321" t="str">
        <f t="shared" si="37"/>
        <v/>
      </c>
      <c r="R761" s="318">
        <f t="shared" si="38"/>
        <v>41823</v>
      </c>
      <c r="S761" s="318" t="str">
        <f t="shared" si="39"/>
        <v/>
      </c>
    </row>
    <row r="762" spans="3:19" ht="27.75" customHeight="1">
      <c r="C762" s="345" t="s">
        <v>98</v>
      </c>
      <c r="D762" s="345" t="s">
        <v>373</v>
      </c>
      <c r="E762" s="345" t="s">
        <v>374</v>
      </c>
      <c r="F762" s="345" t="s">
        <v>375</v>
      </c>
      <c r="G762" s="346" t="s">
        <v>376</v>
      </c>
      <c r="H762" s="345" t="s">
        <v>5</v>
      </c>
      <c r="I762" s="345" t="s">
        <v>61</v>
      </c>
      <c r="J762" s="316">
        <v>41823.753472222219</v>
      </c>
      <c r="K762" s="347">
        <v>41827.753472222219</v>
      </c>
      <c r="L762" s="347" t="s">
        <v>378</v>
      </c>
      <c r="M762" s="348" t="s">
        <v>378</v>
      </c>
      <c r="N762" s="348" t="s">
        <v>400</v>
      </c>
      <c r="O762" s="348" t="s">
        <v>177</v>
      </c>
      <c r="P762" s="349">
        <v>26.604178430265399</v>
      </c>
      <c r="Q762" s="321">
        <f t="shared" si="37"/>
        <v>4</v>
      </c>
      <c r="R762" s="318">
        <f t="shared" si="38"/>
        <v>41823</v>
      </c>
      <c r="S762" s="318">
        <f t="shared" si="39"/>
        <v>41827</v>
      </c>
    </row>
    <row r="763" spans="3:19" ht="27.75" customHeight="1">
      <c r="C763" s="345" t="s">
        <v>98</v>
      </c>
      <c r="D763" s="345" t="s">
        <v>373</v>
      </c>
      <c r="E763" s="345" t="s">
        <v>374</v>
      </c>
      <c r="F763" s="345" t="s">
        <v>375</v>
      </c>
      <c r="G763" s="346" t="s">
        <v>376</v>
      </c>
      <c r="H763" s="345" t="s">
        <v>140</v>
      </c>
      <c r="I763" s="345" t="s">
        <v>59</v>
      </c>
      <c r="J763" s="316">
        <v>41823.753472222219</v>
      </c>
      <c r="K763" s="347"/>
      <c r="L763" s="347" t="s">
        <v>378</v>
      </c>
      <c r="M763" s="348" t="s">
        <v>382</v>
      </c>
      <c r="N763" s="348" t="s">
        <v>382</v>
      </c>
      <c r="O763" s="348" t="s">
        <v>177</v>
      </c>
      <c r="P763" s="349">
        <v>26.636928289102201</v>
      </c>
      <c r="Q763" s="321" t="str">
        <f t="shared" si="37"/>
        <v/>
      </c>
      <c r="R763" s="318">
        <f t="shared" si="38"/>
        <v>41823</v>
      </c>
      <c r="S763" s="318" t="str">
        <f t="shared" si="39"/>
        <v/>
      </c>
    </row>
    <row r="764" spans="3:19" ht="27.75" customHeight="1">
      <c r="C764" s="345" t="s">
        <v>98</v>
      </c>
      <c r="D764" s="345" t="s">
        <v>373</v>
      </c>
      <c r="E764" s="345" t="s">
        <v>374</v>
      </c>
      <c r="F764" s="345" t="s">
        <v>375</v>
      </c>
      <c r="G764" s="346" t="s">
        <v>376</v>
      </c>
      <c r="H764" s="339" t="s">
        <v>14</v>
      </c>
      <c r="I764" s="345" t="s">
        <v>59</v>
      </c>
      <c r="J764" s="316">
        <v>41823.75277777778</v>
      </c>
      <c r="K764" s="347"/>
      <c r="L764" s="347" t="s">
        <v>378</v>
      </c>
      <c r="M764" s="348" t="s">
        <v>378</v>
      </c>
      <c r="N764" s="348" t="s">
        <v>400</v>
      </c>
      <c r="O764" s="348" t="s">
        <v>175</v>
      </c>
      <c r="P764" s="349">
        <v>26.669678147938999</v>
      </c>
      <c r="Q764" s="321" t="str">
        <f t="shared" si="37"/>
        <v/>
      </c>
      <c r="R764" s="318">
        <f t="shared" si="38"/>
        <v>41823</v>
      </c>
      <c r="S764" s="318" t="str">
        <f t="shared" si="39"/>
        <v/>
      </c>
    </row>
    <row r="765" spans="3:19" ht="27.75" customHeight="1">
      <c r="C765" s="345" t="s">
        <v>98</v>
      </c>
      <c r="D765" s="345" t="s">
        <v>373</v>
      </c>
      <c r="E765" s="345" t="s">
        <v>374</v>
      </c>
      <c r="F765" s="345" t="s">
        <v>375</v>
      </c>
      <c r="G765" s="346" t="s">
        <v>376</v>
      </c>
      <c r="H765" s="345" t="s">
        <v>14</v>
      </c>
      <c r="I765" s="345" t="s">
        <v>59</v>
      </c>
      <c r="J765" s="316">
        <v>41823.751388888886</v>
      </c>
      <c r="K765" s="347"/>
      <c r="L765" s="347" t="s">
        <v>188</v>
      </c>
      <c r="M765" s="348" t="s">
        <v>378</v>
      </c>
      <c r="N765" s="348" t="s">
        <v>400</v>
      </c>
      <c r="O765" s="348" t="s">
        <v>175</v>
      </c>
      <c r="P765" s="349">
        <v>26.702428006775801</v>
      </c>
      <c r="Q765" s="321" t="str">
        <f t="shared" si="37"/>
        <v/>
      </c>
      <c r="R765" s="318">
        <f t="shared" si="38"/>
        <v>41823</v>
      </c>
      <c r="S765" s="318" t="str">
        <f t="shared" si="39"/>
        <v/>
      </c>
    </row>
    <row r="766" spans="3:19" ht="27.75" customHeight="1">
      <c r="C766" s="345" t="s">
        <v>98</v>
      </c>
      <c r="D766" s="345" t="s">
        <v>373</v>
      </c>
      <c r="E766" s="345" t="s">
        <v>374</v>
      </c>
      <c r="F766" s="345" t="s">
        <v>375</v>
      </c>
      <c r="G766" s="346" t="s">
        <v>376</v>
      </c>
      <c r="H766" s="339" t="s">
        <v>14</v>
      </c>
      <c r="I766" s="345" t="s">
        <v>59</v>
      </c>
      <c r="J766" s="316">
        <v>41823.750694444447</v>
      </c>
      <c r="K766" s="347"/>
      <c r="L766" s="347" t="s">
        <v>378</v>
      </c>
      <c r="M766" s="348" t="s">
        <v>378</v>
      </c>
      <c r="N766" s="348" t="s">
        <v>400</v>
      </c>
      <c r="O766" s="348" t="s">
        <v>175</v>
      </c>
      <c r="P766" s="349">
        <v>26.735177865612599</v>
      </c>
      <c r="Q766" s="321" t="str">
        <f t="shared" si="37"/>
        <v/>
      </c>
      <c r="R766" s="318">
        <f t="shared" si="38"/>
        <v>41823</v>
      </c>
      <c r="S766" s="318" t="str">
        <f t="shared" si="39"/>
        <v/>
      </c>
    </row>
    <row r="767" spans="3:19" ht="27.75" customHeight="1">
      <c r="C767" s="345" t="s">
        <v>98</v>
      </c>
      <c r="D767" s="345" t="s">
        <v>373</v>
      </c>
      <c r="E767" s="345" t="s">
        <v>374</v>
      </c>
      <c r="F767" s="345" t="s">
        <v>375</v>
      </c>
      <c r="G767" s="346" t="s">
        <v>376</v>
      </c>
      <c r="H767" s="339" t="s">
        <v>14</v>
      </c>
      <c r="I767" s="345" t="s">
        <v>59</v>
      </c>
      <c r="J767" s="316">
        <v>41823.749305555553</v>
      </c>
      <c r="K767" s="347"/>
      <c r="L767" s="347" t="s">
        <v>378</v>
      </c>
      <c r="M767" s="348" t="s">
        <v>378</v>
      </c>
      <c r="N767" s="348" t="s">
        <v>400</v>
      </c>
      <c r="O767" s="348" t="s">
        <v>177</v>
      </c>
      <c r="P767" s="349">
        <v>26.7679277244494</v>
      </c>
      <c r="Q767" s="321" t="str">
        <f t="shared" si="37"/>
        <v/>
      </c>
      <c r="R767" s="318">
        <f t="shared" si="38"/>
        <v>41823</v>
      </c>
      <c r="S767" s="318" t="str">
        <f t="shared" si="39"/>
        <v/>
      </c>
    </row>
    <row r="768" spans="3:19" ht="27.75" customHeight="1">
      <c r="C768" s="345" t="s">
        <v>98</v>
      </c>
      <c r="D768" s="345" t="s">
        <v>373</v>
      </c>
      <c r="E768" s="345" t="s">
        <v>374</v>
      </c>
      <c r="F768" s="345" t="s">
        <v>375</v>
      </c>
      <c r="G768" s="346" t="s">
        <v>376</v>
      </c>
      <c r="H768" s="339" t="s">
        <v>14</v>
      </c>
      <c r="I768" s="345" t="s">
        <v>59</v>
      </c>
      <c r="J768" s="316">
        <v>41823.749305555553</v>
      </c>
      <c r="K768" s="347"/>
      <c r="L768" s="347" t="s">
        <v>378</v>
      </c>
      <c r="M768" s="348" t="s">
        <v>378</v>
      </c>
      <c r="N768" s="348" t="s">
        <v>400</v>
      </c>
      <c r="O768" s="348" t="s">
        <v>177</v>
      </c>
      <c r="P768" s="349">
        <v>26.800677583286301</v>
      </c>
      <c r="Q768" s="321" t="str">
        <f t="shared" si="37"/>
        <v/>
      </c>
      <c r="R768" s="318">
        <f t="shared" si="38"/>
        <v>41823</v>
      </c>
      <c r="S768" s="318" t="str">
        <f t="shared" si="39"/>
        <v/>
      </c>
    </row>
    <row r="769" spans="3:19" ht="27.75" customHeight="1">
      <c r="C769" s="345" t="s">
        <v>98</v>
      </c>
      <c r="D769" s="345" t="s">
        <v>373</v>
      </c>
      <c r="E769" s="345" t="s">
        <v>374</v>
      </c>
      <c r="F769" s="345" t="s">
        <v>375</v>
      </c>
      <c r="G769" s="346" t="s">
        <v>376</v>
      </c>
      <c r="H769" s="345" t="s">
        <v>5</v>
      </c>
      <c r="I769" s="345" t="s">
        <v>59</v>
      </c>
      <c r="J769" s="316">
        <v>41823.749305555553</v>
      </c>
      <c r="K769" s="347">
        <v>41837.749305555553</v>
      </c>
      <c r="L769" s="347" t="s">
        <v>378</v>
      </c>
      <c r="M769" s="348" t="s">
        <v>382</v>
      </c>
      <c r="N769" s="348" t="s">
        <v>382</v>
      </c>
      <c r="O769" s="348" t="s">
        <v>177</v>
      </c>
      <c r="P769" s="349">
        <v>26.833427442123099</v>
      </c>
      <c r="Q769" s="321">
        <f t="shared" si="37"/>
        <v>14</v>
      </c>
      <c r="R769" s="318">
        <f t="shared" si="38"/>
        <v>41823</v>
      </c>
      <c r="S769" s="318">
        <f t="shared" si="39"/>
        <v>41837</v>
      </c>
    </row>
    <row r="770" spans="3:19" ht="27.75" customHeight="1">
      <c r="C770" s="345" t="s">
        <v>98</v>
      </c>
      <c r="D770" s="345" t="s">
        <v>373</v>
      </c>
      <c r="E770" s="345" t="s">
        <v>374</v>
      </c>
      <c r="F770" s="345" t="s">
        <v>375</v>
      </c>
      <c r="G770" s="346" t="s">
        <v>376</v>
      </c>
      <c r="H770" s="339" t="s">
        <v>14</v>
      </c>
      <c r="I770" s="345" t="s">
        <v>59</v>
      </c>
      <c r="J770" s="316">
        <v>41823.747916666667</v>
      </c>
      <c r="K770" s="347"/>
      <c r="L770" s="347" t="s">
        <v>378</v>
      </c>
      <c r="M770" s="348" t="s">
        <v>382</v>
      </c>
      <c r="N770" s="348" t="s">
        <v>382</v>
      </c>
      <c r="O770" s="348" t="s">
        <v>177</v>
      </c>
      <c r="P770" s="349">
        <v>26.866177300959901</v>
      </c>
      <c r="Q770" s="321" t="str">
        <f t="shared" si="37"/>
        <v/>
      </c>
      <c r="R770" s="318">
        <f t="shared" si="38"/>
        <v>41823</v>
      </c>
      <c r="S770" s="318" t="str">
        <f t="shared" si="39"/>
        <v/>
      </c>
    </row>
    <row r="771" spans="3:19" ht="27.75" customHeight="1">
      <c r="C771" s="345" t="s">
        <v>98</v>
      </c>
      <c r="D771" s="345" t="s">
        <v>373</v>
      </c>
      <c r="E771" s="345" t="s">
        <v>374</v>
      </c>
      <c r="F771" s="345" t="s">
        <v>375</v>
      </c>
      <c r="G771" s="346" t="s">
        <v>376</v>
      </c>
      <c r="H771" s="345" t="s">
        <v>14</v>
      </c>
      <c r="I771" s="345" t="s">
        <v>59</v>
      </c>
      <c r="J771" s="316">
        <v>41823.746527777781</v>
      </c>
      <c r="K771" s="347"/>
      <c r="L771" s="347" t="s">
        <v>378</v>
      </c>
      <c r="M771" s="348" t="s">
        <v>378</v>
      </c>
      <c r="N771" s="348" t="s">
        <v>400</v>
      </c>
      <c r="O771" s="348" t="s">
        <v>177</v>
      </c>
      <c r="P771" s="349">
        <v>26.898927159796699</v>
      </c>
      <c r="Q771" s="321" t="str">
        <f t="shared" si="37"/>
        <v/>
      </c>
      <c r="R771" s="318">
        <f t="shared" si="38"/>
        <v>41823</v>
      </c>
      <c r="S771" s="318" t="str">
        <f t="shared" si="39"/>
        <v/>
      </c>
    </row>
    <row r="772" spans="3:19" ht="27.75" customHeight="1">
      <c r="C772" s="345" t="s">
        <v>98</v>
      </c>
      <c r="D772" s="345" t="s">
        <v>373</v>
      </c>
      <c r="E772" s="345" t="s">
        <v>374</v>
      </c>
      <c r="F772" s="345" t="s">
        <v>375</v>
      </c>
      <c r="G772" s="346" t="s">
        <v>376</v>
      </c>
      <c r="H772" s="339" t="s">
        <v>14</v>
      </c>
      <c r="I772" s="345" t="s">
        <v>59</v>
      </c>
      <c r="J772" s="316">
        <v>41823.746527777781</v>
      </c>
      <c r="K772" s="347"/>
      <c r="L772" s="347" t="s">
        <v>378</v>
      </c>
      <c r="M772" s="348" t="s">
        <v>378</v>
      </c>
      <c r="N772" s="348" t="s">
        <v>400</v>
      </c>
      <c r="O772" s="348" t="s">
        <v>177</v>
      </c>
      <c r="P772" s="349">
        <v>26.931677018633501</v>
      </c>
      <c r="Q772" s="321" t="str">
        <f t="shared" si="37"/>
        <v/>
      </c>
      <c r="R772" s="318">
        <f t="shared" si="38"/>
        <v>41823</v>
      </c>
      <c r="S772" s="318" t="str">
        <f t="shared" si="39"/>
        <v/>
      </c>
    </row>
    <row r="773" spans="3:19" ht="27.75" customHeight="1">
      <c r="C773" s="345" t="s">
        <v>98</v>
      </c>
      <c r="D773" s="345" t="s">
        <v>373</v>
      </c>
      <c r="E773" s="345" t="s">
        <v>374</v>
      </c>
      <c r="F773" s="345" t="s">
        <v>375</v>
      </c>
      <c r="G773" s="346" t="s">
        <v>376</v>
      </c>
      <c r="H773" s="339" t="s">
        <v>14</v>
      </c>
      <c r="I773" s="345" t="s">
        <v>59</v>
      </c>
      <c r="J773" s="316">
        <v>41823.745833333334</v>
      </c>
      <c r="K773" s="347"/>
      <c r="L773" s="347" t="s">
        <v>378</v>
      </c>
      <c r="M773" s="348" t="s">
        <v>378</v>
      </c>
      <c r="N773" s="348" t="s">
        <v>400</v>
      </c>
      <c r="O773" s="348" t="s">
        <v>175</v>
      </c>
      <c r="P773" s="349">
        <v>26.964426877470299</v>
      </c>
      <c r="Q773" s="321" t="str">
        <f t="shared" si="37"/>
        <v/>
      </c>
      <c r="R773" s="318">
        <f t="shared" si="38"/>
        <v>41823</v>
      </c>
      <c r="S773" s="318" t="str">
        <f t="shared" si="39"/>
        <v/>
      </c>
    </row>
    <row r="774" spans="3:19" ht="27.75" customHeight="1">
      <c r="C774" s="345" t="s">
        <v>98</v>
      </c>
      <c r="D774" s="345" t="s">
        <v>373</v>
      </c>
      <c r="E774" s="345" t="s">
        <v>374</v>
      </c>
      <c r="F774" s="345" t="s">
        <v>375</v>
      </c>
      <c r="G774" s="346" t="s">
        <v>376</v>
      </c>
      <c r="H774" s="345" t="s">
        <v>5</v>
      </c>
      <c r="I774" s="345" t="s">
        <v>59</v>
      </c>
      <c r="J774" s="316">
        <v>41823.744444444441</v>
      </c>
      <c r="K774" s="347">
        <v>41829.744444444441</v>
      </c>
      <c r="L774" s="347" t="s">
        <v>378</v>
      </c>
      <c r="M774" s="348" t="s">
        <v>378</v>
      </c>
      <c r="N774" s="348" t="s">
        <v>400</v>
      </c>
      <c r="O774" s="348" t="s">
        <v>175</v>
      </c>
      <c r="P774" s="349">
        <v>26.9971767363072</v>
      </c>
      <c r="Q774" s="321">
        <f t="shared" si="37"/>
        <v>6</v>
      </c>
      <c r="R774" s="318">
        <f t="shared" si="38"/>
        <v>41823</v>
      </c>
      <c r="S774" s="318">
        <f t="shared" si="39"/>
        <v>41829</v>
      </c>
    </row>
    <row r="775" spans="3:19" ht="27.75" customHeight="1">
      <c r="C775" s="345" t="s">
        <v>98</v>
      </c>
      <c r="D775" s="345" t="s">
        <v>373</v>
      </c>
      <c r="E775" s="345" t="s">
        <v>374</v>
      </c>
      <c r="F775" s="345" t="s">
        <v>375</v>
      </c>
      <c r="G775" s="346" t="s">
        <v>376</v>
      </c>
      <c r="H775" s="345" t="s">
        <v>14</v>
      </c>
      <c r="I775" s="345" t="s">
        <v>59</v>
      </c>
      <c r="J775" s="316">
        <v>41823.743055555555</v>
      </c>
      <c r="K775" s="347"/>
      <c r="L775" s="347" t="s">
        <v>378</v>
      </c>
      <c r="M775" s="348" t="s">
        <v>378</v>
      </c>
      <c r="N775" s="348" t="s">
        <v>400</v>
      </c>
      <c r="O775" s="348" t="s">
        <v>175</v>
      </c>
      <c r="P775" s="349">
        <v>27.029926595144001</v>
      </c>
      <c r="Q775" s="321" t="str">
        <f t="shared" si="37"/>
        <v/>
      </c>
      <c r="R775" s="318">
        <f t="shared" si="38"/>
        <v>41823</v>
      </c>
      <c r="S775" s="318" t="str">
        <f t="shared" si="39"/>
        <v/>
      </c>
    </row>
    <row r="776" spans="3:19" ht="27.75" customHeight="1">
      <c r="C776" s="345" t="s">
        <v>98</v>
      </c>
      <c r="D776" s="345" t="s">
        <v>373</v>
      </c>
      <c r="E776" s="345" t="s">
        <v>374</v>
      </c>
      <c r="F776" s="345" t="s">
        <v>375</v>
      </c>
      <c r="G776" s="346" t="s">
        <v>376</v>
      </c>
      <c r="H776" s="339" t="s">
        <v>14</v>
      </c>
      <c r="I776" s="345" t="s">
        <v>59</v>
      </c>
      <c r="J776" s="316">
        <v>41823.743055555555</v>
      </c>
      <c r="K776" s="347"/>
      <c r="L776" s="347" t="s">
        <v>378</v>
      </c>
      <c r="M776" s="348" t="s">
        <v>378</v>
      </c>
      <c r="N776" s="348" t="s">
        <v>400</v>
      </c>
      <c r="O776" s="348" t="s">
        <v>175</v>
      </c>
      <c r="P776" s="349">
        <v>27.062676453980799</v>
      </c>
      <c r="Q776" s="321" t="str">
        <f t="shared" si="37"/>
        <v/>
      </c>
      <c r="R776" s="318">
        <f t="shared" si="38"/>
        <v>41823</v>
      </c>
      <c r="S776" s="318" t="str">
        <f t="shared" si="39"/>
        <v/>
      </c>
    </row>
    <row r="777" spans="3:19" ht="27.75" customHeight="1">
      <c r="C777" s="345" t="s">
        <v>98</v>
      </c>
      <c r="D777" s="345" t="s">
        <v>373</v>
      </c>
      <c r="E777" s="345" t="s">
        <v>374</v>
      </c>
      <c r="F777" s="345" t="s">
        <v>375</v>
      </c>
      <c r="G777" s="346" t="s">
        <v>376</v>
      </c>
      <c r="H777" s="339" t="s">
        <v>14</v>
      </c>
      <c r="I777" s="345" t="s">
        <v>60</v>
      </c>
      <c r="J777" s="316">
        <v>41823.743055555555</v>
      </c>
      <c r="K777" s="347"/>
      <c r="L777" s="347" t="s">
        <v>378</v>
      </c>
      <c r="M777" s="348" t="s">
        <v>378</v>
      </c>
      <c r="N777" s="348" t="s">
        <v>400</v>
      </c>
      <c r="O777" s="348" t="s">
        <v>175</v>
      </c>
      <c r="P777" s="349">
        <v>27.095426312817601</v>
      </c>
      <c r="Q777" s="321" t="str">
        <f t="shared" si="37"/>
        <v/>
      </c>
      <c r="R777" s="318">
        <f t="shared" si="38"/>
        <v>41823</v>
      </c>
      <c r="S777" s="318" t="str">
        <f t="shared" si="39"/>
        <v/>
      </c>
    </row>
    <row r="778" spans="3:19" ht="27.75" customHeight="1">
      <c r="C778" s="345" t="s">
        <v>98</v>
      </c>
      <c r="D778" s="345" t="s">
        <v>373</v>
      </c>
      <c r="E778" s="345" t="s">
        <v>374</v>
      </c>
      <c r="F778" s="345" t="s">
        <v>375</v>
      </c>
      <c r="G778" s="346" t="s">
        <v>376</v>
      </c>
      <c r="H778" s="345" t="s">
        <v>5</v>
      </c>
      <c r="I778" s="345" t="s">
        <v>59</v>
      </c>
      <c r="J778" s="316">
        <v>41823.740972222222</v>
      </c>
      <c r="K778" s="347">
        <v>41826.740972222222</v>
      </c>
      <c r="L778" s="347" t="s">
        <v>378</v>
      </c>
      <c r="M778" s="348" t="s">
        <v>378</v>
      </c>
      <c r="N778" s="348" t="s">
        <v>400</v>
      </c>
      <c r="O778" s="348" t="s">
        <v>175</v>
      </c>
      <c r="P778" s="349">
        <v>27.128176171654399</v>
      </c>
      <c r="Q778" s="321">
        <f t="shared" si="37"/>
        <v>3</v>
      </c>
      <c r="R778" s="318">
        <f t="shared" si="38"/>
        <v>41823</v>
      </c>
      <c r="S778" s="318">
        <f t="shared" si="39"/>
        <v>41826</v>
      </c>
    </row>
    <row r="779" spans="3:19" ht="27.75" customHeight="1">
      <c r="C779" s="345" t="s">
        <v>98</v>
      </c>
      <c r="D779" s="345" t="s">
        <v>373</v>
      </c>
      <c r="E779" s="345" t="s">
        <v>374</v>
      </c>
      <c r="F779" s="345" t="s">
        <v>375</v>
      </c>
      <c r="G779" s="346" t="s">
        <v>376</v>
      </c>
      <c r="H779" s="345" t="s">
        <v>5</v>
      </c>
      <c r="I779" s="345" t="s">
        <v>61</v>
      </c>
      <c r="J779" s="316">
        <v>41823.738194444442</v>
      </c>
      <c r="K779" s="347">
        <v>41826.738194444442</v>
      </c>
      <c r="L779" s="347" t="s">
        <v>378</v>
      </c>
      <c r="M779" s="348" t="s">
        <v>378</v>
      </c>
      <c r="N779" s="348" t="s">
        <v>400</v>
      </c>
      <c r="O779" s="348" t="s">
        <v>175</v>
      </c>
      <c r="P779" s="349">
        <v>27.160926030491201</v>
      </c>
      <c r="Q779" s="321">
        <f t="shared" si="37"/>
        <v>3</v>
      </c>
      <c r="R779" s="318">
        <f t="shared" si="38"/>
        <v>41823</v>
      </c>
      <c r="S779" s="318">
        <f t="shared" si="39"/>
        <v>41826</v>
      </c>
    </row>
    <row r="780" spans="3:19" ht="27.75" customHeight="1">
      <c r="C780" s="345" t="s">
        <v>98</v>
      </c>
      <c r="D780" s="345" t="s">
        <v>373</v>
      </c>
      <c r="E780" s="345" t="s">
        <v>374</v>
      </c>
      <c r="F780" s="345" t="s">
        <v>375</v>
      </c>
      <c r="G780" s="346" t="s">
        <v>376</v>
      </c>
      <c r="H780" s="339" t="s">
        <v>14</v>
      </c>
      <c r="I780" s="345" t="s">
        <v>60</v>
      </c>
      <c r="J780" s="316">
        <v>41823.736805555556</v>
      </c>
      <c r="K780" s="347"/>
      <c r="L780" s="347" t="s">
        <v>399</v>
      </c>
      <c r="M780" s="348" t="s">
        <v>378</v>
      </c>
      <c r="N780" s="348" t="s">
        <v>400</v>
      </c>
      <c r="O780" s="348" t="s">
        <v>175</v>
      </c>
      <c r="P780" s="349">
        <v>27.193675889327999</v>
      </c>
      <c r="Q780" s="321" t="str">
        <f t="shared" si="37"/>
        <v/>
      </c>
      <c r="R780" s="318">
        <f t="shared" si="38"/>
        <v>41823</v>
      </c>
      <c r="S780" s="318" t="str">
        <f t="shared" si="39"/>
        <v/>
      </c>
    </row>
    <row r="781" spans="3:19" ht="27.75" customHeight="1">
      <c r="C781" s="345" t="s">
        <v>98</v>
      </c>
      <c r="D781" s="345" t="s">
        <v>373</v>
      </c>
      <c r="E781" s="345" t="s">
        <v>374</v>
      </c>
      <c r="F781" s="345" t="s">
        <v>375</v>
      </c>
      <c r="G781" s="346" t="s">
        <v>376</v>
      </c>
      <c r="H781" s="345" t="s">
        <v>5</v>
      </c>
      <c r="I781" s="345" t="s">
        <v>61</v>
      </c>
      <c r="J781" s="316">
        <v>41823.683333333334</v>
      </c>
      <c r="K781" s="347">
        <v>41837.683333333334</v>
      </c>
      <c r="L781" s="347" t="s">
        <v>377</v>
      </c>
      <c r="M781" s="348" t="s">
        <v>378</v>
      </c>
      <c r="N781" s="348" t="s">
        <v>400</v>
      </c>
      <c r="O781" s="348" t="s">
        <v>175</v>
      </c>
      <c r="P781" s="349">
        <v>27.2264257481649</v>
      </c>
      <c r="Q781" s="321">
        <f t="shared" si="37"/>
        <v>14</v>
      </c>
      <c r="R781" s="318">
        <f t="shared" si="38"/>
        <v>41823</v>
      </c>
      <c r="S781" s="318">
        <f t="shared" si="39"/>
        <v>41837</v>
      </c>
    </row>
    <row r="782" spans="3:19" ht="27.75" customHeight="1">
      <c r="C782" s="345" t="s">
        <v>98</v>
      </c>
      <c r="D782" s="345" t="s">
        <v>373</v>
      </c>
      <c r="E782" s="345" t="s">
        <v>374</v>
      </c>
      <c r="F782" s="345" t="s">
        <v>375</v>
      </c>
      <c r="G782" s="346" t="s">
        <v>376</v>
      </c>
      <c r="H782" s="339" t="s">
        <v>14</v>
      </c>
      <c r="I782" s="345" t="s">
        <v>60</v>
      </c>
      <c r="J782" s="316">
        <v>41823.543055555558</v>
      </c>
      <c r="K782" s="347"/>
      <c r="L782" s="347" t="s">
        <v>399</v>
      </c>
      <c r="M782" s="348" t="s">
        <v>378</v>
      </c>
      <c r="N782" s="348" t="s">
        <v>400</v>
      </c>
      <c r="O782" s="348" t="s">
        <v>175</v>
      </c>
      <c r="P782" s="349">
        <v>27.259175607001701</v>
      </c>
      <c r="Q782" s="321" t="str">
        <f t="shared" si="37"/>
        <v/>
      </c>
      <c r="R782" s="318">
        <f t="shared" si="38"/>
        <v>41823</v>
      </c>
      <c r="S782" s="318" t="str">
        <f t="shared" si="39"/>
        <v/>
      </c>
    </row>
    <row r="783" spans="3:19" ht="27.75" customHeight="1">
      <c r="C783" s="345" t="s">
        <v>98</v>
      </c>
      <c r="D783" s="345" t="s">
        <v>373</v>
      </c>
      <c r="E783" s="345" t="s">
        <v>374</v>
      </c>
      <c r="F783" s="345" t="s">
        <v>375</v>
      </c>
      <c r="G783" s="346" t="s">
        <v>376</v>
      </c>
      <c r="H783" s="339" t="s">
        <v>14</v>
      </c>
      <c r="I783" s="345" t="s">
        <v>60</v>
      </c>
      <c r="J783" s="316">
        <v>41823.515972222223</v>
      </c>
      <c r="K783" s="347"/>
      <c r="L783" s="347" t="s">
        <v>377</v>
      </c>
      <c r="M783" s="348" t="s">
        <v>378</v>
      </c>
      <c r="N783" s="348" t="s">
        <v>400</v>
      </c>
      <c r="O783" s="348" t="s">
        <v>175</v>
      </c>
      <c r="P783" s="349">
        <v>27.291925465838499</v>
      </c>
      <c r="Q783" s="321" t="str">
        <f t="shared" si="37"/>
        <v/>
      </c>
      <c r="R783" s="318">
        <f t="shared" si="38"/>
        <v>41823</v>
      </c>
      <c r="S783" s="318" t="str">
        <f t="shared" si="39"/>
        <v/>
      </c>
    </row>
    <row r="784" spans="3:19" ht="27.75" customHeight="1">
      <c r="C784" s="345" t="s">
        <v>98</v>
      </c>
      <c r="D784" s="345" t="s">
        <v>373</v>
      </c>
      <c r="E784" s="345" t="s">
        <v>374</v>
      </c>
      <c r="F784" s="345" t="s">
        <v>375</v>
      </c>
      <c r="G784" s="346" t="s">
        <v>376</v>
      </c>
      <c r="H784" s="345" t="s">
        <v>5</v>
      </c>
      <c r="I784" s="345" t="s">
        <v>60</v>
      </c>
      <c r="J784" s="316">
        <v>41823.490277777775</v>
      </c>
      <c r="K784" s="347">
        <v>41825.490277777775</v>
      </c>
      <c r="L784" s="347" t="s">
        <v>399</v>
      </c>
      <c r="M784" s="348" t="s">
        <v>378</v>
      </c>
      <c r="N784" s="348" t="s">
        <v>400</v>
      </c>
      <c r="O784" s="348" t="s">
        <v>177</v>
      </c>
      <c r="P784" s="349">
        <v>27.324675324675301</v>
      </c>
      <c r="Q784" s="321">
        <f t="shared" si="37"/>
        <v>2</v>
      </c>
      <c r="R784" s="318">
        <f t="shared" si="38"/>
        <v>41823</v>
      </c>
      <c r="S784" s="318">
        <f t="shared" si="39"/>
        <v>41825</v>
      </c>
    </row>
    <row r="785" spans="3:19" ht="27.75" customHeight="1">
      <c r="C785" s="345" t="s">
        <v>98</v>
      </c>
      <c r="D785" s="345" t="s">
        <v>373</v>
      </c>
      <c r="E785" s="345" t="s">
        <v>374</v>
      </c>
      <c r="F785" s="345" t="s">
        <v>375</v>
      </c>
      <c r="G785" s="346" t="s">
        <v>376</v>
      </c>
      <c r="H785" s="345" t="s">
        <v>384</v>
      </c>
      <c r="I785" s="345" t="s">
        <v>61</v>
      </c>
      <c r="J785" s="316">
        <v>41828.718055555553</v>
      </c>
      <c r="K785" s="347"/>
      <c r="L785" s="347" t="s">
        <v>188</v>
      </c>
      <c r="M785" s="348" t="s">
        <v>378</v>
      </c>
      <c r="N785" s="348" t="s">
        <v>400</v>
      </c>
      <c r="O785" s="348" t="s">
        <v>177</v>
      </c>
      <c r="P785" s="349">
        <v>27.357425183512099</v>
      </c>
      <c r="Q785" s="321" t="str">
        <f t="shared" si="37"/>
        <v/>
      </c>
      <c r="R785" s="318">
        <f t="shared" si="38"/>
        <v>41828</v>
      </c>
      <c r="S785" s="318" t="str">
        <f t="shared" si="39"/>
        <v/>
      </c>
    </row>
    <row r="786" spans="3:19" ht="27.75" customHeight="1">
      <c r="C786" s="345" t="s">
        <v>98</v>
      </c>
      <c r="D786" s="345" t="s">
        <v>373</v>
      </c>
      <c r="E786" s="345" t="s">
        <v>374</v>
      </c>
      <c r="F786" s="345" t="s">
        <v>375</v>
      </c>
      <c r="G786" s="346" t="s">
        <v>376</v>
      </c>
      <c r="H786" s="345" t="s">
        <v>383</v>
      </c>
      <c r="I786" s="345" t="s">
        <v>60</v>
      </c>
      <c r="J786" s="316">
        <v>41828.711111111108</v>
      </c>
      <c r="K786" s="347"/>
      <c r="L786" s="347" t="s">
        <v>188</v>
      </c>
      <c r="M786" s="348" t="s">
        <v>382</v>
      </c>
      <c r="N786" s="348" t="s">
        <v>382</v>
      </c>
      <c r="O786" s="348" t="s">
        <v>175</v>
      </c>
      <c r="P786" s="349">
        <v>27.390175042348901</v>
      </c>
      <c r="Q786" s="321" t="str">
        <f t="shared" si="37"/>
        <v/>
      </c>
      <c r="R786" s="318">
        <f t="shared" si="38"/>
        <v>41828</v>
      </c>
      <c r="S786" s="318" t="str">
        <f t="shared" si="39"/>
        <v/>
      </c>
    </row>
    <row r="787" spans="3:19" ht="27.75" customHeight="1">
      <c r="C787" s="345" t="s">
        <v>98</v>
      </c>
      <c r="D787" s="345" t="s">
        <v>373</v>
      </c>
      <c r="E787" s="345" t="s">
        <v>374</v>
      </c>
      <c r="F787" s="345" t="s">
        <v>375</v>
      </c>
      <c r="G787" s="346" t="s">
        <v>376</v>
      </c>
      <c r="H787" s="339" t="s">
        <v>14</v>
      </c>
      <c r="I787" s="345" t="s">
        <v>60</v>
      </c>
      <c r="J787" s="316">
        <v>41828.6875</v>
      </c>
      <c r="K787" s="347"/>
      <c r="L787" s="347" t="s">
        <v>188</v>
      </c>
      <c r="M787" s="348" t="s">
        <v>382</v>
      </c>
      <c r="N787" s="348" t="s">
        <v>382</v>
      </c>
      <c r="O787" s="348" t="s">
        <v>175</v>
      </c>
      <c r="P787" s="349">
        <v>27.422924901185802</v>
      </c>
      <c r="Q787" s="321" t="str">
        <f t="shared" si="37"/>
        <v/>
      </c>
      <c r="R787" s="318">
        <f t="shared" si="38"/>
        <v>41828</v>
      </c>
      <c r="S787" s="318" t="str">
        <f t="shared" si="39"/>
        <v/>
      </c>
    </row>
    <row r="788" spans="3:19" ht="27.75" customHeight="1">
      <c r="C788" s="345" t="s">
        <v>98</v>
      </c>
      <c r="D788" s="345" t="s">
        <v>373</v>
      </c>
      <c r="E788" s="345" t="s">
        <v>374</v>
      </c>
      <c r="F788" s="345" t="s">
        <v>375</v>
      </c>
      <c r="G788" s="346" t="s">
        <v>376</v>
      </c>
      <c r="H788" s="339" t="s">
        <v>14</v>
      </c>
      <c r="I788" s="345" t="s">
        <v>60</v>
      </c>
      <c r="J788" s="316">
        <v>41828.680555555555</v>
      </c>
      <c r="K788" s="347"/>
      <c r="L788" s="347" t="s">
        <v>188</v>
      </c>
      <c r="M788" s="348" t="s">
        <v>378</v>
      </c>
      <c r="N788" s="348" t="s">
        <v>400</v>
      </c>
      <c r="O788" s="348" t="s">
        <v>175</v>
      </c>
      <c r="P788" s="349">
        <v>27.4556747600226</v>
      </c>
      <c r="Q788" s="321" t="str">
        <f t="shared" si="37"/>
        <v/>
      </c>
      <c r="R788" s="318">
        <f t="shared" si="38"/>
        <v>41828</v>
      </c>
      <c r="S788" s="318" t="str">
        <f t="shared" si="39"/>
        <v/>
      </c>
    </row>
    <row r="789" spans="3:19" ht="27.75" customHeight="1">
      <c r="C789" s="345" t="s">
        <v>98</v>
      </c>
      <c r="D789" s="345" t="s">
        <v>373</v>
      </c>
      <c r="E789" s="345" t="s">
        <v>374</v>
      </c>
      <c r="F789" s="345" t="s">
        <v>375</v>
      </c>
      <c r="G789" s="346" t="s">
        <v>376</v>
      </c>
      <c r="H789" s="339" t="s">
        <v>14</v>
      </c>
      <c r="I789" s="345" t="s">
        <v>60</v>
      </c>
      <c r="J789" s="316">
        <v>41828.676388888889</v>
      </c>
      <c r="K789" s="347"/>
      <c r="L789" s="347" t="s">
        <v>188</v>
      </c>
      <c r="M789" s="348" t="s">
        <v>382</v>
      </c>
      <c r="N789" s="348" t="s">
        <v>382</v>
      </c>
      <c r="O789" s="348" t="s">
        <v>177</v>
      </c>
      <c r="P789" s="349">
        <v>27.488424618859401</v>
      </c>
      <c r="Q789" s="321" t="str">
        <f t="shared" si="37"/>
        <v/>
      </c>
      <c r="R789" s="318">
        <f t="shared" si="38"/>
        <v>41828</v>
      </c>
      <c r="S789" s="318" t="str">
        <f t="shared" si="39"/>
        <v/>
      </c>
    </row>
    <row r="790" spans="3:19" ht="27.75" customHeight="1">
      <c r="C790" s="345" t="s">
        <v>98</v>
      </c>
      <c r="D790" s="345" t="s">
        <v>373</v>
      </c>
      <c r="E790" s="345" t="s">
        <v>374</v>
      </c>
      <c r="F790" s="345" t="s">
        <v>375</v>
      </c>
      <c r="G790" s="346" t="s">
        <v>376</v>
      </c>
      <c r="H790" s="345" t="s">
        <v>384</v>
      </c>
      <c r="I790" s="345" t="s">
        <v>60</v>
      </c>
      <c r="J790" s="316">
        <v>41828.657638888886</v>
      </c>
      <c r="K790" s="347"/>
      <c r="L790" s="347" t="s">
        <v>188</v>
      </c>
      <c r="M790" s="348" t="s">
        <v>382</v>
      </c>
      <c r="N790" s="348" t="s">
        <v>382</v>
      </c>
      <c r="O790" s="348" t="s">
        <v>177</v>
      </c>
      <c r="P790" s="349">
        <v>27.521174477696199</v>
      </c>
      <c r="Q790" s="321" t="str">
        <f t="shared" si="37"/>
        <v/>
      </c>
      <c r="R790" s="318">
        <f t="shared" si="38"/>
        <v>41828</v>
      </c>
      <c r="S790" s="318" t="str">
        <f t="shared" si="39"/>
        <v/>
      </c>
    </row>
    <row r="791" spans="3:19" ht="27.75" customHeight="1">
      <c r="C791" s="345" t="s">
        <v>98</v>
      </c>
      <c r="D791" s="345" t="s">
        <v>373</v>
      </c>
      <c r="E791" s="345" t="s">
        <v>374</v>
      </c>
      <c r="F791" s="345" t="s">
        <v>375</v>
      </c>
      <c r="G791" s="346" t="s">
        <v>376</v>
      </c>
      <c r="H791" s="339" t="s">
        <v>14</v>
      </c>
      <c r="I791" s="345" t="s">
        <v>59</v>
      </c>
      <c r="J791" s="316">
        <v>41828.621527777781</v>
      </c>
      <c r="K791" s="347"/>
      <c r="L791" s="347" t="s">
        <v>188</v>
      </c>
      <c r="M791" s="348" t="s">
        <v>378</v>
      </c>
      <c r="N791" s="348" t="s">
        <v>400</v>
      </c>
      <c r="O791" s="348" t="s">
        <v>177</v>
      </c>
      <c r="P791" s="349">
        <v>27.553924336533001</v>
      </c>
      <c r="Q791" s="321" t="str">
        <f t="shared" si="37"/>
        <v/>
      </c>
      <c r="R791" s="318">
        <f t="shared" si="38"/>
        <v>41828</v>
      </c>
      <c r="S791" s="318" t="str">
        <f t="shared" si="39"/>
        <v/>
      </c>
    </row>
    <row r="792" spans="3:19" ht="27.75" customHeight="1">
      <c r="C792" s="345" t="s">
        <v>98</v>
      </c>
      <c r="D792" s="345" t="s">
        <v>373</v>
      </c>
      <c r="E792" s="345" t="s">
        <v>374</v>
      </c>
      <c r="F792" s="345" t="s">
        <v>375</v>
      </c>
      <c r="G792" s="346" t="s">
        <v>376</v>
      </c>
      <c r="H792" s="339" t="s">
        <v>14</v>
      </c>
      <c r="I792" s="345" t="s">
        <v>61</v>
      </c>
      <c r="J792" s="316">
        <v>41828.620138888888</v>
      </c>
      <c r="K792" s="347"/>
      <c r="L792" s="347" t="s">
        <v>377</v>
      </c>
      <c r="M792" s="348" t="s">
        <v>378</v>
      </c>
      <c r="N792" s="348" t="s">
        <v>400</v>
      </c>
      <c r="O792" s="348" t="s">
        <v>177</v>
      </c>
      <c r="P792" s="349">
        <v>27.586674195369799</v>
      </c>
      <c r="Q792" s="321" t="str">
        <f t="shared" si="37"/>
        <v/>
      </c>
      <c r="R792" s="318">
        <f t="shared" si="38"/>
        <v>41828</v>
      </c>
      <c r="S792" s="318" t="str">
        <f t="shared" si="39"/>
        <v/>
      </c>
    </row>
    <row r="793" spans="3:19" ht="27.75" customHeight="1">
      <c r="C793" s="345" t="s">
        <v>98</v>
      </c>
      <c r="D793" s="345" t="s">
        <v>373</v>
      </c>
      <c r="E793" s="345" t="s">
        <v>374</v>
      </c>
      <c r="F793" s="345" t="s">
        <v>375</v>
      </c>
      <c r="G793" s="346" t="s">
        <v>376</v>
      </c>
      <c r="H793" s="339" t="s">
        <v>14</v>
      </c>
      <c r="I793" s="345" t="s">
        <v>60</v>
      </c>
      <c r="J793" s="316">
        <v>41828.603472222225</v>
      </c>
      <c r="K793" s="347"/>
      <c r="L793" s="347" t="s">
        <v>188</v>
      </c>
      <c r="M793" s="348" t="s">
        <v>378</v>
      </c>
      <c r="N793" s="348" t="s">
        <v>400</v>
      </c>
      <c r="O793" s="348" t="s">
        <v>177</v>
      </c>
      <c r="P793" s="349">
        <v>27.619424054206601</v>
      </c>
      <c r="Q793" s="321" t="str">
        <f t="shared" si="37"/>
        <v/>
      </c>
      <c r="R793" s="318">
        <f t="shared" si="38"/>
        <v>41828</v>
      </c>
      <c r="S793" s="318" t="str">
        <f t="shared" si="39"/>
        <v/>
      </c>
    </row>
    <row r="794" spans="3:19" ht="27.75" customHeight="1">
      <c r="C794" s="345" t="s">
        <v>98</v>
      </c>
      <c r="D794" s="345" t="s">
        <v>373</v>
      </c>
      <c r="E794" s="345" t="s">
        <v>374</v>
      </c>
      <c r="F794" s="345" t="s">
        <v>375</v>
      </c>
      <c r="G794" s="346" t="s">
        <v>376</v>
      </c>
      <c r="H794" s="345" t="s">
        <v>5</v>
      </c>
      <c r="I794" s="345" t="s">
        <v>58</v>
      </c>
      <c r="J794" s="316">
        <v>41828.593055555553</v>
      </c>
      <c r="K794" s="347">
        <v>41826.593055555553</v>
      </c>
      <c r="L794" s="347" t="s">
        <v>188</v>
      </c>
      <c r="M794" s="348" t="s">
        <v>378</v>
      </c>
      <c r="N794" s="348" t="s">
        <v>400</v>
      </c>
      <c r="O794" s="348" t="s">
        <v>177</v>
      </c>
      <c r="P794" s="349">
        <v>27.652173913043502</v>
      </c>
      <c r="Q794" s="321" t="str">
        <f t="shared" ref="Q794:Q857" si="40">IF(ISERROR(DATEDIF(J794,K794,"D")),"",DATEDIF(J794,K794,"D"))</f>
        <v/>
      </c>
      <c r="R794" s="318">
        <f t="shared" ref="R794:R857" si="41">DATE(YEAR(J794),MONTH(J794),DAY(J794))</f>
        <v>41828</v>
      </c>
      <c r="S794" s="318">
        <f t="shared" ref="S794:S857" si="42">IF(K794&lt;&gt;"",DATE(YEAR(K794),MONTH(K794),DAY(K794)),"")</f>
        <v>41826</v>
      </c>
    </row>
    <row r="795" spans="3:19" ht="27.75" customHeight="1">
      <c r="C795" s="345" t="s">
        <v>98</v>
      </c>
      <c r="D795" s="345" t="s">
        <v>373</v>
      </c>
      <c r="E795" s="345" t="s">
        <v>374</v>
      </c>
      <c r="F795" s="345" t="s">
        <v>375</v>
      </c>
      <c r="G795" s="346" t="s">
        <v>376</v>
      </c>
      <c r="H795" s="345" t="s">
        <v>5</v>
      </c>
      <c r="I795" s="345" t="s">
        <v>60</v>
      </c>
      <c r="J795" s="316">
        <v>41828.584027777775</v>
      </c>
      <c r="K795" s="347">
        <v>41827.584027777775</v>
      </c>
      <c r="L795" s="347" t="s">
        <v>188</v>
      </c>
      <c r="M795" s="348" t="s">
        <v>378</v>
      </c>
      <c r="N795" s="348" t="s">
        <v>400</v>
      </c>
      <c r="O795" s="348" t="s">
        <v>175</v>
      </c>
      <c r="P795" s="349">
        <v>27.6849237718803</v>
      </c>
      <c r="Q795" s="321" t="str">
        <f t="shared" si="40"/>
        <v/>
      </c>
      <c r="R795" s="318">
        <f t="shared" si="41"/>
        <v>41828</v>
      </c>
      <c r="S795" s="318">
        <f t="shared" si="42"/>
        <v>41827</v>
      </c>
    </row>
    <row r="796" spans="3:19" ht="27.75" customHeight="1">
      <c r="C796" s="345" t="s">
        <v>98</v>
      </c>
      <c r="D796" s="345" t="s">
        <v>373</v>
      </c>
      <c r="E796" s="345" t="s">
        <v>374</v>
      </c>
      <c r="F796" s="345" t="s">
        <v>375</v>
      </c>
      <c r="G796" s="346" t="s">
        <v>376</v>
      </c>
      <c r="H796" s="339" t="s">
        <v>14</v>
      </c>
      <c r="I796" s="345" t="s">
        <v>58</v>
      </c>
      <c r="J796" s="316">
        <v>41828.530555555553</v>
      </c>
      <c r="K796" s="347"/>
      <c r="L796" s="347" t="s">
        <v>188</v>
      </c>
      <c r="M796" s="348" t="s">
        <v>382</v>
      </c>
      <c r="N796" s="348" t="s">
        <v>382</v>
      </c>
      <c r="O796" s="348" t="s">
        <v>175</v>
      </c>
      <c r="P796" s="349">
        <v>27.717673630717101</v>
      </c>
      <c r="Q796" s="321" t="str">
        <f t="shared" si="40"/>
        <v/>
      </c>
      <c r="R796" s="318">
        <f t="shared" si="41"/>
        <v>41828</v>
      </c>
      <c r="S796" s="318" t="str">
        <f t="shared" si="42"/>
        <v/>
      </c>
    </row>
    <row r="797" spans="3:19" ht="27.75" customHeight="1">
      <c r="C797" s="345" t="s">
        <v>98</v>
      </c>
      <c r="D797" s="345" t="s">
        <v>373</v>
      </c>
      <c r="E797" s="345" t="s">
        <v>374</v>
      </c>
      <c r="F797" s="345" t="s">
        <v>375</v>
      </c>
      <c r="G797" s="346" t="s">
        <v>376</v>
      </c>
      <c r="H797" s="339" t="s">
        <v>14</v>
      </c>
      <c r="I797" s="345" t="s">
        <v>60</v>
      </c>
      <c r="J797" s="316">
        <v>41828.492361111108</v>
      </c>
      <c r="K797" s="347"/>
      <c r="L797" s="347" t="s">
        <v>188</v>
      </c>
      <c r="M797" s="348" t="s">
        <v>382</v>
      </c>
      <c r="N797" s="348" t="s">
        <v>382</v>
      </c>
      <c r="O797" s="348" t="s">
        <v>175</v>
      </c>
      <c r="P797" s="349">
        <v>27.750423489553899</v>
      </c>
      <c r="Q797" s="321" t="str">
        <f t="shared" si="40"/>
        <v/>
      </c>
      <c r="R797" s="318">
        <f t="shared" si="41"/>
        <v>41828</v>
      </c>
      <c r="S797" s="318" t="str">
        <f t="shared" si="42"/>
        <v/>
      </c>
    </row>
    <row r="798" spans="3:19" ht="27.75" customHeight="1">
      <c r="C798" s="345" t="s">
        <v>98</v>
      </c>
      <c r="D798" s="345" t="s">
        <v>373</v>
      </c>
      <c r="E798" s="345" t="s">
        <v>374</v>
      </c>
      <c r="F798" s="345" t="s">
        <v>375</v>
      </c>
      <c r="G798" s="346" t="s">
        <v>376</v>
      </c>
      <c r="H798" s="339" t="s">
        <v>14</v>
      </c>
      <c r="I798" s="345" t="s">
        <v>60</v>
      </c>
      <c r="J798" s="316">
        <v>41828.482638888891</v>
      </c>
      <c r="K798" s="347"/>
      <c r="L798" s="347" t="s">
        <v>188</v>
      </c>
      <c r="M798" s="348" t="s">
        <v>382</v>
      </c>
      <c r="N798" s="348" t="s">
        <v>382</v>
      </c>
      <c r="O798" s="348" t="s">
        <v>175</v>
      </c>
      <c r="P798" s="349">
        <v>27.783173348390701</v>
      </c>
      <c r="Q798" s="321" t="str">
        <f t="shared" si="40"/>
        <v/>
      </c>
      <c r="R798" s="318">
        <f t="shared" si="41"/>
        <v>41828</v>
      </c>
      <c r="S798" s="318" t="str">
        <f t="shared" si="42"/>
        <v/>
      </c>
    </row>
    <row r="799" spans="3:19" ht="27.75" customHeight="1">
      <c r="C799" s="345" t="s">
        <v>98</v>
      </c>
      <c r="D799" s="345" t="s">
        <v>373</v>
      </c>
      <c r="E799" s="345" t="s">
        <v>374</v>
      </c>
      <c r="F799" s="345" t="s">
        <v>375</v>
      </c>
      <c r="G799" s="346" t="s">
        <v>376</v>
      </c>
      <c r="H799" s="339" t="s">
        <v>14</v>
      </c>
      <c r="I799" s="345" t="s">
        <v>61</v>
      </c>
      <c r="J799" s="316">
        <v>41828.475694444445</v>
      </c>
      <c r="K799" s="347"/>
      <c r="L799" s="347" t="s">
        <v>377</v>
      </c>
      <c r="M799" s="348" t="s">
        <v>378</v>
      </c>
      <c r="N799" s="348" t="s">
        <v>400</v>
      </c>
      <c r="O799" s="348" t="s">
        <v>175</v>
      </c>
      <c r="P799" s="349">
        <v>27.815923207227499</v>
      </c>
      <c r="Q799" s="321" t="str">
        <f t="shared" si="40"/>
        <v/>
      </c>
      <c r="R799" s="318">
        <f t="shared" si="41"/>
        <v>41828</v>
      </c>
      <c r="S799" s="318" t="str">
        <f t="shared" si="42"/>
        <v/>
      </c>
    </row>
    <row r="800" spans="3:19" ht="27.75" customHeight="1">
      <c r="C800" s="345" t="s">
        <v>98</v>
      </c>
      <c r="D800" s="345" t="s">
        <v>373</v>
      </c>
      <c r="E800" s="345" t="s">
        <v>374</v>
      </c>
      <c r="F800" s="345" t="s">
        <v>375</v>
      </c>
      <c r="G800" s="346" t="s">
        <v>376</v>
      </c>
      <c r="H800" s="339" t="s">
        <v>14</v>
      </c>
      <c r="I800" s="345" t="s">
        <v>61</v>
      </c>
      <c r="J800" s="316">
        <v>41828.463194444441</v>
      </c>
      <c r="K800" s="347"/>
      <c r="L800" s="347" t="s">
        <v>188</v>
      </c>
      <c r="M800" s="348" t="s">
        <v>378</v>
      </c>
      <c r="N800" s="348" t="s">
        <v>400</v>
      </c>
      <c r="O800" s="348" t="s">
        <v>175</v>
      </c>
      <c r="P800" s="349">
        <v>27.8486730660644</v>
      </c>
      <c r="Q800" s="321" t="str">
        <f t="shared" si="40"/>
        <v/>
      </c>
      <c r="R800" s="318">
        <f t="shared" si="41"/>
        <v>41828</v>
      </c>
      <c r="S800" s="318" t="str">
        <f t="shared" si="42"/>
        <v/>
      </c>
    </row>
    <row r="801" spans="3:19" ht="27.75" customHeight="1">
      <c r="C801" s="345" t="s">
        <v>98</v>
      </c>
      <c r="D801" s="345" t="s">
        <v>373</v>
      </c>
      <c r="E801" s="345" t="s">
        <v>374</v>
      </c>
      <c r="F801" s="345" t="s">
        <v>375</v>
      </c>
      <c r="G801" s="346" t="s">
        <v>376</v>
      </c>
      <c r="H801" s="345" t="s">
        <v>5</v>
      </c>
      <c r="I801" s="345" t="s">
        <v>60</v>
      </c>
      <c r="J801" s="316">
        <v>41828.463194444441</v>
      </c>
      <c r="K801" s="347">
        <v>41829.463194444441</v>
      </c>
      <c r="L801" s="347" t="s">
        <v>188</v>
      </c>
      <c r="M801" s="348" t="s">
        <v>382</v>
      </c>
      <c r="N801" s="348" t="s">
        <v>382</v>
      </c>
      <c r="O801" s="348" t="s">
        <v>175</v>
      </c>
      <c r="P801" s="349">
        <v>27.881422924901202</v>
      </c>
      <c r="Q801" s="321">
        <f t="shared" si="40"/>
        <v>1</v>
      </c>
      <c r="R801" s="318">
        <f t="shared" si="41"/>
        <v>41828</v>
      </c>
      <c r="S801" s="318">
        <f t="shared" si="42"/>
        <v>41829</v>
      </c>
    </row>
    <row r="802" spans="3:19" ht="27.75" customHeight="1">
      <c r="C802" s="345" t="s">
        <v>98</v>
      </c>
      <c r="D802" s="345" t="s">
        <v>373</v>
      </c>
      <c r="E802" s="345" t="s">
        <v>374</v>
      </c>
      <c r="F802" s="345" t="s">
        <v>375</v>
      </c>
      <c r="G802" s="346" t="s">
        <v>376</v>
      </c>
      <c r="H802" s="345" t="s">
        <v>5</v>
      </c>
      <c r="I802" s="345" t="s">
        <v>61</v>
      </c>
      <c r="J802" s="316">
        <v>41820.870138888888</v>
      </c>
      <c r="K802" s="347">
        <v>41828.870138888888</v>
      </c>
      <c r="L802" s="347" t="s">
        <v>377</v>
      </c>
      <c r="M802" s="348" t="s">
        <v>378</v>
      </c>
      <c r="N802" s="348" t="s">
        <v>400</v>
      </c>
      <c r="O802" s="348" t="s">
        <v>175</v>
      </c>
      <c r="P802" s="349">
        <v>27.914172783738</v>
      </c>
      <c r="Q802" s="321">
        <f t="shared" si="40"/>
        <v>8</v>
      </c>
      <c r="R802" s="318">
        <f t="shared" si="41"/>
        <v>41820</v>
      </c>
      <c r="S802" s="318">
        <f t="shared" si="42"/>
        <v>41828</v>
      </c>
    </row>
    <row r="803" spans="3:19" ht="27.75" customHeight="1">
      <c r="C803" s="345" t="s">
        <v>98</v>
      </c>
      <c r="D803" s="345" t="s">
        <v>373</v>
      </c>
      <c r="E803" s="345" t="s">
        <v>374</v>
      </c>
      <c r="F803" s="345" t="s">
        <v>375</v>
      </c>
      <c r="G803" s="346" t="s">
        <v>376</v>
      </c>
      <c r="H803" s="345" t="s">
        <v>14</v>
      </c>
      <c r="I803" s="345" t="s">
        <v>61</v>
      </c>
      <c r="J803" s="316">
        <v>41820.730555555558</v>
      </c>
      <c r="K803" s="347"/>
      <c r="L803" s="347" t="s">
        <v>377</v>
      </c>
      <c r="M803" s="348" t="s">
        <v>378</v>
      </c>
      <c r="N803" s="348" t="s">
        <v>400</v>
      </c>
      <c r="O803" s="348" t="s">
        <v>175</v>
      </c>
      <c r="P803" s="349">
        <v>27.946922642574801</v>
      </c>
      <c r="Q803" s="321" t="str">
        <f t="shared" si="40"/>
        <v/>
      </c>
      <c r="R803" s="318">
        <f t="shared" si="41"/>
        <v>41820</v>
      </c>
      <c r="S803" s="318" t="str">
        <f t="shared" si="42"/>
        <v/>
      </c>
    </row>
    <row r="804" spans="3:19" ht="27.75" customHeight="1">
      <c r="C804" s="345" t="s">
        <v>98</v>
      </c>
      <c r="D804" s="345" t="s">
        <v>373</v>
      </c>
      <c r="E804" s="345" t="s">
        <v>374</v>
      </c>
      <c r="F804" s="345" t="s">
        <v>375</v>
      </c>
      <c r="G804" s="346" t="s">
        <v>376</v>
      </c>
      <c r="H804" s="345" t="s">
        <v>5</v>
      </c>
      <c r="I804" s="345" t="s">
        <v>60</v>
      </c>
      <c r="J804" s="316">
        <v>41820.722222222219</v>
      </c>
      <c r="K804" s="347">
        <v>41826.722222222219</v>
      </c>
      <c r="L804" s="347" t="s">
        <v>377</v>
      </c>
      <c r="M804" s="348" t="s">
        <v>378</v>
      </c>
      <c r="N804" s="348" t="s">
        <v>400</v>
      </c>
      <c r="O804" s="348" t="s">
        <v>175</v>
      </c>
      <c r="P804" s="349">
        <v>27.979672501411599</v>
      </c>
      <c r="Q804" s="321">
        <f t="shared" si="40"/>
        <v>6</v>
      </c>
      <c r="R804" s="318">
        <f t="shared" si="41"/>
        <v>41820</v>
      </c>
      <c r="S804" s="318">
        <f t="shared" si="42"/>
        <v>41826</v>
      </c>
    </row>
    <row r="805" spans="3:19" ht="27.75" customHeight="1">
      <c r="C805" s="345" t="s">
        <v>98</v>
      </c>
      <c r="D805" s="345" t="s">
        <v>373</v>
      </c>
      <c r="E805" s="345" t="s">
        <v>374</v>
      </c>
      <c r="F805" s="345" t="s">
        <v>375</v>
      </c>
      <c r="G805" s="346" t="s">
        <v>376</v>
      </c>
      <c r="H805" s="339" t="s">
        <v>14</v>
      </c>
      <c r="I805" s="345" t="s">
        <v>59</v>
      </c>
      <c r="J805" s="316">
        <v>41820.680555555555</v>
      </c>
      <c r="K805" s="347"/>
      <c r="L805" s="347" t="s">
        <v>377</v>
      </c>
      <c r="M805" s="348" t="s">
        <v>378</v>
      </c>
      <c r="N805" s="348" t="s">
        <v>400</v>
      </c>
      <c r="O805" s="348" t="s">
        <v>175</v>
      </c>
      <c r="P805" s="349">
        <v>28.012422360248401</v>
      </c>
      <c r="Q805" s="321" t="str">
        <f t="shared" si="40"/>
        <v/>
      </c>
      <c r="R805" s="318">
        <f t="shared" si="41"/>
        <v>41820</v>
      </c>
      <c r="S805" s="318" t="str">
        <f t="shared" si="42"/>
        <v/>
      </c>
    </row>
    <row r="806" spans="3:19" ht="27.75" customHeight="1">
      <c r="C806" s="345" t="s">
        <v>98</v>
      </c>
      <c r="D806" s="345" t="s">
        <v>373</v>
      </c>
      <c r="E806" s="345" t="s">
        <v>374</v>
      </c>
      <c r="F806" s="345" t="s">
        <v>375</v>
      </c>
      <c r="G806" s="346" t="s">
        <v>376</v>
      </c>
      <c r="H806" s="339" t="s">
        <v>14</v>
      </c>
      <c r="I806" s="345" t="s">
        <v>61</v>
      </c>
      <c r="J806" s="316">
        <v>41820.658333333333</v>
      </c>
      <c r="K806" s="347"/>
      <c r="L806" s="347" t="s">
        <v>377</v>
      </c>
      <c r="M806" s="348" t="s">
        <v>378</v>
      </c>
      <c r="N806" s="348" t="s">
        <v>400</v>
      </c>
      <c r="O806" s="348" t="s">
        <v>177</v>
      </c>
      <c r="P806" s="349">
        <v>28.045172219085199</v>
      </c>
      <c r="Q806" s="321" t="str">
        <f t="shared" si="40"/>
        <v/>
      </c>
      <c r="R806" s="318">
        <f t="shared" si="41"/>
        <v>41820</v>
      </c>
      <c r="S806" s="318" t="str">
        <f t="shared" si="42"/>
        <v/>
      </c>
    </row>
    <row r="807" spans="3:19" ht="27.75" customHeight="1">
      <c r="C807" s="345" t="s">
        <v>98</v>
      </c>
      <c r="D807" s="345" t="s">
        <v>373</v>
      </c>
      <c r="E807" s="345" t="s">
        <v>374</v>
      </c>
      <c r="F807" s="345" t="s">
        <v>375</v>
      </c>
      <c r="G807" s="346" t="s">
        <v>376</v>
      </c>
      <c r="H807" s="345" t="s">
        <v>5</v>
      </c>
      <c r="I807" s="345" t="s">
        <v>59</v>
      </c>
      <c r="J807" s="316">
        <v>41820.604861111111</v>
      </c>
      <c r="K807" s="347">
        <v>41830.604861111111</v>
      </c>
      <c r="L807" s="347" t="s">
        <v>377</v>
      </c>
      <c r="M807" s="348" t="s">
        <v>382</v>
      </c>
      <c r="N807" s="348" t="s">
        <v>382</v>
      </c>
      <c r="O807" s="348" t="s">
        <v>177</v>
      </c>
      <c r="P807" s="349">
        <v>28.0779220779221</v>
      </c>
      <c r="Q807" s="321">
        <f t="shared" si="40"/>
        <v>10</v>
      </c>
      <c r="R807" s="318">
        <f t="shared" si="41"/>
        <v>41820</v>
      </c>
      <c r="S807" s="318">
        <f t="shared" si="42"/>
        <v>41830</v>
      </c>
    </row>
    <row r="808" spans="3:19" ht="27.75" customHeight="1">
      <c r="C808" s="345" t="s">
        <v>98</v>
      </c>
      <c r="D808" s="345" t="s">
        <v>373</v>
      </c>
      <c r="E808" s="345" t="s">
        <v>374</v>
      </c>
      <c r="F808" s="345" t="s">
        <v>375</v>
      </c>
      <c r="G808" s="346" t="s">
        <v>376</v>
      </c>
      <c r="H808" s="345" t="s">
        <v>138</v>
      </c>
      <c r="I808" s="345" t="s">
        <v>61</v>
      </c>
      <c r="J808" s="316">
        <v>41820.446527777778</v>
      </c>
      <c r="K808" s="347"/>
      <c r="L808" s="347" t="s">
        <v>188</v>
      </c>
      <c r="M808" s="348" t="s">
        <v>382</v>
      </c>
      <c r="N808" s="348" t="s">
        <v>382</v>
      </c>
      <c r="O808" s="348" t="s">
        <v>175</v>
      </c>
      <c r="P808" s="349">
        <v>28.110671936758902</v>
      </c>
      <c r="Q808" s="321" t="str">
        <f t="shared" si="40"/>
        <v/>
      </c>
      <c r="R808" s="318">
        <f t="shared" si="41"/>
        <v>41820</v>
      </c>
      <c r="S808" s="318" t="str">
        <f t="shared" si="42"/>
        <v/>
      </c>
    </row>
    <row r="809" spans="3:19" ht="27.75" customHeight="1">
      <c r="C809" s="345" t="s">
        <v>98</v>
      </c>
      <c r="D809" s="345" t="s">
        <v>373</v>
      </c>
      <c r="E809" s="345" t="s">
        <v>374</v>
      </c>
      <c r="F809" s="345" t="s">
        <v>375</v>
      </c>
      <c r="G809" s="346" t="s">
        <v>376</v>
      </c>
      <c r="H809" s="345" t="s">
        <v>5</v>
      </c>
      <c r="I809" s="345" t="s">
        <v>59</v>
      </c>
      <c r="J809" s="316">
        <v>41820.434027777781</v>
      </c>
      <c r="K809" s="347">
        <v>41826.434027777781</v>
      </c>
      <c r="L809" s="347" t="s">
        <v>188</v>
      </c>
      <c r="M809" s="348" t="s">
        <v>378</v>
      </c>
      <c r="N809" s="348" t="s">
        <v>400</v>
      </c>
      <c r="O809" s="348" t="s">
        <v>175</v>
      </c>
      <c r="P809" s="349">
        <v>28.1434217955957</v>
      </c>
      <c r="Q809" s="321">
        <f t="shared" si="40"/>
        <v>6</v>
      </c>
      <c r="R809" s="318">
        <f t="shared" si="41"/>
        <v>41820</v>
      </c>
      <c r="S809" s="318">
        <f t="shared" si="42"/>
        <v>41826</v>
      </c>
    </row>
    <row r="810" spans="3:19" ht="27.75" customHeight="1">
      <c r="C810" s="345" t="s">
        <v>98</v>
      </c>
      <c r="D810" s="345" t="s">
        <v>373</v>
      </c>
      <c r="E810" s="345" t="s">
        <v>374</v>
      </c>
      <c r="F810" s="345" t="s">
        <v>375</v>
      </c>
      <c r="G810" s="346" t="s">
        <v>376</v>
      </c>
      <c r="H810" s="345" t="s">
        <v>138</v>
      </c>
      <c r="I810" s="345" t="s">
        <v>61</v>
      </c>
      <c r="J810" s="316">
        <v>41820.429861111108</v>
      </c>
      <c r="K810" s="347"/>
      <c r="L810" s="347" t="s">
        <v>188</v>
      </c>
      <c r="M810" s="348" t="s">
        <v>378</v>
      </c>
      <c r="N810" s="348" t="s">
        <v>400</v>
      </c>
      <c r="O810" s="348" t="s">
        <v>175</v>
      </c>
      <c r="P810" s="349">
        <v>28.176171654432501</v>
      </c>
      <c r="Q810" s="321" t="str">
        <f t="shared" si="40"/>
        <v/>
      </c>
      <c r="R810" s="318">
        <f t="shared" si="41"/>
        <v>41820</v>
      </c>
      <c r="S810" s="318" t="str">
        <f t="shared" si="42"/>
        <v/>
      </c>
    </row>
    <row r="811" spans="3:19" ht="27.75" customHeight="1">
      <c r="C811" s="345" t="s">
        <v>98</v>
      </c>
      <c r="D811" s="345" t="s">
        <v>373</v>
      </c>
      <c r="E811" s="345" t="s">
        <v>374</v>
      </c>
      <c r="F811" s="345" t="s">
        <v>375</v>
      </c>
      <c r="G811" s="346" t="s">
        <v>376</v>
      </c>
      <c r="H811" s="339" t="s">
        <v>14</v>
      </c>
      <c r="I811" s="345" t="s">
        <v>60</v>
      </c>
      <c r="J811" s="316">
        <v>41820.427083333336</v>
      </c>
      <c r="K811" s="347"/>
      <c r="L811" s="347" t="s">
        <v>188</v>
      </c>
      <c r="M811" s="348" t="s">
        <v>382</v>
      </c>
      <c r="N811" s="348" t="s">
        <v>382</v>
      </c>
      <c r="O811" s="348" t="s">
        <v>177</v>
      </c>
      <c r="P811" s="349">
        <v>28.208921513269299</v>
      </c>
      <c r="Q811" s="321" t="str">
        <f t="shared" si="40"/>
        <v/>
      </c>
      <c r="R811" s="318">
        <f t="shared" si="41"/>
        <v>41820</v>
      </c>
      <c r="S811" s="318" t="str">
        <f t="shared" si="42"/>
        <v/>
      </c>
    </row>
    <row r="812" spans="3:19" ht="27.75" customHeight="1">
      <c r="C812" s="345" t="s">
        <v>98</v>
      </c>
      <c r="D812" s="345" t="s">
        <v>373</v>
      </c>
      <c r="E812" s="345" t="s">
        <v>374</v>
      </c>
      <c r="F812" s="345" t="s">
        <v>375</v>
      </c>
      <c r="G812" s="346" t="s">
        <v>376</v>
      </c>
      <c r="H812" s="339" t="s">
        <v>14</v>
      </c>
      <c r="I812" s="345" t="s">
        <v>60</v>
      </c>
      <c r="J812" s="316">
        <v>41820.718055555553</v>
      </c>
      <c r="K812" s="347"/>
      <c r="L812" s="347" t="s">
        <v>377</v>
      </c>
      <c r="M812" s="348" t="s">
        <v>378</v>
      </c>
      <c r="N812" s="348" t="s">
        <v>400</v>
      </c>
      <c r="O812" s="348" t="s">
        <v>177</v>
      </c>
      <c r="P812" s="349">
        <v>28.241671372106101</v>
      </c>
      <c r="Q812" s="321" t="str">
        <f t="shared" si="40"/>
        <v/>
      </c>
      <c r="R812" s="318">
        <f t="shared" si="41"/>
        <v>41820</v>
      </c>
      <c r="S812" s="318" t="str">
        <f t="shared" si="42"/>
        <v/>
      </c>
    </row>
    <row r="813" spans="3:19" ht="27.75" customHeight="1">
      <c r="C813" s="345" t="s">
        <v>98</v>
      </c>
      <c r="D813" s="345" t="s">
        <v>373</v>
      </c>
      <c r="E813" s="345" t="s">
        <v>374</v>
      </c>
      <c r="F813" s="345" t="s">
        <v>375</v>
      </c>
      <c r="G813" s="346" t="s">
        <v>376</v>
      </c>
      <c r="H813" s="345" t="s">
        <v>5</v>
      </c>
      <c r="I813" s="345" t="s">
        <v>61</v>
      </c>
      <c r="J813" s="316">
        <v>41820.688888888886</v>
      </c>
      <c r="K813" s="347">
        <v>41827.688888888886</v>
      </c>
      <c r="L813" s="347" t="s">
        <v>377</v>
      </c>
      <c r="M813" s="348" t="s">
        <v>378</v>
      </c>
      <c r="N813" s="348" t="s">
        <v>400</v>
      </c>
      <c r="O813" s="348" t="s">
        <v>177</v>
      </c>
      <c r="P813" s="349">
        <v>28.274421230942998</v>
      </c>
      <c r="Q813" s="321">
        <f t="shared" si="40"/>
        <v>7</v>
      </c>
      <c r="R813" s="318">
        <f t="shared" si="41"/>
        <v>41820</v>
      </c>
      <c r="S813" s="318">
        <f t="shared" si="42"/>
        <v>41827</v>
      </c>
    </row>
    <row r="814" spans="3:19" ht="27.75" customHeight="1">
      <c r="C814" s="345" t="s">
        <v>98</v>
      </c>
      <c r="D814" s="345" t="s">
        <v>373</v>
      </c>
      <c r="E814" s="345" t="s">
        <v>374</v>
      </c>
      <c r="F814" s="345" t="s">
        <v>375</v>
      </c>
      <c r="G814" s="346" t="s">
        <v>376</v>
      </c>
      <c r="H814" s="339" t="s">
        <v>14</v>
      </c>
      <c r="I814" s="345" t="s">
        <v>58</v>
      </c>
      <c r="J814" s="316">
        <v>41820.676388888889</v>
      </c>
      <c r="K814" s="347"/>
      <c r="L814" s="347" t="s">
        <v>377</v>
      </c>
      <c r="M814" s="348" t="s">
        <v>378</v>
      </c>
      <c r="N814" s="348" t="s">
        <v>400</v>
      </c>
      <c r="O814" s="348" t="s">
        <v>177</v>
      </c>
      <c r="P814" s="349">
        <v>28.3071710897798</v>
      </c>
      <c r="Q814" s="321" t="str">
        <f t="shared" si="40"/>
        <v/>
      </c>
      <c r="R814" s="318">
        <f t="shared" si="41"/>
        <v>41820</v>
      </c>
      <c r="S814" s="318" t="str">
        <f t="shared" si="42"/>
        <v/>
      </c>
    </row>
    <row r="815" spans="3:19" ht="27.75" customHeight="1">
      <c r="C815" s="345" t="s">
        <v>98</v>
      </c>
      <c r="D815" s="345" t="s">
        <v>373</v>
      </c>
      <c r="E815" s="345" t="s">
        <v>374</v>
      </c>
      <c r="F815" s="345" t="s">
        <v>375</v>
      </c>
      <c r="G815" s="346" t="s">
        <v>376</v>
      </c>
      <c r="H815" s="339" t="s">
        <v>14</v>
      </c>
      <c r="I815" s="345" t="s">
        <v>58</v>
      </c>
      <c r="J815" s="316">
        <v>41820.635416666664</v>
      </c>
      <c r="K815" s="347"/>
      <c r="L815" s="347" t="s">
        <v>377</v>
      </c>
      <c r="M815" s="348" t="s">
        <v>378</v>
      </c>
      <c r="N815" s="348" t="s">
        <v>400</v>
      </c>
      <c r="O815" s="348" t="s">
        <v>177</v>
      </c>
      <c r="P815" s="349">
        <v>28.339920948616601</v>
      </c>
      <c r="Q815" s="321" t="str">
        <f t="shared" si="40"/>
        <v/>
      </c>
      <c r="R815" s="318">
        <f t="shared" si="41"/>
        <v>41820</v>
      </c>
      <c r="S815" s="318" t="str">
        <f t="shared" si="42"/>
        <v/>
      </c>
    </row>
    <row r="816" spans="3:19" ht="27.75" customHeight="1">
      <c r="C816" s="345" t="s">
        <v>98</v>
      </c>
      <c r="D816" s="345" t="s">
        <v>373</v>
      </c>
      <c r="E816" s="345" t="s">
        <v>374</v>
      </c>
      <c r="F816" s="345" t="s">
        <v>375</v>
      </c>
      <c r="G816" s="346" t="s">
        <v>376</v>
      </c>
      <c r="H816" s="339" t="s">
        <v>14</v>
      </c>
      <c r="I816" s="345" t="s">
        <v>58</v>
      </c>
      <c r="J816" s="316">
        <v>41820.613194444442</v>
      </c>
      <c r="K816" s="347"/>
      <c r="L816" s="347" t="s">
        <v>377</v>
      </c>
      <c r="M816" s="348" t="s">
        <v>378</v>
      </c>
      <c r="N816" s="348" t="s">
        <v>400</v>
      </c>
      <c r="O816" s="348" t="s">
        <v>177</v>
      </c>
      <c r="P816" s="349">
        <v>28.3726708074534</v>
      </c>
      <c r="Q816" s="321" t="str">
        <f t="shared" si="40"/>
        <v/>
      </c>
      <c r="R816" s="318">
        <f t="shared" si="41"/>
        <v>41820</v>
      </c>
      <c r="S816" s="318" t="str">
        <f t="shared" si="42"/>
        <v/>
      </c>
    </row>
    <row r="817" spans="3:19" ht="27.75" customHeight="1">
      <c r="C817" s="345" t="s">
        <v>98</v>
      </c>
      <c r="D817" s="345" t="s">
        <v>373</v>
      </c>
      <c r="E817" s="345" t="s">
        <v>374</v>
      </c>
      <c r="F817" s="345" t="s">
        <v>375</v>
      </c>
      <c r="G817" s="346" t="s">
        <v>376</v>
      </c>
      <c r="H817" s="339" t="s">
        <v>14</v>
      </c>
      <c r="I817" s="345" t="s">
        <v>58</v>
      </c>
      <c r="J817" s="316">
        <v>41820.547222222223</v>
      </c>
      <c r="K817" s="347"/>
      <c r="L817" s="347" t="s">
        <v>188</v>
      </c>
      <c r="M817" s="348" t="s">
        <v>382</v>
      </c>
      <c r="N817" s="348" t="s">
        <v>382</v>
      </c>
      <c r="O817" s="348" t="s">
        <v>175</v>
      </c>
      <c r="P817" s="349">
        <v>28.405420666290201</v>
      </c>
      <c r="Q817" s="321" t="str">
        <f t="shared" si="40"/>
        <v/>
      </c>
      <c r="R817" s="318">
        <f t="shared" si="41"/>
        <v>41820</v>
      </c>
      <c r="S817" s="318" t="str">
        <f t="shared" si="42"/>
        <v/>
      </c>
    </row>
    <row r="818" spans="3:19" ht="27.75" customHeight="1">
      <c r="C818" s="345" t="s">
        <v>98</v>
      </c>
      <c r="D818" s="345" t="s">
        <v>373</v>
      </c>
      <c r="E818" s="345" t="s">
        <v>374</v>
      </c>
      <c r="F818" s="345" t="s">
        <v>375</v>
      </c>
      <c r="G818" s="346" t="s">
        <v>376</v>
      </c>
      <c r="H818" s="345" t="s">
        <v>5</v>
      </c>
      <c r="I818" s="345" t="s">
        <v>60</v>
      </c>
      <c r="J818" s="316">
        <v>41820.503472222219</v>
      </c>
      <c r="K818" s="347">
        <v>41826.503472222219</v>
      </c>
      <c r="L818" s="347" t="s">
        <v>377</v>
      </c>
      <c r="M818" s="348" t="s">
        <v>382</v>
      </c>
      <c r="N818" s="348" t="s">
        <v>382</v>
      </c>
      <c r="O818" s="348" t="s">
        <v>175</v>
      </c>
      <c r="P818" s="349">
        <v>28.438170525126999</v>
      </c>
      <c r="Q818" s="321">
        <f t="shared" si="40"/>
        <v>6</v>
      </c>
      <c r="R818" s="318">
        <f t="shared" si="41"/>
        <v>41820</v>
      </c>
      <c r="S818" s="318">
        <f t="shared" si="42"/>
        <v>41826</v>
      </c>
    </row>
    <row r="819" spans="3:19" ht="27.75" customHeight="1">
      <c r="C819" s="345" t="s">
        <v>98</v>
      </c>
      <c r="D819" s="345" t="s">
        <v>373</v>
      </c>
      <c r="E819" s="345" t="s">
        <v>374</v>
      </c>
      <c r="F819" s="345" t="s">
        <v>375</v>
      </c>
      <c r="G819" s="346" t="s">
        <v>376</v>
      </c>
      <c r="H819" s="339" t="s">
        <v>14</v>
      </c>
      <c r="I819" s="345" t="s">
        <v>60</v>
      </c>
      <c r="J819" s="316">
        <v>41820.449305555558</v>
      </c>
      <c r="K819" s="347"/>
      <c r="L819" s="347" t="s">
        <v>188</v>
      </c>
      <c r="M819" s="348" t="s">
        <v>382</v>
      </c>
      <c r="N819" s="348" t="s">
        <v>382</v>
      </c>
      <c r="O819" s="348" t="s">
        <v>175</v>
      </c>
      <c r="P819" s="349">
        <v>28.470920383963801</v>
      </c>
      <c r="Q819" s="321" t="str">
        <f t="shared" si="40"/>
        <v/>
      </c>
      <c r="R819" s="318">
        <f t="shared" si="41"/>
        <v>41820</v>
      </c>
      <c r="S819" s="318" t="str">
        <f t="shared" si="42"/>
        <v/>
      </c>
    </row>
    <row r="820" spans="3:19" ht="27.75" customHeight="1">
      <c r="C820" s="345" t="s">
        <v>98</v>
      </c>
      <c r="D820" s="345" t="s">
        <v>373</v>
      </c>
      <c r="E820" s="345" t="s">
        <v>374</v>
      </c>
      <c r="F820" s="345" t="s">
        <v>375</v>
      </c>
      <c r="G820" s="346" t="s">
        <v>376</v>
      </c>
      <c r="H820" s="345" t="s">
        <v>5</v>
      </c>
      <c r="I820" s="345" t="s">
        <v>61</v>
      </c>
      <c r="J820" s="316">
        <v>41820.431250000001</v>
      </c>
      <c r="K820" s="347">
        <v>41827.431250000001</v>
      </c>
      <c r="L820" s="347" t="s">
        <v>188</v>
      </c>
      <c r="M820" s="348" t="s">
        <v>382</v>
      </c>
      <c r="N820" s="348" t="s">
        <v>382</v>
      </c>
      <c r="O820" s="348" t="s">
        <v>175</v>
      </c>
      <c r="P820" s="349">
        <v>28.503670242800698</v>
      </c>
      <c r="Q820" s="321">
        <f t="shared" si="40"/>
        <v>7</v>
      </c>
      <c r="R820" s="318">
        <f t="shared" si="41"/>
        <v>41820</v>
      </c>
      <c r="S820" s="318">
        <f t="shared" si="42"/>
        <v>41827</v>
      </c>
    </row>
    <row r="821" spans="3:19" ht="27.75" customHeight="1">
      <c r="C821" s="345" t="s">
        <v>98</v>
      </c>
      <c r="D821" s="345" t="s">
        <v>373</v>
      </c>
      <c r="E821" s="345" t="s">
        <v>374</v>
      </c>
      <c r="F821" s="345" t="s">
        <v>375</v>
      </c>
      <c r="G821" s="346" t="s">
        <v>376</v>
      </c>
      <c r="H821" s="339" t="s">
        <v>14</v>
      </c>
      <c r="I821" s="345" t="s">
        <v>60</v>
      </c>
      <c r="J821" s="316">
        <v>41817.803472222222</v>
      </c>
      <c r="K821" s="347"/>
      <c r="L821" s="347" t="s">
        <v>377</v>
      </c>
      <c r="M821" s="348" t="s">
        <v>378</v>
      </c>
      <c r="N821" s="348" t="s">
        <v>400</v>
      </c>
      <c r="O821" s="348" t="s">
        <v>175</v>
      </c>
      <c r="P821" s="349">
        <v>28.5364201016375</v>
      </c>
      <c r="Q821" s="321" t="str">
        <f t="shared" si="40"/>
        <v/>
      </c>
      <c r="R821" s="318">
        <f t="shared" si="41"/>
        <v>41817</v>
      </c>
      <c r="S821" s="318" t="str">
        <f t="shared" si="42"/>
        <v/>
      </c>
    </row>
    <row r="822" spans="3:19" ht="27.75" customHeight="1">
      <c r="C822" s="345" t="s">
        <v>98</v>
      </c>
      <c r="D822" s="345" t="s">
        <v>373</v>
      </c>
      <c r="E822" s="345" t="s">
        <v>374</v>
      </c>
      <c r="F822" s="345" t="s">
        <v>375</v>
      </c>
      <c r="G822" s="346" t="s">
        <v>376</v>
      </c>
      <c r="H822" s="339" t="s">
        <v>14</v>
      </c>
      <c r="I822" s="345" t="s">
        <v>61</v>
      </c>
      <c r="J822" s="316">
        <v>41817.801388888889</v>
      </c>
      <c r="K822" s="347"/>
      <c r="L822" s="347" t="s">
        <v>188</v>
      </c>
      <c r="M822" s="348" t="s">
        <v>378</v>
      </c>
      <c r="N822" s="348" t="s">
        <v>378</v>
      </c>
      <c r="O822" s="348" t="s">
        <v>175</v>
      </c>
      <c r="P822" s="349">
        <v>28.569169960474301</v>
      </c>
      <c r="Q822" s="321" t="str">
        <f t="shared" si="40"/>
        <v/>
      </c>
      <c r="R822" s="318">
        <f t="shared" si="41"/>
        <v>41817</v>
      </c>
      <c r="S822" s="318" t="str">
        <f t="shared" si="42"/>
        <v/>
      </c>
    </row>
    <row r="823" spans="3:19" ht="27.75" customHeight="1">
      <c r="C823" s="345" t="s">
        <v>98</v>
      </c>
      <c r="D823" s="345" t="s">
        <v>373</v>
      </c>
      <c r="E823" s="345" t="s">
        <v>374</v>
      </c>
      <c r="F823" s="345" t="s">
        <v>375</v>
      </c>
      <c r="G823" s="346" t="s">
        <v>376</v>
      </c>
      <c r="H823" s="345" t="s">
        <v>5</v>
      </c>
      <c r="I823" s="345" t="s">
        <v>61</v>
      </c>
      <c r="J823" s="316">
        <v>41817.79791666667</v>
      </c>
      <c r="K823" s="347">
        <v>41820.79791666667</v>
      </c>
      <c r="L823" s="347" t="s">
        <v>188</v>
      </c>
      <c r="M823" s="348" t="s">
        <v>378</v>
      </c>
      <c r="N823" s="348" t="s">
        <v>378</v>
      </c>
      <c r="O823" s="348" t="s">
        <v>175</v>
      </c>
      <c r="P823" s="349">
        <v>28.6019198193111</v>
      </c>
      <c r="Q823" s="321">
        <f t="shared" si="40"/>
        <v>3</v>
      </c>
      <c r="R823" s="318">
        <f t="shared" si="41"/>
        <v>41817</v>
      </c>
      <c r="S823" s="318">
        <f t="shared" si="42"/>
        <v>41820</v>
      </c>
    </row>
    <row r="824" spans="3:19" ht="27.75" customHeight="1">
      <c r="C824" s="345" t="s">
        <v>98</v>
      </c>
      <c r="D824" s="345" t="s">
        <v>373</v>
      </c>
      <c r="E824" s="345" t="s">
        <v>374</v>
      </c>
      <c r="F824" s="345" t="s">
        <v>375</v>
      </c>
      <c r="G824" s="346" t="s">
        <v>376</v>
      </c>
      <c r="H824" s="345" t="s">
        <v>5</v>
      </c>
      <c r="I824" s="345" t="s">
        <v>61</v>
      </c>
      <c r="J824" s="316">
        <v>41817.789583333331</v>
      </c>
      <c r="K824" s="347">
        <v>41825.789583333331</v>
      </c>
      <c r="L824" s="347" t="s">
        <v>377</v>
      </c>
      <c r="M824" s="348" t="s">
        <v>378</v>
      </c>
      <c r="N824" s="348" t="s">
        <v>378</v>
      </c>
      <c r="O824" s="348" t="s">
        <v>175</v>
      </c>
      <c r="P824" s="349">
        <v>28.634669678147901</v>
      </c>
      <c r="Q824" s="321">
        <f t="shared" si="40"/>
        <v>8</v>
      </c>
      <c r="R824" s="318">
        <f t="shared" si="41"/>
        <v>41817</v>
      </c>
      <c r="S824" s="318">
        <f t="shared" si="42"/>
        <v>41825</v>
      </c>
    </row>
    <row r="825" spans="3:19" ht="27.75" customHeight="1">
      <c r="C825" s="345" t="s">
        <v>98</v>
      </c>
      <c r="D825" s="345" t="s">
        <v>373</v>
      </c>
      <c r="E825" s="345" t="s">
        <v>374</v>
      </c>
      <c r="F825" s="345" t="s">
        <v>375</v>
      </c>
      <c r="G825" s="346" t="s">
        <v>376</v>
      </c>
      <c r="H825" s="345" t="s">
        <v>5</v>
      </c>
      <c r="I825" s="345" t="s">
        <v>60</v>
      </c>
      <c r="J825" s="316">
        <v>41817.785416666666</v>
      </c>
      <c r="K825" s="347">
        <v>41827.785416666666</v>
      </c>
      <c r="L825" s="347" t="s">
        <v>378</v>
      </c>
      <c r="M825" s="348" t="s">
        <v>378</v>
      </c>
      <c r="N825" s="348" t="s">
        <v>378</v>
      </c>
      <c r="O825" s="348" t="s">
        <v>175</v>
      </c>
      <c r="P825" s="349">
        <v>28.667419536984699</v>
      </c>
      <c r="Q825" s="321">
        <f t="shared" si="40"/>
        <v>10</v>
      </c>
      <c r="R825" s="318">
        <f t="shared" si="41"/>
        <v>41817</v>
      </c>
      <c r="S825" s="318">
        <f t="shared" si="42"/>
        <v>41827</v>
      </c>
    </row>
    <row r="826" spans="3:19" ht="27.75" customHeight="1">
      <c r="C826" s="345" t="s">
        <v>98</v>
      </c>
      <c r="D826" s="345" t="s">
        <v>373</v>
      </c>
      <c r="E826" s="345" t="s">
        <v>374</v>
      </c>
      <c r="F826" s="345" t="s">
        <v>375</v>
      </c>
      <c r="G826" s="346" t="s">
        <v>376</v>
      </c>
      <c r="H826" s="339" t="s">
        <v>14</v>
      </c>
      <c r="I826" s="345" t="s">
        <v>59</v>
      </c>
      <c r="J826" s="316">
        <v>41817.775694444441</v>
      </c>
      <c r="K826" s="347"/>
      <c r="L826" s="347" t="s">
        <v>377</v>
      </c>
      <c r="M826" s="348" t="s">
        <v>390</v>
      </c>
      <c r="N826" s="348" t="s">
        <v>390</v>
      </c>
      <c r="O826" s="348" t="s">
        <v>175</v>
      </c>
      <c r="P826" s="349">
        <v>28.7001693958216</v>
      </c>
      <c r="Q826" s="321" t="str">
        <f t="shared" si="40"/>
        <v/>
      </c>
      <c r="R826" s="318">
        <f t="shared" si="41"/>
        <v>41817</v>
      </c>
      <c r="S826" s="318" t="str">
        <f t="shared" si="42"/>
        <v/>
      </c>
    </row>
    <row r="827" spans="3:19" ht="27.75" customHeight="1">
      <c r="C827" s="345" t="s">
        <v>98</v>
      </c>
      <c r="D827" s="345" t="s">
        <v>373</v>
      </c>
      <c r="E827" s="345" t="s">
        <v>374</v>
      </c>
      <c r="F827" s="345" t="s">
        <v>375</v>
      </c>
      <c r="G827" s="346" t="s">
        <v>376</v>
      </c>
      <c r="H827" s="339" t="s">
        <v>14</v>
      </c>
      <c r="I827" s="345" t="s">
        <v>61</v>
      </c>
      <c r="J827" s="316">
        <v>41817.751388888886</v>
      </c>
      <c r="K827" s="347"/>
      <c r="L827" s="347" t="s">
        <v>377</v>
      </c>
      <c r="M827" s="348" t="s">
        <v>390</v>
      </c>
      <c r="N827" s="348" t="s">
        <v>390</v>
      </c>
      <c r="O827" s="348" t="s">
        <v>175</v>
      </c>
      <c r="P827" s="349">
        <v>28.732919254658398</v>
      </c>
      <c r="Q827" s="321" t="str">
        <f t="shared" si="40"/>
        <v/>
      </c>
      <c r="R827" s="318">
        <f t="shared" si="41"/>
        <v>41817</v>
      </c>
      <c r="S827" s="318" t="str">
        <f t="shared" si="42"/>
        <v/>
      </c>
    </row>
    <row r="828" spans="3:19" ht="27.75" customHeight="1">
      <c r="C828" s="345" t="s">
        <v>98</v>
      </c>
      <c r="D828" s="345" t="s">
        <v>373</v>
      </c>
      <c r="E828" s="345" t="s">
        <v>374</v>
      </c>
      <c r="F828" s="345" t="s">
        <v>375</v>
      </c>
      <c r="G828" s="346" t="s">
        <v>376</v>
      </c>
      <c r="H828" s="339" t="s">
        <v>14</v>
      </c>
      <c r="I828" s="345" t="s">
        <v>61</v>
      </c>
      <c r="J828" s="316">
        <v>41817.744444444441</v>
      </c>
      <c r="K828" s="347"/>
      <c r="L828" s="347" t="s">
        <v>188</v>
      </c>
      <c r="M828" s="348" t="s">
        <v>382</v>
      </c>
      <c r="N828" s="348" t="s">
        <v>382</v>
      </c>
      <c r="O828" s="348" t="s">
        <v>177</v>
      </c>
      <c r="P828" s="349">
        <v>28.7656691134952</v>
      </c>
      <c r="Q828" s="321" t="str">
        <f t="shared" si="40"/>
        <v/>
      </c>
      <c r="R828" s="318">
        <f t="shared" si="41"/>
        <v>41817</v>
      </c>
      <c r="S828" s="318" t="str">
        <f t="shared" si="42"/>
        <v/>
      </c>
    </row>
    <row r="829" spans="3:19" ht="27.75" customHeight="1">
      <c r="C829" s="345" t="s">
        <v>98</v>
      </c>
      <c r="D829" s="345" t="s">
        <v>373</v>
      </c>
      <c r="E829" s="345" t="s">
        <v>374</v>
      </c>
      <c r="F829" s="345" t="s">
        <v>375</v>
      </c>
      <c r="G829" s="346" t="s">
        <v>376</v>
      </c>
      <c r="H829" s="345" t="s">
        <v>5</v>
      </c>
      <c r="I829" s="345" t="s">
        <v>60</v>
      </c>
      <c r="J829" s="316">
        <v>41817.744444444441</v>
      </c>
      <c r="K829" s="347">
        <v>41826.744444444441</v>
      </c>
      <c r="L829" s="347" t="s">
        <v>377</v>
      </c>
      <c r="M829" s="348" t="s">
        <v>378</v>
      </c>
      <c r="N829" s="348" t="s">
        <v>400</v>
      </c>
      <c r="O829" s="348" t="s">
        <v>177</v>
      </c>
      <c r="P829" s="349">
        <v>28.798418972332001</v>
      </c>
      <c r="Q829" s="321">
        <f t="shared" si="40"/>
        <v>9</v>
      </c>
      <c r="R829" s="318">
        <f t="shared" si="41"/>
        <v>41817</v>
      </c>
      <c r="S829" s="318">
        <f t="shared" si="42"/>
        <v>41826</v>
      </c>
    </row>
    <row r="830" spans="3:19" ht="27.75" customHeight="1">
      <c r="C830" s="345" t="s">
        <v>98</v>
      </c>
      <c r="D830" s="345" t="s">
        <v>373</v>
      </c>
      <c r="E830" s="345" t="s">
        <v>374</v>
      </c>
      <c r="F830" s="345" t="s">
        <v>375</v>
      </c>
      <c r="G830" s="346" t="s">
        <v>376</v>
      </c>
      <c r="H830" s="339" t="s">
        <v>14</v>
      </c>
      <c r="I830" s="345" t="s">
        <v>61</v>
      </c>
      <c r="J830" s="316">
        <v>41817.722222222219</v>
      </c>
      <c r="K830" s="347"/>
      <c r="L830" s="347" t="s">
        <v>378</v>
      </c>
      <c r="M830" s="348" t="s">
        <v>382</v>
      </c>
      <c r="N830" s="348" t="s">
        <v>382</v>
      </c>
      <c r="O830" s="348" t="s">
        <v>175</v>
      </c>
      <c r="P830" s="349">
        <v>28.831168831168799</v>
      </c>
      <c r="Q830" s="321" t="str">
        <f t="shared" si="40"/>
        <v/>
      </c>
      <c r="R830" s="318">
        <f t="shared" si="41"/>
        <v>41817</v>
      </c>
      <c r="S830" s="318" t="str">
        <f t="shared" si="42"/>
        <v/>
      </c>
    </row>
    <row r="831" spans="3:19" ht="27.75" customHeight="1">
      <c r="C831" s="345" t="s">
        <v>98</v>
      </c>
      <c r="D831" s="345" t="s">
        <v>373</v>
      </c>
      <c r="E831" s="345" t="s">
        <v>374</v>
      </c>
      <c r="F831" s="345" t="s">
        <v>375</v>
      </c>
      <c r="G831" s="346" t="s">
        <v>376</v>
      </c>
      <c r="H831" s="339" t="s">
        <v>14</v>
      </c>
      <c r="I831" s="345" t="s">
        <v>58</v>
      </c>
      <c r="J831" s="316">
        <v>41817.722222222219</v>
      </c>
      <c r="K831" s="347"/>
      <c r="L831" s="347" t="s">
        <v>377</v>
      </c>
      <c r="M831" s="348" t="s">
        <v>388</v>
      </c>
      <c r="N831" s="348" t="s">
        <v>388</v>
      </c>
      <c r="O831" s="348" t="s">
        <v>175</v>
      </c>
      <c r="P831" s="349">
        <v>28.863918690005601</v>
      </c>
      <c r="Q831" s="321" t="str">
        <f t="shared" si="40"/>
        <v/>
      </c>
      <c r="R831" s="318">
        <f t="shared" si="41"/>
        <v>41817</v>
      </c>
      <c r="S831" s="318" t="str">
        <f t="shared" si="42"/>
        <v/>
      </c>
    </row>
    <row r="832" spans="3:19" ht="27.75" customHeight="1">
      <c r="C832" s="345" t="s">
        <v>98</v>
      </c>
      <c r="D832" s="345" t="s">
        <v>373</v>
      </c>
      <c r="E832" s="345" t="s">
        <v>374</v>
      </c>
      <c r="F832" s="345" t="s">
        <v>375</v>
      </c>
      <c r="G832" s="346" t="s">
        <v>376</v>
      </c>
      <c r="H832" s="339" t="s">
        <v>14</v>
      </c>
      <c r="I832" s="345" t="s">
        <v>61</v>
      </c>
      <c r="J832" s="316">
        <v>41817.697222222225</v>
      </c>
      <c r="K832" s="347"/>
      <c r="L832" s="347" t="s">
        <v>378</v>
      </c>
      <c r="M832" s="348" t="s">
        <v>378</v>
      </c>
      <c r="N832" s="348" t="s">
        <v>378</v>
      </c>
      <c r="O832" s="348" t="s">
        <v>175</v>
      </c>
      <c r="P832" s="349">
        <v>28.896668548842399</v>
      </c>
      <c r="Q832" s="321" t="str">
        <f t="shared" si="40"/>
        <v/>
      </c>
      <c r="R832" s="318">
        <f t="shared" si="41"/>
        <v>41817</v>
      </c>
      <c r="S832" s="318" t="str">
        <f t="shared" si="42"/>
        <v/>
      </c>
    </row>
    <row r="833" spans="3:19" ht="27.75" customHeight="1">
      <c r="C833" s="345" t="s">
        <v>98</v>
      </c>
      <c r="D833" s="345" t="s">
        <v>373</v>
      </c>
      <c r="E833" s="345" t="s">
        <v>374</v>
      </c>
      <c r="F833" s="345" t="s">
        <v>375</v>
      </c>
      <c r="G833" s="346" t="s">
        <v>376</v>
      </c>
      <c r="H833" s="339" t="s">
        <v>14</v>
      </c>
      <c r="I833" s="345" t="s">
        <v>58</v>
      </c>
      <c r="J833" s="316">
        <v>41817.691666666666</v>
      </c>
      <c r="K833" s="347"/>
      <c r="L833" s="347" t="s">
        <v>377</v>
      </c>
      <c r="M833" s="348" t="s">
        <v>378</v>
      </c>
      <c r="N833" s="348" t="s">
        <v>378</v>
      </c>
      <c r="O833" s="348" t="s">
        <v>177</v>
      </c>
      <c r="P833" s="349">
        <v>28.9294184076793</v>
      </c>
      <c r="Q833" s="321" t="str">
        <f t="shared" si="40"/>
        <v/>
      </c>
      <c r="R833" s="318">
        <f t="shared" si="41"/>
        <v>41817</v>
      </c>
      <c r="S833" s="318" t="str">
        <f t="shared" si="42"/>
        <v/>
      </c>
    </row>
    <row r="834" spans="3:19" ht="27.75" customHeight="1">
      <c r="C834" s="345" t="s">
        <v>98</v>
      </c>
      <c r="D834" s="345" t="s">
        <v>373</v>
      </c>
      <c r="E834" s="345" t="s">
        <v>374</v>
      </c>
      <c r="F834" s="345" t="s">
        <v>375</v>
      </c>
      <c r="G834" s="346" t="s">
        <v>376</v>
      </c>
      <c r="H834" s="345" t="s">
        <v>5</v>
      </c>
      <c r="I834" s="345" t="s">
        <v>59</v>
      </c>
      <c r="J834" s="316">
        <v>41817.690972222219</v>
      </c>
      <c r="K834" s="347">
        <v>41820.690972222219</v>
      </c>
      <c r="L834" s="347" t="s">
        <v>378</v>
      </c>
      <c r="M834" s="348" t="s">
        <v>378</v>
      </c>
      <c r="N834" s="348" t="s">
        <v>378</v>
      </c>
      <c r="O834" s="348" t="s">
        <v>177</v>
      </c>
      <c r="P834" s="349">
        <v>28.962168266516102</v>
      </c>
      <c r="Q834" s="321">
        <f t="shared" si="40"/>
        <v>3</v>
      </c>
      <c r="R834" s="318">
        <f t="shared" si="41"/>
        <v>41817</v>
      </c>
      <c r="S834" s="318">
        <f t="shared" si="42"/>
        <v>41820</v>
      </c>
    </row>
    <row r="835" spans="3:19" ht="27.75" customHeight="1">
      <c r="C835" s="345" t="s">
        <v>98</v>
      </c>
      <c r="D835" s="345" t="s">
        <v>373</v>
      </c>
      <c r="E835" s="345" t="s">
        <v>374</v>
      </c>
      <c r="F835" s="345" t="s">
        <v>375</v>
      </c>
      <c r="G835" s="346" t="s">
        <v>376</v>
      </c>
      <c r="H835" s="345" t="s">
        <v>5</v>
      </c>
      <c r="I835" s="345" t="s">
        <v>61</v>
      </c>
      <c r="J835" s="316">
        <v>41817.682638888888</v>
      </c>
      <c r="K835" s="347">
        <v>41824.682638888888</v>
      </c>
      <c r="L835" s="347" t="s">
        <v>188</v>
      </c>
      <c r="M835" s="348" t="s">
        <v>382</v>
      </c>
      <c r="N835" s="348" t="s">
        <v>382</v>
      </c>
      <c r="O835" s="348" t="s">
        <v>177</v>
      </c>
      <c r="P835" s="349">
        <v>28.9949181253529</v>
      </c>
      <c r="Q835" s="321">
        <f t="shared" si="40"/>
        <v>7</v>
      </c>
      <c r="R835" s="318">
        <f t="shared" si="41"/>
        <v>41817</v>
      </c>
      <c r="S835" s="318">
        <f t="shared" si="42"/>
        <v>41824</v>
      </c>
    </row>
    <row r="836" spans="3:19" ht="27.75" customHeight="1">
      <c r="C836" s="345" t="s">
        <v>98</v>
      </c>
      <c r="D836" s="345" t="s">
        <v>373</v>
      </c>
      <c r="E836" s="345" t="s">
        <v>374</v>
      </c>
      <c r="F836" s="345" t="s">
        <v>375</v>
      </c>
      <c r="G836" s="346" t="s">
        <v>376</v>
      </c>
      <c r="H836" s="339" t="s">
        <v>14</v>
      </c>
      <c r="I836" s="345" t="s">
        <v>61</v>
      </c>
      <c r="J836" s="316">
        <v>41817.661111111112</v>
      </c>
      <c r="K836" s="347"/>
      <c r="L836" s="347" t="s">
        <v>188</v>
      </c>
      <c r="M836" s="348" t="s">
        <v>382</v>
      </c>
      <c r="N836" s="348" t="s">
        <v>382</v>
      </c>
      <c r="O836" s="348" t="s">
        <v>177</v>
      </c>
      <c r="P836" s="349">
        <v>29.027667984189701</v>
      </c>
      <c r="Q836" s="321" t="str">
        <f t="shared" si="40"/>
        <v/>
      </c>
      <c r="R836" s="318">
        <f t="shared" si="41"/>
        <v>41817</v>
      </c>
      <c r="S836" s="318" t="str">
        <f t="shared" si="42"/>
        <v/>
      </c>
    </row>
    <row r="837" spans="3:19" ht="27.75" customHeight="1">
      <c r="C837" s="345" t="s">
        <v>98</v>
      </c>
      <c r="D837" s="345" t="s">
        <v>373</v>
      </c>
      <c r="E837" s="345" t="s">
        <v>374</v>
      </c>
      <c r="F837" s="345" t="s">
        <v>375</v>
      </c>
      <c r="G837" s="346" t="s">
        <v>376</v>
      </c>
      <c r="H837" s="345" t="s">
        <v>141</v>
      </c>
      <c r="I837" s="345" t="s">
        <v>60</v>
      </c>
      <c r="J837" s="316">
        <v>41817.661111111112</v>
      </c>
      <c r="K837" s="347"/>
      <c r="L837" s="347" t="s">
        <v>378</v>
      </c>
      <c r="M837" s="348" t="s">
        <v>378</v>
      </c>
      <c r="N837" s="348" t="s">
        <v>400</v>
      </c>
      <c r="O837" s="348" t="s">
        <v>177</v>
      </c>
      <c r="P837" s="349">
        <v>29.060417843026499</v>
      </c>
      <c r="Q837" s="321" t="str">
        <f t="shared" si="40"/>
        <v/>
      </c>
      <c r="R837" s="318">
        <f t="shared" si="41"/>
        <v>41817</v>
      </c>
      <c r="S837" s="318" t="str">
        <f t="shared" si="42"/>
        <v/>
      </c>
    </row>
    <row r="838" spans="3:19" ht="27.75" customHeight="1">
      <c r="C838" s="345" t="s">
        <v>98</v>
      </c>
      <c r="D838" s="345" t="s">
        <v>373</v>
      </c>
      <c r="E838" s="345" t="s">
        <v>374</v>
      </c>
      <c r="F838" s="345" t="s">
        <v>375</v>
      </c>
      <c r="G838" s="346" t="s">
        <v>376</v>
      </c>
      <c r="H838" s="339" t="s">
        <v>14</v>
      </c>
      <c r="I838" s="345" t="s">
        <v>60</v>
      </c>
      <c r="J838" s="316">
        <v>41817.65</v>
      </c>
      <c r="K838" s="347"/>
      <c r="L838" s="347" t="s">
        <v>378</v>
      </c>
      <c r="M838" s="348" t="s">
        <v>382</v>
      </c>
      <c r="N838" s="348" t="s">
        <v>382</v>
      </c>
      <c r="O838" s="348" t="s">
        <v>177</v>
      </c>
      <c r="P838" s="349">
        <v>29.093167701863301</v>
      </c>
      <c r="Q838" s="321" t="str">
        <f t="shared" si="40"/>
        <v/>
      </c>
      <c r="R838" s="318">
        <f t="shared" si="41"/>
        <v>41817</v>
      </c>
      <c r="S838" s="318" t="str">
        <f t="shared" si="42"/>
        <v/>
      </c>
    </row>
    <row r="839" spans="3:19" ht="27.75" customHeight="1">
      <c r="C839" s="345" t="s">
        <v>98</v>
      </c>
      <c r="D839" s="345" t="s">
        <v>373</v>
      </c>
      <c r="E839" s="345" t="s">
        <v>374</v>
      </c>
      <c r="F839" s="345" t="s">
        <v>375</v>
      </c>
      <c r="G839" s="346" t="s">
        <v>376</v>
      </c>
      <c r="H839" s="345" t="s">
        <v>5</v>
      </c>
      <c r="I839" s="345" t="s">
        <v>61</v>
      </c>
      <c r="J839" s="316">
        <v>41817.647222222222</v>
      </c>
      <c r="K839" s="347">
        <v>41828.647222222222</v>
      </c>
      <c r="L839" s="347" t="s">
        <v>378</v>
      </c>
      <c r="M839" s="348" t="s">
        <v>378</v>
      </c>
      <c r="N839" s="348" t="s">
        <v>378</v>
      </c>
      <c r="O839" s="348" t="s">
        <v>175</v>
      </c>
      <c r="P839" s="349">
        <v>29.125917560700199</v>
      </c>
      <c r="Q839" s="321">
        <f t="shared" si="40"/>
        <v>11</v>
      </c>
      <c r="R839" s="318">
        <f t="shared" si="41"/>
        <v>41817</v>
      </c>
      <c r="S839" s="318">
        <f t="shared" si="42"/>
        <v>41828</v>
      </c>
    </row>
    <row r="840" spans="3:19" ht="27.75" customHeight="1">
      <c r="C840" s="345" t="s">
        <v>98</v>
      </c>
      <c r="D840" s="345" t="s">
        <v>373</v>
      </c>
      <c r="E840" s="345" t="s">
        <v>374</v>
      </c>
      <c r="F840" s="345" t="s">
        <v>375</v>
      </c>
      <c r="G840" s="346" t="s">
        <v>376</v>
      </c>
      <c r="H840" s="345" t="s">
        <v>5</v>
      </c>
      <c r="I840" s="345" t="s">
        <v>60</v>
      </c>
      <c r="J840" s="316">
        <v>41817.629166666666</v>
      </c>
      <c r="K840" s="347">
        <v>41823.629166666666</v>
      </c>
      <c r="L840" s="347" t="s">
        <v>378</v>
      </c>
      <c r="M840" s="348" t="s">
        <v>378</v>
      </c>
      <c r="N840" s="348" t="s">
        <v>400</v>
      </c>
      <c r="O840" s="348" t="s">
        <v>175</v>
      </c>
      <c r="P840" s="349">
        <v>29.158667419537</v>
      </c>
      <c r="Q840" s="321">
        <f t="shared" si="40"/>
        <v>6</v>
      </c>
      <c r="R840" s="318">
        <f t="shared" si="41"/>
        <v>41817</v>
      </c>
      <c r="S840" s="318">
        <f t="shared" si="42"/>
        <v>41823</v>
      </c>
    </row>
    <row r="841" spans="3:19" ht="27.75" customHeight="1">
      <c r="C841" s="345" t="s">
        <v>98</v>
      </c>
      <c r="D841" s="345" t="s">
        <v>373</v>
      </c>
      <c r="E841" s="345" t="s">
        <v>374</v>
      </c>
      <c r="F841" s="345" t="s">
        <v>375</v>
      </c>
      <c r="G841" s="346" t="s">
        <v>376</v>
      </c>
      <c r="H841" s="339" t="s">
        <v>14</v>
      </c>
      <c r="I841" s="345" t="s">
        <v>60</v>
      </c>
      <c r="J841" s="316">
        <v>41817.62777777778</v>
      </c>
      <c r="K841" s="347"/>
      <c r="L841" s="347" t="s">
        <v>188</v>
      </c>
      <c r="M841" s="348" t="s">
        <v>382</v>
      </c>
      <c r="N841" s="348" t="s">
        <v>382</v>
      </c>
      <c r="O841" s="348" t="s">
        <v>175</v>
      </c>
      <c r="P841" s="349">
        <v>29.191417278373802</v>
      </c>
      <c r="Q841" s="321" t="str">
        <f t="shared" si="40"/>
        <v/>
      </c>
      <c r="R841" s="318">
        <f t="shared" si="41"/>
        <v>41817</v>
      </c>
      <c r="S841" s="318" t="str">
        <f t="shared" si="42"/>
        <v/>
      </c>
    </row>
    <row r="842" spans="3:19" ht="27.75" customHeight="1">
      <c r="C842" s="345" t="s">
        <v>98</v>
      </c>
      <c r="D842" s="345" t="s">
        <v>373</v>
      </c>
      <c r="E842" s="345" t="s">
        <v>374</v>
      </c>
      <c r="F842" s="345" t="s">
        <v>375</v>
      </c>
      <c r="G842" s="346" t="s">
        <v>376</v>
      </c>
      <c r="H842" s="345" t="s">
        <v>5</v>
      </c>
      <c r="I842" s="345" t="s">
        <v>60</v>
      </c>
      <c r="J842" s="316">
        <v>41817.614583333336</v>
      </c>
      <c r="K842" s="347">
        <v>41824.614583333336</v>
      </c>
      <c r="L842" s="347" t="s">
        <v>377</v>
      </c>
      <c r="M842" s="348" t="s">
        <v>378</v>
      </c>
      <c r="N842" s="348" t="s">
        <v>400</v>
      </c>
      <c r="O842" s="348" t="s">
        <v>175</v>
      </c>
      <c r="P842" s="349">
        <v>29.2241671372106</v>
      </c>
      <c r="Q842" s="321">
        <f t="shared" si="40"/>
        <v>7</v>
      </c>
      <c r="R842" s="318">
        <f t="shared" si="41"/>
        <v>41817</v>
      </c>
      <c r="S842" s="318">
        <f t="shared" si="42"/>
        <v>41824</v>
      </c>
    </row>
    <row r="843" spans="3:19" ht="27.75" customHeight="1">
      <c r="C843" s="345" t="s">
        <v>98</v>
      </c>
      <c r="D843" s="345" t="s">
        <v>373</v>
      </c>
      <c r="E843" s="345" t="s">
        <v>374</v>
      </c>
      <c r="F843" s="345" t="s">
        <v>375</v>
      </c>
      <c r="G843" s="346" t="s">
        <v>376</v>
      </c>
      <c r="H843" s="345" t="s">
        <v>5</v>
      </c>
      <c r="I843" s="345" t="s">
        <v>60</v>
      </c>
      <c r="J843" s="316">
        <v>41817.614583333336</v>
      </c>
      <c r="K843" s="347">
        <v>41828.614583333336</v>
      </c>
      <c r="L843" s="347" t="s">
        <v>377</v>
      </c>
      <c r="M843" s="348" t="s">
        <v>378</v>
      </c>
      <c r="N843" s="348" t="s">
        <v>400</v>
      </c>
      <c r="O843" s="348" t="s">
        <v>175</v>
      </c>
      <c r="P843" s="349">
        <v>29.256916996047401</v>
      </c>
      <c r="Q843" s="321">
        <f t="shared" si="40"/>
        <v>11</v>
      </c>
      <c r="R843" s="318">
        <f t="shared" si="41"/>
        <v>41817</v>
      </c>
      <c r="S843" s="318">
        <f t="shared" si="42"/>
        <v>41828</v>
      </c>
    </row>
    <row r="844" spans="3:19" ht="27.75" customHeight="1">
      <c r="C844" s="345" t="s">
        <v>98</v>
      </c>
      <c r="D844" s="345" t="s">
        <v>373</v>
      </c>
      <c r="E844" s="345" t="s">
        <v>374</v>
      </c>
      <c r="F844" s="345" t="s">
        <v>375</v>
      </c>
      <c r="G844" s="346" t="s">
        <v>376</v>
      </c>
      <c r="H844" s="345" t="s">
        <v>5</v>
      </c>
      <c r="I844" s="345" t="s">
        <v>61</v>
      </c>
      <c r="J844" s="316">
        <v>41816.713888888888</v>
      </c>
      <c r="K844" s="347">
        <v>41820.713888888888</v>
      </c>
      <c r="L844" s="347" t="s">
        <v>188</v>
      </c>
      <c r="M844" s="348" t="s">
        <v>378</v>
      </c>
      <c r="N844" s="348" t="s">
        <v>378</v>
      </c>
      <c r="O844" s="348" t="s">
        <v>175</v>
      </c>
      <c r="P844" s="349">
        <v>29.289666854884199</v>
      </c>
      <c r="Q844" s="321">
        <f t="shared" si="40"/>
        <v>4</v>
      </c>
      <c r="R844" s="318">
        <f t="shared" si="41"/>
        <v>41816</v>
      </c>
      <c r="S844" s="318">
        <f t="shared" si="42"/>
        <v>41820</v>
      </c>
    </row>
    <row r="845" spans="3:19" ht="27.75" customHeight="1">
      <c r="C845" s="345" t="s">
        <v>98</v>
      </c>
      <c r="D845" s="345" t="s">
        <v>373</v>
      </c>
      <c r="E845" s="345" t="s">
        <v>374</v>
      </c>
      <c r="F845" s="345" t="s">
        <v>375</v>
      </c>
      <c r="G845" s="346" t="s">
        <v>376</v>
      </c>
      <c r="H845" s="345" t="s">
        <v>5</v>
      </c>
      <c r="I845" s="345" t="s">
        <v>61</v>
      </c>
      <c r="J845" s="316">
        <v>41816.713194444441</v>
      </c>
      <c r="K845" s="347">
        <v>41827.713194444441</v>
      </c>
      <c r="L845" s="347" t="s">
        <v>188</v>
      </c>
      <c r="M845" s="348" t="s">
        <v>378</v>
      </c>
      <c r="N845" s="348" t="s">
        <v>378</v>
      </c>
      <c r="O845" s="348" t="s">
        <v>175</v>
      </c>
      <c r="P845" s="349">
        <v>29.322416713721001</v>
      </c>
      <c r="Q845" s="321">
        <f t="shared" si="40"/>
        <v>11</v>
      </c>
      <c r="R845" s="318">
        <f t="shared" si="41"/>
        <v>41816</v>
      </c>
      <c r="S845" s="318">
        <f t="shared" si="42"/>
        <v>41827</v>
      </c>
    </row>
    <row r="846" spans="3:19" ht="27.75" customHeight="1">
      <c r="C846" s="345" t="s">
        <v>98</v>
      </c>
      <c r="D846" s="345" t="s">
        <v>373</v>
      </c>
      <c r="E846" s="345" t="s">
        <v>374</v>
      </c>
      <c r="F846" s="345" t="s">
        <v>375</v>
      </c>
      <c r="G846" s="346" t="s">
        <v>376</v>
      </c>
      <c r="H846" s="339" t="s">
        <v>14</v>
      </c>
      <c r="I846" s="345" t="s">
        <v>60</v>
      </c>
      <c r="J846" s="316">
        <v>41816.640277777777</v>
      </c>
      <c r="K846" s="347"/>
      <c r="L846" s="347" t="s">
        <v>377</v>
      </c>
      <c r="M846" s="348" t="s">
        <v>378</v>
      </c>
      <c r="N846" s="348" t="s">
        <v>400</v>
      </c>
      <c r="O846" s="348" t="s">
        <v>175</v>
      </c>
      <c r="P846" s="349">
        <v>29.355166572557899</v>
      </c>
      <c r="Q846" s="321" t="str">
        <f t="shared" si="40"/>
        <v/>
      </c>
      <c r="R846" s="318">
        <f t="shared" si="41"/>
        <v>41816</v>
      </c>
      <c r="S846" s="318" t="str">
        <f t="shared" si="42"/>
        <v/>
      </c>
    </row>
    <row r="847" spans="3:19" ht="27.75" customHeight="1">
      <c r="C847" s="345" t="s">
        <v>98</v>
      </c>
      <c r="D847" s="345" t="s">
        <v>373</v>
      </c>
      <c r="E847" s="345" t="s">
        <v>374</v>
      </c>
      <c r="F847" s="345" t="s">
        <v>375</v>
      </c>
      <c r="G847" s="346" t="s">
        <v>376</v>
      </c>
      <c r="H847" s="339" t="s">
        <v>14</v>
      </c>
      <c r="I847" s="345" t="s">
        <v>60</v>
      </c>
      <c r="J847" s="316">
        <v>41816.609027777777</v>
      </c>
      <c r="K847" s="347"/>
      <c r="L847" s="347" t="s">
        <v>377</v>
      </c>
      <c r="M847" s="348" t="s">
        <v>378</v>
      </c>
      <c r="N847" s="348" t="s">
        <v>400</v>
      </c>
      <c r="O847" s="348" t="s">
        <v>175</v>
      </c>
      <c r="P847" s="349">
        <v>29.3879164313947</v>
      </c>
      <c r="Q847" s="321" t="str">
        <f t="shared" si="40"/>
        <v/>
      </c>
      <c r="R847" s="318">
        <f t="shared" si="41"/>
        <v>41816</v>
      </c>
      <c r="S847" s="318" t="str">
        <f t="shared" si="42"/>
        <v/>
      </c>
    </row>
    <row r="848" spans="3:19" ht="27.75" customHeight="1">
      <c r="C848" s="345" t="s">
        <v>98</v>
      </c>
      <c r="D848" s="345" t="s">
        <v>373</v>
      </c>
      <c r="E848" s="345" t="s">
        <v>374</v>
      </c>
      <c r="F848" s="345" t="s">
        <v>375</v>
      </c>
      <c r="G848" s="346" t="s">
        <v>376</v>
      </c>
      <c r="H848" s="339" t="s">
        <v>14</v>
      </c>
      <c r="I848" s="345" t="s">
        <v>61</v>
      </c>
      <c r="J848" s="316">
        <v>41816.602083333331</v>
      </c>
      <c r="K848" s="347"/>
      <c r="L848" s="347" t="s">
        <v>377</v>
      </c>
      <c r="M848" s="348" t="s">
        <v>378</v>
      </c>
      <c r="N848" s="348" t="s">
        <v>378</v>
      </c>
      <c r="O848" s="348" t="s">
        <v>175</v>
      </c>
      <c r="P848" s="349">
        <v>29.420666290231502</v>
      </c>
      <c r="Q848" s="321" t="str">
        <f t="shared" si="40"/>
        <v/>
      </c>
      <c r="R848" s="318">
        <f t="shared" si="41"/>
        <v>41816</v>
      </c>
      <c r="S848" s="318" t="str">
        <f t="shared" si="42"/>
        <v/>
      </c>
    </row>
    <row r="849" spans="3:19" ht="27.75" customHeight="1">
      <c r="C849" s="345" t="s">
        <v>98</v>
      </c>
      <c r="D849" s="345" t="s">
        <v>373</v>
      </c>
      <c r="E849" s="345" t="s">
        <v>374</v>
      </c>
      <c r="F849" s="345" t="s">
        <v>375</v>
      </c>
      <c r="G849" s="346" t="s">
        <v>376</v>
      </c>
      <c r="H849" s="339" t="s">
        <v>14</v>
      </c>
      <c r="I849" s="345" t="s">
        <v>60</v>
      </c>
      <c r="J849" s="316">
        <v>41816.546527777777</v>
      </c>
      <c r="K849" s="347"/>
      <c r="L849" s="347" t="s">
        <v>188</v>
      </c>
      <c r="M849" s="348" t="s">
        <v>382</v>
      </c>
      <c r="N849" s="348" t="s">
        <v>382</v>
      </c>
      <c r="O849" s="348" t="s">
        <v>175</v>
      </c>
      <c r="P849" s="349">
        <v>29.4534161490683</v>
      </c>
      <c r="Q849" s="321" t="str">
        <f t="shared" si="40"/>
        <v/>
      </c>
      <c r="R849" s="318">
        <f t="shared" si="41"/>
        <v>41816</v>
      </c>
      <c r="S849" s="318" t="str">
        <f t="shared" si="42"/>
        <v/>
      </c>
    </row>
    <row r="850" spans="3:19" ht="27.75" customHeight="1">
      <c r="C850" s="345" t="s">
        <v>98</v>
      </c>
      <c r="D850" s="345" t="s">
        <v>373</v>
      </c>
      <c r="E850" s="345" t="s">
        <v>374</v>
      </c>
      <c r="F850" s="345" t="s">
        <v>375</v>
      </c>
      <c r="G850" s="346" t="s">
        <v>376</v>
      </c>
      <c r="H850" s="339" t="s">
        <v>14</v>
      </c>
      <c r="I850" s="345" t="s">
        <v>60</v>
      </c>
      <c r="J850" s="316">
        <v>41816.525000000001</v>
      </c>
      <c r="K850" s="347"/>
      <c r="L850" s="347" t="s">
        <v>377</v>
      </c>
      <c r="M850" s="348" t="s">
        <v>378</v>
      </c>
      <c r="N850" s="348" t="s">
        <v>400</v>
      </c>
      <c r="O850" s="348" t="s">
        <v>177</v>
      </c>
      <c r="P850" s="349">
        <v>29.486166007905101</v>
      </c>
      <c r="Q850" s="321" t="str">
        <f t="shared" si="40"/>
        <v/>
      </c>
      <c r="R850" s="318">
        <f t="shared" si="41"/>
        <v>41816</v>
      </c>
      <c r="S850" s="318" t="str">
        <f t="shared" si="42"/>
        <v/>
      </c>
    </row>
    <row r="851" spans="3:19" ht="27.75" customHeight="1">
      <c r="C851" s="345" t="s">
        <v>98</v>
      </c>
      <c r="D851" s="345" t="s">
        <v>373</v>
      </c>
      <c r="E851" s="345" t="s">
        <v>374</v>
      </c>
      <c r="F851" s="345" t="s">
        <v>375</v>
      </c>
      <c r="G851" s="346" t="s">
        <v>376</v>
      </c>
      <c r="H851" s="339" t="s">
        <v>14</v>
      </c>
      <c r="I851" s="345" t="s">
        <v>60</v>
      </c>
      <c r="J851" s="316">
        <v>41816.520138888889</v>
      </c>
      <c r="K851" s="347"/>
      <c r="L851" s="347" t="s">
        <v>377</v>
      </c>
      <c r="M851" s="348" t="s">
        <v>393</v>
      </c>
      <c r="N851" s="348" t="s">
        <v>390</v>
      </c>
      <c r="O851" s="348" t="s">
        <v>177</v>
      </c>
      <c r="P851" s="349">
        <v>29.518915866741899</v>
      </c>
      <c r="Q851" s="321" t="str">
        <f t="shared" si="40"/>
        <v/>
      </c>
      <c r="R851" s="318">
        <f t="shared" si="41"/>
        <v>41816</v>
      </c>
      <c r="S851" s="318" t="str">
        <f t="shared" si="42"/>
        <v/>
      </c>
    </row>
    <row r="852" spans="3:19" ht="27.75" customHeight="1">
      <c r="C852" s="345" t="s">
        <v>98</v>
      </c>
      <c r="D852" s="345" t="s">
        <v>373</v>
      </c>
      <c r="E852" s="345" t="s">
        <v>374</v>
      </c>
      <c r="F852" s="345" t="s">
        <v>375</v>
      </c>
      <c r="G852" s="346" t="s">
        <v>376</v>
      </c>
      <c r="H852" s="339" t="s">
        <v>14</v>
      </c>
      <c r="I852" s="345" t="s">
        <v>60</v>
      </c>
      <c r="J852" s="316">
        <v>41816.519444444442</v>
      </c>
      <c r="K852" s="347"/>
      <c r="L852" s="347" t="s">
        <v>377</v>
      </c>
      <c r="M852" s="348" t="s">
        <v>378</v>
      </c>
      <c r="N852" s="348" t="s">
        <v>400</v>
      </c>
      <c r="O852" s="348" t="s">
        <v>175</v>
      </c>
      <c r="P852" s="349">
        <v>29.5516657255788</v>
      </c>
      <c r="Q852" s="321" t="str">
        <f t="shared" si="40"/>
        <v/>
      </c>
      <c r="R852" s="318">
        <f t="shared" si="41"/>
        <v>41816</v>
      </c>
      <c r="S852" s="318" t="str">
        <f t="shared" si="42"/>
        <v/>
      </c>
    </row>
    <row r="853" spans="3:19" ht="27.75" customHeight="1">
      <c r="C853" s="345" t="s">
        <v>98</v>
      </c>
      <c r="D853" s="345" t="s">
        <v>373</v>
      </c>
      <c r="E853" s="345" t="s">
        <v>374</v>
      </c>
      <c r="F853" s="345" t="s">
        <v>375</v>
      </c>
      <c r="G853" s="346" t="s">
        <v>376</v>
      </c>
      <c r="H853" s="339" t="s">
        <v>14</v>
      </c>
      <c r="I853" s="345" t="s">
        <v>60</v>
      </c>
      <c r="J853" s="316">
        <v>41816.508333333331</v>
      </c>
      <c r="K853" s="347"/>
      <c r="L853" s="347" t="s">
        <v>377</v>
      </c>
      <c r="M853" s="348" t="s">
        <v>378</v>
      </c>
      <c r="N853" s="348" t="s">
        <v>400</v>
      </c>
      <c r="O853" s="348" t="s">
        <v>175</v>
      </c>
      <c r="P853" s="349">
        <v>29.584415584415598</v>
      </c>
      <c r="Q853" s="321" t="str">
        <f t="shared" si="40"/>
        <v/>
      </c>
      <c r="R853" s="318">
        <f t="shared" si="41"/>
        <v>41816</v>
      </c>
      <c r="S853" s="318" t="str">
        <f t="shared" si="42"/>
        <v/>
      </c>
    </row>
    <row r="854" spans="3:19" ht="27.75" customHeight="1">
      <c r="C854" s="345" t="s">
        <v>98</v>
      </c>
      <c r="D854" s="345" t="s">
        <v>373</v>
      </c>
      <c r="E854" s="345" t="s">
        <v>374</v>
      </c>
      <c r="F854" s="345" t="s">
        <v>375</v>
      </c>
      <c r="G854" s="346" t="s">
        <v>376</v>
      </c>
      <c r="H854" s="339" t="s">
        <v>14</v>
      </c>
      <c r="I854" s="345" t="s">
        <v>60</v>
      </c>
      <c r="J854" s="316">
        <v>41816.506249999999</v>
      </c>
      <c r="K854" s="347"/>
      <c r="L854" s="347" t="s">
        <v>188</v>
      </c>
      <c r="M854" s="348" t="s">
        <v>382</v>
      </c>
      <c r="N854" s="348" t="s">
        <v>382</v>
      </c>
      <c r="O854" s="348" t="s">
        <v>175</v>
      </c>
      <c r="P854" s="349">
        <v>29.6171654432524</v>
      </c>
      <c r="Q854" s="321" t="str">
        <f t="shared" si="40"/>
        <v/>
      </c>
      <c r="R854" s="318">
        <f t="shared" si="41"/>
        <v>41816</v>
      </c>
      <c r="S854" s="318" t="str">
        <f t="shared" si="42"/>
        <v/>
      </c>
    </row>
    <row r="855" spans="3:19" ht="27.75" customHeight="1">
      <c r="C855" s="345" t="s">
        <v>98</v>
      </c>
      <c r="D855" s="345" t="s">
        <v>373</v>
      </c>
      <c r="E855" s="345" t="s">
        <v>374</v>
      </c>
      <c r="F855" s="345" t="s">
        <v>375</v>
      </c>
      <c r="G855" s="346" t="s">
        <v>376</v>
      </c>
      <c r="H855" s="339" t="s">
        <v>14</v>
      </c>
      <c r="I855" s="345" t="s">
        <v>60</v>
      </c>
      <c r="J855" s="316">
        <v>41816.504861111112</v>
      </c>
      <c r="K855" s="347"/>
      <c r="L855" s="347" t="s">
        <v>188</v>
      </c>
      <c r="M855" s="348" t="s">
        <v>382</v>
      </c>
      <c r="N855" s="348" t="s">
        <v>382</v>
      </c>
      <c r="O855" s="348" t="s">
        <v>177</v>
      </c>
      <c r="P855" s="349">
        <v>29.649915302089202</v>
      </c>
      <c r="Q855" s="321" t="str">
        <f t="shared" si="40"/>
        <v/>
      </c>
      <c r="R855" s="318">
        <f t="shared" si="41"/>
        <v>41816</v>
      </c>
      <c r="S855" s="318" t="str">
        <f t="shared" si="42"/>
        <v/>
      </c>
    </row>
    <row r="856" spans="3:19" ht="27.75" customHeight="1">
      <c r="C856" s="345" t="s">
        <v>98</v>
      </c>
      <c r="D856" s="345" t="s">
        <v>373</v>
      </c>
      <c r="E856" s="345" t="s">
        <v>374</v>
      </c>
      <c r="F856" s="345" t="s">
        <v>375</v>
      </c>
      <c r="G856" s="346" t="s">
        <v>376</v>
      </c>
      <c r="H856" s="339" t="s">
        <v>14</v>
      </c>
      <c r="I856" s="345" t="s">
        <v>61</v>
      </c>
      <c r="J856" s="316">
        <v>41816.46875</v>
      </c>
      <c r="K856" s="347"/>
      <c r="L856" s="347" t="s">
        <v>377</v>
      </c>
      <c r="M856" s="348" t="s">
        <v>378</v>
      </c>
      <c r="N856" s="348" t="s">
        <v>378</v>
      </c>
      <c r="O856" s="348" t="s">
        <v>177</v>
      </c>
      <c r="P856" s="349">
        <v>29.682665160926</v>
      </c>
      <c r="Q856" s="321" t="str">
        <f t="shared" si="40"/>
        <v/>
      </c>
      <c r="R856" s="318">
        <f t="shared" si="41"/>
        <v>41816</v>
      </c>
      <c r="S856" s="318" t="str">
        <f t="shared" si="42"/>
        <v/>
      </c>
    </row>
    <row r="857" spans="3:19" ht="27.75" customHeight="1">
      <c r="C857" s="345" t="s">
        <v>98</v>
      </c>
      <c r="D857" s="345" t="s">
        <v>373</v>
      </c>
      <c r="E857" s="345" t="s">
        <v>374</v>
      </c>
      <c r="F857" s="345" t="s">
        <v>375</v>
      </c>
      <c r="G857" s="346" t="s">
        <v>376</v>
      </c>
      <c r="H857" s="339" t="s">
        <v>14</v>
      </c>
      <c r="I857" s="345" t="s">
        <v>60</v>
      </c>
      <c r="J857" s="316">
        <v>41816.465277777781</v>
      </c>
      <c r="K857" s="347"/>
      <c r="L857" s="347" t="s">
        <v>377</v>
      </c>
      <c r="M857" s="348" t="s">
        <v>378</v>
      </c>
      <c r="N857" s="348" t="s">
        <v>400</v>
      </c>
      <c r="O857" s="348" t="s">
        <v>177</v>
      </c>
      <c r="P857" s="349">
        <v>29.715415019762801</v>
      </c>
      <c r="Q857" s="321" t="str">
        <f t="shared" si="40"/>
        <v/>
      </c>
      <c r="R857" s="318">
        <f t="shared" si="41"/>
        <v>41816</v>
      </c>
      <c r="S857" s="318" t="str">
        <f t="shared" si="42"/>
        <v/>
      </c>
    </row>
    <row r="858" spans="3:19" ht="27.75" customHeight="1">
      <c r="C858" s="345" t="s">
        <v>98</v>
      </c>
      <c r="D858" s="345" t="s">
        <v>373</v>
      </c>
      <c r="E858" s="345" t="s">
        <v>374</v>
      </c>
      <c r="F858" s="345" t="s">
        <v>375</v>
      </c>
      <c r="G858" s="346" t="s">
        <v>376</v>
      </c>
      <c r="H858" s="339" t="s">
        <v>14</v>
      </c>
      <c r="I858" s="345" t="s">
        <v>61</v>
      </c>
      <c r="J858" s="316">
        <v>41816.453472222223</v>
      </c>
      <c r="K858" s="347"/>
      <c r="L858" s="347" t="s">
        <v>377</v>
      </c>
      <c r="M858" s="348" t="s">
        <v>378</v>
      </c>
      <c r="N858" s="348" t="s">
        <v>378</v>
      </c>
      <c r="O858" s="348" t="s">
        <v>177</v>
      </c>
      <c r="P858" s="349">
        <v>29.748164878599599</v>
      </c>
      <c r="Q858" s="321" t="str">
        <f t="shared" ref="Q858:Q921" si="43">IF(ISERROR(DATEDIF(J858,K858,"D")),"",DATEDIF(J858,K858,"D"))</f>
        <v/>
      </c>
      <c r="R858" s="318">
        <f t="shared" ref="R858:R921" si="44">DATE(YEAR(J858),MONTH(J858),DAY(J858))</f>
        <v>41816</v>
      </c>
      <c r="S858" s="318" t="str">
        <f t="shared" ref="S858:S921" si="45">IF(K858&lt;&gt;"",DATE(YEAR(K858),MONTH(K858),DAY(K858)),"")</f>
        <v/>
      </c>
    </row>
    <row r="859" spans="3:19" ht="27.75" customHeight="1">
      <c r="C859" s="345" t="s">
        <v>98</v>
      </c>
      <c r="D859" s="345" t="s">
        <v>373</v>
      </c>
      <c r="E859" s="345" t="s">
        <v>374</v>
      </c>
      <c r="F859" s="345" t="s">
        <v>375</v>
      </c>
      <c r="G859" s="346" t="s">
        <v>376</v>
      </c>
      <c r="H859" s="339" t="s">
        <v>14</v>
      </c>
      <c r="I859" s="345" t="s">
        <v>60</v>
      </c>
      <c r="J859" s="316">
        <v>41814.727083333331</v>
      </c>
      <c r="K859" s="347"/>
      <c r="L859" s="347" t="s">
        <v>377</v>
      </c>
      <c r="M859" s="348" t="s">
        <v>378</v>
      </c>
      <c r="N859" s="348" t="s">
        <v>400</v>
      </c>
      <c r="O859" s="348" t="s">
        <v>177</v>
      </c>
      <c r="P859" s="349">
        <v>29.7809147374365</v>
      </c>
      <c r="Q859" s="321" t="str">
        <f t="shared" si="43"/>
        <v/>
      </c>
      <c r="R859" s="318">
        <f t="shared" si="44"/>
        <v>41814</v>
      </c>
      <c r="S859" s="318" t="str">
        <f t="shared" si="45"/>
        <v/>
      </c>
    </row>
    <row r="860" spans="3:19" ht="27.75" customHeight="1">
      <c r="C860" s="345" t="s">
        <v>98</v>
      </c>
      <c r="D860" s="345" t="s">
        <v>373</v>
      </c>
      <c r="E860" s="345" t="s">
        <v>374</v>
      </c>
      <c r="F860" s="345" t="s">
        <v>375</v>
      </c>
      <c r="G860" s="346" t="s">
        <v>376</v>
      </c>
      <c r="H860" s="345" t="s">
        <v>5</v>
      </c>
      <c r="I860" s="345" t="s">
        <v>60</v>
      </c>
      <c r="J860" s="316">
        <v>41814.715277777781</v>
      </c>
      <c r="K860" s="347">
        <v>41820.715277777781</v>
      </c>
      <c r="L860" s="347" t="s">
        <v>188</v>
      </c>
      <c r="M860" s="348" t="s">
        <v>378</v>
      </c>
      <c r="N860" s="348" t="s">
        <v>400</v>
      </c>
      <c r="O860" s="348" t="s">
        <v>177</v>
      </c>
      <c r="P860" s="349">
        <v>29.813664596273298</v>
      </c>
      <c r="Q860" s="321">
        <f t="shared" si="43"/>
        <v>6</v>
      </c>
      <c r="R860" s="318">
        <f t="shared" si="44"/>
        <v>41814</v>
      </c>
      <c r="S860" s="318">
        <f t="shared" si="45"/>
        <v>41820</v>
      </c>
    </row>
    <row r="861" spans="3:19" ht="27.75" customHeight="1">
      <c r="C861" s="345" t="s">
        <v>98</v>
      </c>
      <c r="D861" s="345" t="s">
        <v>373</v>
      </c>
      <c r="E861" s="345" t="s">
        <v>374</v>
      </c>
      <c r="F861" s="345" t="s">
        <v>375</v>
      </c>
      <c r="G861" s="346" t="s">
        <v>376</v>
      </c>
      <c r="H861" s="339" t="s">
        <v>14</v>
      </c>
      <c r="I861" s="345" t="s">
        <v>61</v>
      </c>
      <c r="J861" s="316">
        <v>41814.70416666667</v>
      </c>
      <c r="K861" s="347"/>
      <c r="L861" s="347" t="s">
        <v>188</v>
      </c>
      <c r="M861" s="348" t="s">
        <v>382</v>
      </c>
      <c r="N861" s="348" t="s">
        <v>382</v>
      </c>
      <c r="O861" s="348" t="s">
        <v>175</v>
      </c>
      <c r="P861" s="349">
        <v>29.8464144551101</v>
      </c>
      <c r="Q861" s="321" t="str">
        <f t="shared" si="43"/>
        <v/>
      </c>
      <c r="R861" s="318">
        <f t="shared" si="44"/>
        <v>41814</v>
      </c>
      <c r="S861" s="318" t="str">
        <f t="shared" si="45"/>
        <v/>
      </c>
    </row>
    <row r="862" spans="3:19" ht="27.75" customHeight="1">
      <c r="C862" s="345" t="s">
        <v>98</v>
      </c>
      <c r="D862" s="345" t="s">
        <v>373</v>
      </c>
      <c r="E862" s="345" t="s">
        <v>374</v>
      </c>
      <c r="F862" s="345" t="s">
        <v>375</v>
      </c>
      <c r="G862" s="346" t="s">
        <v>376</v>
      </c>
      <c r="H862" s="345" t="s">
        <v>383</v>
      </c>
      <c r="I862" s="345" t="s">
        <v>60</v>
      </c>
      <c r="J862" s="316">
        <v>41814.694444444445</v>
      </c>
      <c r="K862" s="347"/>
      <c r="L862" s="347" t="s">
        <v>377</v>
      </c>
      <c r="M862" s="348" t="s">
        <v>378</v>
      </c>
      <c r="N862" s="348" t="s">
        <v>400</v>
      </c>
      <c r="O862" s="348" t="s">
        <v>175</v>
      </c>
      <c r="P862" s="349">
        <v>29.879164313946902</v>
      </c>
      <c r="Q862" s="321" t="str">
        <f t="shared" si="43"/>
        <v/>
      </c>
      <c r="R862" s="318">
        <f t="shared" si="44"/>
        <v>41814</v>
      </c>
      <c r="S862" s="318" t="str">
        <f t="shared" si="45"/>
        <v/>
      </c>
    </row>
    <row r="863" spans="3:19" ht="27.75" customHeight="1">
      <c r="C863" s="345" t="s">
        <v>98</v>
      </c>
      <c r="D863" s="345" t="s">
        <v>373</v>
      </c>
      <c r="E863" s="345" t="s">
        <v>374</v>
      </c>
      <c r="F863" s="345" t="s">
        <v>375</v>
      </c>
      <c r="G863" s="346" t="s">
        <v>376</v>
      </c>
      <c r="H863" s="339" t="s">
        <v>14</v>
      </c>
      <c r="I863" s="345" t="s">
        <v>60</v>
      </c>
      <c r="J863" s="316">
        <v>41814.690972222219</v>
      </c>
      <c r="K863" s="347"/>
      <c r="L863" s="347" t="s">
        <v>377</v>
      </c>
      <c r="M863" s="348" t="s">
        <v>378</v>
      </c>
      <c r="N863" s="348" t="s">
        <v>400</v>
      </c>
      <c r="O863" s="348" t="s">
        <v>175</v>
      </c>
      <c r="P863" s="349">
        <v>29.9119141727837</v>
      </c>
      <c r="Q863" s="321" t="str">
        <f t="shared" si="43"/>
        <v/>
      </c>
      <c r="R863" s="318">
        <f t="shared" si="44"/>
        <v>41814</v>
      </c>
      <c r="S863" s="318" t="str">
        <f t="shared" si="45"/>
        <v/>
      </c>
    </row>
    <row r="864" spans="3:19" ht="27.75" customHeight="1">
      <c r="C864" s="345" t="s">
        <v>98</v>
      </c>
      <c r="D864" s="345" t="s">
        <v>373</v>
      </c>
      <c r="E864" s="345" t="s">
        <v>374</v>
      </c>
      <c r="F864" s="345" t="s">
        <v>375</v>
      </c>
      <c r="G864" s="346" t="s">
        <v>376</v>
      </c>
      <c r="H864" s="339" t="s">
        <v>14</v>
      </c>
      <c r="I864" s="345" t="s">
        <v>61</v>
      </c>
      <c r="J864" s="316">
        <v>41814.679861111108</v>
      </c>
      <c r="K864" s="347"/>
      <c r="L864" s="347" t="s">
        <v>377</v>
      </c>
      <c r="M864" s="348" t="s">
        <v>378</v>
      </c>
      <c r="N864" s="348" t="s">
        <v>378</v>
      </c>
      <c r="O864" s="348" t="s">
        <v>175</v>
      </c>
      <c r="P864" s="349">
        <v>29.944664031620501</v>
      </c>
      <c r="Q864" s="321" t="str">
        <f t="shared" si="43"/>
        <v/>
      </c>
      <c r="R864" s="318">
        <f t="shared" si="44"/>
        <v>41814</v>
      </c>
      <c r="S864" s="318" t="str">
        <f t="shared" si="45"/>
        <v/>
      </c>
    </row>
    <row r="865" spans="3:19" ht="27.75" customHeight="1">
      <c r="C865" s="345" t="s">
        <v>98</v>
      </c>
      <c r="D865" s="345" t="s">
        <v>373</v>
      </c>
      <c r="E865" s="345" t="s">
        <v>374</v>
      </c>
      <c r="F865" s="345" t="s">
        <v>375</v>
      </c>
      <c r="G865" s="346" t="s">
        <v>376</v>
      </c>
      <c r="H865" s="345" t="s">
        <v>5</v>
      </c>
      <c r="I865" s="345" t="s">
        <v>60</v>
      </c>
      <c r="J865" s="316">
        <v>41814.674305555556</v>
      </c>
      <c r="K865" s="347">
        <v>41816.674305555556</v>
      </c>
      <c r="L865" s="347" t="s">
        <v>188</v>
      </c>
      <c r="M865" s="348" t="s">
        <v>378</v>
      </c>
      <c r="N865" s="348" t="s">
        <v>400</v>
      </c>
      <c r="O865" s="348" t="s">
        <v>175</v>
      </c>
      <c r="P865" s="349">
        <v>29.977413890457399</v>
      </c>
      <c r="Q865" s="321">
        <f t="shared" si="43"/>
        <v>2</v>
      </c>
      <c r="R865" s="318">
        <f t="shared" si="44"/>
        <v>41814</v>
      </c>
      <c r="S865" s="318">
        <f t="shared" si="45"/>
        <v>41816</v>
      </c>
    </row>
    <row r="866" spans="3:19" ht="27.75" customHeight="1">
      <c r="C866" s="345" t="s">
        <v>98</v>
      </c>
      <c r="D866" s="345" t="s">
        <v>373</v>
      </c>
      <c r="E866" s="345" t="s">
        <v>374</v>
      </c>
      <c r="F866" s="345" t="s">
        <v>375</v>
      </c>
      <c r="G866" s="346" t="s">
        <v>376</v>
      </c>
      <c r="H866" s="345" t="s">
        <v>141</v>
      </c>
      <c r="I866" s="345" t="s">
        <v>60</v>
      </c>
      <c r="J866" s="316">
        <v>41814.667361111111</v>
      </c>
      <c r="K866" s="347"/>
      <c r="L866" s="347" t="s">
        <v>378</v>
      </c>
      <c r="M866" s="348" t="s">
        <v>378</v>
      </c>
      <c r="N866" s="348" t="s">
        <v>400</v>
      </c>
      <c r="O866" s="348" t="s">
        <v>175</v>
      </c>
      <c r="P866" s="349">
        <v>30.0101637492942</v>
      </c>
      <c r="Q866" s="321" t="str">
        <f t="shared" si="43"/>
        <v/>
      </c>
      <c r="R866" s="318">
        <f t="shared" si="44"/>
        <v>41814</v>
      </c>
      <c r="S866" s="318" t="str">
        <f t="shared" si="45"/>
        <v/>
      </c>
    </row>
    <row r="867" spans="3:19" ht="27.75" customHeight="1">
      <c r="C867" s="345" t="s">
        <v>98</v>
      </c>
      <c r="D867" s="345" t="s">
        <v>373</v>
      </c>
      <c r="E867" s="345" t="s">
        <v>374</v>
      </c>
      <c r="F867" s="345" t="s">
        <v>375</v>
      </c>
      <c r="G867" s="346" t="s">
        <v>376</v>
      </c>
      <c r="H867" s="345" t="s">
        <v>5</v>
      </c>
      <c r="I867" s="345" t="s">
        <v>60</v>
      </c>
      <c r="J867" s="316">
        <v>41814.65625</v>
      </c>
      <c r="K867" s="347">
        <v>41820.65625</v>
      </c>
      <c r="L867" s="347" t="s">
        <v>377</v>
      </c>
      <c r="M867" s="348" t="s">
        <v>378</v>
      </c>
      <c r="N867" s="348" t="s">
        <v>400</v>
      </c>
      <c r="O867" s="348" t="s">
        <v>175</v>
      </c>
      <c r="P867" s="349">
        <v>30.042913608130998</v>
      </c>
      <c r="Q867" s="321">
        <f t="shared" si="43"/>
        <v>6</v>
      </c>
      <c r="R867" s="318">
        <f t="shared" si="44"/>
        <v>41814</v>
      </c>
      <c r="S867" s="318">
        <f t="shared" si="45"/>
        <v>41820</v>
      </c>
    </row>
    <row r="868" spans="3:19" ht="27.75" customHeight="1">
      <c r="C868" s="345" t="s">
        <v>98</v>
      </c>
      <c r="D868" s="345" t="s">
        <v>373</v>
      </c>
      <c r="E868" s="345" t="s">
        <v>374</v>
      </c>
      <c r="F868" s="345" t="s">
        <v>375</v>
      </c>
      <c r="G868" s="346" t="s">
        <v>376</v>
      </c>
      <c r="H868" s="345" t="s">
        <v>5</v>
      </c>
      <c r="I868" s="345" t="s">
        <v>60</v>
      </c>
      <c r="J868" s="316">
        <v>41814.636111111111</v>
      </c>
      <c r="K868" s="347">
        <v>41816.636111111111</v>
      </c>
      <c r="L868" s="347" t="s">
        <v>377</v>
      </c>
      <c r="M868" s="348" t="s">
        <v>378</v>
      </c>
      <c r="N868" s="348" t="s">
        <v>400</v>
      </c>
      <c r="O868" s="348" t="s">
        <v>175</v>
      </c>
      <c r="P868" s="349">
        <v>30.0756634669678</v>
      </c>
      <c r="Q868" s="321">
        <f t="shared" si="43"/>
        <v>2</v>
      </c>
      <c r="R868" s="318">
        <f t="shared" si="44"/>
        <v>41814</v>
      </c>
      <c r="S868" s="318">
        <f t="shared" si="45"/>
        <v>41816</v>
      </c>
    </row>
    <row r="869" spans="3:19" ht="27.75" customHeight="1">
      <c r="C869" s="345" t="s">
        <v>98</v>
      </c>
      <c r="D869" s="345" t="s">
        <v>373</v>
      </c>
      <c r="E869" s="345" t="s">
        <v>374</v>
      </c>
      <c r="F869" s="345" t="s">
        <v>375</v>
      </c>
      <c r="G869" s="346" t="s">
        <v>376</v>
      </c>
      <c r="H869" s="339" t="s">
        <v>14</v>
      </c>
      <c r="I869" s="345" t="s">
        <v>60</v>
      </c>
      <c r="J869" s="316">
        <v>41814.629166666666</v>
      </c>
      <c r="K869" s="347"/>
      <c r="L869" s="347" t="s">
        <v>188</v>
      </c>
      <c r="M869" s="348" t="s">
        <v>378</v>
      </c>
      <c r="N869" s="348" t="s">
        <v>400</v>
      </c>
      <c r="O869" s="348" t="s">
        <v>175</v>
      </c>
      <c r="P869" s="349">
        <v>30.108413325804602</v>
      </c>
      <c r="Q869" s="321" t="str">
        <f t="shared" si="43"/>
        <v/>
      </c>
      <c r="R869" s="318">
        <f t="shared" si="44"/>
        <v>41814</v>
      </c>
      <c r="S869" s="318" t="str">
        <f t="shared" si="45"/>
        <v/>
      </c>
    </row>
    <row r="870" spans="3:19" ht="27.75" customHeight="1">
      <c r="C870" s="345" t="s">
        <v>98</v>
      </c>
      <c r="D870" s="345" t="s">
        <v>373</v>
      </c>
      <c r="E870" s="345" t="s">
        <v>374</v>
      </c>
      <c r="F870" s="345" t="s">
        <v>375</v>
      </c>
      <c r="G870" s="346" t="s">
        <v>376</v>
      </c>
      <c r="H870" s="339" t="s">
        <v>14</v>
      </c>
      <c r="I870" s="345" t="s">
        <v>60</v>
      </c>
      <c r="J870" s="316">
        <v>41814.625</v>
      </c>
      <c r="K870" s="347"/>
      <c r="L870" s="347" t="s">
        <v>377</v>
      </c>
      <c r="M870" s="348" t="s">
        <v>378</v>
      </c>
      <c r="N870" s="348" t="s">
        <v>400</v>
      </c>
      <c r="O870" s="348" t="s">
        <v>175</v>
      </c>
      <c r="P870" s="349">
        <v>30.1411631846414</v>
      </c>
      <c r="Q870" s="321" t="str">
        <f t="shared" si="43"/>
        <v/>
      </c>
      <c r="R870" s="318">
        <f t="shared" si="44"/>
        <v>41814</v>
      </c>
      <c r="S870" s="318" t="str">
        <f t="shared" si="45"/>
        <v/>
      </c>
    </row>
    <row r="871" spans="3:19" ht="27.75" customHeight="1">
      <c r="C871" s="345" t="s">
        <v>98</v>
      </c>
      <c r="D871" s="345" t="s">
        <v>373</v>
      </c>
      <c r="E871" s="345" t="s">
        <v>374</v>
      </c>
      <c r="F871" s="345" t="s">
        <v>375</v>
      </c>
      <c r="G871" s="346" t="s">
        <v>376</v>
      </c>
      <c r="H871" s="345" t="s">
        <v>141</v>
      </c>
      <c r="I871" s="345" t="s">
        <v>60</v>
      </c>
      <c r="J871" s="316">
        <v>41814.622916666667</v>
      </c>
      <c r="K871" s="347"/>
      <c r="L871" s="347" t="s">
        <v>377</v>
      </c>
      <c r="M871" s="348" t="s">
        <v>378</v>
      </c>
      <c r="N871" s="348" t="s">
        <v>400</v>
      </c>
      <c r="O871" s="348" t="s">
        <v>175</v>
      </c>
      <c r="P871" s="349">
        <v>30.173913043478201</v>
      </c>
      <c r="Q871" s="321" t="str">
        <f t="shared" si="43"/>
        <v/>
      </c>
      <c r="R871" s="318">
        <f t="shared" si="44"/>
        <v>41814</v>
      </c>
      <c r="S871" s="318" t="str">
        <f t="shared" si="45"/>
        <v/>
      </c>
    </row>
    <row r="872" spans="3:19" ht="27.75" customHeight="1">
      <c r="C872" s="345" t="s">
        <v>98</v>
      </c>
      <c r="D872" s="345" t="s">
        <v>373</v>
      </c>
      <c r="E872" s="345" t="s">
        <v>374</v>
      </c>
      <c r="F872" s="345" t="s">
        <v>375</v>
      </c>
      <c r="G872" s="346" t="s">
        <v>376</v>
      </c>
      <c r="H872" s="339" t="s">
        <v>14</v>
      </c>
      <c r="I872" s="345" t="s">
        <v>60</v>
      </c>
      <c r="J872" s="316">
        <v>41814.609722222223</v>
      </c>
      <c r="K872" s="347"/>
      <c r="L872" s="347" t="s">
        <v>377</v>
      </c>
      <c r="M872" s="348" t="s">
        <v>378</v>
      </c>
      <c r="N872" s="348" t="s">
        <v>400</v>
      </c>
      <c r="O872" s="348" t="s">
        <v>177</v>
      </c>
      <c r="P872" s="349">
        <v>30.206662902315099</v>
      </c>
      <c r="Q872" s="321" t="str">
        <f t="shared" si="43"/>
        <v/>
      </c>
      <c r="R872" s="318">
        <f t="shared" si="44"/>
        <v>41814</v>
      </c>
      <c r="S872" s="318" t="str">
        <f t="shared" si="45"/>
        <v/>
      </c>
    </row>
    <row r="873" spans="3:19" ht="27.75" customHeight="1">
      <c r="C873" s="345" t="s">
        <v>98</v>
      </c>
      <c r="D873" s="345" t="s">
        <v>373</v>
      </c>
      <c r="E873" s="345" t="s">
        <v>374</v>
      </c>
      <c r="F873" s="345" t="s">
        <v>375</v>
      </c>
      <c r="G873" s="346" t="s">
        <v>376</v>
      </c>
      <c r="H873" s="339" t="s">
        <v>14</v>
      </c>
      <c r="I873" s="345" t="s">
        <v>60</v>
      </c>
      <c r="J873" s="316">
        <v>41814.605555555558</v>
      </c>
      <c r="K873" s="347"/>
      <c r="L873" s="347" t="s">
        <v>377</v>
      </c>
      <c r="M873" s="348" t="s">
        <v>378</v>
      </c>
      <c r="N873" s="348" t="s">
        <v>400</v>
      </c>
      <c r="O873" s="348" t="s">
        <v>177</v>
      </c>
      <c r="P873" s="349">
        <v>30.2394127611519</v>
      </c>
      <c r="Q873" s="321" t="str">
        <f t="shared" si="43"/>
        <v/>
      </c>
      <c r="R873" s="318">
        <f t="shared" si="44"/>
        <v>41814</v>
      </c>
      <c r="S873" s="318" t="str">
        <f t="shared" si="45"/>
        <v/>
      </c>
    </row>
    <row r="874" spans="3:19" ht="27.75" customHeight="1">
      <c r="C874" s="345" t="s">
        <v>98</v>
      </c>
      <c r="D874" s="345" t="s">
        <v>373</v>
      </c>
      <c r="E874" s="345" t="s">
        <v>374</v>
      </c>
      <c r="F874" s="345" t="s">
        <v>375</v>
      </c>
      <c r="G874" s="346" t="s">
        <v>376</v>
      </c>
      <c r="H874" s="339" t="s">
        <v>14</v>
      </c>
      <c r="I874" s="345" t="s">
        <v>60</v>
      </c>
      <c r="J874" s="316">
        <v>41814.594444444447</v>
      </c>
      <c r="K874" s="347"/>
      <c r="L874" s="347" t="s">
        <v>377</v>
      </c>
      <c r="M874" s="348" t="s">
        <v>378</v>
      </c>
      <c r="N874" s="348" t="s">
        <v>400</v>
      </c>
      <c r="O874" s="348" t="s">
        <v>175</v>
      </c>
      <c r="P874" s="349">
        <v>30.272162619988698</v>
      </c>
      <c r="Q874" s="321" t="str">
        <f t="shared" si="43"/>
        <v/>
      </c>
      <c r="R874" s="318">
        <f t="shared" si="44"/>
        <v>41814</v>
      </c>
      <c r="S874" s="318" t="str">
        <f t="shared" si="45"/>
        <v/>
      </c>
    </row>
    <row r="875" spans="3:19" ht="27.75" customHeight="1">
      <c r="C875" s="345" t="s">
        <v>98</v>
      </c>
      <c r="D875" s="345" t="s">
        <v>373</v>
      </c>
      <c r="E875" s="345" t="s">
        <v>374</v>
      </c>
      <c r="F875" s="345" t="s">
        <v>375</v>
      </c>
      <c r="G875" s="346" t="s">
        <v>376</v>
      </c>
      <c r="H875" s="339" t="s">
        <v>14</v>
      </c>
      <c r="I875" s="345" t="s">
        <v>60</v>
      </c>
      <c r="J875" s="316">
        <v>41814.588194444441</v>
      </c>
      <c r="K875" s="347"/>
      <c r="L875" s="347" t="s">
        <v>377</v>
      </c>
      <c r="M875" s="348" t="s">
        <v>378</v>
      </c>
      <c r="N875" s="348" t="s">
        <v>400</v>
      </c>
      <c r="O875" s="348" t="s">
        <v>175</v>
      </c>
      <c r="P875" s="349">
        <v>30.3049124788255</v>
      </c>
      <c r="Q875" s="321" t="str">
        <f t="shared" si="43"/>
        <v/>
      </c>
      <c r="R875" s="318">
        <f t="shared" si="44"/>
        <v>41814</v>
      </c>
      <c r="S875" s="318" t="str">
        <f t="shared" si="45"/>
        <v/>
      </c>
    </row>
    <row r="876" spans="3:19" ht="27.75" customHeight="1">
      <c r="C876" s="345" t="s">
        <v>98</v>
      </c>
      <c r="D876" s="345" t="s">
        <v>373</v>
      </c>
      <c r="E876" s="345" t="s">
        <v>374</v>
      </c>
      <c r="F876" s="345" t="s">
        <v>375</v>
      </c>
      <c r="G876" s="346" t="s">
        <v>376</v>
      </c>
      <c r="H876" s="339" t="s">
        <v>14</v>
      </c>
      <c r="I876" s="345" t="s">
        <v>60</v>
      </c>
      <c r="J876" s="316">
        <v>41814.579861111109</v>
      </c>
      <c r="K876" s="347"/>
      <c r="L876" s="347" t="s">
        <v>377</v>
      </c>
      <c r="M876" s="348" t="s">
        <v>378</v>
      </c>
      <c r="N876" s="348" t="s">
        <v>400</v>
      </c>
      <c r="O876" s="348" t="s">
        <v>175</v>
      </c>
      <c r="P876" s="349">
        <v>30.337662337662302</v>
      </c>
      <c r="Q876" s="321" t="str">
        <f t="shared" si="43"/>
        <v/>
      </c>
      <c r="R876" s="318">
        <f t="shared" si="44"/>
        <v>41814</v>
      </c>
      <c r="S876" s="318" t="str">
        <f t="shared" si="45"/>
        <v/>
      </c>
    </row>
    <row r="877" spans="3:19" ht="27.75" customHeight="1">
      <c r="C877" s="345" t="s">
        <v>98</v>
      </c>
      <c r="D877" s="345" t="s">
        <v>373</v>
      </c>
      <c r="E877" s="345" t="s">
        <v>374</v>
      </c>
      <c r="F877" s="345" t="s">
        <v>375</v>
      </c>
      <c r="G877" s="346" t="s">
        <v>376</v>
      </c>
      <c r="H877" s="339" t="s">
        <v>14</v>
      </c>
      <c r="I877" s="345" t="s">
        <v>60</v>
      </c>
      <c r="J877" s="316">
        <v>41814.543749999997</v>
      </c>
      <c r="K877" s="347"/>
      <c r="L877" s="347" t="s">
        <v>378</v>
      </c>
      <c r="M877" s="348" t="s">
        <v>378</v>
      </c>
      <c r="N877" s="348" t="s">
        <v>400</v>
      </c>
      <c r="O877" s="348" t="s">
        <v>177</v>
      </c>
      <c r="P877" s="349">
        <v>30.3704121964991</v>
      </c>
      <c r="Q877" s="321" t="str">
        <f t="shared" si="43"/>
        <v/>
      </c>
      <c r="R877" s="318">
        <f t="shared" si="44"/>
        <v>41814</v>
      </c>
      <c r="S877" s="318" t="str">
        <f t="shared" si="45"/>
        <v/>
      </c>
    </row>
    <row r="878" spans="3:19" ht="27.75" customHeight="1">
      <c r="C878" s="345" t="s">
        <v>98</v>
      </c>
      <c r="D878" s="345" t="s">
        <v>373</v>
      </c>
      <c r="E878" s="345" t="s">
        <v>374</v>
      </c>
      <c r="F878" s="345" t="s">
        <v>375</v>
      </c>
      <c r="G878" s="346" t="s">
        <v>376</v>
      </c>
      <c r="H878" s="339" t="s">
        <v>14</v>
      </c>
      <c r="I878" s="345" t="s">
        <v>60</v>
      </c>
      <c r="J878" s="316">
        <v>41814.541666666664</v>
      </c>
      <c r="K878" s="347"/>
      <c r="L878" s="347" t="s">
        <v>378</v>
      </c>
      <c r="M878" s="348" t="s">
        <v>378</v>
      </c>
      <c r="N878" s="348" t="s">
        <v>400</v>
      </c>
      <c r="O878" s="348" t="s">
        <v>177</v>
      </c>
      <c r="P878" s="349">
        <v>30.403162055336001</v>
      </c>
      <c r="Q878" s="321" t="str">
        <f t="shared" si="43"/>
        <v/>
      </c>
      <c r="R878" s="318">
        <f t="shared" si="44"/>
        <v>41814</v>
      </c>
      <c r="S878" s="318" t="str">
        <f t="shared" si="45"/>
        <v/>
      </c>
    </row>
    <row r="879" spans="3:19" ht="27.75" customHeight="1">
      <c r="C879" s="345" t="s">
        <v>98</v>
      </c>
      <c r="D879" s="345" t="s">
        <v>373</v>
      </c>
      <c r="E879" s="345" t="s">
        <v>374</v>
      </c>
      <c r="F879" s="345" t="s">
        <v>375</v>
      </c>
      <c r="G879" s="346" t="s">
        <v>376</v>
      </c>
      <c r="H879" s="345" t="s">
        <v>5</v>
      </c>
      <c r="I879" s="345" t="s">
        <v>60</v>
      </c>
      <c r="J879" s="316">
        <v>41814.533333333333</v>
      </c>
      <c r="K879" s="347">
        <v>41816.533333333333</v>
      </c>
      <c r="L879" s="347" t="s">
        <v>378</v>
      </c>
      <c r="M879" s="348" t="s">
        <v>378</v>
      </c>
      <c r="N879" s="348" t="s">
        <v>400</v>
      </c>
      <c r="O879" s="348" t="s">
        <v>177</v>
      </c>
      <c r="P879" s="349">
        <v>30.435911914172799</v>
      </c>
      <c r="Q879" s="321">
        <f t="shared" si="43"/>
        <v>2</v>
      </c>
      <c r="R879" s="318">
        <f t="shared" si="44"/>
        <v>41814</v>
      </c>
      <c r="S879" s="318">
        <f t="shared" si="45"/>
        <v>41816</v>
      </c>
    </row>
    <row r="880" spans="3:19" ht="27.75" customHeight="1">
      <c r="C880" s="345" t="s">
        <v>98</v>
      </c>
      <c r="D880" s="345" t="s">
        <v>373</v>
      </c>
      <c r="E880" s="345" t="s">
        <v>374</v>
      </c>
      <c r="F880" s="345" t="s">
        <v>375</v>
      </c>
      <c r="G880" s="346" t="s">
        <v>376</v>
      </c>
      <c r="H880" s="339" t="s">
        <v>14</v>
      </c>
      <c r="I880" s="345" t="s">
        <v>61</v>
      </c>
      <c r="J880" s="316">
        <v>41814.531944444447</v>
      </c>
      <c r="K880" s="347"/>
      <c r="L880" s="347" t="s">
        <v>378</v>
      </c>
      <c r="M880" s="348" t="s">
        <v>190</v>
      </c>
      <c r="N880" s="348" t="s">
        <v>190</v>
      </c>
      <c r="O880" s="348" t="s">
        <v>177</v>
      </c>
      <c r="P880" s="349">
        <v>30.4686617730096</v>
      </c>
      <c r="Q880" s="321" t="str">
        <f t="shared" si="43"/>
        <v/>
      </c>
      <c r="R880" s="318">
        <f t="shared" si="44"/>
        <v>41814</v>
      </c>
      <c r="S880" s="318" t="str">
        <f t="shared" si="45"/>
        <v/>
      </c>
    </row>
    <row r="881" spans="3:19" ht="27.75" customHeight="1">
      <c r="C881" s="345" t="s">
        <v>98</v>
      </c>
      <c r="D881" s="345" t="s">
        <v>373</v>
      </c>
      <c r="E881" s="345" t="s">
        <v>374</v>
      </c>
      <c r="F881" s="345" t="s">
        <v>375</v>
      </c>
      <c r="G881" s="346" t="s">
        <v>376</v>
      </c>
      <c r="H881" s="339" t="s">
        <v>14</v>
      </c>
      <c r="I881" s="345" t="s">
        <v>58</v>
      </c>
      <c r="J881" s="316">
        <v>41814.493750000001</v>
      </c>
      <c r="K881" s="347"/>
      <c r="L881" s="347" t="s">
        <v>378</v>
      </c>
      <c r="M881" s="348" t="s">
        <v>378</v>
      </c>
      <c r="N881" s="348" t="s">
        <v>378</v>
      </c>
      <c r="O881" s="348" t="s">
        <v>177</v>
      </c>
      <c r="P881" s="349">
        <v>30.501411631846398</v>
      </c>
      <c r="Q881" s="321" t="str">
        <f t="shared" si="43"/>
        <v/>
      </c>
      <c r="R881" s="318">
        <f t="shared" si="44"/>
        <v>41814</v>
      </c>
      <c r="S881" s="318" t="str">
        <f t="shared" si="45"/>
        <v/>
      </c>
    </row>
    <row r="882" spans="3:19" ht="27.75" customHeight="1">
      <c r="C882" s="345" t="s">
        <v>98</v>
      </c>
      <c r="D882" s="345" t="s">
        <v>373</v>
      </c>
      <c r="E882" s="345" t="s">
        <v>374</v>
      </c>
      <c r="F882" s="345" t="s">
        <v>375</v>
      </c>
      <c r="G882" s="346" t="s">
        <v>376</v>
      </c>
      <c r="H882" s="345" t="s">
        <v>5</v>
      </c>
      <c r="I882" s="345" t="s">
        <v>60</v>
      </c>
      <c r="J882" s="316">
        <v>41814.491666666669</v>
      </c>
      <c r="K882" s="347">
        <v>41819.491666666669</v>
      </c>
      <c r="L882" s="347" t="s">
        <v>378</v>
      </c>
      <c r="M882" s="348" t="s">
        <v>378</v>
      </c>
      <c r="N882" s="348" t="s">
        <v>400</v>
      </c>
      <c r="O882" s="348" t="s">
        <v>177</v>
      </c>
      <c r="P882" s="349">
        <v>30.5341614906832</v>
      </c>
      <c r="Q882" s="321">
        <f t="shared" si="43"/>
        <v>5</v>
      </c>
      <c r="R882" s="318">
        <f t="shared" si="44"/>
        <v>41814</v>
      </c>
      <c r="S882" s="318">
        <f t="shared" si="45"/>
        <v>41819</v>
      </c>
    </row>
    <row r="883" spans="3:19" ht="27.75" customHeight="1">
      <c r="C883" s="345" t="s">
        <v>98</v>
      </c>
      <c r="D883" s="345" t="s">
        <v>373</v>
      </c>
      <c r="E883" s="345" t="s">
        <v>374</v>
      </c>
      <c r="F883" s="345" t="s">
        <v>375</v>
      </c>
      <c r="G883" s="346" t="s">
        <v>376</v>
      </c>
      <c r="H883" s="339" t="s">
        <v>14</v>
      </c>
      <c r="I883" s="345" t="s">
        <v>59</v>
      </c>
      <c r="J883" s="316">
        <v>41814.488888888889</v>
      </c>
      <c r="K883" s="347"/>
      <c r="L883" s="347" t="s">
        <v>378</v>
      </c>
      <c r="M883" s="348" t="s">
        <v>378</v>
      </c>
      <c r="N883" s="348" t="s">
        <v>378</v>
      </c>
      <c r="O883" s="348" t="s">
        <v>175</v>
      </c>
      <c r="P883" s="349">
        <v>30.566911349520002</v>
      </c>
      <c r="Q883" s="321" t="str">
        <f t="shared" si="43"/>
        <v/>
      </c>
      <c r="R883" s="318">
        <f t="shared" si="44"/>
        <v>41814</v>
      </c>
      <c r="S883" s="318" t="str">
        <f t="shared" si="45"/>
        <v/>
      </c>
    </row>
    <row r="884" spans="3:19" ht="27.75" customHeight="1">
      <c r="C884" s="345" t="s">
        <v>98</v>
      </c>
      <c r="D884" s="345" t="s">
        <v>373</v>
      </c>
      <c r="E884" s="345" t="s">
        <v>374</v>
      </c>
      <c r="F884" s="345" t="s">
        <v>375</v>
      </c>
      <c r="G884" s="346" t="s">
        <v>376</v>
      </c>
      <c r="H884" s="345" t="s">
        <v>5</v>
      </c>
      <c r="I884" s="345" t="s">
        <v>60</v>
      </c>
      <c r="J884" s="316">
        <v>41814.461111111108</v>
      </c>
      <c r="K884" s="347">
        <v>41820.461111111108</v>
      </c>
      <c r="L884" s="347" t="s">
        <v>188</v>
      </c>
      <c r="M884" s="348" t="s">
        <v>378</v>
      </c>
      <c r="N884" s="348" t="s">
        <v>400</v>
      </c>
      <c r="O884" s="348" t="s">
        <v>175</v>
      </c>
      <c r="P884" s="349">
        <v>30.5996612083568</v>
      </c>
      <c r="Q884" s="321">
        <f t="shared" si="43"/>
        <v>6</v>
      </c>
      <c r="R884" s="318">
        <f t="shared" si="44"/>
        <v>41814</v>
      </c>
      <c r="S884" s="318">
        <f t="shared" si="45"/>
        <v>41820</v>
      </c>
    </row>
    <row r="885" spans="3:19" ht="27.75" customHeight="1">
      <c r="C885" s="345" t="s">
        <v>98</v>
      </c>
      <c r="D885" s="345" t="s">
        <v>373</v>
      </c>
      <c r="E885" s="345" t="s">
        <v>374</v>
      </c>
      <c r="F885" s="345" t="s">
        <v>375</v>
      </c>
      <c r="G885" s="346" t="s">
        <v>376</v>
      </c>
      <c r="H885" s="345" t="s">
        <v>138</v>
      </c>
      <c r="I885" s="345" t="s">
        <v>60</v>
      </c>
      <c r="J885" s="316">
        <v>41814.078472222223</v>
      </c>
      <c r="K885" s="347"/>
      <c r="L885" s="347" t="s">
        <v>378</v>
      </c>
      <c r="M885" s="348" t="s">
        <v>378</v>
      </c>
      <c r="N885" s="348" t="s">
        <v>400</v>
      </c>
      <c r="O885" s="348" t="s">
        <v>175</v>
      </c>
      <c r="P885" s="349">
        <v>30.632411067193701</v>
      </c>
      <c r="Q885" s="321" t="str">
        <f t="shared" si="43"/>
        <v/>
      </c>
      <c r="R885" s="318">
        <f t="shared" si="44"/>
        <v>41814</v>
      </c>
      <c r="S885" s="318" t="str">
        <f t="shared" si="45"/>
        <v/>
      </c>
    </row>
    <row r="886" spans="3:19" ht="27.75" customHeight="1">
      <c r="C886" s="345" t="s">
        <v>98</v>
      </c>
      <c r="D886" s="345" t="s">
        <v>373</v>
      </c>
      <c r="E886" s="345" t="s">
        <v>374</v>
      </c>
      <c r="F886" s="345" t="s">
        <v>375</v>
      </c>
      <c r="G886" s="346" t="s">
        <v>376</v>
      </c>
      <c r="H886" s="345" t="s">
        <v>140</v>
      </c>
      <c r="I886" s="345" t="s">
        <v>60</v>
      </c>
      <c r="J886" s="316">
        <v>41813.884027777778</v>
      </c>
      <c r="K886" s="347"/>
      <c r="L886" s="347" t="s">
        <v>378</v>
      </c>
      <c r="M886" s="348" t="s">
        <v>378</v>
      </c>
      <c r="N886" s="348" t="s">
        <v>400</v>
      </c>
      <c r="O886" s="348" t="s">
        <v>175</v>
      </c>
      <c r="P886" s="349">
        <v>30.665160926030499</v>
      </c>
      <c r="Q886" s="321" t="str">
        <f t="shared" si="43"/>
        <v/>
      </c>
      <c r="R886" s="318">
        <f t="shared" si="44"/>
        <v>41813</v>
      </c>
      <c r="S886" s="318" t="str">
        <f t="shared" si="45"/>
        <v/>
      </c>
    </row>
    <row r="887" spans="3:19" ht="27.75" customHeight="1">
      <c r="C887" s="345" t="s">
        <v>98</v>
      </c>
      <c r="D887" s="345" t="s">
        <v>373</v>
      </c>
      <c r="E887" s="345" t="s">
        <v>374</v>
      </c>
      <c r="F887" s="345" t="s">
        <v>375</v>
      </c>
      <c r="G887" s="346" t="s">
        <v>376</v>
      </c>
      <c r="H887" s="345" t="s">
        <v>391</v>
      </c>
      <c r="I887" s="345" t="s">
        <v>60</v>
      </c>
      <c r="J887" s="316">
        <v>41813.806944444441</v>
      </c>
      <c r="K887" s="347"/>
      <c r="L887" s="347" t="s">
        <v>378</v>
      </c>
      <c r="M887" s="348" t="s">
        <v>378</v>
      </c>
      <c r="N887" s="348" t="s">
        <v>400</v>
      </c>
      <c r="O887" s="348" t="s">
        <v>175</v>
      </c>
      <c r="P887" s="349">
        <v>30.6979107848673</v>
      </c>
      <c r="Q887" s="321" t="str">
        <f t="shared" si="43"/>
        <v/>
      </c>
      <c r="R887" s="318">
        <f t="shared" si="44"/>
        <v>41813</v>
      </c>
      <c r="S887" s="318" t="str">
        <f t="shared" si="45"/>
        <v/>
      </c>
    </row>
    <row r="888" spans="3:19" ht="27.75" customHeight="1">
      <c r="C888" s="345" t="s">
        <v>98</v>
      </c>
      <c r="D888" s="345" t="s">
        <v>373</v>
      </c>
      <c r="E888" s="345" t="s">
        <v>374</v>
      </c>
      <c r="F888" s="345" t="s">
        <v>375</v>
      </c>
      <c r="G888" s="346" t="s">
        <v>376</v>
      </c>
      <c r="H888" s="339" t="s">
        <v>14</v>
      </c>
      <c r="I888" s="345" t="s">
        <v>60</v>
      </c>
      <c r="J888" s="316">
        <v>41813.719444444447</v>
      </c>
      <c r="K888" s="347"/>
      <c r="L888" s="347" t="s">
        <v>378</v>
      </c>
      <c r="M888" s="348" t="s">
        <v>378</v>
      </c>
      <c r="N888" s="348" t="s">
        <v>400</v>
      </c>
      <c r="O888" s="348" t="s">
        <v>175</v>
      </c>
      <c r="P888" s="349">
        <v>30.730660643704098</v>
      </c>
      <c r="Q888" s="321" t="str">
        <f t="shared" si="43"/>
        <v/>
      </c>
      <c r="R888" s="318">
        <f t="shared" si="44"/>
        <v>41813</v>
      </c>
      <c r="S888" s="318" t="str">
        <f t="shared" si="45"/>
        <v/>
      </c>
    </row>
    <row r="889" spans="3:19" ht="27.75" customHeight="1">
      <c r="C889" s="345" t="s">
        <v>98</v>
      </c>
      <c r="D889" s="345" t="s">
        <v>373</v>
      </c>
      <c r="E889" s="345" t="s">
        <v>374</v>
      </c>
      <c r="F889" s="345" t="s">
        <v>375</v>
      </c>
      <c r="G889" s="346" t="s">
        <v>376</v>
      </c>
      <c r="H889" s="339" t="s">
        <v>14</v>
      </c>
      <c r="I889" s="345" t="s">
        <v>61</v>
      </c>
      <c r="J889" s="316">
        <v>41813.719444444447</v>
      </c>
      <c r="K889" s="347"/>
      <c r="L889" s="347" t="s">
        <v>378</v>
      </c>
      <c r="M889" s="348" t="s">
        <v>190</v>
      </c>
      <c r="N889" s="348" t="s">
        <v>190</v>
      </c>
      <c r="O889" s="348" t="s">
        <v>175</v>
      </c>
      <c r="P889" s="349">
        <v>30.7634105025409</v>
      </c>
      <c r="Q889" s="321" t="str">
        <f t="shared" si="43"/>
        <v/>
      </c>
      <c r="R889" s="318">
        <f t="shared" si="44"/>
        <v>41813</v>
      </c>
      <c r="S889" s="318" t="str">
        <f t="shared" si="45"/>
        <v/>
      </c>
    </row>
    <row r="890" spans="3:19" ht="27.75" customHeight="1">
      <c r="C890" s="345" t="s">
        <v>98</v>
      </c>
      <c r="D890" s="345" t="s">
        <v>373</v>
      </c>
      <c r="E890" s="345" t="s">
        <v>374</v>
      </c>
      <c r="F890" s="345" t="s">
        <v>375</v>
      </c>
      <c r="G890" s="346" t="s">
        <v>376</v>
      </c>
      <c r="H890" s="339" t="s">
        <v>14</v>
      </c>
      <c r="I890" s="345" t="s">
        <v>61</v>
      </c>
      <c r="J890" s="316">
        <v>41813.712500000001</v>
      </c>
      <c r="K890" s="347"/>
      <c r="L890" s="347" t="s">
        <v>378</v>
      </c>
      <c r="M890" s="348" t="s">
        <v>378</v>
      </c>
      <c r="N890" s="348" t="s">
        <v>378</v>
      </c>
      <c r="O890" s="348" t="s">
        <v>175</v>
      </c>
      <c r="P890" s="349">
        <v>30.796160361377702</v>
      </c>
      <c r="Q890" s="321" t="str">
        <f t="shared" si="43"/>
        <v/>
      </c>
      <c r="R890" s="318">
        <f t="shared" si="44"/>
        <v>41813</v>
      </c>
      <c r="S890" s="318" t="str">
        <f t="shared" si="45"/>
        <v/>
      </c>
    </row>
    <row r="891" spans="3:19" ht="27.75" customHeight="1">
      <c r="C891" s="345" t="s">
        <v>98</v>
      </c>
      <c r="D891" s="345" t="s">
        <v>373</v>
      </c>
      <c r="E891" s="345" t="s">
        <v>374</v>
      </c>
      <c r="F891" s="345" t="s">
        <v>375</v>
      </c>
      <c r="G891" s="346" t="s">
        <v>376</v>
      </c>
      <c r="H891" s="339" t="s">
        <v>14</v>
      </c>
      <c r="I891" s="345" t="s">
        <v>60</v>
      </c>
      <c r="J891" s="316">
        <v>41813.702777777777</v>
      </c>
      <c r="K891" s="347"/>
      <c r="L891" s="347" t="s">
        <v>188</v>
      </c>
      <c r="M891" s="348" t="s">
        <v>378</v>
      </c>
      <c r="N891" s="348" t="s">
        <v>400</v>
      </c>
      <c r="O891" s="348" t="s">
        <v>175</v>
      </c>
      <c r="P891" s="349">
        <v>30.828910220214599</v>
      </c>
      <c r="Q891" s="321" t="str">
        <f t="shared" si="43"/>
        <v/>
      </c>
      <c r="R891" s="318">
        <f t="shared" si="44"/>
        <v>41813</v>
      </c>
      <c r="S891" s="318" t="str">
        <f t="shared" si="45"/>
        <v/>
      </c>
    </row>
    <row r="892" spans="3:19" ht="27.75" customHeight="1">
      <c r="C892" s="345" t="s">
        <v>98</v>
      </c>
      <c r="D892" s="345" t="s">
        <v>373</v>
      </c>
      <c r="E892" s="345" t="s">
        <v>374</v>
      </c>
      <c r="F892" s="345" t="s">
        <v>375</v>
      </c>
      <c r="G892" s="346" t="s">
        <v>376</v>
      </c>
      <c r="H892" s="339" t="s">
        <v>14</v>
      </c>
      <c r="I892" s="345" t="s">
        <v>60</v>
      </c>
      <c r="J892" s="316">
        <v>41813.668749999997</v>
      </c>
      <c r="K892" s="347"/>
      <c r="L892" s="347" t="s">
        <v>378</v>
      </c>
      <c r="M892" s="348" t="s">
        <v>378</v>
      </c>
      <c r="N892" s="348" t="s">
        <v>400</v>
      </c>
      <c r="O892" s="348" t="s">
        <v>175</v>
      </c>
      <c r="P892" s="349">
        <v>30.861660079051401</v>
      </c>
      <c r="Q892" s="321" t="str">
        <f t="shared" si="43"/>
        <v/>
      </c>
      <c r="R892" s="318">
        <f t="shared" si="44"/>
        <v>41813</v>
      </c>
      <c r="S892" s="318" t="str">
        <f t="shared" si="45"/>
        <v/>
      </c>
    </row>
    <row r="893" spans="3:19" ht="27.75" customHeight="1">
      <c r="C893" s="345" t="s">
        <v>98</v>
      </c>
      <c r="D893" s="345" t="s">
        <v>373</v>
      </c>
      <c r="E893" s="345" t="s">
        <v>374</v>
      </c>
      <c r="F893" s="345" t="s">
        <v>375</v>
      </c>
      <c r="G893" s="346" t="s">
        <v>376</v>
      </c>
      <c r="H893" s="339" t="s">
        <v>14</v>
      </c>
      <c r="I893" s="345" t="s">
        <v>60</v>
      </c>
      <c r="J893" s="316">
        <v>41813.665972222225</v>
      </c>
      <c r="K893" s="347"/>
      <c r="L893" s="347" t="s">
        <v>378</v>
      </c>
      <c r="M893" s="348" t="s">
        <v>378</v>
      </c>
      <c r="N893" s="348" t="s">
        <v>400</v>
      </c>
      <c r="O893" s="348" t="s">
        <v>175</v>
      </c>
      <c r="P893" s="349">
        <v>30.894409937888199</v>
      </c>
      <c r="Q893" s="321" t="str">
        <f t="shared" si="43"/>
        <v/>
      </c>
      <c r="R893" s="318">
        <f t="shared" si="44"/>
        <v>41813</v>
      </c>
      <c r="S893" s="318" t="str">
        <f t="shared" si="45"/>
        <v/>
      </c>
    </row>
    <row r="894" spans="3:19" ht="27.75" customHeight="1">
      <c r="C894" s="345" t="s">
        <v>98</v>
      </c>
      <c r="D894" s="345" t="s">
        <v>373</v>
      </c>
      <c r="E894" s="345" t="s">
        <v>374</v>
      </c>
      <c r="F894" s="345" t="s">
        <v>375</v>
      </c>
      <c r="G894" s="346" t="s">
        <v>376</v>
      </c>
      <c r="H894" s="339" t="s">
        <v>14</v>
      </c>
      <c r="I894" s="345" t="s">
        <v>60</v>
      </c>
      <c r="J894" s="316">
        <v>41813.657638888886</v>
      </c>
      <c r="K894" s="347"/>
      <c r="L894" s="347" t="s">
        <v>377</v>
      </c>
      <c r="M894" s="348" t="s">
        <v>378</v>
      </c>
      <c r="N894" s="348" t="s">
        <v>400</v>
      </c>
      <c r="O894" s="348" t="s">
        <v>177</v>
      </c>
      <c r="P894" s="349">
        <v>30.927159796725</v>
      </c>
      <c r="Q894" s="321" t="str">
        <f t="shared" si="43"/>
        <v/>
      </c>
      <c r="R894" s="318">
        <f t="shared" si="44"/>
        <v>41813</v>
      </c>
      <c r="S894" s="318" t="str">
        <f t="shared" si="45"/>
        <v/>
      </c>
    </row>
    <row r="895" spans="3:19" ht="27.75" customHeight="1">
      <c r="C895" s="345" t="s">
        <v>98</v>
      </c>
      <c r="D895" s="345" t="s">
        <v>373</v>
      </c>
      <c r="E895" s="345" t="s">
        <v>374</v>
      </c>
      <c r="F895" s="345" t="s">
        <v>375</v>
      </c>
      <c r="G895" s="346" t="s">
        <v>376</v>
      </c>
      <c r="H895" s="339" t="s">
        <v>14</v>
      </c>
      <c r="I895" s="345" t="s">
        <v>60</v>
      </c>
      <c r="J895" s="316">
        <v>41813.645138888889</v>
      </c>
      <c r="K895" s="347"/>
      <c r="L895" s="347" t="s">
        <v>377</v>
      </c>
      <c r="M895" s="348" t="s">
        <v>378</v>
      </c>
      <c r="N895" s="348" t="s">
        <v>400</v>
      </c>
      <c r="O895" s="348" t="s">
        <v>177</v>
      </c>
      <c r="P895" s="349">
        <v>30.959909655561798</v>
      </c>
      <c r="Q895" s="321" t="str">
        <f t="shared" si="43"/>
        <v/>
      </c>
      <c r="R895" s="318">
        <f t="shared" si="44"/>
        <v>41813</v>
      </c>
      <c r="S895" s="318" t="str">
        <f t="shared" si="45"/>
        <v/>
      </c>
    </row>
    <row r="896" spans="3:19" ht="27.75" customHeight="1">
      <c r="C896" s="345" t="s">
        <v>98</v>
      </c>
      <c r="D896" s="345" t="s">
        <v>373</v>
      </c>
      <c r="E896" s="345" t="s">
        <v>374</v>
      </c>
      <c r="F896" s="345" t="s">
        <v>375</v>
      </c>
      <c r="G896" s="346" t="s">
        <v>376</v>
      </c>
      <c r="H896" s="339" t="s">
        <v>14</v>
      </c>
      <c r="I896" s="345" t="s">
        <v>61</v>
      </c>
      <c r="J896" s="316">
        <v>41813.643055555556</v>
      </c>
      <c r="K896" s="347"/>
      <c r="L896" s="347" t="s">
        <v>188</v>
      </c>
      <c r="M896" s="348" t="s">
        <v>382</v>
      </c>
      <c r="N896" s="348" t="s">
        <v>382</v>
      </c>
      <c r="O896" s="348" t="s">
        <v>175</v>
      </c>
      <c r="P896" s="349">
        <v>30.9926595143986</v>
      </c>
      <c r="Q896" s="321" t="str">
        <f t="shared" si="43"/>
        <v/>
      </c>
      <c r="R896" s="318">
        <f t="shared" si="44"/>
        <v>41813</v>
      </c>
      <c r="S896" s="318" t="str">
        <f t="shared" si="45"/>
        <v/>
      </c>
    </row>
    <row r="897" spans="3:19" ht="27.75" customHeight="1">
      <c r="C897" s="345" t="s">
        <v>98</v>
      </c>
      <c r="D897" s="345" t="s">
        <v>373</v>
      </c>
      <c r="E897" s="345" t="s">
        <v>374</v>
      </c>
      <c r="F897" s="345" t="s">
        <v>375</v>
      </c>
      <c r="G897" s="346" t="s">
        <v>376</v>
      </c>
      <c r="H897" s="339" t="s">
        <v>14</v>
      </c>
      <c r="I897" s="345" t="s">
        <v>60</v>
      </c>
      <c r="J897" s="316">
        <v>41813.63958333333</v>
      </c>
      <c r="K897" s="347"/>
      <c r="L897" s="347" t="s">
        <v>377</v>
      </c>
      <c r="M897" s="348" t="s">
        <v>378</v>
      </c>
      <c r="N897" s="348" t="s">
        <v>400</v>
      </c>
      <c r="O897" s="348" t="s">
        <v>175</v>
      </c>
      <c r="P897" s="349">
        <v>31.025409373235401</v>
      </c>
      <c r="Q897" s="321" t="str">
        <f t="shared" si="43"/>
        <v/>
      </c>
      <c r="R897" s="318">
        <f t="shared" si="44"/>
        <v>41813</v>
      </c>
      <c r="S897" s="318" t="str">
        <f t="shared" si="45"/>
        <v/>
      </c>
    </row>
    <row r="898" spans="3:19" ht="27.75" customHeight="1">
      <c r="C898" s="345" t="s">
        <v>98</v>
      </c>
      <c r="D898" s="345" t="s">
        <v>373</v>
      </c>
      <c r="E898" s="345" t="s">
        <v>374</v>
      </c>
      <c r="F898" s="345" t="s">
        <v>375</v>
      </c>
      <c r="G898" s="346" t="s">
        <v>376</v>
      </c>
      <c r="H898" s="345" t="s">
        <v>5</v>
      </c>
      <c r="I898" s="345" t="s">
        <v>60</v>
      </c>
      <c r="J898" s="316">
        <v>41813.607638888891</v>
      </c>
      <c r="K898" s="347">
        <v>41818.607638888891</v>
      </c>
      <c r="L898" s="347" t="s">
        <v>188</v>
      </c>
      <c r="M898" s="348" t="s">
        <v>382</v>
      </c>
      <c r="N898" s="348" t="s">
        <v>382</v>
      </c>
      <c r="O898" s="348" t="s">
        <v>175</v>
      </c>
      <c r="P898" s="349">
        <v>31.058159232072299</v>
      </c>
      <c r="Q898" s="321">
        <f t="shared" si="43"/>
        <v>5</v>
      </c>
      <c r="R898" s="318">
        <f t="shared" si="44"/>
        <v>41813</v>
      </c>
      <c r="S898" s="318">
        <f t="shared" si="45"/>
        <v>41818</v>
      </c>
    </row>
    <row r="899" spans="3:19" ht="27.75" customHeight="1">
      <c r="C899" s="345" t="s">
        <v>98</v>
      </c>
      <c r="D899" s="345" t="s">
        <v>373</v>
      </c>
      <c r="E899" s="345" t="s">
        <v>374</v>
      </c>
      <c r="F899" s="345" t="s">
        <v>375</v>
      </c>
      <c r="G899" s="346" t="s">
        <v>376</v>
      </c>
      <c r="H899" s="339" t="s">
        <v>14</v>
      </c>
      <c r="I899" s="345" t="s">
        <v>61</v>
      </c>
      <c r="J899" s="316">
        <v>41813.561805555553</v>
      </c>
      <c r="K899" s="347"/>
      <c r="L899" s="347" t="s">
        <v>377</v>
      </c>
      <c r="M899" s="348" t="s">
        <v>378</v>
      </c>
      <c r="N899" s="348" t="s">
        <v>378</v>
      </c>
      <c r="O899" s="348" t="s">
        <v>177</v>
      </c>
      <c r="P899" s="349">
        <v>31.090909090909101</v>
      </c>
      <c r="Q899" s="321" t="str">
        <f t="shared" si="43"/>
        <v/>
      </c>
      <c r="R899" s="318">
        <f t="shared" si="44"/>
        <v>41813</v>
      </c>
      <c r="S899" s="318" t="str">
        <f t="shared" si="45"/>
        <v/>
      </c>
    </row>
    <row r="900" spans="3:19" ht="27.75" customHeight="1">
      <c r="C900" s="345" t="s">
        <v>98</v>
      </c>
      <c r="D900" s="345" t="s">
        <v>373</v>
      </c>
      <c r="E900" s="345" t="s">
        <v>374</v>
      </c>
      <c r="F900" s="345" t="s">
        <v>375</v>
      </c>
      <c r="G900" s="346" t="s">
        <v>376</v>
      </c>
      <c r="H900" s="339" t="s">
        <v>14</v>
      </c>
      <c r="I900" s="345" t="s">
        <v>60</v>
      </c>
      <c r="J900" s="316">
        <v>41813.558333333334</v>
      </c>
      <c r="K900" s="347"/>
      <c r="L900" s="347" t="s">
        <v>377</v>
      </c>
      <c r="M900" s="348" t="s">
        <v>378</v>
      </c>
      <c r="N900" s="348" t="s">
        <v>400</v>
      </c>
      <c r="O900" s="348" t="s">
        <v>177</v>
      </c>
      <c r="P900" s="349">
        <v>31.123658949745899</v>
      </c>
      <c r="Q900" s="321" t="str">
        <f t="shared" si="43"/>
        <v/>
      </c>
      <c r="R900" s="318">
        <f t="shared" si="44"/>
        <v>41813</v>
      </c>
      <c r="S900" s="318" t="str">
        <f t="shared" si="45"/>
        <v/>
      </c>
    </row>
    <row r="901" spans="3:19" ht="27.75" customHeight="1">
      <c r="C901" s="345" t="s">
        <v>98</v>
      </c>
      <c r="D901" s="345" t="s">
        <v>373</v>
      </c>
      <c r="E901" s="345" t="s">
        <v>374</v>
      </c>
      <c r="F901" s="345" t="s">
        <v>375</v>
      </c>
      <c r="G901" s="346" t="s">
        <v>376</v>
      </c>
      <c r="H901" s="345" t="s">
        <v>5</v>
      </c>
      <c r="I901" s="345" t="s">
        <v>60</v>
      </c>
      <c r="J901" s="316">
        <v>41813.545138888891</v>
      </c>
      <c r="K901" s="347">
        <v>41820.545138888891</v>
      </c>
      <c r="L901" s="347" t="s">
        <v>377</v>
      </c>
      <c r="M901" s="348" t="s">
        <v>378</v>
      </c>
      <c r="N901" s="348" t="s">
        <v>400</v>
      </c>
      <c r="O901" s="348" t="s">
        <v>177</v>
      </c>
      <c r="P901" s="349">
        <v>31.1564088085827</v>
      </c>
      <c r="Q901" s="321">
        <f t="shared" si="43"/>
        <v>7</v>
      </c>
      <c r="R901" s="318">
        <f t="shared" si="44"/>
        <v>41813</v>
      </c>
      <c r="S901" s="318">
        <f t="shared" si="45"/>
        <v>41820</v>
      </c>
    </row>
    <row r="902" spans="3:19" ht="27.75" customHeight="1">
      <c r="C902" s="345" t="s">
        <v>98</v>
      </c>
      <c r="D902" s="345" t="s">
        <v>373</v>
      </c>
      <c r="E902" s="345" t="s">
        <v>374</v>
      </c>
      <c r="F902" s="345" t="s">
        <v>375</v>
      </c>
      <c r="G902" s="346" t="s">
        <v>376</v>
      </c>
      <c r="H902" s="339" t="s">
        <v>14</v>
      </c>
      <c r="I902" s="345" t="s">
        <v>61</v>
      </c>
      <c r="J902" s="316">
        <v>41813.536805555559</v>
      </c>
      <c r="K902" s="347"/>
      <c r="L902" s="347" t="s">
        <v>377</v>
      </c>
      <c r="M902" s="348" t="s">
        <v>378</v>
      </c>
      <c r="N902" s="348" t="s">
        <v>378</v>
      </c>
      <c r="O902" s="348" t="s">
        <v>177</v>
      </c>
      <c r="P902" s="349">
        <v>31.189158667419498</v>
      </c>
      <c r="Q902" s="321" t="str">
        <f t="shared" si="43"/>
        <v/>
      </c>
      <c r="R902" s="318">
        <f t="shared" si="44"/>
        <v>41813</v>
      </c>
      <c r="S902" s="318" t="str">
        <f t="shared" si="45"/>
        <v/>
      </c>
    </row>
    <row r="903" spans="3:19" ht="27.75" customHeight="1">
      <c r="C903" s="345" t="s">
        <v>98</v>
      </c>
      <c r="D903" s="345" t="s">
        <v>373</v>
      </c>
      <c r="E903" s="345" t="s">
        <v>374</v>
      </c>
      <c r="F903" s="345" t="s">
        <v>375</v>
      </c>
      <c r="G903" s="346" t="s">
        <v>376</v>
      </c>
      <c r="H903" s="345" t="s">
        <v>5</v>
      </c>
      <c r="I903" s="345" t="s">
        <v>60</v>
      </c>
      <c r="J903" s="316">
        <v>41813.515972222223</v>
      </c>
      <c r="K903" s="347">
        <v>41828.515972222223</v>
      </c>
      <c r="L903" s="347" t="s">
        <v>377</v>
      </c>
      <c r="M903" s="348" t="s">
        <v>378</v>
      </c>
      <c r="N903" s="348" t="s">
        <v>400</v>
      </c>
      <c r="O903" s="348" t="s">
        <v>177</v>
      </c>
      <c r="P903" s="349">
        <v>31.2219085262563</v>
      </c>
      <c r="Q903" s="321">
        <f t="shared" si="43"/>
        <v>15</v>
      </c>
      <c r="R903" s="318">
        <f t="shared" si="44"/>
        <v>41813</v>
      </c>
      <c r="S903" s="318">
        <f t="shared" si="45"/>
        <v>41828</v>
      </c>
    </row>
    <row r="904" spans="3:19" ht="27.75" customHeight="1">
      <c r="C904" s="345" t="s">
        <v>98</v>
      </c>
      <c r="D904" s="345" t="s">
        <v>373</v>
      </c>
      <c r="E904" s="345" t="s">
        <v>374</v>
      </c>
      <c r="F904" s="345" t="s">
        <v>375</v>
      </c>
      <c r="G904" s="346" t="s">
        <v>376</v>
      </c>
      <c r="H904" s="339" t="s">
        <v>14</v>
      </c>
      <c r="I904" s="345" t="s">
        <v>60</v>
      </c>
      <c r="J904" s="316">
        <v>41813.511805555558</v>
      </c>
      <c r="K904" s="347"/>
      <c r="L904" s="347" t="s">
        <v>377</v>
      </c>
      <c r="M904" s="348" t="s">
        <v>378</v>
      </c>
      <c r="N904" s="348" t="s">
        <v>400</v>
      </c>
      <c r="O904" s="348" t="s">
        <v>177</v>
      </c>
      <c r="P904" s="349">
        <v>31.254658385093201</v>
      </c>
      <c r="Q904" s="321" t="str">
        <f t="shared" si="43"/>
        <v/>
      </c>
      <c r="R904" s="318">
        <f t="shared" si="44"/>
        <v>41813</v>
      </c>
      <c r="S904" s="318" t="str">
        <f t="shared" si="45"/>
        <v/>
      </c>
    </row>
    <row r="905" spans="3:19" ht="27.75" customHeight="1">
      <c r="C905" s="345" t="s">
        <v>98</v>
      </c>
      <c r="D905" s="345" t="s">
        <v>373</v>
      </c>
      <c r="E905" s="345" t="s">
        <v>374</v>
      </c>
      <c r="F905" s="345" t="s">
        <v>375</v>
      </c>
      <c r="G905" s="346" t="s">
        <v>376</v>
      </c>
      <c r="H905" s="339" t="s">
        <v>14</v>
      </c>
      <c r="I905" s="345" t="s">
        <v>61</v>
      </c>
      <c r="J905" s="316">
        <v>41813.509722222225</v>
      </c>
      <c r="K905" s="347"/>
      <c r="L905" s="347" t="s">
        <v>377</v>
      </c>
      <c r="M905" s="348" t="s">
        <v>378</v>
      </c>
      <c r="N905" s="348" t="s">
        <v>378</v>
      </c>
      <c r="O905" s="348" t="s">
        <v>175</v>
      </c>
      <c r="P905" s="349">
        <v>31.287408243929999</v>
      </c>
      <c r="Q905" s="321" t="str">
        <f t="shared" si="43"/>
        <v/>
      </c>
      <c r="R905" s="318">
        <f t="shared" si="44"/>
        <v>41813</v>
      </c>
      <c r="S905" s="318" t="str">
        <f t="shared" si="45"/>
        <v/>
      </c>
    </row>
    <row r="906" spans="3:19" ht="27.75" customHeight="1">
      <c r="C906" s="345" t="s">
        <v>98</v>
      </c>
      <c r="D906" s="345" t="s">
        <v>373</v>
      </c>
      <c r="E906" s="345" t="s">
        <v>374</v>
      </c>
      <c r="F906" s="345" t="s">
        <v>375</v>
      </c>
      <c r="G906" s="346" t="s">
        <v>376</v>
      </c>
      <c r="H906" s="345" t="s">
        <v>5</v>
      </c>
      <c r="I906" s="345" t="s">
        <v>60</v>
      </c>
      <c r="J906" s="316">
        <v>41813.491666666669</v>
      </c>
      <c r="K906" s="347">
        <v>41828.491666666669</v>
      </c>
      <c r="L906" s="347" t="s">
        <v>377</v>
      </c>
      <c r="M906" s="348" t="s">
        <v>378</v>
      </c>
      <c r="N906" s="348" t="s">
        <v>400</v>
      </c>
      <c r="O906" s="348" t="s">
        <v>175</v>
      </c>
      <c r="P906" s="349">
        <v>31.320158102766801</v>
      </c>
      <c r="Q906" s="321">
        <f t="shared" si="43"/>
        <v>15</v>
      </c>
      <c r="R906" s="318">
        <f t="shared" si="44"/>
        <v>41813</v>
      </c>
      <c r="S906" s="318">
        <f t="shared" si="45"/>
        <v>41828</v>
      </c>
    </row>
    <row r="907" spans="3:19" ht="27.75" customHeight="1">
      <c r="C907" s="345" t="s">
        <v>98</v>
      </c>
      <c r="D907" s="345" t="s">
        <v>373</v>
      </c>
      <c r="E907" s="345" t="s">
        <v>374</v>
      </c>
      <c r="F907" s="345" t="s">
        <v>375</v>
      </c>
      <c r="G907" s="346" t="s">
        <v>376</v>
      </c>
      <c r="H907" s="345" t="s">
        <v>5</v>
      </c>
      <c r="I907" s="345" t="s">
        <v>58</v>
      </c>
      <c r="J907" s="316">
        <v>41813.478472222225</v>
      </c>
      <c r="K907" s="347">
        <v>41815.478472222225</v>
      </c>
      <c r="L907" s="347" t="s">
        <v>188</v>
      </c>
      <c r="M907" s="348" t="s">
        <v>378</v>
      </c>
      <c r="N907" s="348" t="s">
        <v>378</v>
      </c>
      <c r="O907" s="348" t="s">
        <v>175</v>
      </c>
      <c r="P907" s="349">
        <v>31.352907961603599</v>
      </c>
      <c r="Q907" s="321">
        <f t="shared" si="43"/>
        <v>2</v>
      </c>
      <c r="R907" s="318">
        <f t="shared" si="44"/>
        <v>41813</v>
      </c>
      <c r="S907" s="318">
        <f t="shared" si="45"/>
        <v>41815</v>
      </c>
    </row>
    <row r="908" spans="3:19" ht="27.75" customHeight="1">
      <c r="C908" s="345" t="s">
        <v>98</v>
      </c>
      <c r="D908" s="345" t="s">
        <v>373</v>
      </c>
      <c r="E908" s="345" t="s">
        <v>374</v>
      </c>
      <c r="F908" s="345" t="s">
        <v>375</v>
      </c>
      <c r="G908" s="346" t="s">
        <v>376</v>
      </c>
      <c r="H908" s="345" t="s">
        <v>384</v>
      </c>
      <c r="I908" s="345" t="s">
        <v>61</v>
      </c>
      <c r="J908" s="316">
        <v>41813.461111111108</v>
      </c>
      <c r="K908" s="347"/>
      <c r="L908" s="347" t="s">
        <v>377</v>
      </c>
      <c r="M908" s="348" t="s">
        <v>378</v>
      </c>
      <c r="N908" s="348" t="s">
        <v>378</v>
      </c>
      <c r="O908" s="348" t="s">
        <v>175</v>
      </c>
      <c r="P908" s="349">
        <v>31.3856578204404</v>
      </c>
      <c r="Q908" s="321" t="str">
        <f t="shared" si="43"/>
        <v/>
      </c>
      <c r="R908" s="318">
        <f t="shared" si="44"/>
        <v>41813</v>
      </c>
      <c r="S908" s="318" t="str">
        <f t="shared" si="45"/>
        <v/>
      </c>
    </row>
    <row r="909" spans="3:19" ht="27.75" customHeight="1">
      <c r="C909" s="345" t="s">
        <v>98</v>
      </c>
      <c r="D909" s="345" t="s">
        <v>373</v>
      </c>
      <c r="E909" s="345" t="s">
        <v>374</v>
      </c>
      <c r="F909" s="345" t="s">
        <v>375</v>
      </c>
      <c r="G909" s="346" t="s">
        <v>376</v>
      </c>
      <c r="H909" s="339" t="s">
        <v>14</v>
      </c>
      <c r="I909" s="345" t="s">
        <v>61</v>
      </c>
      <c r="J909" s="316">
        <v>41813.458333333336</v>
      </c>
      <c r="K909" s="347"/>
      <c r="L909" s="347" t="s">
        <v>188</v>
      </c>
      <c r="M909" s="348" t="s">
        <v>382</v>
      </c>
      <c r="N909" s="348" t="s">
        <v>382</v>
      </c>
      <c r="O909" s="348" t="s">
        <v>175</v>
      </c>
      <c r="P909" s="349">
        <v>31.418407679277198</v>
      </c>
      <c r="Q909" s="321" t="str">
        <f t="shared" si="43"/>
        <v/>
      </c>
      <c r="R909" s="318">
        <f t="shared" si="44"/>
        <v>41813</v>
      </c>
      <c r="S909" s="318" t="str">
        <f t="shared" si="45"/>
        <v/>
      </c>
    </row>
    <row r="910" spans="3:19" ht="27.75" customHeight="1">
      <c r="C910" s="345" t="s">
        <v>98</v>
      </c>
      <c r="D910" s="345" t="s">
        <v>373</v>
      </c>
      <c r="E910" s="345" t="s">
        <v>374</v>
      </c>
      <c r="F910" s="345" t="s">
        <v>375</v>
      </c>
      <c r="G910" s="346" t="s">
        <v>376</v>
      </c>
      <c r="H910" s="339" t="s">
        <v>14</v>
      </c>
      <c r="I910" s="345" t="s">
        <v>61</v>
      </c>
      <c r="J910" s="316">
        <v>41818.519444444442</v>
      </c>
      <c r="K910" s="347"/>
      <c r="L910" s="347" t="s">
        <v>377</v>
      </c>
      <c r="M910" s="348" t="s">
        <v>378</v>
      </c>
      <c r="N910" s="348" t="s">
        <v>378</v>
      </c>
      <c r="O910" s="348" t="s">
        <v>175</v>
      </c>
      <c r="P910" s="349">
        <v>31.451157538114</v>
      </c>
      <c r="Q910" s="321" t="str">
        <f t="shared" si="43"/>
        <v/>
      </c>
      <c r="R910" s="318">
        <f t="shared" si="44"/>
        <v>41818</v>
      </c>
      <c r="S910" s="318" t="str">
        <f t="shared" si="45"/>
        <v/>
      </c>
    </row>
    <row r="911" spans="3:19" ht="27.75" customHeight="1">
      <c r="C911" s="345" t="s">
        <v>98</v>
      </c>
      <c r="D911" s="345" t="s">
        <v>373</v>
      </c>
      <c r="E911" s="345" t="s">
        <v>374</v>
      </c>
      <c r="F911" s="345" t="s">
        <v>375</v>
      </c>
      <c r="G911" s="346" t="s">
        <v>376</v>
      </c>
      <c r="H911" s="339" t="s">
        <v>14</v>
      </c>
      <c r="I911" s="345" t="s">
        <v>60</v>
      </c>
      <c r="J911" s="316">
        <v>41818.492361111108</v>
      </c>
      <c r="K911" s="347"/>
      <c r="L911" s="347" t="s">
        <v>188</v>
      </c>
      <c r="M911" s="348" t="s">
        <v>378</v>
      </c>
      <c r="N911" s="348" t="s">
        <v>400</v>
      </c>
      <c r="O911" s="348" t="s">
        <v>175</v>
      </c>
      <c r="P911" s="349">
        <v>31.483907396950901</v>
      </c>
      <c r="Q911" s="321" t="str">
        <f t="shared" si="43"/>
        <v/>
      </c>
      <c r="R911" s="318">
        <f t="shared" si="44"/>
        <v>41818</v>
      </c>
      <c r="S911" s="318" t="str">
        <f t="shared" si="45"/>
        <v/>
      </c>
    </row>
    <row r="912" spans="3:19" ht="27.75" customHeight="1">
      <c r="C912" s="345" t="s">
        <v>98</v>
      </c>
      <c r="D912" s="345" t="s">
        <v>373</v>
      </c>
      <c r="E912" s="345" t="s">
        <v>374</v>
      </c>
      <c r="F912" s="345" t="s">
        <v>375</v>
      </c>
      <c r="G912" s="346" t="s">
        <v>376</v>
      </c>
      <c r="H912" s="345" t="s">
        <v>5</v>
      </c>
      <c r="I912" s="345" t="s">
        <v>59</v>
      </c>
      <c r="J912" s="316">
        <v>41818.484722222223</v>
      </c>
      <c r="K912" s="347">
        <v>41820.484722222223</v>
      </c>
      <c r="L912" s="347" t="s">
        <v>377</v>
      </c>
      <c r="M912" s="348" t="s">
        <v>378</v>
      </c>
      <c r="N912" s="348" t="s">
        <v>378</v>
      </c>
      <c r="O912" s="348" t="s">
        <v>175</v>
      </c>
      <c r="P912" s="349">
        <v>31.516657255787699</v>
      </c>
      <c r="Q912" s="321">
        <f t="shared" si="43"/>
        <v>2</v>
      </c>
      <c r="R912" s="318">
        <f t="shared" si="44"/>
        <v>41818</v>
      </c>
      <c r="S912" s="318">
        <f t="shared" si="45"/>
        <v>41820</v>
      </c>
    </row>
    <row r="913" spans="3:19" ht="27.75" customHeight="1">
      <c r="C913" s="345" t="s">
        <v>98</v>
      </c>
      <c r="D913" s="345" t="s">
        <v>373</v>
      </c>
      <c r="E913" s="345" t="s">
        <v>374</v>
      </c>
      <c r="F913" s="345" t="s">
        <v>375</v>
      </c>
      <c r="G913" s="346" t="s">
        <v>376</v>
      </c>
      <c r="H913" s="339" t="s">
        <v>14</v>
      </c>
      <c r="I913" s="345" t="s">
        <v>61</v>
      </c>
      <c r="J913" s="316">
        <v>41818.020138888889</v>
      </c>
      <c r="K913" s="347"/>
      <c r="L913" s="347" t="s">
        <v>377</v>
      </c>
      <c r="M913" s="348" t="s">
        <v>378</v>
      </c>
      <c r="N913" s="348" t="s">
        <v>378</v>
      </c>
      <c r="O913" s="348" t="s">
        <v>175</v>
      </c>
      <c r="P913" s="349">
        <v>31.549407114624501</v>
      </c>
      <c r="Q913" s="321" t="str">
        <f t="shared" si="43"/>
        <v/>
      </c>
      <c r="R913" s="318">
        <f t="shared" si="44"/>
        <v>41818</v>
      </c>
      <c r="S913" s="318" t="str">
        <f t="shared" si="45"/>
        <v/>
      </c>
    </row>
    <row r="914" spans="3:19" ht="27.75" customHeight="1">
      <c r="C914" s="345" t="s">
        <v>98</v>
      </c>
      <c r="D914" s="345" t="s">
        <v>373</v>
      </c>
      <c r="E914" s="345" t="s">
        <v>374</v>
      </c>
      <c r="F914" s="345" t="s">
        <v>375</v>
      </c>
      <c r="G914" s="346" t="s">
        <v>376</v>
      </c>
      <c r="H914" s="345" t="s">
        <v>5</v>
      </c>
      <c r="I914" s="345" t="s">
        <v>60</v>
      </c>
      <c r="J914" s="316">
        <v>41810.972222222219</v>
      </c>
      <c r="K914" s="347">
        <v>41820.972222222219</v>
      </c>
      <c r="L914" s="347" t="s">
        <v>377</v>
      </c>
      <c r="M914" s="348" t="s">
        <v>378</v>
      </c>
      <c r="N914" s="348" t="s">
        <v>400</v>
      </c>
      <c r="O914" s="348" t="s">
        <v>175</v>
      </c>
      <c r="P914" s="349">
        <v>31.582156973461299</v>
      </c>
      <c r="Q914" s="321">
        <f t="shared" si="43"/>
        <v>10</v>
      </c>
      <c r="R914" s="318">
        <f t="shared" si="44"/>
        <v>41810</v>
      </c>
      <c r="S914" s="318">
        <f t="shared" si="45"/>
        <v>41820</v>
      </c>
    </row>
    <row r="915" spans="3:19" ht="27.75" customHeight="1">
      <c r="C915" s="345" t="s">
        <v>98</v>
      </c>
      <c r="D915" s="345" t="s">
        <v>373</v>
      </c>
      <c r="E915" s="345" t="s">
        <v>374</v>
      </c>
      <c r="F915" s="345" t="s">
        <v>375</v>
      </c>
      <c r="G915" s="346" t="s">
        <v>376</v>
      </c>
      <c r="H915" s="339" t="s">
        <v>14</v>
      </c>
      <c r="I915" s="345" t="s">
        <v>61</v>
      </c>
      <c r="J915" s="316">
        <v>41810.751388888886</v>
      </c>
      <c r="K915" s="347"/>
      <c r="L915" s="347" t="s">
        <v>378</v>
      </c>
      <c r="M915" s="348" t="s">
        <v>378</v>
      </c>
      <c r="N915" s="348" t="s">
        <v>378</v>
      </c>
      <c r="O915" s="348" t="s">
        <v>175</v>
      </c>
      <c r="P915" s="349">
        <v>31.6149068322981</v>
      </c>
      <c r="Q915" s="321" t="str">
        <f t="shared" si="43"/>
        <v/>
      </c>
      <c r="R915" s="318">
        <f t="shared" si="44"/>
        <v>41810</v>
      </c>
      <c r="S915" s="318" t="str">
        <f t="shared" si="45"/>
        <v/>
      </c>
    </row>
    <row r="916" spans="3:19" ht="27.75" customHeight="1">
      <c r="C916" s="345" t="s">
        <v>98</v>
      </c>
      <c r="D916" s="345" t="s">
        <v>373</v>
      </c>
      <c r="E916" s="345" t="s">
        <v>374</v>
      </c>
      <c r="F916" s="345" t="s">
        <v>375</v>
      </c>
      <c r="G916" s="346" t="s">
        <v>376</v>
      </c>
      <c r="H916" s="345" t="s">
        <v>5</v>
      </c>
      <c r="I916" s="345" t="s">
        <v>60</v>
      </c>
      <c r="J916" s="316">
        <v>41810.661111111112</v>
      </c>
      <c r="K916" s="347">
        <v>41814.661111111112</v>
      </c>
      <c r="L916" s="347" t="s">
        <v>377</v>
      </c>
      <c r="M916" s="348" t="s">
        <v>378</v>
      </c>
      <c r="N916" s="348" t="s">
        <v>400</v>
      </c>
      <c r="O916" s="348" t="s">
        <v>177</v>
      </c>
      <c r="P916" s="349">
        <v>31.647656691134902</v>
      </c>
      <c r="Q916" s="321">
        <f t="shared" si="43"/>
        <v>4</v>
      </c>
      <c r="R916" s="318">
        <f t="shared" si="44"/>
        <v>41810</v>
      </c>
      <c r="S916" s="318">
        <f t="shared" si="45"/>
        <v>41814</v>
      </c>
    </row>
    <row r="917" spans="3:19" ht="27.75" customHeight="1">
      <c r="C917" s="345" t="s">
        <v>98</v>
      </c>
      <c r="D917" s="345" t="s">
        <v>373</v>
      </c>
      <c r="E917" s="345" t="s">
        <v>374</v>
      </c>
      <c r="F917" s="345" t="s">
        <v>375</v>
      </c>
      <c r="G917" s="346" t="s">
        <v>376</v>
      </c>
      <c r="H917" s="339" t="s">
        <v>14</v>
      </c>
      <c r="I917" s="345" t="s">
        <v>61</v>
      </c>
      <c r="J917" s="316">
        <v>41810.659722222219</v>
      </c>
      <c r="K917" s="347"/>
      <c r="L917" s="347" t="s">
        <v>377</v>
      </c>
      <c r="M917" s="348" t="s">
        <v>378</v>
      </c>
      <c r="N917" s="348" t="s">
        <v>378</v>
      </c>
      <c r="O917" s="348" t="s">
        <v>177</v>
      </c>
      <c r="P917" s="349">
        <v>31.680406549971799</v>
      </c>
      <c r="Q917" s="321" t="str">
        <f t="shared" si="43"/>
        <v/>
      </c>
      <c r="R917" s="318">
        <f t="shared" si="44"/>
        <v>41810</v>
      </c>
      <c r="S917" s="318" t="str">
        <f t="shared" si="45"/>
        <v/>
      </c>
    </row>
    <row r="918" spans="3:19" ht="27.75" customHeight="1">
      <c r="C918" s="345" t="s">
        <v>98</v>
      </c>
      <c r="D918" s="345" t="s">
        <v>373</v>
      </c>
      <c r="E918" s="345" t="s">
        <v>374</v>
      </c>
      <c r="F918" s="345" t="s">
        <v>375</v>
      </c>
      <c r="G918" s="346" t="s">
        <v>376</v>
      </c>
      <c r="H918" s="345" t="s">
        <v>5</v>
      </c>
      <c r="I918" s="345" t="s">
        <v>60</v>
      </c>
      <c r="J918" s="316">
        <v>41810.658333333333</v>
      </c>
      <c r="K918" s="347">
        <v>41815.658333333333</v>
      </c>
      <c r="L918" s="347" t="s">
        <v>378</v>
      </c>
      <c r="M918" s="348" t="s">
        <v>378</v>
      </c>
      <c r="N918" s="348" t="s">
        <v>400</v>
      </c>
      <c r="O918" s="348" t="s">
        <v>175</v>
      </c>
      <c r="P918" s="349">
        <v>31.713156408808601</v>
      </c>
      <c r="Q918" s="321">
        <f t="shared" si="43"/>
        <v>5</v>
      </c>
      <c r="R918" s="318">
        <f t="shared" si="44"/>
        <v>41810</v>
      </c>
      <c r="S918" s="318">
        <f t="shared" si="45"/>
        <v>41815</v>
      </c>
    </row>
    <row r="919" spans="3:19" ht="27.75" customHeight="1">
      <c r="C919" s="345" t="s">
        <v>98</v>
      </c>
      <c r="D919" s="345" t="s">
        <v>373</v>
      </c>
      <c r="E919" s="345" t="s">
        <v>374</v>
      </c>
      <c r="F919" s="345" t="s">
        <v>375</v>
      </c>
      <c r="G919" s="346" t="s">
        <v>376</v>
      </c>
      <c r="H919" s="345" t="s">
        <v>5</v>
      </c>
      <c r="I919" s="345" t="s">
        <v>59</v>
      </c>
      <c r="J919" s="316">
        <v>41810.65347222222</v>
      </c>
      <c r="K919" s="347">
        <v>41816.65347222222</v>
      </c>
      <c r="L919" s="347" t="s">
        <v>378</v>
      </c>
      <c r="M919" s="348" t="s">
        <v>378</v>
      </c>
      <c r="N919" s="348" t="s">
        <v>378</v>
      </c>
      <c r="O919" s="348" t="s">
        <v>175</v>
      </c>
      <c r="P919" s="349">
        <v>31.745906267645399</v>
      </c>
      <c r="Q919" s="321">
        <f t="shared" si="43"/>
        <v>6</v>
      </c>
      <c r="R919" s="318">
        <f t="shared" si="44"/>
        <v>41810</v>
      </c>
      <c r="S919" s="318">
        <f t="shared" si="45"/>
        <v>41816</v>
      </c>
    </row>
    <row r="920" spans="3:19" ht="27.75" customHeight="1">
      <c r="C920" s="345" t="s">
        <v>98</v>
      </c>
      <c r="D920" s="345" t="s">
        <v>373</v>
      </c>
      <c r="E920" s="345" t="s">
        <v>374</v>
      </c>
      <c r="F920" s="345" t="s">
        <v>375</v>
      </c>
      <c r="G920" s="346" t="s">
        <v>376</v>
      </c>
      <c r="H920" s="339" t="s">
        <v>14</v>
      </c>
      <c r="I920" s="345" t="s">
        <v>60</v>
      </c>
      <c r="J920" s="316">
        <v>41810.647916666669</v>
      </c>
      <c r="K920" s="347"/>
      <c r="L920" s="347" t="s">
        <v>378</v>
      </c>
      <c r="M920" s="348" t="s">
        <v>378</v>
      </c>
      <c r="N920" s="348" t="s">
        <v>400</v>
      </c>
      <c r="O920" s="348" t="s">
        <v>175</v>
      </c>
      <c r="P920" s="349">
        <v>31.778656126482201</v>
      </c>
      <c r="Q920" s="321" t="str">
        <f t="shared" si="43"/>
        <v/>
      </c>
      <c r="R920" s="318">
        <f t="shared" si="44"/>
        <v>41810</v>
      </c>
      <c r="S920" s="318" t="str">
        <f t="shared" si="45"/>
        <v/>
      </c>
    </row>
    <row r="921" spans="3:19" ht="27.75" customHeight="1">
      <c r="C921" s="345" t="s">
        <v>98</v>
      </c>
      <c r="D921" s="345" t="s">
        <v>373</v>
      </c>
      <c r="E921" s="345" t="s">
        <v>374</v>
      </c>
      <c r="F921" s="345" t="s">
        <v>375</v>
      </c>
      <c r="G921" s="346" t="s">
        <v>376</v>
      </c>
      <c r="H921" s="339" t="s">
        <v>14</v>
      </c>
      <c r="I921" s="345" t="s">
        <v>61</v>
      </c>
      <c r="J921" s="316">
        <v>41810.645833333336</v>
      </c>
      <c r="K921" s="347"/>
      <c r="L921" s="347" t="s">
        <v>188</v>
      </c>
      <c r="M921" s="348" t="s">
        <v>378</v>
      </c>
      <c r="N921" s="348" t="s">
        <v>378</v>
      </c>
      <c r="O921" s="348" t="s">
        <v>177</v>
      </c>
      <c r="P921" s="349">
        <v>31.811405985318999</v>
      </c>
      <c r="Q921" s="321" t="str">
        <f t="shared" si="43"/>
        <v/>
      </c>
      <c r="R921" s="318">
        <f t="shared" si="44"/>
        <v>41810</v>
      </c>
      <c r="S921" s="318" t="str">
        <f t="shared" si="45"/>
        <v/>
      </c>
    </row>
    <row r="922" spans="3:19" ht="27.75" customHeight="1">
      <c r="C922" s="345" t="s">
        <v>98</v>
      </c>
      <c r="D922" s="345" t="s">
        <v>373</v>
      </c>
      <c r="E922" s="345" t="s">
        <v>374</v>
      </c>
      <c r="F922" s="345" t="s">
        <v>375</v>
      </c>
      <c r="G922" s="346" t="s">
        <v>376</v>
      </c>
      <c r="H922" s="339" t="s">
        <v>14</v>
      </c>
      <c r="I922" s="345" t="s">
        <v>60</v>
      </c>
      <c r="J922" s="316">
        <v>41810.636805555558</v>
      </c>
      <c r="K922" s="347"/>
      <c r="L922" s="347" t="s">
        <v>188</v>
      </c>
      <c r="M922" s="348" t="s">
        <v>378</v>
      </c>
      <c r="N922" s="348" t="s">
        <v>400</v>
      </c>
      <c r="O922" s="348" t="s">
        <v>177</v>
      </c>
      <c r="P922" s="349">
        <v>31.8441558441558</v>
      </c>
      <c r="Q922" s="321" t="str">
        <f t="shared" ref="Q922:Q985" si="46">IF(ISERROR(DATEDIF(J922,K922,"D")),"",DATEDIF(J922,K922,"D"))</f>
        <v/>
      </c>
      <c r="R922" s="318">
        <f t="shared" ref="R922:R985" si="47">DATE(YEAR(J922),MONTH(J922),DAY(J922))</f>
        <v>41810</v>
      </c>
      <c r="S922" s="318" t="str">
        <f t="shared" ref="S922:S985" si="48">IF(K922&lt;&gt;"",DATE(YEAR(K922),MONTH(K922),DAY(K922)),"")</f>
        <v/>
      </c>
    </row>
    <row r="923" spans="3:19" ht="27.75" customHeight="1">
      <c r="C923" s="345" t="s">
        <v>98</v>
      </c>
      <c r="D923" s="345" t="s">
        <v>373</v>
      </c>
      <c r="E923" s="345" t="s">
        <v>374</v>
      </c>
      <c r="F923" s="345" t="s">
        <v>375</v>
      </c>
      <c r="G923" s="346" t="s">
        <v>376</v>
      </c>
      <c r="H923" s="339" t="s">
        <v>14</v>
      </c>
      <c r="I923" s="345" t="s">
        <v>60</v>
      </c>
      <c r="J923" s="316">
        <v>41810.630555555559</v>
      </c>
      <c r="K923" s="347"/>
      <c r="L923" s="347" t="s">
        <v>377</v>
      </c>
      <c r="M923" s="348" t="s">
        <v>378</v>
      </c>
      <c r="N923" s="348" t="s">
        <v>400</v>
      </c>
      <c r="O923" s="348" t="s">
        <v>177</v>
      </c>
      <c r="P923" s="349">
        <v>31.876905702992602</v>
      </c>
      <c r="Q923" s="321" t="str">
        <f t="shared" si="46"/>
        <v/>
      </c>
      <c r="R923" s="318">
        <f t="shared" si="47"/>
        <v>41810</v>
      </c>
      <c r="S923" s="318" t="str">
        <f t="shared" si="48"/>
        <v/>
      </c>
    </row>
    <row r="924" spans="3:19" ht="27.75" customHeight="1">
      <c r="C924" s="345" t="s">
        <v>98</v>
      </c>
      <c r="D924" s="345" t="s">
        <v>373</v>
      </c>
      <c r="E924" s="345" t="s">
        <v>374</v>
      </c>
      <c r="F924" s="345" t="s">
        <v>375</v>
      </c>
      <c r="G924" s="346" t="s">
        <v>376</v>
      </c>
      <c r="H924" s="339" t="s">
        <v>14</v>
      </c>
      <c r="I924" s="345" t="s">
        <v>61</v>
      </c>
      <c r="J924" s="316">
        <v>41810.62222222222</v>
      </c>
      <c r="K924" s="347"/>
      <c r="L924" s="347" t="s">
        <v>377</v>
      </c>
      <c r="M924" s="348" t="s">
        <v>378</v>
      </c>
      <c r="N924" s="348" t="s">
        <v>378</v>
      </c>
      <c r="O924" s="348" t="s">
        <v>177</v>
      </c>
      <c r="P924" s="349">
        <v>31.909655561829499</v>
      </c>
      <c r="Q924" s="321" t="str">
        <f t="shared" si="46"/>
        <v/>
      </c>
      <c r="R924" s="318">
        <f t="shared" si="47"/>
        <v>41810</v>
      </c>
      <c r="S924" s="318" t="str">
        <f t="shared" si="48"/>
        <v/>
      </c>
    </row>
    <row r="925" spans="3:19" ht="27.75" customHeight="1">
      <c r="C925" s="345" t="s">
        <v>98</v>
      </c>
      <c r="D925" s="345" t="s">
        <v>373</v>
      </c>
      <c r="E925" s="345" t="s">
        <v>374</v>
      </c>
      <c r="F925" s="345" t="s">
        <v>375</v>
      </c>
      <c r="G925" s="346" t="s">
        <v>376</v>
      </c>
      <c r="H925" s="339" t="s">
        <v>14</v>
      </c>
      <c r="I925" s="345" t="s">
        <v>60</v>
      </c>
      <c r="J925" s="316">
        <v>41810.616666666669</v>
      </c>
      <c r="K925" s="347"/>
      <c r="L925" s="347" t="s">
        <v>377</v>
      </c>
      <c r="M925" s="348" t="s">
        <v>378</v>
      </c>
      <c r="N925" s="348" t="s">
        <v>400</v>
      </c>
      <c r="O925" s="348" t="s">
        <v>177</v>
      </c>
      <c r="P925" s="349">
        <v>31.942405420666301</v>
      </c>
      <c r="Q925" s="321" t="str">
        <f t="shared" si="46"/>
        <v/>
      </c>
      <c r="R925" s="318">
        <f t="shared" si="47"/>
        <v>41810</v>
      </c>
      <c r="S925" s="318" t="str">
        <f t="shared" si="48"/>
        <v/>
      </c>
    </row>
    <row r="926" spans="3:19" ht="27.75" customHeight="1">
      <c r="C926" s="345" t="s">
        <v>98</v>
      </c>
      <c r="D926" s="345" t="s">
        <v>373</v>
      </c>
      <c r="E926" s="345" t="s">
        <v>374</v>
      </c>
      <c r="F926" s="345" t="s">
        <v>375</v>
      </c>
      <c r="G926" s="346" t="s">
        <v>376</v>
      </c>
      <c r="H926" s="339" t="s">
        <v>14</v>
      </c>
      <c r="I926" s="345" t="s">
        <v>61</v>
      </c>
      <c r="J926" s="316">
        <v>41810.616666666669</v>
      </c>
      <c r="K926" s="347"/>
      <c r="L926" s="347" t="s">
        <v>378</v>
      </c>
      <c r="M926" s="348" t="s">
        <v>378</v>
      </c>
      <c r="N926" s="348" t="s">
        <v>378</v>
      </c>
      <c r="O926" s="348" t="s">
        <v>177</v>
      </c>
      <c r="P926" s="349">
        <v>31.975155279503099</v>
      </c>
      <c r="Q926" s="321" t="str">
        <f t="shared" si="46"/>
        <v/>
      </c>
      <c r="R926" s="318">
        <f t="shared" si="47"/>
        <v>41810</v>
      </c>
      <c r="S926" s="318" t="str">
        <f t="shared" si="48"/>
        <v/>
      </c>
    </row>
    <row r="927" spans="3:19" ht="27.75" customHeight="1">
      <c r="C927" s="345" t="s">
        <v>98</v>
      </c>
      <c r="D927" s="345" t="s">
        <v>373</v>
      </c>
      <c r="E927" s="345" t="s">
        <v>374</v>
      </c>
      <c r="F927" s="345" t="s">
        <v>375</v>
      </c>
      <c r="G927" s="346" t="s">
        <v>376</v>
      </c>
      <c r="H927" s="345" t="s">
        <v>5</v>
      </c>
      <c r="I927" s="345" t="s">
        <v>61</v>
      </c>
      <c r="J927" s="316">
        <v>41810.609722222223</v>
      </c>
      <c r="K927" s="347">
        <v>41815.609722222223</v>
      </c>
      <c r="L927" s="347" t="s">
        <v>377</v>
      </c>
      <c r="M927" s="348" t="s">
        <v>378</v>
      </c>
      <c r="N927" s="348" t="s">
        <v>378</v>
      </c>
      <c r="O927" s="348" t="s">
        <v>175</v>
      </c>
      <c r="P927" s="349">
        <v>32.0079051383399</v>
      </c>
      <c r="Q927" s="321">
        <f t="shared" si="46"/>
        <v>5</v>
      </c>
      <c r="R927" s="318">
        <f t="shared" si="47"/>
        <v>41810</v>
      </c>
      <c r="S927" s="318">
        <f t="shared" si="48"/>
        <v>41815</v>
      </c>
    </row>
    <row r="928" spans="3:19" ht="27.75" customHeight="1">
      <c r="C928" s="345" t="s">
        <v>98</v>
      </c>
      <c r="D928" s="345" t="s">
        <v>373</v>
      </c>
      <c r="E928" s="345" t="s">
        <v>374</v>
      </c>
      <c r="F928" s="345" t="s">
        <v>375</v>
      </c>
      <c r="G928" s="346" t="s">
        <v>376</v>
      </c>
      <c r="H928" s="345" t="s">
        <v>5</v>
      </c>
      <c r="I928" s="345" t="s">
        <v>61</v>
      </c>
      <c r="J928" s="316">
        <v>41810.595138888886</v>
      </c>
      <c r="K928" s="347">
        <v>41818.595138888886</v>
      </c>
      <c r="L928" s="347" t="s">
        <v>377</v>
      </c>
      <c r="M928" s="348" t="s">
        <v>378</v>
      </c>
      <c r="N928" s="348" t="s">
        <v>378</v>
      </c>
      <c r="O928" s="348" t="s">
        <v>175</v>
      </c>
      <c r="P928" s="349">
        <v>32.040654997176702</v>
      </c>
      <c r="Q928" s="321">
        <f t="shared" si="46"/>
        <v>8</v>
      </c>
      <c r="R928" s="318">
        <f t="shared" si="47"/>
        <v>41810</v>
      </c>
      <c r="S928" s="318">
        <f t="shared" si="48"/>
        <v>41818</v>
      </c>
    </row>
    <row r="929" spans="3:19" ht="27.75" customHeight="1">
      <c r="C929" s="345" t="s">
        <v>98</v>
      </c>
      <c r="D929" s="345" t="s">
        <v>373</v>
      </c>
      <c r="E929" s="345" t="s">
        <v>374</v>
      </c>
      <c r="F929" s="345" t="s">
        <v>375</v>
      </c>
      <c r="G929" s="346" t="s">
        <v>376</v>
      </c>
      <c r="H929" s="339" t="s">
        <v>14</v>
      </c>
      <c r="I929" s="345" t="s">
        <v>60</v>
      </c>
      <c r="J929" s="316">
        <v>41810.550694444442</v>
      </c>
      <c r="K929" s="347"/>
      <c r="L929" s="347" t="s">
        <v>377</v>
      </c>
      <c r="M929" s="348" t="s">
        <v>378</v>
      </c>
      <c r="N929" s="348" t="s">
        <v>400</v>
      </c>
      <c r="O929" s="348" t="s">
        <v>175</v>
      </c>
      <c r="P929" s="349">
        <v>32.073404856013497</v>
      </c>
      <c r="Q929" s="321" t="str">
        <f t="shared" si="46"/>
        <v/>
      </c>
      <c r="R929" s="318">
        <f t="shared" si="47"/>
        <v>41810</v>
      </c>
      <c r="S929" s="318" t="str">
        <f t="shared" si="48"/>
        <v/>
      </c>
    </row>
    <row r="930" spans="3:19" ht="27.75" customHeight="1">
      <c r="C930" s="345" t="s">
        <v>98</v>
      </c>
      <c r="D930" s="345" t="s">
        <v>373</v>
      </c>
      <c r="E930" s="345" t="s">
        <v>374</v>
      </c>
      <c r="F930" s="345" t="s">
        <v>375</v>
      </c>
      <c r="G930" s="346" t="s">
        <v>376</v>
      </c>
      <c r="H930" s="339" t="s">
        <v>14</v>
      </c>
      <c r="I930" s="345" t="s">
        <v>61</v>
      </c>
      <c r="J930" s="316">
        <v>41810.547222222223</v>
      </c>
      <c r="K930" s="347"/>
      <c r="L930" s="347" t="s">
        <v>377</v>
      </c>
      <c r="M930" s="348" t="s">
        <v>378</v>
      </c>
      <c r="N930" s="348" t="s">
        <v>378</v>
      </c>
      <c r="O930" s="348" t="s">
        <v>175</v>
      </c>
      <c r="P930" s="349">
        <v>32.106154714850398</v>
      </c>
      <c r="Q930" s="321" t="str">
        <f t="shared" si="46"/>
        <v/>
      </c>
      <c r="R930" s="318">
        <f t="shared" si="47"/>
        <v>41810</v>
      </c>
      <c r="S930" s="318" t="str">
        <f t="shared" si="48"/>
        <v/>
      </c>
    </row>
    <row r="931" spans="3:19" ht="27.75" customHeight="1">
      <c r="C931" s="345" t="s">
        <v>98</v>
      </c>
      <c r="D931" s="345" t="s">
        <v>373</v>
      </c>
      <c r="E931" s="345" t="s">
        <v>374</v>
      </c>
      <c r="F931" s="345" t="s">
        <v>375</v>
      </c>
      <c r="G931" s="346" t="s">
        <v>376</v>
      </c>
      <c r="H931" s="345" t="s">
        <v>5</v>
      </c>
      <c r="I931" s="345" t="s">
        <v>61</v>
      </c>
      <c r="J931" s="316">
        <v>41810.543055555558</v>
      </c>
      <c r="K931" s="347">
        <v>41818.543055555558</v>
      </c>
      <c r="L931" s="347" t="s">
        <v>378</v>
      </c>
      <c r="M931" s="348" t="s">
        <v>378</v>
      </c>
      <c r="N931" s="348" t="s">
        <v>378</v>
      </c>
      <c r="O931" s="348" t="s">
        <v>175</v>
      </c>
      <c r="P931" s="349">
        <v>32.138904573687199</v>
      </c>
      <c r="Q931" s="321">
        <f t="shared" si="46"/>
        <v>8</v>
      </c>
      <c r="R931" s="318">
        <f t="shared" si="47"/>
        <v>41810</v>
      </c>
      <c r="S931" s="318">
        <f t="shared" si="48"/>
        <v>41818</v>
      </c>
    </row>
    <row r="932" spans="3:19" ht="27.75" customHeight="1">
      <c r="C932" s="345" t="s">
        <v>98</v>
      </c>
      <c r="D932" s="345" t="s">
        <v>373</v>
      </c>
      <c r="E932" s="345" t="s">
        <v>374</v>
      </c>
      <c r="F932" s="345" t="s">
        <v>375</v>
      </c>
      <c r="G932" s="346" t="s">
        <v>376</v>
      </c>
      <c r="H932" s="339" t="s">
        <v>14</v>
      </c>
      <c r="I932" s="345" t="s">
        <v>61</v>
      </c>
      <c r="J932" s="316">
        <v>41810.541666666664</v>
      </c>
      <c r="K932" s="347"/>
      <c r="L932" s="347" t="s">
        <v>378</v>
      </c>
      <c r="M932" s="348" t="s">
        <v>378</v>
      </c>
      <c r="N932" s="348" t="s">
        <v>378</v>
      </c>
      <c r="O932" s="348" t="s">
        <v>175</v>
      </c>
      <c r="P932" s="349">
        <v>32.171654432524001</v>
      </c>
      <c r="Q932" s="321" t="str">
        <f t="shared" si="46"/>
        <v/>
      </c>
      <c r="R932" s="318">
        <f t="shared" si="47"/>
        <v>41810</v>
      </c>
      <c r="S932" s="318" t="str">
        <f t="shared" si="48"/>
        <v/>
      </c>
    </row>
    <row r="933" spans="3:19" ht="27.75" customHeight="1">
      <c r="C933" s="345" t="s">
        <v>98</v>
      </c>
      <c r="D933" s="345" t="s">
        <v>373</v>
      </c>
      <c r="E933" s="345" t="s">
        <v>374</v>
      </c>
      <c r="F933" s="345" t="s">
        <v>375</v>
      </c>
      <c r="G933" s="346" t="s">
        <v>376</v>
      </c>
      <c r="H933" s="339" t="s">
        <v>14</v>
      </c>
      <c r="I933" s="345" t="s">
        <v>61</v>
      </c>
      <c r="J933" s="316">
        <v>41810.540277777778</v>
      </c>
      <c r="K933" s="347"/>
      <c r="L933" s="347" t="s">
        <v>378</v>
      </c>
      <c r="M933" s="348" t="s">
        <v>378</v>
      </c>
      <c r="N933" s="348" t="s">
        <v>378</v>
      </c>
      <c r="O933" s="348" t="s">
        <v>175</v>
      </c>
      <c r="P933" s="349">
        <v>32.204404291360802</v>
      </c>
      <c r="Q933" s="321" t="str">
        <f t="shared" si="46"/>
        <v/>
      </c>
      <c r="R933" s="318">
        <f t="shared" si="47"/>
        <v>41810</v>
      </c>
      <c r="S933" s="318" t="str">
        <f t="shared" si="48"/>
        <v/>
      </c>
    </row>
    <row r="934" spans="3:19" ht="27.75" customHeight="1">
      <c r="C934" s="345" t="s">
        <v>98</v>
      </c>
      <c r="D934" s="345" t="s">
        <v>373</v>
      </c>
      <c r="E934" s="345" t="s">
        <v>374</v>
      </c>
      <c r="F934" s="345" t="s">
        <v>375</v>
      </c>
      <c r="G934" s="346" t="s">
        <v>376</v>
      </c>
      <c r="H934" s="345" t="s">
        <v>5</v>
      </c>
      <c r="I934" s="345" t="s">
        <v>61</v>
      </c>
      <c r="J934" s="316">
        <v>41810.536111111112</v>
      </c>
      <c r="K934" s="347">
        <v>41814.536111111112</v>
      </c>
      <c r="L934" s="347" t="s">
        <v>377</v>
      </c>
      <c r="M934" s="348" t="s">
        <v>378</v>
      </c>
      <c r="N934" s="348" t="s">
        <v>378</v>
      </c>
      <c r="O934" s="348" t="s">
        <v>175</v>
      </c>
      <c r="P934" s="349">
        <v>32.237154150197597</v>
      </c>
      <c r="Q934" s="321">
        <f t="shared" si="46"/>
        <v>4</v>
      </c>
      <c r="R934" s="318">
        <f t="shared" si="47"/>
        <v>41810</v>
      </c>
      <c r="S934" s="318">
        <f t="shared" si="48"/>
        <v>41814</v>
      </c>
    </row>
    <row r="935" spans="3:19" ht="27.75" customHeight="1">
      <c r="C935" s="345" t="s">
        <v>98</v>
      </c>
      <c r="D935" s="345" t="s">
        <v>373</v>
      </c>
      <c r="E935" s="345" t="s">
        <v>374</v>
      </c>
      <c r="F935" s="345" t="s">
        <v>375</v>
      </c>
      <c r="G935" s="346" t="s">
        <v>376</v>
      </c>
      <c r="H935" s="339" t="s">
        <v>14</v>
      </c>
      <c r="I935" s="345" t="s">
        <v>60</v>
      </c>
      <c r="J935" s="316">
        <v>41810.529861111114</v>
      </c>
      <c r="K935" s="347"/>
      <c r="L935" s="347" t="s">
        <v>377</v>
      </c>
      <c r="M935" s="348" t="s">
        <v>378</v>
      </c>
      <c r="N935" s="348" t="s">
        <v>378</v>
      </c>
      <c r="O935" s="348" t="s">
        <v>175</v>
      </c>
      <c r="P935" s="349">
        <v>32.269904009034398</v>
      </c>
      <c r="Q935" s="321" t="str">
        <f t="shared" si="46"/>
        <v/>
      </c>
      <c r="R935" s="318">
        <f t="shared" si="47"/>
        <v>41810</v>
      </c>
      <c r="S935" s="318" t="str">
        <f t="shared" si="48"/>
        <v/>
      </c>
    </row>
    <row r="936" spans="3:19" ht="27.75" customHeight="1">
      <c r="C936" s="345" t="s">
        <v>98</v>
      </c>
      <c r="D936" s="345" t="s">
        <v>373</v>
      </c>
      <c r="E936" s="345" t="s">
        <v>374</v>
      </c>
      <c r="F936" s="345" t="s">
        <v>375</v>
      </c>
      <c r="G936" s="346" t="s">
        <v>376</v>
      </c>
      <c r="H936" s="339" t="s">
        <v>14</v>
      </c>
      <c r="I936" s="345" t="s">
        <v>61</v>
      </c>
      <c r="J936" s="316">
        <v>41810.522916666669</v>
      </c>
      <c r="K936" s="347"/>
      <c r="L936" s="347" t="s">
        <v>377</v>
      </c>
      <c r="M936" s="348" t="s">
        <v>378</v>
      </c>
      <c r="N936" s="348" t="s">
        <v>378</v>
      </c>
      <c r="O936" s="348" t="s">
        <v>175</v>
      </c>
      <c r="P936" s="349">
        <v>32.3026538678712</v>
      </c>
      <c r="Q936" s="321" t="str">
        <f t="shared" si="46"/>
        <v/>
      </c>
      <c r="R936" s="318">
        <f t="shared" si="47"/>
        <v>41810</v>
      </c>
      <c r="S936" s="318" t="str">
        <f t="shared" si="48"/>
        <v/>
      </c>
    </row>
    <row r="937" spans="3:19" ht="27.75" customHeight="1">
      <c r="C937" s="345" t="s">
        <v>98</v>
      </c>
      <c r="D937" s="345" t="s">
        <v>373</v>
      </c>
      <c r="E937" s="345" t="s">
        <v>374</v>
      </c>
      <c r="F937" s="345" t="s">
        <v>375</v>
      </c>
      <c r="G937" s="346" t="s">
        <v>376</v>
      </c>
      <c r="H937" s="345" t="s">
        <v>5</v>
      </c>
      <c r="I937" s="345" t="s">
        <v>61</v>
      </c>
      <c r="J937" s="316">
        <v>41810.51666666667</v>
      </c>
      <c r="K937" s="347">
        <v>41816.51666666667</v>
      </c>
      <c r="L937" s="347" t="s">
        <v>188</v>
      </c>
      <c r="M937" s="348" t="s">
        <v>378</v>
      </c>
      <c r="N937" s="348" t="s">
        <v>378</v>
      </c>
      <c r="O937" s="348" t="s">
        <v>175</v>
      </c>
      <c r="P937" s="349">
        <v>32.335403726708101</v>
      </c>
      <c r="Q937" s="321">
        <f t="shared" si="46"/>
        <v>6</v>
      </c>
      <c r="R937" s="318">
        <f t="shared" si="47"/>
        <v>41810</v>
      </c>
      <c r="S937" s="318">
        <f t="shared" si="48"/>
        <v>41816</v>
      </c>
    </row>
    <row r="938" spans="3:19" ht="27.75" customHeight="1">
      <c r="C938" s="345" t="s">
        <v>98</v>
      </c>
      <c r="D938" s="345" t="s">
        <v>373</v>
      </c>
      <c r="E938" s="345" t="s">
        <v>374</v>
      </c>
      <c r="F938" s="345" t="s">
        <v>375</v>
      </c>
      <c r="G938" s="346" t="s">
        <v>376</v>
      </c>
      <c r="H938" s="345" t="s">
        <v>5</v>
      </c>
      <c r="I938" s="345" t="s">
        <v>59</v>
      </c>
      <c r="J938" s="316">
        <v>41810.51666666667</v>
      </c>
      <c r="K938" s="347">
        <v>41820.51666666667</v>
      </c>
      <c r="L938" s="347" t="s">
        <v>188</v>
      </c>
      <c r="M938" s="348" t="s">
        <v>382</v>
      </c>
      <c r="N938" s="348" t="s">
        <v>382</v>
      </c>
      <c r="O938" s="348" t="s">
        <v>177</v>
      </c>
      <c r="P938" s="349">
        <v>32.368153585544903</v>
      </c>
      <c r="Q938" s="321">
        <f t="shared" si="46"/>
        <v>10</v>
      </c>
      <c r="R938" s="318">
        <f t="shared" si="47"/>
        <v>41810</v>
      </c>
      <c r="S938" s="318">
        <f t="shared" si="48"/>
        <v>41820</v>
      </c>
    </row>
    <row r="939" spans="3:19" ht="27.75" customHeight="1">
      <c r="C939" s="345" t="s">
        <v>98</v>
      </c>
      <c r="D939" s="345" t="s">
        <v>373</v>
      </c>
      <c r="E939" s="345" t="s">
        <v>374</v>
      </c>
      <c r="F939" s="345" t="s">
        <v>375</v>
      </c>
      <c r="G939" s="346" t="s">
        <v>376</v>
      </c>
      <c r="H939" s="339" t="s">
        <v>14</v>
      </c>
      <c r="I939" s="345" t="s">
        <v>61</v>
      </c>
      <c r="J939" s="316">
        <v>41810.51458333333</v>
      </c>
      <c r="K939" s="347"/>
      <c r="L939" s="347" t="s">
        <v>377</v>
      </c>
      <c r="M939" s="348" t="s">
        <v>378</v>
      </c>
      <c r="N939" s="348" t="s">
        <v>378</v>
      </c>
      <c r="O939" s="348" t="s">
        <v>177</v>
      </c>
      <c r="P939" s="349">
        <v>32.400903444381697</v>
      </c>
      <c r="Q939" s="321" t="str">
        <f t="shared" si="46"/>
        <v/>
      </c>
      <c r="R939" s="318">
        <f t="shared" si="47"/>
        <v>41810</v>
      </c>
      <c r="S939" s="318" t="str">
        <f t="shared" si="48"/>
        <v/>
      </c>
    </row>
    <row r="940" spans="3:19" ht="27.75" customHeight="1">
      <c r="C940" s="345" t="s">
        <v>98</v>
      </c>
      <c r="D940" s="345" t="s">
        <v>373</v>
      </c>
      <c r="E940" s="345" t="s">
        <v>374</v>
      </c>
      <c r="F940" s="345" t="s">
        <v>375</v>
      </c>
      <c r="G940" s="346" t="s">
        <v>376</v>
      </c>
      <c r="H940" s="339" t="s">
        <v>14</v>
      </c>
      <c r="I940" s="345" t="s">
        <v>60</v>
      </c>
      <c r="J940" s="316">
        <v>41810.513194444444</v>
      </c>
      <c r="K940" s="347"/>
      <c r="L940" s="347" t="s">
        <v>188</v>
      </c>
      <c r="M940" s="348" t="s">
        <v>378</v>
      </c>
      <c r="N940" s="348" t="s">
        <v>378</v>
      </c>
      <c r="O940" s="348" t="s">
        <v>175</v>
      </c>
      <c r="P940" s="349">
        <v>32.433653303218499</v>
      </c>
      <c r="Q940" s="321" t="str">
        <f t="shared" si="46"/>
        <v/>
      </c>
      <c r="R940" s="318">
        <f t="shared" si="47"/>
        <v>41810</v>
      </c>
      <c r="S940" s="318" t="str">
        <f t="shared" si="48"/>
        <v/>
      </c>
    </row>
    <row r="941" spans="3:19" ht="27.75" customHeight="1">
      <c r="C941" s="345" t="s">
        <v>98</v>
      </c>
      <c r="D941" s="345" t="s">
        <v>373</v>
      </c>
      <c r="E941" s="345" t="s">
        <v>374</v>
      </c>
      <c r="F941" s="345" t="s">
        <v>375</v>
      </c>
      <c r="G941" s="346" t="s">
        <v>376</v>
      </c>
      <c r="H941" s="345" t="s">
        <v>5</v>
      </c>
      <c r="I941" s="345" t="s">
        <v>59</v>
      </c>
      <c r="J941" s="316">
        <v>41810.512499999997</v>
      </c>
      <c r="K941" s="347">
        <v>41818.512499999997</v>
      </c>
      <c r="L941" s="347" t="s">
        <v>378</v>
      </c>
      <c r="M941" s="348" t="s">
        <v>378</v>
      </c>
      <c r="N941" s="348" t="s">
        <v>378</v>
      </c>
      <c r="O941" s="348" t="s">
        <v>175</v>
      </c>
      <c r="P941" s="349">
        <v>32.4664031620553</v>
      </c>
      <c r="Q941" s="321">
        <f t="shared" si="46"/>
        <v>8</v>
      </c>
      <c r="R941" s="318">
        <f t="shared" si="47"/>
        <v>41810</v>
      </c>
      <c r="S941" s="318">
        <f t="shared" si="48"/>
        <v>41818</v>
      </c>
    </row>
    <row r="942" spans="3:19" ht="27.75" customHeight="1">
      <c r="C942" s="345" t="s">
        <v>98</v>
      </c>
      <c r="D942" s="345" t="s">
        <v>373</v>
      </c>
      <c r="E942" s="345" t="s">
        <v>374</v>
      </c>
      <c r="F942" s="345" t="s">
        <v>375</v>
      </c>
      <c r="G942" s="346" t="s">
        <v>376</v>
      </c>
      <c r="H942" s="345" t="s">
        <v>5</v>
      </c>
      <c r="I942" s="345" t="s">
        <v>61</v>
      </c>
      <c r="J942" s="316">
        <v>41810.504861111112</v>
      </c>
      <c r="K942" s="347">
        <v>41813.504861111112</v>
      </c>
      <c r="L942" s="347" t="s">
        <v>188</v>
      </c>
      <c r="M942" s="348" t="s">
        <v>378</v>
      </c>
      <c r="N942" s="348" t="s">
        <v>378</v>
      </c>
      <c r="O942" s="348" t="s">
        <v>175</v>
      </c>
      <c r="P942" s="349">
        <v>32.499153020892102</v>
      </c>
      <c r="Q942" s="321">
        <f t="shared" si="46"/>
        <v>3</v>
      </c>
      <c r="R942" s="318">
        <f t="shared" si="47"/>
        <v>41810</v>
      </c>
      <c r="S942" s="318">
        <f t="shared" si="48"/>
        <v>41813</v>
      </c>
    </row>
    <row r="943" spans="3:19" ht="27.75" customHeight="1">
      <c r="C943" s="345" t="s">
        <v>98</v>
      </c>
      <c r="D943" s="345" t="s">
        <v>373</v>
      </c>
      <c r="E943" s="345" t="s">
        <v>374</v>
      </c>
      <c r="F943" s="345" t="s">
        <v>375</v>
      </c>
      <c r="G943" s="346" t="s">
        <v>376</v>
      </c>
      <c r="H943" s="339" t="s">
        <v>14</v>
      </c>
      <c r="I943" s="345" t="s">
        <v>60</v>
      </c>
      <c r="J943" s="316">
        <v>41810.49722222222</v>
      </c>
      <c r="K943" s="347"/>
      <c r="L943" s="347" t="s">
        <v>378</v>
      </c>
      <c r="M943" s="348" t="s">
        <v>378</v>
      </c>
      <c r="N943" s="348" t="s">
        <v>378</v>
      </c>
      <c r="O943" s="348" t="s">
        <v>177</v>
      </c>
      <c r="P943" s="349">
        <v>32.531902879729003</v>
      </c>
      <c r="Q943" s="321" t="str">
        <f t="shared" si="46"/>
        <v/>
      </c>
      <c r="R943" s="318">
        <f t="shared" si="47"/>
        <v>41810</v>
      </c>
      <c r="S943" s="318" t="str">
        <f t="shared" si="48"/>
        <v/>
      </c>
    </row>
    <row r="944" spans="3:19" ht="27.75" customHeight="1">
      <c r="C944" s="345" t="s">
        <v>98</v>
      </c>
      <c r="D944" s="345" t="s">
        <v>373</v>
      </c>
      <c r="E944" s="345" t="s">
        <v>374</v>
      </c>
      <c r="F944" s="345" t="s">
        <v>375</v>
      </c>
      <c r="G944" s="346" t="s">
        <v>376</v>
      </c>
      <c r="H944" s="345" t="s">
        <v>5</v>
      </c>
      <c r="I944" s="345" t="s">
        <v>60</v>
      </c>
      <c r="J944" s="316">
        <v>41810.486805555556</v>
      </c>
      <c r="K944" s="347">
        <v>41815.486805555556</v>
      </c>
      <c r="L944" s="347" t="s">
        <v>378</v>
      </c>
      <c r="M944" s="348" t="s">
        <v>378</v>
      </c>
      <c r="N944" s="348" t="s">
        <v>378</v>
      </c>
      <c r="O944" s="348" t="s">
        <v>177</v>
      </c>
      <c r="P944" s="349">
        <v>32.564652738565798</v>
      </c>
      <c r="Q944" s="321">
        <f t="shared" si="46"/>
        <v>5</v>
      </c>
      <c r="R944" s="318">
        <f t="shared" si="47"/>
        <v>41810</v>
      </c>
      <c r="S944" s="318">
        <f t="shared" si="48"/>
        <v>41815</v>
      </c>
    </row>
    <row r="945" spans="3:19" ht="27.75" customHeight="1">
      <c r="C945" s="345" t="s">
        <v>98</v>
      </c>
      <c r="D945" s="345" t="s">
        <v>373</v>
      </c>
      <c r="E945" s="345" t="s">
        <v>374</v>
      </c>
      <c r="F945" s="345" t="s">
        <v>375</v>
      </c>
      <c r="G945" s="346" t="s">
        <v>376</v>
      </c>
      <c r="H945" s="345" t="s">
        <v>5</v>
      </c>
      <c r="I945" s="345" t="s">
        <v>59</v>
      </c>
      <c r="J945" s="316">
        <v>41810.48333333333</v>
      </c>
      <c r="K945" s="347">
        <v>41813.48333333333</v>
      </c>
      <c r="L945" s="347" t="s">
        <v>188</v>
      </c>
      <c r="M945" s="348" t="s">
        <v>382</v>
      </c>
      <c r="N945" s="348" t="s">
        <v>382</v>
      </c>
      <c r="O945" s="348" t="s">
        <v>177</v>
      </c>
      <c r="P945" s="349">
        <v>32.597402597402599</v>
      </c>
      <c r="Q945" s="321">
        <f t="shared" si="46"/>
        <v>3</v>
      </c>
      <c r="R945" s="318">
        <f t="shared" si="47"/>
        <v>41810</v>
      </c>
      <c r="S945" s="318">
        <f t="shared" si="48"/>
        <v>41813</v>
      </c>
    </row>
    <row r="946" spans="3:19" ht="27.75" customHeight="1">
      <c r="C946" s="345" t="s">
        <v>98</v>
      </c>
      <c r="D946" s="345" t="s">
        <v>373</v>
      </c>
      <c r="E946" s="345" t="s">
        <v>374</v>
      </c>
      <c r="F946" s="345" t="s">
        <v>375</v>
      </c>
      <c r="G946" s="346" t="s">
        <v>376</v>
      </c>
      <c r="H946" s="339" t="s">
        <v>14</v>
      </c>
      <c r="I946" s="345" t="s">
        <v>60</v>
      </c>
      <c r="J946" s="316">
        <v>41810.482638888891</v>
      </c>
      <c r="K946" s="347"/>
      <c r="L946" s="347" t="s">
        <v>378</v>
      </c>
      <c r="M946" s="348" t="s">
        <v>378</v>
      </c>
      <c r="N946" s="348" t="s">
        <v>378</v>
      </c>
      <c r="O946" s="348" t="s">
        <v>177</v>
      </c>
      <c r="P946" s="349">
        <v>32.630152456239401</v>
      </c>
      <c r="Q946" s="321" t="str">
        <f t="shared" si="46"/>
        <v/>
      </c>
      <c r="R946" s="318">
        <f t="shared" si="47"/>
        <v>41810</v>
      </c>
      <c r="S946" s="318" t="str">
        <f t="shared" si="48"/>
        <v/>
      </c>
    </row>
    <row r="947" spans="3:19" ht="27.75" customHeight="1">
      <c r="C947" s="345" t="s">
        <v>98</v>
      </c>
      <c r="D947" s="345" t="s">
        <v>373</v>
      </c>
      <c r="E947" s="345" t="s">
        <v>374</v>
      </c>
      <c r="F947" s="345" t="s">
        <v>375</v>
      </c>
      <c r="G947" s="346" t="s">
        <v>376</v>
      </c>
      <c r="H947" s="345" t="s">
        <v>5</v>
      </c>
      <c r="I947" s="345" t="s">
        <v>61</v>
      </c>
      <c r="J947" s="316">
        <v>41810.478472222225</v>
      </c>
      <c r="K947" s="347">
        <v>41818.478472222225</v>
      </c>
      <c r="L947" s="347" t="s">
        <v>188</v>
      </c>
      <c r="M947" s="348" t="s">
        <v>382</v>
      </c>
      <c r="N947" s="348" t="s">
        <v>382</v>
      </c>
      <c r="O947" s="348" t="s">
        <v>177</v>
      </c>
      <c r="P947" s="349">
        <v>32.662902315076202</v>
      </c>
      <c r="Q947" s="321">
        <f t="shared" si="46"/>
        <v>8</v>
      </c>
      <c r="R947" s="318">
        <f t="shared" si="47"/>
        <v>41810</v>
      </c>
      <c r="S947" s="318">
        <f t="shared" si="48"/>
        <v>41818</v>
      </c>
    </row>
    <row r="948" spans="3:19" ht="27.75" customHeight="1">
      <c r="C948" s="345" t="s">
        <v>98</v>
      </c>
      <c r="D948" s="345" t="s">
        <v>373</v>
      </c>
      <c r="E948" s="345" t="s">
        <v>374</v>
      </c>
      <c r="F948" s="345" t="s">
        <v>375</v>
      </c>
      <c r="G948" s="346" t="s">
        <v>376</v>
      </c>
      <c r="H948" s="345" t="s">
        <v>383</v>
      </c>
      <c r="I948" s="345" t="s">
        <v>61</v>
      </c>
      <c r="J948" s="316">
        <v>41810.477777777778</v>
      </c>
      <c r="K948" s="347"/>
      <c r="L948" s="347" t="s">
        <v>378</v>
      </c>
      <c r="M948" s="348" t="s">
        <v>378</v>
      </c>
      <c r="N948" s="348" t="s">
        <v>378</v>
      </c>
      <c r="O948" s="348" t="s">
        <v>177</v>
      </c>
      <c r="P948" s="349">
        <v>32.695652173912997</v>
      </c>
      <c r="Q948" s="321" t="str">
        <f t="shared" si="46"/>
        <v/>
      </c>
      <c r="R948" s="318">
        <f t="shared" si="47"/>
        <v>41810</v>
      </c>
      <c r="S948" s="318" t="str">
        <f t="shared" si="48"/>
        <v/>
      </c>
    </row>
    <row r="949" spans="3:19" ht="27.75" customHeight="1">
      <c r="C949" s="345" t="s">
        <v>98</v>
      </c>
      <c r="D949" s="345" t="s">
        <v>373</v>
      </c>
      <c r="E949" s="345" t="s">
        <v>374</v>
      </c>
      <c r="F949" s="345" t="s">
        <v>375</v>
      </c>
      <c r="G949" s="346" t="s">
        <v>376</v>
      </c>
      <c r="H949" s="339" t="s">
        <v>14</v>
      </c>
      <c r="I949" s="345" t="s">
        <v>60</v>
      </c>
      <c r="J949" s="316">
        <v>41810.474305555559</v>
      </c>
      <c r="K949" s="347"/>
      <c r="L949" s="347" t="s">
        <v>188</v>
      </c>
      <c r="M949" s="348" t="s">
        <v>382</v>
      </c>
      <c r="N949" s="348" t="s">
        <v>382</v>
      </c>
      <c r="O949" s="348" t="s">
        <v>175</v>
      </c>
      <c r="P949" s="349">
        <v>32.728402032749798</v>
      </c>
      <c r="Q949" s="321" t="str">
        <f t="shared" si="46"/>
        <v/>
      </c>
      <c r="R949" s="318">
        <f t="shared" si="47"/>
        <v>41810</v>
      </c>
      <c r="S949" s="318" t="str">
        <f t="shared" si="48"/>
        <v/>
      </c>
    </row>
    <row r="950" spans="3:19" ht="27.75" customHeight="1">
      <c r="C950" s="345" t="s">
        <v>98</v>
      </c>
      <c r="D950" s="345" t="s">
        <v>373</v>
      </c>
      <c r="E950" s="345" t="s">
        <v>374</v>
      </c>
      <c r="F950" s="345" t="s">
        <v>375</v>
      </c>
      <c r="G950" s="346" t="s">
        <v>376</v>
      </c>
      <c r="H950" s="339" t="s">
        <v>14</v>
      </c>
      <c r="I950" s="345" t="s">
        <v>61</v>
      </c>
      <c r="J950" s="316">
        <v>41810.457638888889</v>
      </c>
      <c r="K950" s="347"/>
      <c r="L950" s="347" t="s">
        <v>188</v>
      </c>
      <c r="M950" s="348" t="s">
        <v>382</v>
      </c>
      <c r="N950" s="348" t="s">
        <v>382</v>
      </c>
      <c r="O950" s="348" t="s">
        <v>175</v>
      </c>
      <c r="P950" s="349">
        <v>32.761151891586699</v>
      </c>
      <c r="Q950" s="321" t="str">
        <f t="shared" si="46"/>
        <v/>
      </c>
      <c r="R950" s="318">
        <f t="shared" si="47"/>
        <v>41810</v>
      </c>
      <c r="S950" s="318" t="str">
        <f t="shared" si="48"/>
        <v/>
      </c>
    </row>
    <row r="951" spans="3:19" ht="27.75" customHeight="1">
      <c r="C951" s="345" t="s">
        <v>98</v>
      </c>
      <c r="D951" s="345" t="s">
        <v>373</v>
      </c>
      <c r="E951" s="345" t="s">
        <v>374</v>
      </c>
      <c r="F951" s="345" t="s">
        <v>375</v>
      </c>
      <c r="G951" s="346" t="s">
        <v>376</v>
      </c>
      <c r="H951" s="339" t="s">
        <v>14</v>
      </c>
      <c r="I951" s="345" t="s">
        <v>60</v>
      </c>
      <c r="J951" s="316">
        <v>41810.444444444445</v>
      </c>
      <c r="K951" s="347"/>
      <c r="L951" s="347" t="s">
        <v>188</v>
      </c>
      <c r="M951" s="348" t="s">
        <v>382</v>
      </c>
      <c r="N951" s="348" t="s">
        <v>382</v>
      </c>
      <c r="O951" s="348" t="s">
        <v>175</v>
      </c>
      <c r="P951" s="349">
        <v>32.793901750423501</v>
      </c>
      <c r="Q951" s="321" t="str">
        <f t="shared" si="46"/>
        <v/>
      </c>
      <c r="R951" s="318">
        <f t="shared" si="47"/>
        <v>41810</v>
      </c>
      <c r="S951" s="318" t="str">
        <f t="shared" si="48"/>
        <v/>
      </c>
    </row>
    <row r="952" spans="3:19" ht="27.75" customHeight="1">
      <c r="C952" s="345" t="s">
        <v>98</v>
      </c>
      <c r="D952" s="345" t="s">
        <v>373</v>
      </c>
      <c r="E952" s="345" t="s">
        <v>374</v>
      </c>
      <c r="F952" s="345" t="s">
        <v>375</v>
      </c>
      <c r="G952" s="346" t="s">
        <v>376</v>
      </c>
      <c r="H952" s="345" t="s">
        <v>5</v>
      </c>
      <c r="I952" s="345" t="s">
        <v>61</v>
      </c>
      <c r="J952" s="316">
        <v>41810.442361111112</v>
      </c>
      <c r="K952" s="347">
        <v>41819.442361111112</v>
      </c>
      <c r="L952" s="347" t="s">
        <v>188</v>
      </c>
      <c r="M952" s="348" t="s">
        <v>382</v>
      </c>
      <c r="N952" s="348" t="s">
        <v>382</v>
      </c>
      <c r="O952" s="348" t="s">
        <v>175</v>
      </c>
      <c r="P952" s="349">
        <v>32.826651609260303</v>
      </c>
      <c r="Q952" s="321">
        <f t="shared" si="46"/>
        <v>9</v>
      </c>
      <c r="R952" s="318">
        <f t="shared" si="47"/>
        <v>41810</v>
      </c>
      <c r="S952" s="318">
        <f t="shared" si="48"/>
        <v>41819</v>
      </c>
    </row>
    <row r="953" spans="3:19" ht="27.75" customHeight="1">
      <c r="C953" s="345" t="s">
        <v>98</v>
      </c>
      <c r="D953" s="345" t="s">
        <v>373</v>
      </c>
      <c r="E953" s="345" t="s">
        <v>374</v>
      </c>
      <c r="F953" s="345" t="s">
        <v>375</v>
      </c>
      <c r="G953" s="346" t="s">
        <v>376</v>
      </c>
      <c r="H953" s="339" t="s">
        <v>14</v>
      </c>
      <c r="I953" s="345" t="s">
        <v>60</v>
      </c>
      <c r="J953" s="316">
        <v>41810.44027777778</v>
      </c>
      <c r="K953" s="347"/>
      <c r="L953" s="347" t="s">
        <v>188</v>
      </c>
      <c r="M953" s="348" t="s">
        <v>382</v>
      </c>
      <c r="N953" s="348" t="s">
        <v>382</v>
      </c>
      <c r="O953" s="348" t="s">
        <v>175</v>
      </c>
      <c r="P953" s="349">
        <v>32.859401468097097</v>
      </c>
      <c r="Q953" s="321" t="str">
        <f t="shared" si="46"/>
        <v/>
      </c>
      <c r="R953" s="318">
        <f t="shared" si="47"/>
        <v>41810</v>
      </c>
      <c r="S953" s="318" t="str">
        <f t="shared" si="48"/>
        <v/>
      </c>
    </row>
    <row r="954" spans="3:19" ht="27.75" customHeight="1">
      <c r="C954" s="345" t="s">
        <v>98</v>
      </c>
      <c r="D954" s="345" t="s">
        <v>373</v>
      </c>
      <c r="E954" s="345" t="s">
        <v>374</v>
      </c>
      <c r="F954" s="345" t="s">
        <v>375</v>
      </c>
      <c r="G954" s="346" t="s">
        <v>376</v>
      </c>
      <c r="H954" s="339" t="s">
        <v>14</v>
      </c>
      <c r="I954" s="345" t="s">
        <v>61</v>
      </c>
      <c r="J954" s="316">
        <v>41810.439583333333</v>
      </c>
      <c r="K954" s="347"/>
      <c r="L954" s="347" t="s">
        <v>188</v>
      </c>
      <c r="M954" s="348" t="s">
        <v>382</v>
      </c>
      <c r="N954" s="348" t="s">
        <v>382</v>
      </c>
      <c r="O954" s="348" t="s">
        <v>175</v>
      </c>
      <c r="P954" s="349">
        <v>32.892151326933899</v>
      </c>
      <c r="Q954" s="321" t="str">
        <f t="shared" si="46"/>
        <v/>
      </c>
      <c r="R954" s="318">
        <f t="shared" si="47"/>
        <v>41810</v>
      </c>
      <c r="S954" s="318" t="str">
        <f t="shared" si="48"/>
        <v/>
      </c>
    </row>
    <row r="955" spans="3:19" ht="27.75" customHeight="1">
      <c r="C955" s="345" t="s">
        <v>98</v>
      </c>
      <c r="D955" s="345" t="s">
        <v>373</v>
      </c>
      <c r="E955" s="345" t="s">
        <v>374</v>
      </c>
      <c r="F955" s="345" t="s">
        <v>375</v>
      </c>
      <c r="G955" s="346" t="s">
        <v>376</v>
      </c>
      <c r="H955" s="345" t="s">
        <v>5</v>
      </c>
      <c r="I955" s="345" t="s">
        <v>61</v>
      </c>
      <c r="J955" s="316">
        <v>41809.779861111114</v>
      </c>
      <c r="K955" s="347">
        <v>41815.779861111114</v>
      </c>
      <c r="L955" s="347" t="s">
        <v>377</v>
      </c>
      <c r="M955" s="348" t="s">
        <v>378</v>
      </c>
      <c r="N955" s="348" t="s">
        <v>378</v>
      </c>
      <c r="O955" s="348" t="s">
        <v>175</v>
      </c>
      <c r="P955" s="349">
        <v>32.9249011857707</v>
      </c>
      <c r="Q955" s="321">
        <f t="shared" si="46"/>
        <v>6</v>
      </c>
      <c r="R955" s="318">
        <f t="shared" si="47"/>
        <v>41809</v>
      </c>
      <c r="S955" s="318">
        <f t="shared" si="48"/>
        <v>41815</v>
      </c>
    </row>
    <row r="956" spans="3:19" ht="27.75" customHeight="1">
      <c r="C956" s="345" t="s">
        <v>98</v>
      </c>
      <c r="D956" s="345" t="s">
        <v>373</v>
      </c>
      <c r="E956" s="345" t="s">
        <v>374</v>
      </c>
      <c r="F956" s="345" t="s">
        <v>375</v>
      </c>
      <c r="G956" s="346" t="s">
        <v>376</v>
      </c>
      <c r="H956" s="339" t="s">
        <v>14</v>
      </c>
      <c r="I956" s="345" t="s">
        <v>60</v>
      </c>
      <c r="J956" s="316">
        <v>41809.77847222222</v>
      </c>
      <c r="K956" s="347"/>
      <c r="L956" s="347" t="s">
        <v>188</v>
      </c>
      <c r="M956" s="348" t="s">
        <v>382</v>
      </c>
      <c r="N956" s="348" t="s">
        <v>382</v>
      </c>
      <c r="O956" s="348" t="s">
        <v>175</v>
      </c>
      <c r="P956" s="349">
        <v>32.957651044607601</v>
      </c>
      <c r="Q956" s="321" t="str">
        <f t="shared" si="46"/>
        <v/>
      </c>
      <c r="R956" s="318">
        <f t="shared" si="47"/>
        <v>41809</v>
      </c>
      <c r="S956" s="318" t="str">
        <f t="shared" si="48"/>
        <v/>
      </c>
    </row>
    <row r="957" spans="3:19" ht="27.75" customHeight="1">
      <c r="C957" s="345" t="s">
        <v>98</v>
      </c>
      <c r="D957" s="345" t="s">
        <v>373</v>
      </c>
      <c r="E957" s="345" t="s">
        <v>374</v>
      </c>
      <c r="F957" s="345" t="s">
        <v>375</v>
      </c>
      <c r="G957" s="346" t="s">
        <v>376</v>
      </c>
      <c r="H957" s="339" t="s">
        <v>14</v>
      </c>
      <c r="I957" s="345" t="s">
        <v>61</v>
      </c>
      <c r="J957" s="316">
        <v>41809.732638888891</v>
      </c>
      <c r="K957" s="347"/>
      <c r="L957" s="347" t="s">
        <v>377</v>
      </c>
      <c r="M957" s="348" t="s">
        <v>378</v>
      </c>
      <c r="N957" s="348" t="s">
        <v>378</v>
      </c>
      <c r="O957" s="348" t="s">
        <v>175</v>
      </c>
      <c r="P957" s="349">
        <v>32.990400903444403</v>
      </c>
      <c r="Q957" s="321" t="str">
        <f t="shared" si="46"/>
        <v/>
      </c>
      <c r="R957" s="318">
        <f t="shared" si="47"/>
        <v>41809</v>
      </c>
      <c r="S957" s="318" t="str">
        <f t="shared" si="48"/>
        <v/>
      </c>
    </row>
    <row r="958" spans="3:19" ht="27.75" customHeight="1">
      <c r="C958" s="345" t="s">
        <v>98</v>
      </c>
      <c r="D958" s="345" t="s">
        <v>373</v>
      </c>
      <c r="E958" s="345" t="s">
        <v>374</v>
      </c>
      <c r="F958" s="345" t="s">
        <v>375</v>
      </c>
      <c r="G958" s="346" t="s">
        <v>376</v>
      </c>
      <c r="H958" s="345" t="s">
        <v>5</v>
      </c>
      <c r="I958" s="345" t="s">
        <v>59</v>
      </c>
      <c r="J958" s="316">
        <v>41809.695833333331</v>
      </c>
      <c r="K958" s="347">
        <v>41817.695833333331</v>
      </c>
      <c r="L958" s="347" t="s">
        <v>377</v>
      </c>
      <c r="M958" s="348" t="s">
        <v>378</v>
      </c>
      <c r="N958" s="348" t="s">
        <v>378</v>
      </c>
      <c r="O958" s="348" t="s">
        <v>175</v>
      </c>
      <c r="P958" s="349">
        <v>33.023150762281198</v>
      </c>
      <c r="Q958" s="321">
        <f t="shared" si="46"/>
        <v>8</v>
      </c>
      <c r="R958" s="318">
        <f t="shared" si="47"/>
        <v>41809</v>
      </c>
      <c r="S958" s="318">
        <f t="shared" si="48"/>
        <v>41817</v>
      </c>
    </row>
    <row r="959" spans="3:19" ht="27.75" customHeight="1">
      <c r="C959" s="345" t="s">
        <v>98</v>
      </c>
      <c r="D959" s="345" t="s">
        <v>373</v>
      </c>
      <c r="E959" s="345" t="s">
        <v>374</v>
      </c>
      <c r="F959" s="345" t="s">
        <v>375</v>
      </c>
      <c r="G959" s="346" t="s">
        <v>376</v>
      </c>
      <c r="H959" s="345" t="s">
        <v>5</v>
      </c>
      <c r="I959" s="345" t="s">
        <v>60</v>
      </c>
      <c r="J959" s="316">
        <v>41809.686111111114</v>
      </c>
      <c r="K959" s="347">
        <v>41813.686111111114</v>
      </c>
      <c r="L959" s="347" t="s">
        <v>377</v>
      </c>
      <c r="M959" s="348" t="s">
        <v>378</v>
      </c>
      <c r="N959" s="348" t="s">
        <v>378</v>
      </c>
      <c r="O959" s="348" t="s">
        <v>175</v>
      </c>
      <c r="P959" s="349">
        <v>33.055900621117999</v>
      </c>
      <c r="Q959" s="321">
        <f t="shared" si="46"/>
        <v>4</v>
      </c>
      <c r="R959" s="318">
        <f t="shared" si="47"/>
        <v>41809</v>
      </c>
      <c r="S959" s="318">
        <f t="shared" si="48"/>
        <v>41813</v>
      </c>
    </row>
    <row r="960" spans="3:19" ht="27.75" customHeight="1">
      <c r="C960" s="345" t="s">
        <v>98</v>
      </c>
      <c r="D960" s="345" t="s">
        <v>373</v>
      </c>
      <c r="E960" s="345" t="s">
        <v>374</v>
      </c>
      <c r="F960" s="345" t="s">
        <v>375</v>
      </c>
      <c r="G960" s="346" t="s">
        <v>376</v>
      </c>
      <c r="H960" s="339" t="s">
        <v>14</v>
      </c>
      <c r="I960" s="345" t="s">
        <v>59</v>
      </c>
      <c r="J960" s="316">
        <v>41809.68472222222</v>
      </c>
      <c r="K960" s="347"/>
      <c r="L960" s="347" t="s">
        <v>188</v>
      </c>
      <c r="M960" s="348" t="s">
        <v>382</v>
      </c>
      <c r="N960" s="348" t="s">
        <v>382</v>
      </c>
      <c r="O960" s="348" t="s">
        <v>177</v>
      </c>
      <c r="P960" s="349">
        <v>33.088650479954801</v>
      </c>
      <c r="Q960" s="321" t="str">
        <f t="shared" si="46"/>
        <v/>
      </c>
      <c r="R960" s="318">
        <f t="shared" si="47"/>
        <v>41809</v>
      </c>
      <c r="S960" s="318" t="str">
        <f t="shared" si="48"/>
        <v/>
      </c>
    </row>
    <row r="961" spans="3:19" ht="27.75" customHeight="1">
      <c r="C961" s="345" t="s">
        <v>98</v>
      </c>
      <c r="D961" s="345" t="s">
        <v>373</v>
      </c>
      <c r="E961" s="345" t="s">
        <v>374</v>
      </c>
      <c r="F961" s="345" t="s">
        <v>375</v>
      </c>
      <c r="G961" s="346" t="s">
        <v>376</v>
      </c>
      <c r="H961" s="339" t="s">
        <v>14</v>
      </c>
      <c r="I961" s="345" t="s">
        <v>60</v>
      </c>
      <c r="J961" s="316">
        <v>41809.678472222222</v>
      </c>
      <c r="K961" s="347"/>
      <c r="L961" s="347" t="s">
        <v>188</v>
      </c>
      <c r="M961" s="348" t="s">
        <v>382</v>
      </c>
      <c r="N961" s="348" t="s">
        <v>382</v>
      </c>
      <c r="O961" s="348" t="s">
        <v>177</v>
      </c>
      <c r="P961" s="349">
        <v>33.121400338791602</v>
      </c>
      <c r="Q961" s="321" t="str">
        <f t="shared" si="46"/>
        <v/>
      </c>
      <c r="R961" s="318">
        <f t="shared" si="47"/>
        <v>41809</v>
      </c>
      <c r="S961" s="318" t="str">
        <f t="shared" si="48"/>
        <v/>
      </c>
    </row>
    <row r="962" spans="3:19" ht="27.75" customHeight="1">
      <c r="C962" s="345" t="s">
        <v>98</v>
      </c>
      <c r="D962" s="345" t="s">
        <v>373</v>
      </c>
      <c r="E962" s="345" t="s">
        <v>374</v>
      </c>
      <c r="F962" s="345" t="s">
        <v>375</v>
      </c>
      <c r="G962" s="346" t="s">
        <v>376</v>
      </c>
      <c r="H962" s="345" t="s">
        <v>140</v>
      </c>
      <c r="I962" s="345" t="s">
        <v>60</v>
      </c>
      <c r="J962" s="316">
        <v>41809.677777777775</v>
      </c>
      <c r="K962" s="347"/>
      <c r="L962" s="347" t="s">
        <v>377</v>
      </c>
      <c r="M962" s="348" t="s">
        <v>378</v>
      </c>
      <c r="N962" s="348" t="s">
        <v>378</v>
      </c>
      <c r="O962" s="348" t="s">
        <v>175</v>
      </c>
      <c r="P962" s="349">
        <v>33.154150197628397</v>
      </c>
      <c r="Q962" s="321" t="str">
        <f t="shared" si="46"/>
        <v/>
      </c>
      <c r="R962" s="318">
        <f t="shared" si="47"/>
        <v>41809</v>
      </c>
      <c r="S962" s="318" t="str">
        <f t="shared" si="48"/>
        <v/>
      </c>
    </row>
    <row r="963" spans="3:19" ht="27.75" customHeight="1">
      <c r="C963" s="345" t="s">
        <v>98</v>
      </c>
      <c r="D963" s="345" t="s">
        <v>373</v>
      </c>
      <c r="E963" s="345" t="s">
        <v>374</v>
      </c>
      <c r="F963" s="345" t="s">
        <v>375</v>
      </c>
      <c r="G963" s="346" t="s">
        <v>376</v>
      </c>
      <c r="H963" s="345" t="s">
        <v>5</v>
      </c>
      <c r="I963" s="345" t="s">
        <v>61</v>
      </c>
      <c r="J963" s="316">
        <v>41809.677083333336</v>
      </c>
      <c r="K963" s="347">
        <v>41817.677083333336</v>
      </c>
      <c r="L963" s="347" t="s">
        <v>377</v>
      </c>
      <c r="M963" s="348" t="s">
        <v>378</v>
      </c>
      <c r="N963" s="348" t="s">
        <v>378</v>
      </c>
      <c r="O963" s="348" t="s">
        <v>175</v>
      </c>
      <c r="P963" s="349">
        <v>33.186900056465298</v>
      </c>
      <c r="Q963" s="321">
        <f t="shared" si="46"/>
        <v>8</v>
      </c>
      <c r="R963" s="318">
        <f t="shared" si="47"/>
        <v>41809</v>
      </c>
      <c r="S963" s="318">
        <f t="shared" si="48"/>
        <v>41817</v>
      </c>
    </row>
    <row r="964" spans="3:19" ht="27.75" customHeight="1">
      <c r="C964" s="345" t="s">
        <v>98</v>
      </c>
      <c r="D964" s="345" t="s">
        <v>373</v>
      </c>
      <c r="E964" s="345" t="s">
        <v>374</v>
      </c>
      <c r="F964" s="345" t="s">
        <v>375</v>
      </c>
      <c r="G964" s="346" t="s">
        <v>376</v>
      </c>
      <c r="H964" s="339" t="s">
        <v>14</v>
      </c>
      <c r="I964" s="345" t="s">
        <v>60</v>
      </c>
      <c r="J964" s="316">
        <v>41809.673611111109</v>
      </c>
      <c r="K964" s="347"/>
      <c r="L964" s="347" t="s">
        <v>188</v>
      </c>
      <c r="M964" s="348" t="s">
        <v>382</v>
      </c>
      <c r="N964" s="348" t="s">
        <v>382</v>
      </c>
      <c r="O964" s="348" t="s">
        <v>175</v>
      </c>
      <c r="P964" s="349">
        <v>33.219649915302099</v>
      </c>
      <c r="Q964" s="321" t="str">
        <f t="shared" si="46"/>
        <v/>
      </c>
      <c r="R964" s="318">
        <f t="shared" si="47"/>
        <v>41809</v>
      </c>
      <c r="S964" s="318" t="str">
        <f t="shared" si="48"/>
        <v/>
      </c>
    </row>
    <row r="965" spans="3:19" ht="27.75" customHeight="1">
      <c r="C965" s="345" t="s">
        <v>98</v>
      </c>
      <c r="D965" s="345" t="s">
        <v>373</v>
      </c>
      <c r="E965" s="345" t="s">
        <v>374</v>
      </c>
      <c r="F965" s="345" t="s">
        <v>375</v>
      </c>
      <c r="G965" s="346" t="s">
        <v>376</v>
      </c>
      <c r="H965" s="339" t="s">
        <v>14</v>
      </c>
      <c r="I965" s="345" t="s">
        <v>61</v>
      </c>
      <c r="J965" s="316">
        <v>41809.663194444445</v>
      </c>
      <c r="K965" s="347"/>
      <c r="L965" s="347" t="s">
        <v>377</v>
      </c>
      <c r="M965" s="348" t="s">
        <v>378</v>
      </c>
      <c r="N965" s="348" t="s">
        <v>378</v>
      </c>
      <c r="O965" s="348" t="s">
        <v>177</v>
      </c>
      <c r="P965" s="349">
        <v>33.252399774138901</v>
      </c>
      <c r="Q965" s="321" t="str">
        <f t="shared" si="46"/>
        <v/>
      </c>
      <c r="R965" s="318">
        <f t="shared" si="47"/>
        <v>41809</v>
      </c>
      <c r="S965" s="318" t="str">
        <f t="shared" si="48"/>
        <v/>
      </c>
    </row>
    <row r="966" spans="3:19" ht="27.75" customHeight="1">
      <c r="C966" s="345" t="s">
        <v>98</v>
      </c>
      <c r="D966" s="345" t="s">
        <v>373</v>
      </c>
      <c r="E966" s="345" t="s">
        <v>374</v>
      </c>
      <c r="F966" s="345" t="s">
        <v>375</v>
      </c>
      <c r="G966" s="346" t="s">
        <v>376</v>
      </c>
      <c r="H966" s="345" t="s">
        <v>5</v>
      </c>
      <c r="I966" s="345" t="s">
        <v>60</v>
      </c>
      <c r="J966" s="316">
        <v>41809.662499999999</v>
      </c>
      <c r="K966" s="347">
        <v>41816.662499999999</v>
      </c>
      <c r="L966" s="347" t="s">
        <v>377</v>
      </c>
      <c r="M966" s="348" t="s">
        <v>378</v>
      </c>
      <c r="N966" s="348" t="s">
        <v>378</v>
      </c>
      <c r="O966" s="348" t="s">
        <v>177</v>
      </c>
      <c r="P966" s="349">
        <v>33.285149632975703</v>
      </c>
      <c r="Q966" s="321">
        <f t="shared" si="46"/>
        <v>7</v>
      </c>
      <c r="R966" s="318">
        <f t="shared" si="47"/>
        <v>41809</v>
      </c>
      <c r="S966" s="318">
        <f t="shared" si="48"/>
        <v>41816</v>
      </c>
    </row>
    <row r="967" spans="3:19" ht="27.75" customHeight="1">
      <c r="C967" s="345" t="s">
        <v>98</v>
      </c>
      <c r="D967" s="345" t="s">
        <v>373</v>
      </c>
      <c r="E967" s="345" t="s">
        <v>374</v>
      </c>
      <c r="F967" s="345" t="s">
        <v>375</v>
      </c>
      <c r="G967" s="346" t="s">
        <v>376</v>
      </c>
      <c r="H967" s="345" t="s">
        <v>140</v>
      </c>
      <c r="I967" s="345" t="s">
        <v>59</v>
      </c>
      <c r="J967" s="316">
        <v>41809.65902777778</v>
      </c>
      <c r="K967" s="347"/>
      <c r="L967" s="347" t="s">
        <v>378</v>
      </c>
      <c r="M967" s="348" t="s">
        <v>378</v>
      </c>
      <c r="N967" s="348" t="s">
        <v>378</v>
      </c>
      <c r="O967" s="348" t="s">
        <v>177</v>
      </c>
      <c r="P967" s="349">
        <v>33.317899491812497</v>
      </c>
      <c r="Q967" s="321" t="str">
        <f t="shared" si="46"/>
        <v/>
      </c>
      <c r="R967" s="318">
        <f t="shared" si="47"/>
        <v>41809</v>
      </c>
      <c r="S967" s="318" t="str">
        <f t="shared" si="48"/>
        <v/>
      </c>
    </row>
    <row r="968" spans="3:19" ht="27.75" customHeight="1">
      <c r="C968" s="345" t="s">
        <v>98</v>
      </c>
      <c r="D968" s="345" t="s">
        <v>373</v>
      </c>
      <c r="E968" s="345" t="s">
        <v>374</v>
      </c>
      <c r="F968" s="345" t="s">
        <v>375</v>
      </c>
      <c r="G968" s="346" t="s">
        <v>376</v>
      </c>
      <c r="H968" s="345" t="s">
        <v>140</v>
      </c>
      <c r="I968" s="345" t="s">
        <v>60</v>
      </c>
      <c r="J968" s="316">
        <v>41809.65347222222</v>
      </c>
      <c r="K968" s="347"/>
      <c r="L968" s="347" t="s">
        <v>188</v>
      </c>
      <c r="M968" s="348" t="s">
        <v>382</v>
      </c>
      <c r="N968" s="348" t="s">
        <v>382</v>
      </c>
      <c r="O968" s="348" t="s">
        <v>177</v>
      </c>
      <c r="P968" s="349">
        <v>33.350649350649299</v>
      </c>
      <c r="Q968" s="321" t="str">
        <f t="shared" si="46"/>
        <v/>
      </c>
      <c r="R968" s="318">
        <f t="shared" si="47"/>
        <v>41809</v>
      </c>
      <c r="S968" s="318" t="str">
        <f t="shared" si="48"/>
        <v/>
      </c>
    </row>
    <row r="969" spans="3:19" ht="27.75" customHeight="1">
      <c r="C969" s="345" t="s">
        <v>98</v>
      </c>
      <c r="D969" s="345" t="s">
        <v>373</v>
      </c>
      <c r="E969" s="345" t="s">
        <v>374</v>
      </c>
      <c r="F969" s="345" t="s">
        <v>375</v>
      </c>
      <c r="G969" s="346" t="s">
        <v>376</v>
      </c>
      <c r="H969" s="339" t="s">
        <v>14</v>
      </c>
      <c r="I969" s="345" t="s">
        <v>60</v>
      </c>
      <c r="J969" s="316">
        <v>41809.647916666669</v>
      </c>
      <c r="K969" s="347"/>
      <c r="L969" s="347" t="s">
        <v>188</v>
      </c>
      <c r="M969" s="348" t="s">
        <v>382</v>
      </c>
      <c r="N969" s="348" t="s">
        <v>382</v>
      </c>
      <c r="O969" s="348" t="s">
        <v>177</v>
      </c>
      <c r="P969" s="349">
        <v>33.3833992094862</v>
      </c>
      <c r="Q969" s="321" t="str">
        <f t="shared" si="46"/>
        <v/>
      </c>
      <c r="R969" s="318">
        <f t="shared" si="47"/>
        <v>41809</v>
      </c>
      <c r="S969" s="318" t="str">
        <f t="shared" si="48"/>
        <v/>
      </c>
    </row>
    <row r="970" spans="3:19" ht="27.75" customHeight="1">
      <c r="C970" s="345" t="s">
        <v>98</v>
      </c>
      <c r="D970" s="345" t="s">
        <v>373</v>
      </c>
      <c r="E970" s="345" t="s">
        <v>374</v>
      </c>
      <c r="F970" s="345" t="s">
        <v>375</v>
      </c>
      <c r="G970" s="346" t="s">
        <v>376</v>
      </c>
      <c r="H970" s="345" t="s">
        <v>5</v>
      </c>
      <c r="I970" s="345" t="s">
        <v>61</v>
      </c>
      <c r="J970" s="316">
        <v>41809.643055555556</v>
      </c>
      <c r="K970" s="347">
        <v>41817.643055555556</v>
      </c>
      <c r="L970" s="347" t="s">
        <v>188</v>
      </c>
      <c r="M970" s="348" t="s">
        <v>378</v>
      </c>
      <c r="N970" s="348" t="s">
        <v>378</v>
      </c>
      <c r="O970" s="348" t="s">
        <v>177</v>
      </c>
      <c r="P970" s="349">
        <v>33.416149068323001</v>
      </c>
      <c r="Q970" s="321">
        <f t="shared" si="46"/>
        <v>8</v>
      </c>
      <c r="R970" s="318">
        <f t="shared" si="47"/>
        <v>41809</v>
      </c>
      <c r="S970" s="318">
        <f t="shared" si="48"/>
        <v>41817</v>
      </c>
    </row>
    <row r="971" spans="3:19" ht="27.75" customHeight="1">
      <c r="C971" s="345" t="s">
        <v>98</v>
      </c>
      <c r="D971" s="345" t="s">
        <v>373</v>
      </c>
      <c r="E971" s="345" t="s">
        <v>374</v>
      </c>
      <c r="F971" s="345" t="s">
        <v>375</v>
      </c>
      <c r="G971" s="346" t="s">
        <v>376</v>
      </c>
      <c r="H971" s="339" t="s">
        <v>14</v>
      </c>
      <c r="I971" s="345" t="s">
        <v>61</v>
      </c>
      <c r="J971" s="316">
        <v>41809.640277777777</v>
      </c>
      <c r="K971" s="347"/>
      <c r="L971" s="347" t="s">
        <v>378</v>
      </c>
      <c r="M971" s="348" t="s">
        <v>378</v>
      </c>
      <c r="N971" s="348" t="s">
        <v>378</v>
      </c>
      <c r="O971" s="348" t="s">
        <v>175</v>
      </c>
      <c r="P971" s="349">
        <v>33.448898927159803</v>
      </c>
      <c r="Q971" s="321" t="str">
        <f t="shared" si="46"/>
        <v/>
      </c>
      <c r="R971" s="318">
        <f t="shared" si="47"/>
        <v>41809</v>
      </c>
      <c r="S971" s="318" t="str">
        <f t="shared" si="48"/>
        <v/>
      </c>
    </row>
    <row r="972" spans="3:19" ht="27.75" customHeight="1">
      <c r="C972" s="345" t="s">
        <v>98</v>
      </c>
      <c r="D972" s="345" t="s">
        <v>373</v>
      </c>
      <c r="E972" s="345" t="s">
        <v>374</v>
      </c>
      <c r="F972" s="345" t="s">
        <v>375</v>
      </c>
      <c r="G972" s="346" t="s">
        <v>376</v>
      </c>
      <c r="H972" s="339" t="s">
        <v>14</v>
      </c>
      <c r="I972" s="345" t="s">
        <v>61</v>
      </c>
      <c r="J972" s="316">
        <v>41809.60833333333</v>
      </c>
      <c r="K972" s="347"/>
      <c r="L972" s="347" t="s">
        <v>378</v>
      </c>
      <c r="M972" s="348" t="s">
        <v>378</v>
      </c>
      <c r="N972" s="348" t="s">
        <v>378</v>
      </c>
      <c r="O972" s="348" t="s">
        <v>175</v>
      </c>
      <c r="P972" s="349">
        <v>33.481648785996597</v>
      </c>
      <c r="Q972" s="321" t="str">
        <f t="shared" si="46"/>
        <v/>
      </c>
      <c r="R972" s="318">
        <f t="shared" si="47"/>
        <v>41809</v>
      </c>
      <c r="S972" s="318" t="str">
        <f t="shared" si="48"/>
        <v/>
      </c>
    </row>
    <row r="973" spans="3:19" ht="27.75" customHeight="1">
      <c r="C973" s="345" t="s">
        <v>98</v>
      </c>
      <c r="D973" s="345" t="s">
        <v>373</v>
      </c>
      <c r="E973" s="345" t="s">
        <v>374</v>
      </c>
      <c r="F973" s="345" t="s">
        <v>375</v>
      </c>
      <c r="G973" s="346" t="s">
        <v>376</v>
      </c>
      <c r="H973" s="345" t="s">
        <v>383</v>
      </c>
      <c r="I973" s="345" t="s">
        <v>61</v>
      </c>
      <c r="J973" s="316">
        <v>41809.590277777781</v>
      </c>
      <c r="K973" s="347"/>
      <c r="L973" s="347" t="s">
        <v>378</v>
      </c>
      <c r="M973" s="348" t="s">
        <v>378</v>
      </c>
      <c r="N973" s="348" t="s">
        <v>378</v>
      </c>
      <c r="O973" s="348" t="s">
        <v>175</v>
      </c>
      <c r="P973" s="349">
        <v>33.514398644833399</v>
      </c>
      <c r="Q973" s="321" t="str">
        <f t="shared" si="46"/>
        <v/>
      </c>
      <c r="R973" s="318">
        <f t="shared" si="47"/>
        <v>41809</v>
      </c>
      <c r="S973" s="318" t="str">
        <f t="shared" si="48"/>
        <v/>
      </c>
    </row>
    <row r="974" spans="3:19" ht="27.75" customHeight="1">
      <c r="C974" s="345" t="s">
        <v>98</v>
      </c>
      <c r="D974" s="345" t="s">
        <v>373</v>
      </c>
      <c r="E974" s="345" t="s">
        <v>374</v>
      </c>
      <c r="F974" s="345" t="s">
        <v>375</v>
      </c>
      <c r="G974" s="346" t="s">
        <v>376</v>
      </c>
      <c r="H974" s="345" t="s">
        <v>5</v>
      </c>
      <c r="I974" s="345" t="s">
        <v>61</v>
      </c>
      <c r="J974" s="316">
        <v>41809.561111111114</v>
      </c>
      <c r="K974" s="347">
        <v>41815.561111111114</v>
      </c>
      <c r="L974" s="347" t="s">
        <v>378</v>
      </c>
      <c r="M974" s="348" t="s">
        <v>378</v>
      </c>
      <c r="N974" s="348" t="s">
        <v>378</v>
      </c>
      <c r="O974" s="348" t="s">
        <v>175</v>
      </c>
      <c r="P974" s="349">
        <v>33.547148503670201</v>
      </c>
      <c r="Q974" s="321">
        <f t="shared" si="46"/>
        <v>6</v>
      </c>
      <c r="R974" s="318">
        <f t="shared" si="47"/>
        <v>41809</v>
      </c>
      <c r="S974" s="318">
        <f t="shared" si="48"/>
        <v>41815</v>
      </c>
    </row>
    <row r="975" spans="3:19" ht="27.75" customHeight="1">
      <c r="C975" s="345" t="s">
        <v>98</v>
      </c>
      <c r="D975" s="345" t="s">
        <v>373</v>
      </c>
      <c r="E975" s="345" t="s">
        <v>374</v>
      </c>
      <c r="F975" s="345" t="s">
        <v>375</v>
      </c>
      <c r="G975" s="346" t="s">
        <v>376</v>
      </c>
      <c r="H975" s="345" t="s">
        <v>5</v>
      </c>
      <c r="I975" s="345" t="s">
        <v>61</v>
      </c>
      <c r="J975" s="316">
        <v>41809.538888888892</v>
      </c>
      <c r="K975" s="347">
        <v>41817.538888888892</v>
      </c>
      <c r="L975" s="347" t="s">
        <v>378</v>
      </c>
      <c r="M975" s="348" t="s">
        <v>378</v>
      </c>
      <c r="N975" s="348" t="s">
        <v>378</v>
      </c>
      <c r="O975" s="348" t="s">
        <v>175</v>
      </c>
      <c r="P975" s="349">
        <v>33.579898362507002</v>
      </c>
      <c r="Q975" s="321">
        <f t="shared" si="46"/>
        <v>8</v>
      </c>
      <c r="R975" s="318">
        <f t="shared" si="47"/>
        <v>41809</v>
      </c>
      <c r="S975" s="318">
        <f t="shared" si="48"/>
        <v>41817</v>
      </c>
    </row>
    <row r="976" spans="3:19" ht="27.75" customHeight="1">
      <c r="C976" s="345" t="s">
        <v>98</v>
      </c>
      <c r="D976" s="345" t="s">
        <v>373</v>
      </c>
      <c r="E976" s="345" t="s">
        <v>374</v>
      </c>
      <c r="F976" s="345" t="s">
        <v>375</v>
      </c>
      <c r="G976" s="346" t="s">
        <v>376</v>
      </c>
      <c r="H976" s="339" t="s">
        <v>14</v>
      </c>
      <c r="I976" s="345" t="s">
        <v>60</v>
      </c>
      <c r="J976" s="316">
        <v>41809.525694444441</v>
      </c>
      <c r="K976" s="347"/>
      <c r="L976" s="347" t="s">
        <v>378</v>
      </c>
      <c r="M976" s="348" t="s">
        <v>378</v>
      </c>
      <c r="N976" s="348" t="s">
        <v>378</v>
      </c>
      <c r="O976" s="348" t="s">
        <v>175</v>
      </c>
      <c r="P976" s="349">
        <v>33.612648221343903</v>
      </c>
      <c r="Q976" s="321" t="str">
        <f t="shared" si="46"/>
        <v/>
      </c>
      <c r="R976" s="318">
        <f t="shared" si="47"/>
        <v>41809</v>
      </c>
      <c r="S976" s="318" t="str">
        <f t="shared" si="48"/>
        <v/>
      </c>
    </row>
    <row r="977" spans="3:19" ht="27.75" customHeight="1">
      <c r="C977" s="345" t="s">
        <v>98</v>
      </c>
      <c r="D977" s="345" t="s">
        <v>373</v>
      </c>
      <c r="E977" s="345" t="s">
        <v>374</v>
      </c>
      <c r="F977" s="345" t="s">
        <v>375</v>
      </c>
      <c r="G977" s="346" t="s">
        <v>376</v>
      </c>
      <c r="H977" s="339" t="s">
        <v>14</v>
      </c>
      <c r="I977" s="345" t="s">
        <v>60</v>
      </c>
      <c r="J977" s="316">
        <v>41809.524305555555</v>
      </c>
      <c r="K977" s="347"/>
      <c r="L977" s="347" t="s">
        <v>378</v>
      </c>
      <c r="M977" s="348" t="s">
        <v>378</v>
      </c>
      <c r="N977" s="348" t="s">
        <v>378</v>
      </c>
      <c r="O977" s="348" t="s">
        <v>175</v>
      </c>
      <c r="P977" s="349">
        <v>33.645398080180698</v>
      </c>
      <c r="Q977" s="321" t="str">
        <f t="shared" si="46"/>
        <v/>
      </c>
      <c r="R977" s="318">
        <f t="shared" si="47"/>
        <v>41809</v>
      </c>
      <c r="S977" s="318" t="str">
        <f t="shared" si="48"/>
        <v/>
      </c>
    </row>
    <row r="978" spans="3:19" ht="27.75" customHeight="1">
      <c r="C978" s="345" t="s">
        <v>98</v>
      </c>
      <c r="D978" s="345" t="s">
        <v>373</v>
      </c>
      <c r="E978" s="345" t="s">
        <v>374</v>
      </c>
      <c r="F978" s="345" t="s">
        <v>375</v>
      </c>
      <c r="G978" s="346" t="s">
        <v>376</v>
      </c>
      <c r="H978" s="345" t="s">
        <v>5</v>
      </c>
      <c r="I978" s="345" t="s">
        <v>60</v>
      </c>
      <c r="J978" s="316">
        <v>41809.494444444441</v>
      </c>
      <c r="K978" s="347">
        <v>41813.494444444441</v>
      </c>
      <c r="L978" s="347" t="s">
        <v>377</v>
      </c>
      <c r="M978" s="348" t="s">
        <v>378</v>
      </c>
      <c r="N978" s="348" t="s">
        <v>378</v>
      </c>
      <c r="O978" s="348" t="s">
        <v>175</v>
      </c>
      <c r="P978" s="349">
        <v>33.678147939017499</v>
      </c>
      <c r="Q978" s="321">
        <f t="shared" si="46"/>
        <v>4</v>
      </c>
      <c r="R978" s="318">
        <f t="shared" si="47"/>
        <v>41809</v>
      </c>
      <c r="S978" s="318">
        <f t="shared" si="48"/>
        <v>41813</v>
      </c>
    </row>
    <row r="979" spans="3:19" ht="27.75" customHeight="1">
      <c r="C979" s="345" t="s">
        <v>98</v>
      </c>
      <c r="D979" s="345" t="s">
        <v>373</v>
      </c>
      <c r="E979" s="345" t="s">
        <v>374</v>
      </c>
      <c r="F979" s="345" t="s">
        <v>375</v>
      </c>
      <c r="G979" s="346" t="s">
        <v>376</v>
      </c>
      <c r="H979" s="339" t="s">
        <v>14</v>
      </c>
      <c r="I979" s="345" t="s">
        <v>60</v>
      </c>
      <c r="J979" s="316">
        <v>41809.472916666666</v>
      </c>
      <c r="K979" s="347"/>
      <c r="L979" s="347" t="s">
        <v>377</v>
      </c>
      <c r="M979" s="348" t="s">
        <v>378</v>
      </c>
      <c r="N979" s="348" t="s">
        <v>378</v>
      </c>
      <c r="O979" s="348" t="s">
        <v>175</v>
      </c>
      <c r="P979" s="349">
        <v>33.710897797854301</v>
      </c>
      <c r="Q979" s="321" t="str">
        <f t="shared" si="46"/>
        <v/>
      </c>
      <c r="R979" s="318">
        <f t="shared" si="47"/>
        <v>41809</v>
      </c>
      <c r="S979" s="318" t="str">
        <f t="shared" si="48"/>
        <v/>
      </c>
    </row>
    <row r="980" spans="3:19" ht="27.75" customHeight="1">
      <c r="C980" s="345" t="s">
        <v>98</v>
      </c>
      <c r="D980" s="345" t="s">
        <v>373</v>
      </c>
      <c r="E980" s="345" t="s">
        <v>374</v>
      </c>
      <c r="F980" s="345" t="s">
        <v>375</v>
      </c>
      <c r="G980" s="346" t="s">
        <v>376</v>
      </c>
      <c r="H980" s="339" t="s">
        <v>14</v>
      </c>
      <c r="I980" s="345" t="s">
        <v>60</v>
      </c>
      <c r="J980" s="316">
        <v>41809.457638888889</v>
      </c>
      <c r="K980" s="347"/>
      <c r="L980" s="347" t="s">
        <v>188</v>
      </c>
      <c r="M980" s="348" t="s">
        <v>382</v>
      </c>
      <c r="N980" s="348" t="s">
        <v>382</v>
      </c>
      <c r="O980" s="348" t="s">
        <v>175</v>
      </c>
      <c r="P980" s="349">
        <v>33.743647656691103</v>
      </c>
      <c r="Q980" s="321" t="str">
        <f t="shared" si="46"/>
        <v/>
      </c>
      <c r="R980" s="318">
        <f t="shared" si="47"/>
        <v>41809</v>
      </c>
      <c r="S980" s="318" t="str">
        <f t="shared" si="48"/>
        <v/>
      </c>
    </row>
    <row r="981" spans="3:19" ht="27.75" customHeight="1">
      <c r="C981" s="345" t="s">
        <v>98</v>
      </c>
      <c r="D981" s="345" t="s">
        <v>373</v>
      </c>
      <c r="E981" s="345" t="s">
        <v>374</v>
      </c>
      <c r="F981" s="345" t="s">
        <v>375</v>
      </c>
      <c r="G981" s="346" t="s">
        <v>376</v>
      </c>
      <c r="H981" s="339" t="s">
        <v>14</v>
      </c>
      <c r="I981" s="345" t="s">
        <v>60</v>
      </c>
      <c r="J981" s="316">
        <v>41809.456250000003</v>
      </c>
      <c r="K981" s="347"/>
      <c r="L981" s="347" t="s">
        <v>188</v>
      </c>
      <c r="M981" s="348" t="s">
        <v>378</v>
      </c>
      <c r="N981" s="348" t="s">
        <v>378</v>
      </c>
      <c r="O981" s="348" t="s">
        <v>175</v>
      </c>
      <c r="P981" s="349">
        <v>33.776397515527897</v>
      </c>
      <c r="Q981" s="321" t="str">
        <f t="shared" si="46"/>
        <v/>
      </c>
      <c r="R981" s="318">
        <f t="shared" si="47"/>
        <v>41809</v>
      </c>
      <c r="S981" s="318" t="str">
        <f t="shared" si="48"/>
        <v/>
      </c>
    </row>
    <row r="982" spans="3:19" ht="27.75" customHeight="1">
      <c r="C982" s="345" t="s">
        <v>98</v>
      </c>
      <c r="D982" s="345" t="s">
        <v>373</v>
      </c>
      <c r="E982" s="345" t="s">
        <v>374</v>
      </c>
      <c r="F982" s="345" t="s">
        <v>375</v>
      </c>
      <c r="G982" s="346" t="s">
        <v>376</v>
      </c>
      <c r="H982" s="339" t="s">
        <v>14</v>
      </c>
      <c r="I982" s="345" t="s">
        <v>61</v>
      </c>
      <c r="J982" s="316">
        <v>41809.455555555556</v>
      </c>
      <c r="K982" s="347"/>
      <c r="L982" s="347" t="s">
        <v>188</v>
      </c>
      <c r="M982" s="348" t="s">
        <v>382</v>
      </c>
      <c r="N982" s="348" t="s">
        <v>382</v>
      </c>
      <c r="O982" s="348" t="s">
        <v>177</v>
      </c>
      <c r="P982" s="349">
        <v>33.809147374364798</v>
      </c>
      <c r="Q982" s="321" t="str">
        <f t="shared" si="46"/>
        <v/>
      </c>
      <c r="R982" s="318">
        <f t="shared" si="47"/>
        <v>41809</v>
      </c>
      <c r="S982" s="318" t="str">
        <f t="shared" si="48"/>
        <v/>
      </c>
    </row>
    <row r="983" spans="3:19" ht="27.75" customHeight="1">
      <c r="C983" s="345" t="s">
        <v>98</v>
      </c>
      <c r="D983" s="345" t="s">
        <v>373</v>
      </c>
      <c r="E983" s="345" t="s">
        <v>374</v>
      </c>
      <c r="F983" s="345" t="s">
        <v>375</v>
      </c>
      <c r="G983" s="346" t="s">
        <v>376</v>
      </c>
      <c r="H983" s="339" t="s">
        <v>14</v>
      </c>
      <c r="I983" s="345" t="s">
        <v>61</v>
      </c>
      <c r="J983" s="316">
        <v>41809.45416666667</v>
      </c>
      <c r="K983" s="347"/>
      <c r="L983" s="347" t="s">
        <v>377</v>
      </c>
      <c r="M983" s="348" t="s">
        <v>378</v>
      </c>
      <c r="N983" s="348" t="s">
        <v>378</v>
      </c>
      <c r="O983" s="348" t="s">
        <v>177</v>
      </c>
      <c r="P983" s="349">
        <v>33.8418972332016</v>
      </c>
      <c r="Q983" s="321" t="str">
        <f t="shared" si="46"/>
        <v/>
      </c>
      <c r="R983" s="318">
        <f t="shared" si="47"/>
        <v>41809</v>
      </c>
      <c r="S983" s="318" t="str">
        <f t="shared" si="48"/>
        <v/>
      </c>
    </row>
    <row r="984" spans="3:19" ht="27.75" customHeight="1">
      <c r="C984" s="345" t="s">
        <v>98</v>
      </c>
      <c r="D984" s="345" t="s">
        <v>373</v>
      </c>
      <c r="E984" s="345" t="s">
        <v>374</v>
      </c>
      <c r="F984" s="345" t="s">
        <v>375</v>
      </c>
      <c r="G984" s="346" t="s">
        <v>376</v>
      </c>
      <c r="H984" s="345" t="s">
        <v>138</v>
      </c>
      <c r="I984" s="345" t="s">
        <v>61</v>
      </c>
      <c r="J984" s="316">
        <v>41809.453472222223</v>
      </c>
      <c r="K984" s="347"/>
      <c r="L984" s="347" t="s">
        <v>377</v>
      </c>
      <c r="M984" s="348" t="s">
        <v>378</v>
      </c>
      <c r="N984" s="348" t="s">
        <v>378</v>
      </c>
      <c r="O984" s="348" t="s">
        <v>175</v>
      </c>
      <c r="P984" s="349">
        <v>33.874647092038401</v>
      </c>
      <c r="Q984" s="321" t="str">
        <f t="shared" si="46"/>
        <v/>
      </c>
      <c r="R984" s="318">
        <f t="shared" si="47"/>
        <v>41809</v>
      </c>
      <c r="S984" s="318" t="str">
        <f t="shared" si="48"/>
        <v/>
      </c>
    </row>
    <row r="985" spans="3:19" ht="27.75" customHeight="1">
      <c r="C985" s="345" t="s">
        <v>98</v>
      </c>
      <c r="D985" s="345" t="s">
        <v>373</v>
      </c>
      <c r="E985" s="345" t="s">
        <v>374</v>
      </c>
      <c r="F985" s="345" t="s">
        <v>375</v>
      </c>
      <c r="G985" s="346" t="s">
        <v>376</v>
      </c>
      <c r="H985" s="345" t="s">
        <v>5</v>
      </c>
      <c r="I985" s="345" t="s">
        <v>59</v>
      </c>
      <c r="J985" s="316">
        <v>41809.451388888891</v>
      </c>
      <c r="K985" s="347">
        <v>41814.451388888891</v>
      </c>
      <c r="L985" s="347" t="s">
        <v>377</v>
      </c>
      <c r="M985" s="348" t="s">
        <v>378</v>
      </c>
      <c r="N985" s="348" t="s">
        <v>378</v>
      </c>
      <c r="O985" s="348" t="s">
        <v>175</v>
      </c>
      <c r="P985" s="349">
        <v>33.907396950875203</v>
      </c>
      <c r="Q985" s="321">
        <f t="shared" si="46"/>
        <v>5</v>
      </c>
      <c r="R985" s="318">
        <f t="shared" si="47"/>
        <v>41809</v>
      </c>
      <c r="S985" s="318">
        <f t="shared" si="48"/>
        <v>41814</v>
      </c>
    </row>
    <row r="986" spans="3:19" ht="27.75" customHeight="1">
      <c r="C986" s="345" t="s">
        <v>98</v>
      </c>
      <c r="D986" s="345" t="s">
        <v>373</v>
      </c>
      <c r="E986" s="345" t="s">
        <v>374</v>
      </c>
      <c r="F986" s="345" t="s">
        <v>375</v>
      </c>
      <c r="G986" s="346" t="s">
        <v>376</v>
      </c>
      <c r="H986" s="339" t="s">
        <v>14</v>
      </c>
      <c r="I986" s="345" t="s">
        <v>61</v>
      </c>
      <c r="J986" s="316">
        <v>41809.449305555558</v>
      </c>
      <c r="K986" s="347"/>
      <c r="L986" s="347" t="s">
        <v>377</v>
      </c>
      <c r="M986" s="348" t="s">
        <v>378</v>
      </c>
      <c r="N986" s="348" t="s">
        <v>378</v>
      </c>
      <c r="O986" s="348" t="s">
        <v>175</v>
      </c>
      <c r="P986" s="349">
        <v>33.940146809711997</v>
      </c>
      <c r="Q986" s="321" t="str">
        <f t="shared" ref="Q986:Q1049" si="49">IF(ISERROR(DATEDIF(J986,K986,"D")),"",DATEDIF(J986,K986,"D"))</f>
        <v/>
      </c>
      <c r="R986" s="318">
        <f t="shared" ref="R986:R1049" si="50">DATE(YEAR(J986),MONTH(J986),DAY(J986))</f>
        <v>41809</v>
      </c>
      <c r="S986" s="318" t="str">
        <f t="shared" ref="S986:S1049" si="51">IF(K986&lt;&gt;"",DATE(YEAR(K986),MONTH(K986),DAY(K986)),"")</f>
        <v/>
      </c>
    </row>
    <row r="987" spans="3:19" ht="27.75" customHeight="1">
      <c r="C987" s="345" t="s">
        <v>98</v>
      </c>
      <c r="D987" s="345" t="s">
        <v>373</v>
      </c>
      <c r="E987" s="345" t="s">
        <v>374</v>
      </c>
      <c r="F987" s="345" t="s">
        <v>375</v>
      </c>
      <c r="G987" s="346" t="s">
        <v>376</v>
      </c>
      <c r="H987" s="339" t="s">
        <v>14</v>
      </c>
      <c r="I987" s="345" t="s">
        <v>61</v>
      </c>
      <c r="J987" s="316">
        <v>41809.445138888892</v>
      </c>
      <c r="K987" s="347"/>
      <c r="L987" s="347" t="s">
        <v>188</v>
      </c>
      <c r="M987" s="348" t="s">
        <v>378</v>
      </c>
      <c r="N987" s="348" t="s">
        <v>378</v>
      </c>
      <c r="O987" s="348" t="s">
        <v>177</v>
      </c>
      <c r="P987" s="349">
        <v>33.972896668548799</v>
      </c>
      <c r="Q987" s="321" t="str">
        <f t="shared" si="49"/>
        <v/>
      </c>
      <c r="R987" s="318">
        <f t="shared" si="50"/>
        <v>41809</v>
      </c>
      <c r="S987" s="318" t="str">
        <f t="shared" si="51"/>
        <v/>
      </c>
    </row>
    <row r="988" spans="3:19" ht="27.75" customHeight="1">
      <c r="C988" s="345" t="s">
        <v>98</v>
      </c>
      <c r="D988" s="345" t="s">
        <v>373</v>
      </c>
      <c r="E988" s="345" t="s">
        <v>374</v>
      </c>
      <c r="F988" s="345" t="s">
        <v>375</v>
      </c>
      <c r="G988" s="346" t="s">
        <v>376</v>
      </c>
      <c r="H988" s="345" t="s">
        <v>5</v>
      </c>
      <c r="I988" s="345" t="s">
        <v>61</v>
      </c>
      <c r="J988" s="316">
        <v>41809.432638888888</v>
      </c>
      <c r="K988" s="347">
        <v>41819.432638888888</v>
      </c>
      <c r="L988" s="347" t="s">
        <v>377</v>
      </c>
      <c r="M988" s="348" t="s">
        <v>378</v>
      </c>
      <c r="N988" s="348" t="s">
        <v>378</v>
      </c>
      <c r="O988" s="348" t="s">
        <v>177</v>
      </c>
      <c r="P988" s="349">
        <v>34.005646527385601</v>
      </c>
      <c r="Q988" s="321">
        <f t="shared" si="49"/>
        <v>10</v>
      </c>
      <c r="R988" s="318">
        <f t="shared" si="50"/>
        <v>41809</v>
      </c>
      <c r="S988" s="318">
        <f t="shared" si="51"/>
        <v>41819</v>
      </c>
    </row>
    <row r="989" spans="3:19" ht="27.75" customHeight="1">
      <c r="C989" s="345" t="s">
        <v>98</v>
      </c>
      <c r="D989" s="345" t="s">
        <v>373</v>
      </c>
      <c r="E989" s="345" t="s">
        <v>374</v>
      </c>
      <c r="F989" s="345" t="s">
        <v>375</v>
      </c>
      <c r="G989" s="346" t="s">
        <v>376</v>
      </c>
      <c r="H989" s="339" t="s">
        <v>14</v>
      </c>
      <c r="I989" s="345" t="s">
        <v>58</v>
      </c>
      <c r="J989" s="316">
        <v>41808.842361111114</v>
      </c>
      <c r="K989" s="347"/>
      <c r="L989" s="347" t="s">
        <v>377</v>
      </c>
      <c r="M989" s="348" t="s">
        <v>378</v>
      </c>
      <c r="N989" s="348" t="s">
        <v>378</v>
      </c>
      <c r="O989" s="348" t="s">
        <v>177</v>
      </c>
      <c r="P989" s="349">
        <v>34.038396386222502</v>
      </c>
      <c r="Q989" s="321" t="str">
        <f t="shared" si="49"/>
        <v/>
      </c>
      <c r="R989" s="318">
        <f t="shared" si="50"/>
        <v>41808</v>
      </c>
      <c r="S989" s="318" t="str">
        <f t="shared" si="51"/>
        <v/>
      </c>
    </row>
    <row r="990" spans="3:19" ht="27.75" customHeight="1">
      <c r="C990" s="345" t="s">
        <v>98</v>
      </c>
      <c r="D990" s="345" t="s">
        <v>373</v>
      </c>
      <c r="E990" s="345" t="s">
        <v>374</v>
      </c>
      <c r="F990" s="345" t="s">
        <v>375</v>
      </c>
      <c r="G990" s="346" t="s">
        <v>376</v>
      </c>
      <c r="H990" s="339" t="s">
        <v>14</v>
      </c>
      <c r="I990" s="345" t="s">
        <v>61</v>
      </c>
      <c r="J990" s="316">
        <v>41808.810416666667</v>
      </c>
      <c r="K990" s="347"/>
      <c r="L990" s="347" t="s">
        <v>377</v>
      </c>
      <c r="M990" s="348" t="s">
        <v>378</v>
      </c>
      <c r="N990" s="348" t="s">
        <v>378</v>
      </c>
      <c r="O990" s="348" t="s">
        <v>177</v>
      </c>
      <c r="P990" s="349">
        <v>34.071146245059303</v>
      </c>
      <c r="Q990" s="321" t="str">
        <f t="shared" si="49"/>
        <v/>
      </c>
      <c r="R990" s="318">
        <f t="shared" si="50"/>
        <v>41808</v>
      </c>
      <c r="S990" s="318" t="str">
        <f t="shared" si="51"/>
        <v/>
      </c>
    </row>
    <row r="991" spans="3:19" ht="27.75" customHeight="1">
      <c r="C991" s="345" t="s">
        <v>98</v>
      </c>
      <c r="D991" s="345" t="s">
        <v>373</v>
      </c>
      <c r="E991" s="345" t="s">
        <v>374</v>
      </c>
      <c r="F991" s="345" t="s">
        <v>375</v>
      </c>
      <c r="G991" s="346" t="s">
        <v>376</v>
      </c>
      <c r="H991" s="339" t="s">
        <v>14</v>
      </c>
      <c r="I991" s="345" t="s">
        <v>61</v>
      </c>
      <c r="J991" s="316">
        <v>41808.799305555556</v>
      </c>
      <c r="K991" s="347"/>
      <c r="L991" s="347" t="s">
        <v>188</v>
      </c>
      <c r="M991" s="348" t="s">
        <v>378</v>
      </c>
      <c r="N991" s="348" t="s">
        <v>378</v>
      </c>
      <c r="O991" s="348" t="s">
        <v>177</v>
      </c>
      <c r="P991" s="349">
        <v>34.103896103896098</v>
      </c>
      <c r="Q991" s="321" t="str">
        <f t="shared" si="49"/>
        <v/>
      </c>
      <c r="R991" s="318">
        <f t="shared" si="50"/>
        <v>41808</v>
      </c>
      <c r="S991" s="318" t="str">
        <f t="shared" si="51"/>
        <v/>
      </c>
    </row>
    <row r="992" spans="3:19" ht="27.75" customHeight="1">
      <c r="C992" s="345" t="s">
        <v>98</v>
      </c>
      <c r="D992" s="345" t="s">
        <v>373</v>
      </c>
      <c r="E992" s="345" t="s">
        <v>374</v>
      </c>
      <c r="F992" s="345" t="s">
        <v>375</v>
      </c>
      <c r="G992" s="346" t="s">
        <v>376</v>
      </c>
      <c r="H992" s="339" t="s">
        <v>14</v>
      </c>
      <c r="I992" s="345" t="s">
        <v>60</v>
      </c>
      <c r="J992" s="316">
        <v>41808.795138888891</v>
      </c>
      <c r="K992" s="347"/>
      <c r="L992" s="347" t="s">
        <v>377</v>
      </c>
      <c r="M992" s="348" t="s">
        <v>378</v>
      </c>
      <c r="N992" s="348" t="s">
        <v>378</v>
      </c>
      <c r="O992" s="348" t="s">
        <v>177</v>
      </c>
      <c r="P992" s="349">
        <v>34.136645962732899</v>
      </c>
      <c r="Q992" s="321" t="str">
        <f t="shared" si="49"/>
        <v/>
      </c>
      <c r="R992" s="318">
        <f t="shared" si="50"/>
        <v>41808</v>
      </c>
      <c r="S992" s="318" t="str">
        <f t="shared" si="51"/>
        <v/>
      </c>
    </row>
    <row r="993" spans="3:19" ht="27.75" customHeight="1">
      <c r="C993" s="345" t="s">
        <v>98</v>
      </c>
      <c r="D993" s="345" t="s">
        <v>373</v>
      </c>
      <c r="E993" s="345" t="s">
        <v>374</v>
      </c>
      <c r="F993" s="345" t="s">
        <v>375</v>
      </c>
      <c r="G993" s="346" t="s">
        <v>376</v>
      </c>
      <c r="H993" s="339" t="s">
        <v>14</v>
      </c>
      <c r="I993" s="345" t="s">
        <v>60</v>
      </c>
      <c r="J993" s="316">
        <v>41808.769444444442</v>
      </c>
      <c r="K993" s="347"/>
      <c r="L993" s="347" t="s">
        <v>188</v>
      </c>
      <c r="M993" s="348" t="s">
        <v>382</v>
      </c>
      <c r="N993" s="348" t="s">
        <v>382</v>
      </c>
      <c r="O993" s="348" t="s">
        <v>175</v>
      </c>
      <c r="P993" s="349">
        <v>34.169395821569701</v>
      </c>
      <c r="Q993" s="321" t="str">
        <f t="shared" si="49"/>
        <v/>
      </c>
      <c r="R993" s="318">
        <f t="shared" si="50"/>
        <v>41808</v>
      </c>
      <c r="S993" s="318" t="str">
        <f t="shared" si="51"/>
        <v/>
      </c>
    </row>
    <row r="994" spans="3:19" ht="27.75" customHeight="1">
      <c r="C994" s="345" t="s">
        <v>98</v>
      </c>
      <c r="D994" s="345" t="s">
        <v>373</v>
      </c>
      <c r="E994" s="345" t="s">
        <v>374</v>
      </c>
      <c r="F994" s="345" t="s">
        <v>375</v>
      </c>
      <c r="G994" s="346" t="s">
        <v>376</v>
      </c>
      <c r="H994" s="339" t="s">
        <v>14</v>
      </c>
      <c r="I994" s="345" t="s">
        <v>60</v>
      </c>
      <c r="J994" s="316">
        <v>41808.677083333336</v>
      </c>
      <c r="K994" s="347"/>
      <c r="L994" s="347" t="s">
        <v>378</v>
      </c>
      <c r="M994" s="348" t="s">
        <v>378</v>
      </c>
      <c r="N994" s="348" t="s">
        <v>378</v>
      </c>
      <c r="O994" s="348" t="s">
        <v>175</v>
      </c>
      <c r="P994" s="349">
        <v>34.202145680406502</v>
      </c>
      <c r="Q994" s="321" t="str">
        <f t="shared" si="49"/>
        <v/>
      </c>
      <c r="R994" s="318">
        <f t="shared" si="50"/>
        <v>41808</v>
      </c>
      <c r="S994" s="318" t="str">
        <f t="shared" si="51"/>
        <v/>
      </c>
    </row>
    <row r="995" spans="3:19" ht="27.75" customHeight="1">
      <c r="C995" s="345" t="s">
        <v>98</v>
      </c>
      <c r="D995" s="345" t="s">
        <v>373</v>
      </c>
      <c r="E995" s="345" t="s">
        <v>374</v>
      </c>
      <c r="F995" s="345" t="s">
        <v>375</v>
      </c>
      <c r="G995" s="346" t="s">
        <v>376</v>
      </c>
      <c r="H995" s="339" t="s">
        <v>14</v>
      </c>
      <c r="I995" s="345" t="s">
        <v>60</v>
      </c>
      <c r="J995" s="316">
        <v>41808.665277777778</v>
      </c>
      <c r="K995" s="347"/>
      <c r="L995" s="347" t="s">
        <v>377</v>
      </c>
      <c r="M995" s="348" t="s">
        <v>378</v>
      </c>
      <c r="N995" s="348" t="s">
        <v>378</v>
      </c>
      <c r="O995" s="348" t="s">
        <v>175</v>
      </c>
      <c r="P995" s="349">
        <v>34.234895539243396</v>
      </c>
      <c r="Q995" s="321" t="str">
        <f t="shared" si="49"/>
        <v/>
      </c>
      <c r="R995" s="318">
        <f t="shared" si="50"/>
        <v>41808</v>
      </c>
      <c r="S995" s="318" t="str">
        <f t="shared" si="51"/>
        <v/>
      </c>
    </row>
    <row r="996" spans="3:19" ht="27.75" customHeight="1">
      <c r="C996" s="345" t="s">
        <v>98</v>
      </c>
      <c r="D996" s="345" t="s">
        <v>373</v>
      </c>
      <c r="E996" s="345" t="s">
        <v>374</v>
      </c>
      <c r="F996" s="345" t="s">
        <v>375</v>
      </c>
      <c r="G996" s="346" t="s">
        <v>376</v>
      </c>
      <c r="H996" s="339" t="s">
        <v>14</v>
      </c>
      <c r="I996" s="345" t="s">
        <v>60</v>
      </c>
      <c r="J996" s="316">
        <v>41808.584027777775</v>
      </c>
      <c r="K996" s="347"/>
      <c r="L996" s="347" t="s">
        <v>378</v>
      </c>
      <c r="M996" s="348" t="s">
        <v>378</v>
      </c>
      <c r="N996" s="348" t="s">
        <v>378</v>
      </c>
      <c r="O996" s="348" t="s">
        <v>175</v>
      </c>
      <c r="P996" s="349">
        <v>34.267645398080198</v>
      </c>
      <c r="Q996" s="321" t="str">
        <f t="shared" si="49"/>
        <v/>
      </c>
      <c r="R996" s="318">
        <f t="shared" si="50"/>
        <v>41808</v>
      </c>
      <c r="S996" s="318" t="str">
        <f t="shared" si="51"/>
        <v/>
      </c>
    </row>
    <row r="997" spans="3:19" ht="27.75" customHeight="1">
      <c r="C997" s="345" t="s">
        <v>98</v>
      </c>
      <c r="D997" s="345" t="s">
        <v>373</v>
      </c>
      <c r="E997" s="345" t="s">
        <v>374</v>
      </c>
      <c r="F997" s="345" t="s">
        <v>375</v>
      </c>
      <c r="G997" s="346" t="s">
        <v>376</v>
      </c>
      <c r="H997" s="339" t="s">
        <v>14</v>
      </c>
      <c r="I997" s="345" t="s">
        <v>60</v>
      </c>
      <c r="J997" s="316">
        <v>41808.560416666667</v>
      </c>
      <c r="K997" s="347"/>
      <c r="L997" s="347" t="s">
        <v>377</v>
      </c>
      <c r="M997" s="348" t="s">
        <v>378</v>
      </c>
      <c r="N997" s="348" t="s">
        <v>378</v>
      </c>
      <c r="O997" s="348" t="s">
        <v>175</v>
      </c>
      <c r="P997" s="349">
        <v>34.300395256917</v>
      </c>
      <c r="Q997" s="321" t="str">
        <f t="shared" si="49"/>
        <v/>
      </c>
      <c r="R997" s="318">
        <f t="shared" si="50"/>
        <v>41808</v>
      </c>
      <c r="S997" s="318" t="str">
        <f t="shared" si="51"/>
        <v/>
      </c>
    </row>
    <row r="998" spans="3:19" ht="27.75" customHeight="1">
      <c r="C998" s="345" t="s">
        <v>98</v>
      </c>
      <c r="D998" s="345" t="s">
        <v>373</v>
      </c>
      <c r="E998" s="345" t="s">
        <v>374</v>
      </c>
      <c r="F998" s="345" t="s">
        <v>375</v>
      </c>
      <c r="G998" s="346" t="s">
        <v>376</v>
      </c>
      <c r="H998" s="345" t="s">
        <v>5</v>
      </c>
      <c r="I998" s="345" t="s">
        <v>59</v>
      </c>
      <c r="J998" s="316">
        <v>41808.547222222223</v>
      </c>
      <c r="K998" s="347">
        <v>41814.547222222223</v>
      </c>
      <c r="L998" s="347" t="s">
        <v>378</v>
      </c>
      <c r="M998" s="348" t="s">
        <v>378</v>
      </c>
      <c r="N998" s="348" t="s">
        <v>378</v>
      </c>
      <c r="O998" s="348" t="s">
        <v>175</v>
      </c>
      <c r="P998" s="349">
        <v>34.333145115753801</v>
      </c>
      <c r="Q998" s="321">
        <f t="shared" si="49"/>
        <v>6</v>
      </c>
      <c r="R998" s="318">
        <f t="shared" si="50"/>
        <v>41808</v>
      </c>
      <c r="S998" s="318">
        <f t="shared" si="51"/>
        <v>41814</v>
      </c>
    </row>
    <row r="999" spans="3:19" ht="27.75" customHeight="1">
      <c r="C999" s="345" t="s">
        <v>98</v>
      </c>
      <c r="D999" s="345" t="s">
        <v>373</v>
      </c>
      <c r="E999" s="345" t="s">
        <v>374</v>
      </c>
      <c r="F999" s="345" t="s">
        <v>375</v>
      </c>
      <c r="G999" s="346" t="s">
        <v>376</v>
      </c>
      <c r="H999" s="339" t="s">
        <v>14</v>
      </c>
      <c r="I999" s="345" t="s">
        <v>60</v>
      </c>
      <c r="J999" s="316">
        <v>41808.513194444444</v>
      </c>
      <c r="K999" s="347"/>
      <c r="L999" s="347" t="s">
        <v>188</v>
      </c>
      <c r="M999" s="348" t="s">
        <v>378</v>
      </c>
      <c r="N999" s="348" t="s">
        <v>378</v>
      </c>
      <c r="O999" s="348" t="s">
        <v>175</v>
      </c>
      <c r="P999" s="349">
        <v>34.365894974590603</v>
      </c>
      <c r="Q999" s="321" t="str">
        <f t="shared" si="49"/>
        <v/>
      </c>
      <c r="R999" s="318">
        <f t="shared" si="50"/>
        <v>41808</v>
      </c>
      <c r="S999" s="318" t="str">
        <f t="shared" si="51"/>
        <v/>
      </c>
    </row>
    <row r="1000" spans="3:19" ht="27.75" customHeight="1">
      <c r="C1000" s="345" t="s">
        <v>98</v>
      </c>
      <c r="D1000" s="345" t="s">
        <v>373</v>
      </c>
      <c r="E1000" s="345" t="s">
        <v>374</v>
      </c>
      <c r="F1000" s="345" t="s">
        <v>375</v>
      </c>
      <c r="G1000" s="346" t="s">
        <v>376</v>
      </c>
      <c r="H1000" s="345" t="s">
        <v>5</v>
      </c>
      <c r="I1000" s="345" t="s">
        <v>60</v>
      </c>
      <c r="J1000" s="316">
        <v>41807.875694444447</v>
      </c>
      <c r="K1000" s="347">
        <v>41816.875694444447</v>
      </c>
      <c r="L1000" s="347" t="s">
        <v>378</v>
      </c>
      <c r="M1000" s="348" t="s">
        <v>378</v>
      </c>
      <c r="N1000" s="348" t="s">
        <v>378</v>
      </c>
      <c r="O1000" s="348" t="s">
        <v>175</v>
      </c>
      <c r="P1000" s="349">
        <v>34.398644833427397</v>
      </c>
      <c r="Q1000" s="321">
        <f t="shared" si="49"/>
        <v>9</v>
      </c>
      <c r="R1000" s="318">
        <f t="shared" si="50"/>
        <v>41807</v>
      </c>
      <c r="S1000" s="318">
        <f t="shared" si="51"/>
        <v>41816</v>
      </c>
    </row>
    <row r="1001" spans="3:19" ht="27.75" customHeight="1">
      <c r="C1001" s="345" t="s">
        <v>98</v>
      </c>
      <c r="D1001" s="345" t="s">
        <v>373</v>
      </c>
      <c r="E1001" s="345" t="s">
        <v>374</v>
      </c>
      <c r="F1001" s="345" t="s">
        <v>375</v>
      </c>
      <c r="G1001" s="346" t="s">
        <v>376</v>
      </c>
      <c r="H1001" s="339" t="s">
        <v>14</v>
      </c>
      <c r="I1001" s="345" t="s">
        <v>60</v>
      </c>
      <c r="J1001" s="316">
        <v>41807.868055555555</v>
      </c>
      <c r="K1001" s="347"/>
      <c r="L1001" s="347" t="s">
        <v>378</v>
      </c>
      <c r="M1001" s="348" t="s">
        <v>378</v>
      </c>
      <c r="N1001" s="348" t="s">
        <v>378</v>
      </c>
      <c r="O1001" s="348" t="s">
        <v>175</v>
      </c>
      <c r="P1001" s="349">
        <v>34.431394692264199</v>
      </c>
      <c r="Q1001" s="321" t="str">
        <f t="shared" si="49"/>
        <v/>
      </c>
      <c r="R1001" s="318">
        <f t="shared" si="50"/>
        <v>41807</v>
      </c>
      <c r="S1001" s="318" t="str">
        <f t="shared" si="51"/>
        <v/>
      </c>
    </row>
    <row r="1002" spans="3:19" ht="27.75" customHeight="1">
      <c r="C1002" s="345" t="s">
        <v>98</v>
      </c>
      <c r="D1002" s="345" t="s">
        <v>373</v>
      </c>
      <c r="E1002" s="345" t="s">
        <v>374</v>
      </c>
      <c r="F1002" s="345" t="s">
        <v>375</v>
      </c>
      <c r="G1002" s="346" t="s">
        <v>376</v>
      </c>
      <c r="H1002" s="345" t="s">
        <v>140</v>
      </c>
      <c r="I1002" s="345" t="s">
        <v>60</v>
      </c>
      <c r="J1002" s="316">
        <v>41807.847222222219</v>
      </c>
      <c r="K1002" s="347"/>
      <c r="L1002" s="347" t="s">
        <v>378</v>
      </c>
      <c r="M1002" s="348" t="s">
        <v>378</v>
      </c>
      <c r="N1002" s="348" t="s">
        <v>378</v>
      </c>
      <c r="O1002" s="348" t="s">
        <v>175</v>
      </c>
      <c r="P1002" s="349">
        <v>34.4641445511011</v>
      </c>
      <c r="Q1002" s="321" t="str">
        <f t="shared" si="49"/>
        <v/>
      </c>
      <c r="R1002" s="318">
        <f t="shared" si="50"/>
        <v>41807</v>
      </c>
      <c r="S1002" s="318" t="str">
        <f t="shared" si="51"/>
        <v/>
      </c>
    </row>
    <row r="1003" spans="3:19" ht="27.75" customHeight="1">
      <c r="C1003" s="345" t="s">
        <v>98</v>
      </c>
      <c r="D1003" s="345" t="s">
        <v>373</v>
      </c>
      <c r="E1003" s="345" t="s">
        <v>374</v>
      </c>
      <c r="F1003" s="345" t="s">
        <v>375</v>
      </c>
      <c r="G1003" s="346" t="s">
        <v>376</v>
      </c>
      <c r="H1003" s="339" t="s">
        <v>14</v>
      </c>
      <c r="I1003" s="345" t="s">
        <v>61</v>
      </c>
      <c r="J1003" s="316">
        <v>41807.842361111114</v>
      </c>
      <c r="K1003" s="347"/>
      <c r="L1003" s="347" t="s">
        <v>378</v>
      </c>
      <c r="M1003" s="348" t="s">
        <v>378</v>
      </c>
      <c r="N1003" s="348" t="s">
        <v>378</v>
      </c>
      <c r="O1003" s="348" t="s">
        <v>175</v>
      </c>
      <c r="P1003" s="349">
        <v>34.496894409937902</v>
      </c>
      <c r="Q1003" s="321" t="str">
        <f t="shared" si="49"/>
        <v/>
      </c>
      <c r="R1003" s="318">
        <f t="shared" si="50"/>
        <v>41807</v>
      </c>
      <c r="S1003" s="318" t="str">
        <f t="shared" si="51"/>
        <v/>
      </c>
    </row>
    <row r="1004" spans="3:19" ht="27.75" customHeight="1">
      <c r="C1004" s="345" t="s">
        <v>98</v>
      </c>
      <c r="D1004" s="345" t="s">
        <v>373</v>
      </c>
      <c r="E1004" s="345" t="s">
        <v>374</v>
      </c>
      <c r="F1004" s="345" t="s">
        <v>375</v>
      </c>
      <c r="G1004" s="346" t="s">
        <v>376</v>
      </c>
      <c r="H1004" s="339" t="s">
        <v>14</v>
      </c>
      <c r="I1004" s="345" t="s">
        <v>59</v>
      </c>
      <c r="J1004" s="316">
        <v>41807.810416666667</v>
      </c>
      <c r="K1004" s="347"/>
      <c r="L1004" s="347" t="s">
        <v>377</v>
      </c>
      <c r="M1004" s="348" t="s">
        <v>386</v>
      </c>
      <c r="N1004" s="348" t="s">
        <v>386</v>
      </c>
      <c r="O1004" s="348" t="s">
        <v>177</v>
      </c>
      <c r="P1004" s="349">
        <v>34.529644268774703</v>
      </c>
      <c r="Q1004" s="321" t="str">
        <f t="shared" si="49"/>
        <v/>
      </c>
      <c r="R1004" s="318">
        <f t="shared" si="50"/>
        <v>41807</v>
      </c>
      <c r="S1004" s="318" t="str">
        <f t="shared" si="51"/>
        <v/>
      </c>
    </row>
    <row r="1005" spans="3:19" ht="27.75" customHeight="1">
      <c r="C1005" s="345" t="s">
        <v>98</v>
      </c>
      <c r="D1005" s="345" t="s">
        <v>373</v>
      </c>
      <c r="E1005" s="345" t="s">
        <v>374</v>
      </c>
      <c r="F1005" s="345" t="s">
        <v>375</v>
      </c>
      <c r="G1005" s="346" t="s">
        <v>376</v>
      </c>
      <c r="H1005" s="339" t="s">
        <v>14</v>
      </c>
      <c r="I1005" s="345" t="s">
        <v>60</v>
      </c>
      <c r="J1005" s="316">
        <v>41807.802083333336</v>
      </c>
      <c r="K1005" s="347"/>
      <c r="L1005" s="347" t="s">
        <v>378</v>
      </c>
      <c r="M1005" s="348" t="s">
        <v>378</v>
      </c>
      <c r="N1005" s="348" t="s">
        <v>378</v>
      </c>
      <c r="O1005" s="348" t="s">
        <v>177</v>
      </c>
      <c r="P1005" s="349">
        <v>34.562394127611498</v>
      </c>
      <c r="Q1005" s="321" t="str">
        <f t="shared" si="49"/>
        <v/>
      </c>
      <c r="R1005" s="318">
        <f t="shared" si="50"/>
        <v>41807</v>
      </c>
      <c r="S1005" s="318" t="str">
        <f t="shared" si="51"/>
        <v/>
      </c>
    </row>
    <row r="1006" spans="3:19" ht="27.75" customHeight="1">
      <c r="C1006" s="345" t="s">
        <v>98</v>
      </c>
      <c r="D1006" s="345" t="s">
        <v>373</v>
      </c>
      <c r="E1006" s="345" t="s">
        <v>374</v>
      </c>
      <c r="F1006" s="345" t="s">
        <v>375</v>
      </c>
      <c r="G1006" s="346" t="s">
        <v>376</v>
      </c>
      <c r="H1006" s="339" t="s">
        <v>14</v>
      </c>
      <c r="I1006" s="345" t="s">
        <v>60</v>
      </c>
      <c r="J1006" s="316">
        <v>41807.79583333333</v>
      </c>
      <c r="K1006" s="347"/>
      <c r="L1006" s="347" t="s">
        <v>378</v>
      </c>
      <c r="M1006" s="348" t="s">
        <v>378</v>
      </c>
      <c r="N1006" s="348" t="s">
        <v>378</v>
      </c>
      <c r="O1006" s="348" t="s">
        <v>175</v>
      </c>
      <c r="P1006" s="349">
        <v>34.595143986448299</v>
      </c>
      <c r="Q1006" s="321" t="str">
        <f t="shared" si="49"/>
        <v/>
      </c>
      <c r="R1006" s="318">
        <f t="shared" si="50"/>
        <v>41807</v>
      </c>
      <c r="S1006" s="318" t="str">
        <f t="shared" si="51"/>
        <v/>
      </c>
    </row>
    <row r="1007" spans="3:19" ht="27.75" customHeight="1">
      <c r="C1007" s="345" t="s">
        <v>98</v>
      </c>
      <c r="D1007" s="345" t="s">
        <v>373</v>
      </c>
      <c r="E1007" s="345" t="s">
        <v>374</v>
      </c>
      <c r="F1007" s="345" t="s">
        <v>375</v>
      </c>
      <c r="G1007" s="346" t="s">
        <v>376</v>
      </c>
      <c r="H1007" s="339" t="s">
        <v>14</v>
      </c>
      <c r="I1007" s="345" t="s">
        <v>60</v>
      </c>
      <c r="J1007" s="316">
        <v>41807.777777777781</v>
      </c>
      <c r="K1007" s="347"/>
      <c r="L1007" s="347" t="s">
        <v>188</v>
      </c>
      <c r="M1007" s="348" t="s">
        <v>382</v>
      </c>
      <c r="N1007" s="348" t="s">
        <v>382</v>
      </c>
      <c r="O1007" s="348" t="s">
        <v>175</v>
      </c>
      <c r="P1007" s="349">
        <v>34.627893845285101</v>
      </c>
      <c r="Q1007" s="321" t="str">
        <f t="shared" si="49"/>
        <v/>
      </c>
      <c r="R1007" s="318">
        <f t="shared" si="50"/>
        <v>41807</v>
      </c>
      <c r="S1007" s="318" t="str">
        <f t="shared" si="51"/>
        <v/>
      </c>
    </row>
    <row r="1008" spans="3:19" ht="27.75" customHeight="1">
      <c r="C1008" s="345" t="s">
        <v>98</v>
      </c>
      <c r="D1008" s="345" t="s">
        <v>373</v>
      </c>
      <c r="E1008" s="345" t="s">
        <v>374</v>
      </c>
      <c r="F1008" s="345" t="s">
        <v>375</v>
      </c>
      <c r="G1008" s="346" t="s">
        <v>376</v>
      </c>
      <c r="H1008" s="345" t="s">
        <v>5</v>
      </c>
      <c r="I1008" s="345" t="s">
        <v>60</v>
      </c>
      <c r="J1008" s="316">
        <v>41807.757638888892</v>
      </c>
      <c r="K1008" s="347">
        <v>41813.757638888892</v>
      </c>
      <c r="L1008" s="347" t="s">
        <v>188</v>
      </c>
      <c r="M1008" s="348" t="s">
        <v>378</v>
      </c>
      <c r="N1008" s="348" t="s">
        <v>378</v>
      </c>
      <c r="O1008" s="348" t="s">
        <v>175</v>
      </c>
      <c r="P1008" s="349">
        <v>34.660643704121902</v>
      </c>
      <c r="Q1008" s="321">
        <f t="shared" si="49"/>
        <v>6</v>
      </c>
      <c r="R1008" s="318">
        <f t="shared" si="50"/>
        <v>41807</v>
      </c>
      <c r="S1008" s="318">
        <f t="shared" si="51"/>
        <v>41813</v>
      </c>
    </row>
    <row r="1009" spans="3:19" ht="27.75" customHeight="1">
      <c r="C1009" s="345" t="s">
        <v>98</v>
      </c>
      <c r="D1009" s="345" t="s">
        <v>373</v>
      </c>
      <c r="E1009" s="345" t="s">
        <v>374</v>
      </c>
      <c r="F1009" s="345" t="s">
        <v>375</v>
      </c>
      <c r="G1009" s="346" t="s">
        <v>376</v>
      </c>
      <c r="H1009" s="345" t="s">
        <v>140</v>
      </c>
      <c r="I1009" s="345" t="s">
        <v>60</v>
      </c>
      <c r="J1009" s="316">
        <v>41807.73541666667</v>
      </c>
      <c r="K1009" s="347"/>
      <c r="L1009" s="347" t="s">
        <v>378</v>
      </c>
      <c r="M1009" s="348" t="s">
        <v>378</v>
      </c>
      <c r="N1009" s="348" t="s">
        <v>378</v>
      </c>
      <c r="O1009" s="348" t="s">
        <v>177</v>
      </c>
      <c r="P1009" s="349">
        <v>34.693393562958803</v>
      </c>
      <c r="Q1009" s="321" t="str">
        <f t="shared" si="49"/>
        <v/>
      </c>
      <c r="R1009" s="318">
        <f t="shared" si="50"/>
        <v>41807</v>
      </c>
      <c r="S1009" s="318" t="str">
        <f t="shared" si="51"/>
        <v/>
      </c>
    </row>
    <row r="1010" spans="3:19" ht="27.75" customHeight="1">
      <c r="C1010" s="345" t="s">
        <v>98</v>
      </c>
      <c r="D1010" s="345" t="s">
        <v>373</v>
      </c>
      <c r="E1010" s="345" t="s">
        <v>374</v>
      </c>
      <c r="F1010" s="345" t="s">
        <v>375</v>
      </c>
      <c r="G1010" s="346" t="s">
        <v>376</v>
      </c>
      <c r="H1010" s="339" t="s">
        <v>14</v>
      </c>
      <c r="I1010" s="345" t="s">
        <v>61</v>
      </c>
      <c r="J1010" s="316">
        <v>41807.71875</v>
      </c>
      <c r="K1010" s="347"/>
      <c r="L1010" s="347" t="s">
        <v>378</v>
      </c>
      <c r="M1010" s="348" t="s">
        <v>378</v>
      </c>
      <c r="N1010" s="348" t="s">
        <v>378</v>
      </c>
      <c r="O1010" s="348" t="s">
        <v>177</v>
      </c>
      <c r="P1010" s="349">
        <v>34.726143421795598</v>
      </c>
      <c r="Q1010" s="321" t="str">
        <f t="shared" si="49"/>
        <v/>
      </c>
      <c r="R1010" s="318">
        <f t="shared" si="50"/>
        <v>41807</v>
      </c>
      <c r="S1010" s="318" t="str">
        <f t="shared" si="51"/>
        <v/>
      </c>
    </row>
    <row r="1011" spans="3:19" ht="27.75" customHeight="1">
      <c r="C1011" s="345" t="s">
        <v>98</v>
      </c>
      <c r="D1011" s="345" t="s">
        <v>373</v>
      </c>
      <c r="E1011" s="345" t="s">
        <v>374</v>
      </c>
      <c r="F1011" s="345" t="s">
        <v>375</v>
      </c>
      <c r="G1011" s="346" t="s">
        <v>376</v>
      </c>
      <c r="H1011" s="339" t="s">
        <v>14</v>
      </c>
      <c r="I1011" s="345" t="s">
        <v>61</v>
      </c>
      <c r="J1011" s="316">
        <v>41807.711805555555</v>
      </c>
      <c r="K1011" s="347"/>
      <c r="L1011" s="347" t="s">
        <v>378</v>
      </c>
      <c r="M1011" s="348" t="s">
        <v>378</v>
      </c>
      <c r="N1011" s="348" t="s">
        <v>378</v>
      </c>
      <c r="O1011" s="348" t="s">
        <v>177</v>
      </c>
      <c r="P1011" s="349">
        <v>34.7588932806324</v>
      </c>
      <c r="Q1011" s="321" t="str">
        <f t="shared" si="49"/>
        <v/>
      </c>
      <c r="R1011" s="318">
        <f t="shared" si="50"/>
        <v>41807</v>
      </c>
      <c r="S1011" s="318" t="str">
        <f t="shared" si="51"/>
        <v/>
      </c>
    </row>
    <row r="1012" spans="3:19" ht="27.75" customHeight="1">
      <c r="C1012" s="345" t="s">
        <v>98</v>
      </c>
      <c r="D1012" s="345" t="s">
        <v>373</v>
      </c>
      <c r="E1012" s="345" t="s">
        <v>374</v>
      </c>
      <c r="F1012" s="345" t="s">
        <v>375</v>
      </c>
      <c r="G1012" s="346" t="s">
        <v>376</v>
      </c>
      <c r="H1012" s="345" t="s">
        <v>5</v>
      </c>
      <c r="I1012" s="345" t="s">
        <v>58</v>
      </c>
      <c r="J1012" s="316">
        <v>41807.702777777777</v>
      </c>
      <c r="K1012" s="347">
        <v>41813.702777777777</v>
      </c>
      <c r="L1012" s="347" t="s">
        <v>378</v>
      </c>
      <c r="M1012" s="348" t="s">
        <v>378</v>
      </c>
      <c r="N1012" s="348" t="s">
        <v>378</v>
      </c>
      <c r="O1012" s="348" t="s">
        <v>177</v>
      </c>
      <c r="P1012" s="349">
        <v>34.791643139469201</v>
      </c>
      <c r="Q1012" s="321">
        <f t="shared" si="49"/>
        <v>6</v>
      </c>
      <c r="R1012" s="318">
        <f t="shared" si="50"/>
        <v>41807</v>
      </c>
      <c r="S1012" s="318">
        <f t="shared" si="51"/>
        <v>41813</v>
      </c>
    </row>
    <row r="1013" spans="3:19" ht="27.75" customHeight="1">
      <c r="C1013" s="345" t="s">
        <v>98</v>
      </c>
      <c r="D1013" s="345" t="s">
        <v>373</v>
      </c>
      <c r="E1013" s="345" t="s">
        <v>374</v>
      </c>
      <c r="F1013" s="345" t="s">
        <v>375</v>
      </c>
      <c r="G1013" s="346" t="s">
        <v>376</v>
      </c>
      <c r="H1013" s="345" t="s">
        <v>5</v>
      </c>
      <c r="I1013" s="345" t="s">
        <v>60</v>
      </c>
      <c r="J1013" s="316">
        <v>41807.70208333333</v>
      </c>
      <c r="K1013" s="347">
        <v>41813.70208333333</v>
      </c>
      <c r="L1013" s="347" t="s">
        <v>378</v>
      </c>
      <c r="M1013" s="348" t="s">
        <v>378</v>
      </c>
      <c r="N1013" s="348" t="s">
        <v>378</v>
      </c>
      <c r="O1013" s="348" t="s">
        <v>177</v>
      </c>
      <c r="P1013" s="349">
        <v>34.824392998306003</v>
      </c>
      <c r="Q1013" s="321">
        <f t="shared" si="49"/>
        <v>6</v>
      </c>
      <c r="R1013" s="318">
        <f t="shared" si="50"/>
        <v>41807</v>
      </c>
      <c r="S1013" s="318">
        <f t="shared" si="51"/>
        <v>41813</v>
      </c>
    </row>
    <row r="1014" spans="3:19" ht="27.75" customHeight="1">
      <c r="C1014" s="345" t="s">
        <v>98</v>
      </c>
      <c r="D1014" s="345" t="s">
        <v>373</v>
      </c>
      <c r="E1014" s="345" t="s">
        <v>374</v>
      </c>
      <c r="F1014" s="345" t="s">
        <v>375</v>
      </c>
      <c r="G1014" s="346" t="s">
        <v>376</v>
      </c>
      <c r="H1014" s="339" t="s">
        <v>14</v>
      </c>
      <c r="I1014" s="345" t="s">
        <v>61</v>
      </c>
      <c r="J1014" s="316">
        <v>41807.696527777778</v>
      </c>
      <c r="K1014" s="347"/>
      <c r="L1014" s="347" t="s">
        <v>378</v>
      </c>
      <c r="M1014" s="348" t="s">
        <v>378</v>
      </c>
      <c r="N1014" s="348" t="s">
        <v>378</v>
      </c>
      <c r="O1014" s="348" t="s">
        <v>177</v>
      </c>
      <c r="P1014" s="349">
        <v>34.857142857142797</v>
      </c>
      <c r="Q1014" s="321" t="str">
        <f t="shared" si="49"/>
        <v/>
      </c>
      <c r="R1014" s="318">
        <f t="shared" si="50"/>
        <v>41807</v>
      </c>
      <c r="S1014" s="318" t="str">
        <f t="shared" si="51"/>
        <v/>
      </c>
    </row>
    <row r="1015" spans="3:19" ht="27.75" customHeight="1">
      <c r="C1015" s="345" t="s">
        <v>98</v>
      </c>
      <c r="D1015" s="345" t="s">
        <v>373</v>
      </c>
      <c r="E1015" s="345" t="s">
        <v>374</v>
      </c>
      <c r="F1015" s="345" t="s">
        <v>375</v>
      </c>
      <c r="G1015" s="346" t="s">
        <v>376</v>
      </c>
      <c r="H1015" s="345" t="s">
        <v>5</v>
      </c>
      <c r="I1015" s="345" t="s">
        <v>61</v>
      </c>
      <c r="J1015" s="316">
        <v>41807.662499999999</v>
      </c>
      <c r="K1015" s="347">
        <v>41816.662499999999</v>
      </c>
      <c r="L1015" s="347" t="s">
        <v>378</v>
      </c>
      <c r="M1015" s="348" t="s">
        <v>378</v>
      </c>
      <c r="N1015" s="348" t="s">
        <v>378</v>
      </c>
      <c r="O1015" s="348" t="s">
        <v>175</v>
      </c>
      <c r="P1015" s="349">
        <v>34.889892715979698</v>
      </c>
      <c r="Q1015" s="321">
        <f t="shared" si="49"/>
        <v>9</v>
      </c>
      <c r="R1015" s="318">
        <f t="shared" si="50"/>
        <v>41807</v>
      </c>
      <c r="S1015" s="318">
        <f t="shared" si="51"/>
        <v>41816</v>
      </c>
    </row>
    <row r="1016" spans="3:19" ht="27.75" customHeight="1">
      <c r="C1016" s="345" t="s">
        <v>98</v>
      </c>
      <c r="D1016" s="345" t="s">
        <v>373</v>
      </c>
      <c r="E1016" s="345" t="s">
        <v>374</v>
      </c>
      <c r="F1016" s="345" t="s">
        <v>375</v>
      </c>
      <c r="G1016" s="346" t="s">
        <v>376</v>
      </c>
      <c r="H1016" s="339" t="s">
        <v>14</v>
      </c>
      <c r="I1016" s="345" t="s">
        <v>60</v>
      </c>
      <c r="J1016" s="316">
        <v>41807.651388888888</v>
      </c>
      <c r="K1016" s="347"/>
      <c r="L1016" s="347" t="s">
        <v>378</v>
      </c>
      <c r="M1016" s="348" t="s">
        <v>378</v>
      </c>
      <c r="N1016" s="348" t="s">
        <v>378</v>
      </c>
      <c r="O1016" s="348" t="s">
        <v>175</v>
      </c>
      <c r="P1016" s="349">
        <v>34.9226425748165</v>
      </c>
      <c r="Q1016" s="321" t="str">
        <f t="shared" si="49"/>
        <v/>
      </c>
      <c r="R1016" s="318">
        <f t="shared" si="50"/>
        <v>41807</v>
      </c>
      <c r="S1016" s="318" t="str">
        <f t="shared" si="51"/>
        <v/>
      </c>
    </row>
    <row r="1017" spans="3:19" ht="27.75" customHeight="1">
      <c r="C1017" s="345" t="s">
        <v>98</v>
      </c>
      <c r="D1017" s="345" t="s">
        <v>373</v>
      </c>
      <c r="E1017" s="345" t="s">
        <v>374</v>
      </c>
      <c r="F1017" s="345" t="s">
        <v>375</v>
      </c>
      <c r="G1017" s="346" t="s">
        <v>376</v>
      </c>
      <c r="H1017" s="339" t="s">
        <v>14</v>
      </c>
      <c r="I1017" s="345" t="s">
        <v>60</v>
      </c>
      <c r="J1017" s="316">
        <v>41807.603472222225</v>
      </c>
      <c r="K1017" s="347"/>
      <c r="L1017" s="347" t="s">
        <v>188</v>
      </c>
      <c r="M1017" s="348" t="s">
        <v>382</v>
      </c>
      <c r="N1017" s="348" t="s">
        <v>382</v>
      </c>
      <c r="O1017" s="348" t="s">
        <v>175</v>
      </c>
      <c r="P1017" s="349">
        <v>34.955392433653302</v>
      </c>
      <c r="Q1017" s="321" t="str">
        <f t="shared" si="49"/>
        <v/>
      </c>
      <c r="R1017" s="318">
        <f t="shared" si="50"/>
        <v>41807</v>
      </c>
      <c r="S1017" s="318" t="str">
        <f t="shared" si="51"/>
        <v/>
      </c>
    </row>
    <row r="1018" spans="3:19" ht="27.75" customHeight="1">
      <c r="C1018" s="345" t="s">
        <v>98</v>
      </c>
      <c r="D1018" s="345" t="s">
        <v>373</v>
      </c>
      <c r="E1018" s="345" t="s">
        <v>374</v>
      </c>
      <c r="F1018" s="345" t="s">
        <v>375</v>
      </c>
      <c r="G1018" s="346" t="s">
        <v>376</v>
      </c>
      <c r="H1018" s="339" t="s">
        <v>14</v>
      </c>
      <c r="I1018" s="345" t="s">
        <v>60</v>
      </c>
      <c r="J1018" s="316">
        <v>41807.511111111111</v>
      </c>
      <c r="K1018" s="347"/>
      <c r="L1018" s="347" t="s">
        <v>188</v>
      </c>
      <c r="M1018" s="348" t="s">
        <v>382</v>
      </c>
      <c r="N1018" s="348" t="s">
        <v>382</v>
      </c>
      <c r="O1018" s="348" t="s">
        <v>175</v>
      </c>
      <c r="P1018" s="349">
        <v>34.988142292490103</v>
      </c>
      <c r="Q1018" s="321" t="str">
        <f t="shared" si="49"/>
        <v/>
      </c>
      <c r="R1018" s="318">
        <f t="shared" si="50"/>
        <v>41807</v>
      </c>
      <c r="S1018" s="318" t="str">
        <f t="shared" si="51"/>
        <v/>
      </c>
    </row>
    <row r="1019" spans="3:19" ht="27.75" customHeight="1">
      <c r="C1019" s="345" t="s">
        <v>98</v>
      </c>
      <c r="D1019" s="345" t="s">
        <v>373</v>
      </c>
      <c r="E1019" s="345" t="s">
        <v>374</v>
      </c>
      <c r="F1019" s="345" t="s">
        <v>375</v>
      </c>
      <c r="G1019" s="346" t="s">
        <v>376</v>
      </c>
      <c r="H1019" s="339" t="s">
        <v>14</v>
      </c>
      <c r="I1019" s="345" t="s">
        <v>60</v>
      </c>
      <c r="J1019" s="316">
        <v>41806.849305555559</v>
      </c>
      <c r="K1019" s="347"/>
      <c r="L1019" s="347" t="s">
        <v>188</v>
      </c>
      <c r="M1019" s="348" t="s">
        <v>382</v>
      </c>
      <c r="N1019" s="348" t="s">
        <v>382</v>
      </c>
      <c r="O1019" s="348" t="s">
        <v>175</v>
      </c>
      <c r="P1019" s="349">
        <v>35.020892151326898</v>
      </c>
      <c r="Q1019" s="321" t="str">
        <f t="shared" si="49"/>
        <v/>
      </c>
      <c r="R1019" s="318">
        <f t="shared" si="50"/>
        <v>41806</v>
      </c>
      <c r="S1019" s="318" t="str">
        <f t="shared" si="51"/>
        <v/>
      </c>
    </row>
    <row r="1020" spans="3:19" ht="27.75" customHeight="1">
      <c r="C1020" s="345" t="s">
        <v>98</v>
      </c>
      <c r="D1020" s="345" t="s">
        <v>373</v>
      </c>
      <c r="E1020" s="345" t="s">
        <v>374</v>
      </c>
      <c r="F1020" s="345" t="s">
        <v>375</v>
      </c>
      <c r="G1020" s="346" t="s">
        <v>376</v>
      </c>
      <c r="H1020" s="345" t="s">
        <v>5</v>
      </c>
      <c r="I1020" s="345" t="s">
        <v>60</v>
      </c>
      <c r="J1020" s="316">
        <v>41806.816666666666</v>
      </c>
      <c r="K1020" s="347">
        <v>41813.816666666666</v>
      </c>
      <c r="L1020" s="347" t="s">
        <v>377</v>
      </c>
      <c r="M1020" s="348" t="s">
        <v>378</v>
      </c>
      <c r="N1020" s="348" t="s">
        <v>378</v>
      </c>
      <c r="O1020" s="348" t="s">
        <v>175</v>
      </c>
      <c r="P1020" s="349">
        <v>35.053642010163699</v>
      </c>
      <c r="Q1020" s="321">
        <f t="shared" si="49"/>
        <v>7</v>
      </c>
      <c r="R1020" s="318">
        <f t="shared" si="50"/>
        <v>41806</v>
      </c>
      <c r="S1020" s="318">
        <f t="shared" si="51"/>
        <v>41813</v>
      </c>
    </row>
    <row r="1021" spans="3:19" ht="27.75" customHeight="1">
      <c r="C1021" s="345" t="s">
        <v>98</v>
      </c>
      <c r="D1021" s="345" t="s">
        <v>373</v>
      </c>
      <c r="E1021" s="345" t="s">
        <v>374</v>
      </c>
      <c r="F1021" s="345" t="s">
        <v>375</v>
      </c>
      <c r="G1021" s="346" t="s">
        <v>376</v>
      </c>
      <c r="H1021" s="339" t="s">
        <v>14</v>
      </c>
      <c r="I1021" s="345" t="s">
        <v>60</v>
      </c>
      <c r="J1021" s="316">
        <v>41806.815972222219</v>
      </c>
      <c r="K1021" s="347"/>
      <c r="L1021" s="347" t="s">
        <v>377</v>
      </c>
      <c r="M1021" s="348" t="s">
        <v>378</v>
      </c>
      <c r="N1021" s="348" t="s">
        <v>378</v>
      </c>
      <c r="O1021" s="348" t="s">
        <v>175</v>
      </c>
      <c r="P1021" s="349">
        <v>35.086391869000501</v>
      </c>
      <c r="Q1021" s="321" t="str">
        <f t="shared" si="49"/>
        <v/>
      </c>
      <c r="R1021" s="318">
        <f t="shared" si="50"/>
        <v>41806</v>
      </c>
      <c r="S1021" s="318" t="str">
        <f t="shared" si="51"/>
        <v/>
      </c>
    </row>
    <row r="1022" spans="3:19" ht="27.75" customHeight="1">
      <c r="C1022" s="345" t="s">
        <v>98</v>
      </c>
      <c r="D1022" s="345" t="s">
        <v>373</v>
      </c>
      <c r="E1022" s="345" t="s">
        <v>374</v>
      </c>
      <c r="F1022" s="345" t="s">
        <v>375</v>
      </c>
      <c r="G1022" s="346" t="s">
        <v>376</v>
      </c>
      <c r="H1022" s="339" t="s">
        <v>14</v>
      </c>
      <c r="I1022" s="345" t="s">
        <v>60</v>
      </c>
      <c r="J1022" s="316">
        <v>41806.815972222219</v>
      </c>
      <c r="K1022" s="347"/>
      <c r="L1022" s="347" t="s">
        <v>188</v>
      </c>
      <c r="M1022" s="348" t="s">
        <v>382</v>
      </c>
      <c r="N1022" s="348" t="s">
        <v>382</v>
      </c>
      <c r="O1022" s="348" t="s">
        <v>175</v>
      </c>
      <c r="P1022" s="349">
        <v>35.119141727837402</v>
      </c>
      <c r="Q1022" s="321" t="str">
        <f t="shared" si="49"/>
        <v/>
      </c>
      <c r="R1022" s="318">
        <f t="shared" si="50"/>
        <v>41806</v>
      </c>
      <c r="S1022" s="318" t="str">
        <f t="shared" si="51"/>
        <v/>
      </c>
    </row>
    <row r="1023" spans="3:19" ht="27.75" customHeight="1">
      <c r="C1023" s="345" t="s">
        <v>98</v>
      </c>
      <c r="D1023" s="345" t="s">
        <v>373</v>
      </c>
      <c r="E1023" s="345" t="s">
        <v>374</v>
      </c>
      <c r="F1023" s="345" t="s">
        <v>375</v>
      </c>
      <c r="G1023" s="346" t="s">
        <v>376</v>
      </c>
      <c r="H1023" s="345" t="s">
        <v>139</v>
      </c>
      <c r="I1023" s="345" t="s">
        <v>59</v>
      </c>
      <c r="J1023" s="316">
        <v>41806.81527777778</v>
      </c>
      <c r="K1023" s="347"/>
      <c r="L1023" s="347" t="s">
        <v>378</v>
      </c>
      <c r="M1023" s="348" t="s">
        <v>382</v>
      </c>
      <c r="N1023" s="348" t="s">
        <v>382</v>
      </c>
      <c r="O1023" s="348" t="s">
        <v>175</v>
      </c>
      <c r="P1023" s="349">
        <v>35.151891586674203</v>
      </c>
      <c r="Q1023" s="321" t="str">
        <f t="shared" si="49"/>
        <v/>
      </c>
      <c r="R1023" s="318">
        <f t="shared" si="50"/>
        <v>41806</v>
      </c>
      <c r="S1023" s="318" t="str">
        <f t="shared" si="51"/>
        <v/>
      </c>
    </row>
    <row r="1024" spans="3:19" ht="27.75" customHeight="1">
      <c r="C1024" s="345" t="s">
        <v>98</v>
      </c>
      <c r="D1024" s="345" t="s">
        <v>373</v>
      </c>
      <c r="E1024" s="345" t="s">
        <v>374</v>
      </c>
      <c r="F1024" s="345" t="s">
        <v>375</v>
      </c>
      <c r="G1024" s="346" t="s">
        <v>376</v>
      </c>
      <c r="H1024" s="339" t="s">
        <v>14</v>
      </c>
      <c r="I1024" s="345" t="s">
        <v>60</v>
      </c>
      <c r="J1024" s="316">
        <v>41806.81527777778</v>
      </c>
      <c r="K1024" s="347"/>
      <c r="L1024" s="347" t="s">
        <v>377</v>
      </c>
      <c r="M1024" s="348" t="s">
        <v>378</v>
      </c>
      <c r="N1024" s="348" t="s">
        <v>378</v>
      </c>
      <c r="O1024" s="348" t="s">
        <v>175</v>
      </c>
      <c r="P1024" s="349">
        <v>35.184641445510998</v>
      </c>
      <c r="Q1024" s="321" t="str">
        <f t="shared" si="49"/>
        <v/>
      </c>
      <c r="R1024" s="318">
        <f t="shared" si="50"/>
        <v>41806</v>
      </c>
      <c r="S1024" s="318" t="str">
        <f t="shared" si="51"/>
        <v/>
      </c>
    </row>
    <row r="1025" spans="3:19" ht="27.75" customHeight="1">
      <c r="C1025" s="345" t="s">
        <v>98</v>
      </c>
      <c r="D1025" s="345" t="s">
        <v>373</v>
      </c>
      <c r="E1025" s="345" t="s">
        <v>374</v>
      </c>
      <c r="F1025" s="345" t="s">
        <v>375</v>
      </c>
      <c r="G1025" s="346" t="s">
        <v>376</v>
      </c>
      <c r="H1025" s="339" t="s">
        <v>14</v>
      </c>
      <c r="I1025" s="345" t="s">
        <v>61</v>
      </c>
      <c r="J1025" s="316">
        <v>41806.814583333333</v>
      </c>
      <c r="K1025" s="347"/>
      <c r="L1025" s="347" t="s">
        <v>378</v>
      </c>
      <c r="M1025" s="348" t="s">
        <v>378</v>
      </c>
      <c r="N1025" s="348" t="s">
        <v>378</v>
      </c>
      <c r="O1025" s="348" t="s">
        <v>175</v>
      </c>
      <c r="P1025" s="349">
        <v>35.2173913043478</v>
      </c>
      <c r="Q1025" s="321" t="str">
        <f t="shared" si="49"/>
        <v/>
      </c>
      <c r="R1025" s="318">
        <f t="shared" si="50"/>
        <v>41806</v>
      </c>
      <c r="S1025" s="318" t="str">
        <f t="shared" si="51"/>
        <v/>
      </c>
    </row>
    <row r="1026" spans="3:19" ht="27.75" customHeight="1">
      <c r="C1026" s="345" t="s">
        <v>98</v>
      </c>
      <c r="D1026" s="345" t="s">
        <v>373</v>
      </c>
      <c r="E1026" s="345" t="s">
        <v>374</v>
      </c>
      <c r="F1026" s="345" t="s">
        <v>375</v>
      </c>
      <c r="G1026" s="346" t="s">
        <v>376</v>
      </c>
      <c r="H1026" s="339" t="s">
        <v>14</v>
      </c>
      <c r="I1026" s="345" t="s">
        <v>60</v>
      </c>
      <c r="J1026" s="316">
        <v>41806.813888888886</v>
      </c>
      <c r="K1026" s="347"/>
      <c r="L1026" s="347" t="s">
        <v>378</v>
      </c>
      <c r="M1026" s="348" t="s">
        <v>378</v>
      </c>
      <c r="N1026" s="348" t="s">
        <v>378</v>
      </c>
      <c r="O1026" s="348" t="s">
        <v>177</v>
      </c>
      <c r="P1026" s="349">
        <v>35.250141163184601</v>
      </c>
      <c r="Q1026" s="321" t="str">
        <f t="shared" si="49"/>
        <v/>
      </c>
      <c r="R1026" s="318">
        <f t="shared" si="50"/>
        <v>41806</v>
      </c>
      <c r="S1026" s="318" t="str">
        <f t="shared" si="51"/>
        <v/>
      </c>
    </row>
    <row r="1027" spans="3:19" ht="27.75" customHeight="1">
      <c r="C1027" s="345" t="s">
        <v>98</v>
      </c>
      <c r="D1027" s="345" t="s">
        <v>373</v>
      </c>
      <c r="E1027" s="345" t="s">
        <v>374</v>
      </c>
      <c r="F1027" s="345" t="s">
        <v>375</v>
      </c>
      <c r="G1027" s="346" t="s">
        <v>376</v>
      </c>
      <c r="H1027" s="339" t="s">
        <v>14</v>
      </c>
      <c r="I1027" s="345" t="s">
        <v>60</v>
      </c>
      <c r="J1027" s="316">
        <v>41806.813888888886</v>
      </c>
      <c r="K1027" s="347"/>
      <c r="L1027" s="347" t="s">
        <v>378</v>
      </c>
      <c r="M1027" s="348" t="s">
        <v>378</v>
      </c>
      <c r="N1027" s="348" t="s">
        <v>378</v>
      </c>
      <c r="O1027" s="348" t="s">
        <v>177</v>
      </c>
      <c r="P1027" s="349">
        <v>35.282891022021403</v>
      </c>
      <c r="Q1027" s="321" t="str">
        <f t="shared" si="49"/>
        <v/>
      </c>
      <c r="R1027" s="318">
        <f t="shared" si="50"/>
        <v>41806</v>
      </c>
      <c r="S1027" s="318" t="str">
        <f t="shared" si="51"/>
        <v/>
      </c>
    </row>
    <row r="1028" spans="3:19" ht="27.75" customHeight="1">
      <c r="C1028" s="345" t="s">
        <v>98</v>
      </c>
      <c r="D1028" s="345" t="s">
        <v>373</v>
      </c>
      <c r="E1028" s="345" t="s">
        <v>374</v>
      </c>
      <c r="F1028" s="345" t="s">
        <v>375</v>
      </c>
      <c r="G1028" s="346" t="s">
        <v>376</v>
      </c>
      <c r="H1028" s="339" t="s">
        <v>14</v>
      </c>
      <c r="I1028" s="345" t="s">
        <v>60</v>
      </c>
      <c r="J1028" s="316">
        <v>41806.813194444447</v>
      </c>
      <c r="K1028" s="347"/>
      <c r="L1028" s="347" t="s">
        <v>378</v>
      </c>
      <c r="M1028" s="348" t="s">
        <v>378</v>
      </c>
      <c r="N1028" s="348" t="s">
        <v>378</v>
      </c>
      <c r="O1028" s="348" t="s">
        <v>175</v>
      </c>
      <c r="P1028" s="349">
        <v>35.315640880858297</v>
      </c>
      <c r="Q1028" s="321" t="str">
        <f t="shared" si="49"/>
        <v/>
      </c>
      <c r="R1028" s="318">
        <f t="shared" si="50"/>
        <v>41806</v>
      </c>
      <c r="S1028" s="318" t="str">
        <f t="shared" si="51"/>
        <v/>
      </c>
    </row>
    <row r="1029" spans="3:19" ht="27.75" customHeight="1">
      <c r="C1029" s="345" t="s">
        <v>98</v>
      </c>
      <c r="D1029" s="345" t="s">
        <v>373</v>
      </c>
      <c r="E1029" s="345" t="s">
        <v>374</v>
      </c>
      <c r="F1029" s="345" t="s">
        <v>375</v>
      </c>
      <c r="G1029" s="346" t="s">
        <v>376</v>
      </c>
      <c r="H1029" s="345" t="s">
        <v>138</v>
      </c>
      <c r="I1029" s="345" t="s">
        <v>60</v>
      </c>
      <c r="J1029" s="316">
        <v>41806.811111111114</v>
      </c>
      <c r="K1029" s="347"/>
      <c r="L1029" s="347" t="s">
        <v>378</v>
      </c>
      <c r="M1029" s="348" t="s">
        <v>378</v>
      </c>
      <c r="N1029" s="348" t="s">
        <v>378</v>
      </c>
      <c r="O1029" s="348" t="s">
        <v>175</v>
      </c>
      <c r="P1029" s="349">
        <v>35.348390739695098</v>
      </c>
      <c r="Q1029" s="321" t="str">
        <f t="shared" si="49"/>
        <v/>
      </c>
      <c r="R1029" s="318">
        <f t="shared" si="50"/>
        <v>41806</v>
      </c>
      <c r="S1029" s="318" t="str">
        <f t="shared" si="51"/>
        <v/>
      </c>
    </row>
    <row r="1030" spans="3:19" ht="27.75" customHeight="1">
      <c r="C1030" s="345" t="s">
        <v>98</v>
      </c>
      <c r="D1030" s="345" t="s">
        <v>373</v>
      </c>
      <c r="E1030" s="345" t="s">
        <v>374</v>
      </c>
      <c r="F1030" s="345" t="s">
        <v>375</v>
      </c>
      <c r="G1030" s="346" t="s">
        <v>376</v>
      </c>
      <c r="H1030" s="345" t="s">
        <v>5</v>
      </c>
      <c r="I1030" s="345" t="s">
        <v>60</v>
      </c>
      <c r="J1030" s="316">
        <v>41806.810416666667</v>
      </c>
      <c r="K1030" s="347">
        <v>41815.810416666667</v>
      </c>
      <c r="L1030" s="347" t="s">
        <v>378</v>
      </c>
      <c r="M1030" s="348" t="s">
        <v>378</v>
      </c>
      <c r="N1030" s="348" t="s">
        <v>378</v>
      </c>
      <c r="O1030" s="348" t="s">
        <v>175</v>
      </c>
      <c r="P1030" s="349">
        <v>35.3811405985319</v>
      </c>
      <c r="Q1030" s="321">
        <f t="shared" si="49"/>
        <v>9</v>
      </c>
      <c r="R1030" s="318">
        <f t="shared" si="50"/>
        <v>41806</v>
      </c>
      <c r="S1030" s="318">
        <f t="shared" si="51"/>
        <v>41815</v>
      </c>
    </row>
    <row r="1031" spans="3:19" ht="27.75" customHeight="1">
      <c r="C1031" s="345" t="s">
        <v>98</v>
      </c>
      <c r="D1031" s="345" t="s">
        <v>373</v>
      </c>
      <c r="E1031" s="345" t="s">
        <v>374</v>
      </c>
      <c r="F1031" s="345" t="s">
        <v>375</v>
      </c>
      <c r="G1031" s="346" t="s">
        <v>376</v>
      </c>
      <c r="H1031" s="339" t="s">
        <v>14</v>
      </c>
      <c r="I1031" s="345" t="s">
        <v>60</v>
      </c>
      <c r="J1031" s="316">
        <v>41806.80972222222</v>
      </c>
      <c r="K1031" s="347"/>
      <c r="L1031" s="347" t="s">
        <v>378</v>
      </c>
      <c r="M1031" s="348" t="s">
        <v>378</v>
      </c>
      <c r="N1031" s="348" t="s">
        <v>378</v>
      </c>
      <c r="O1031" s="348" t="s">
        <v>177</v>
      </c>
      <c r="P1031" s="349">
        <v>35.413890457368701</v>
      </c>
      <c r="Q1031" s="321" t="str">
        <f t="shared" si="49"/>
        <v/>
      </c>
      <c r="R1031" s="318">
        <f t="shared" si="50"/>
        <v>41806</v>
      </c>
      <c r="S1031" s="318" t="str">
        <f t="shared" si="51"/>
        <v/>
      </c>
    </row>
    <row r="1032" spans="3:19" ht="27.75" customHeight="1">
      <c r="C1032" s="345" t="s">
        <v>98</v>
      </c>
      <c r="D1032" s="345" t="s">
        <v>373</v>
      </c>
      <c r="E1032" s="345" t="s">
        <v>374</v>
      </c>
      <c r="F1032" s="345" t="s">
        <v>375</v>
      </c>
      <c r="G1032" s="346" t="s">
        <v>376</v>
      </c>
      <c r="H1032" s="345" t="s">
        <v>5</v>
      </c>
      <c r="I1032" s="345" t="s">
        <v>59</v>
      </c>
      <c r="J1032" s="316">
        <v>41806.809027777781</v>
      </c>
      <c r="K1032" s="347">
        <v>41810.809027777781</v>
      </c>
      <c r="L1032" s="347" t="s">
        <v>188</v>
      </c>
      <c r="M1032" s="348" t="s">
        <v>378</v>
      </c>
      <c r="N1032" s="348" t="s">
        <v>378</v>
      </c>
      <c r="O1032" s="348" t="s">
        <v>177</v>
      </c>
      <c r="P1032" s="349">
        <v>35.446640316205503</v>
      </c>
      <c r="Q1032" s="321">
        <f t="shared" si="49"/>
        <v>4</v>
      </c>
      <c r="R1032" s="318">
        <f t="shared" si="50"/>
        <v>41806</v>
      </c>
      <c r="S1032" s="318">
        <f t="shared" si="51"/>
        <v>41810</v>
      </c>
    </row>
    <row r="1033" spans="3:19" ht="27.75" customHeight="1">
      <c r="C1033" s="345" t="s">
        <v>98</v>
      </c>
      <c r="D1033" s="345" t="s">
        <v>373</v>
      </c>
      <c r="E1033" s="345" t="s">
        <v>374</v>
      </c>
      <c r="F1033" s="345" t="s">
        <v>375</v>
      </c>
      <c r="G1033" s="346" t="s">
        <v>376</v>
      </c>
      <c r="H1033" s="339" t="s">
        <v>14</v>
      </c>
      <c r="I1033" s="345" t="s">
        <v>60</v>
      </c>
      <c r="J1033" s="316">
        <v>41806.72152777778</v>
      </c>
      <c r="K1033" s="347"/>
      <c r="L1033" s="347" t="s">
        <v>188</v>
      </c>
      <c r="M1033" s="348" t="s">
        <v>378</v>
      </c>
      <c r="N1033" s="348" t="s">
        <v>378</v>
      </c>
      <c r="O1033" s="348" t="s">
        <v>177</v>
      </c>
      <c r="P1033" s="349">
        <v>35.479390175042298</v>
      </c>
      <c r="Q1033" s="321" t="str">
        <f t="shared" si="49"/>
        <v/>
      </c>
      <c r="R1033" s="318">
        <f t="shared" si="50"/>
        <v>41806</v>
      </c>
      <c r="S1033" s="318" t="str">
        <f t="shared" si="51"/>
        <v/>
      </c>
    </row>
    <row r="1034" spans="3:19" ht="27.75" customHeight="1">
      <c r="C1034" s="345" t="s">
        <v>98</v>
      </c>
      <c r="D1034" s="345" t="s">
        <v>373</v>
      </c>
      <c r="E1034" s="345" t="s">
        <v>374</v>
      </c>
      <c r="F1034" s="345" t="s">
        <v>375</v>
      </c>
      <c r="G1034" s="346" t="s">
        <v>376</v>
      </c>
      <c r="H1034" s="339" t="s">
        <v>14</v>
      </c>
      <c r="I1034" s="345" t="s">
        <v>60</v>
      </c>
      <c r="J1034" s="316">
        <v>41806.720833333333</v>
      </c>
      <c r="K1034" s="347"/>
      <c r="L1034" s="347" t="s">
        <v>188</v>
      </c>
      <c r="M1034" s="348" t="s">
        <v>378</v>
      </c>
      <c r="N1034" s="348" t="s">
        <v>378</v>
      </c>
      <c r="O1034" s="348" t="s">
        <v>177</v>
      </c>
      <c r="P1034" s="349">
        <v>35.512140033879199</v>
      </c>
      <c r="Q1034" s="321" t="str">
        <f t="shared" si="49"/>
        <v/>
      </c>
      <c r="R1034" s="318">
        <f t="shared" si="50"/>
        <v>41806</v>
      </c>
      <c r="S1034" s="318" t="str">
        <f t="shared" si="51"/>
        <v/>
      </c>
    </row>
    <row r="1035" spans="3:19" ht="27.75" customHeight="1">
      <c r="C1035" s="345" t="s">
        <v>98</v>
      </c>
      <c r="D1035" s="345" t="s">
        <v>373</v>
      </c>
      <c r="E1035" s="345" t="s">
        <v>374</v>
      </c>
      <c r="F1035" s="345" t="s">
        <v>375</v>
      </c>
      <c r="G1035" s="346" t="s">
        <v>376</v>
      </c>
      <c r="H1035" s="339" t="s">
        <v>14</v>
      </c>
      <c r="I1035" s="345" t="s">
        <v>60</v>
      </c>
      <c r="J1035" s="316">
        <v>41806.718055555553</v>
      </c>
      <c r="K1035" s="347"/>
      <c r="L1035" s="347" t="s">
        <v>188</v>
      </c>
      <c r="M1035" s="348" t="s">
        <v>378</v>
      </c>
      <c r="N1035" s="348" t="s">
        <v>378</v>
      </c>
      <c r="O1035" s="348" t="s">
        <v>177</v>
      </c>
      <c r="P1035" s="349">
        <v>35.544889892716</v>
      </c>
      <c r="Q1035" s="321" t="str">
        <f t="shared" si="49"/>
        <v/>
      </c>
      <c r="R1035" s="318">
        <f t="shared" si="50"/>
        <v>41806</v>
      </c>
      <c r="S1035" s="318" t="str">
        <f t="shared" si="51"/>
        <v/>
      </c>
    </row>
    <row r="1036" spans="3:19" ht="27.75" customHeight="1">
      <c r="C1036" s="345" t="s">
        <v>98</v>
      </c>
      <c r="D1036" s="345" t="s">
        <v>373</v>
      </c>
      <c r="E1036" s="345" t="s">
        <v>374</v>
      </c>
      <c r="F1036" s="345" t="s">
        <v>375</v>
      </c>
      <c r="G1036" s="346" t="s">
        <v>376</v>
      </c>
      <c r="H1036" s="345" t="s">
        <v>5</v>
      </c>
      <c r="I1036" s="345" t="s">
        <v>60</v>
      </c>
      <c r="J1036" s="316">
        <v>41806.717361111114</v>
      </c>
      <c r="K1036" s="347">
        <v>41817.717361111114</v>
      </c>
      <c r="L1036" s="347" t="s">
        <v>188</v>
      </c>
      <c r="M1036" s="348" t="s">
        <v>378</v>
      </c>
      <c r="N1036" s="348" t="s">
        <v>378</v>
      </c>
      <c r="O1036" s="348" t="s">
        <v>177</v>
      </c>
      <c r="P1036" s="349">
        <v>35.577639751552802</v>
      </c>
      <c r="Q1036" s="321">
        <f t="shared" si="49"/>
        <v>11</v>
      </c>
      <c r="R1036" s="318">
        <f t="shared" si="50"/>
        <v>41806</v>
      </c>
      <c r="S1036" s="318">
        <f t="shared" si="51"/>
        <v>41817</v>
      </c>
    </row>
    <row r="1037" spans="3:19" ht="27.75" customHeight="1">
      <c r="C1037" s="345" t="s">
        <v>98</v>
      </c>
      <c r="D1037" s="345" t="s">
        <v>373</v>
      </c>
      <c r="E1037" s="345" t="s">
        <v>374</v>
      </c>
      <c r="F1037" s="345" t="s">
        <v>375</v>
      </c>
      <c r="G1037" s="346" t="s">
        <v>376</v>
      </c>
      <c r="H1037" s="339" t="s">
        <v>14</v>
      </c>
      <c r="I1037" s="345" t="s">
        <v>60</v>
      </c>
      <c r="J1037" s="316">
        <v>41806.717361111114</v>
      </c>
      <c r="K1037" s="347"/>
      <c r="L1037" s="347" t="s">
        <v>188</v>
      </c>
      <c r="M1037" s="348" t="s">
        <v>378</v>
      </c>
      <c r="N1037" s="348" t="s">
        <v>378</v>
      </c>
      <c r="O1037" s="348" t="s">
        <v>175</v>
      </c>
      <c r="P1037" s="349">
        <v>35.610389610389603</v>
      </c>
      <c r="Q1037" s="321" t="str">
        <f t="shared" si="49"/>
        <v/>
      </c>
      <c r="R1037" s="318">
        <f t="shared" si="50"/>
        <v>41806</v>
      </c>
      <c r="S1037" s="318" t="str">
        <f t="shared" si="51"/>
        <v/>
      </c>
    </row>
    <row r="1038" spans="3:19" ht="27.75" customHeight="1">
      <c r="C1038" s="345" t="s">
        <v>98</v>
      </c>
      <c r="D1038" s="345" t="s">
        <v>373</v>
      </c>
      <c r="E1038" s="345" t="s">
        <v>374</v>
      </c>
      <c r="F1038" s="345" t="s">
        <v>375</v>
      </c>
      <c r="G1038" s="346" t="s">
        <v>376</v>
      </c>
      <c r="H1038" s="345" t="s">
        <v>384</v>
      </c>
      <c r="I1038" s="345" t="s">
        <v>60</v>
      </c>
      <c r="J1038" s="316">
        <v>41806.716666666667</v>
      </c>
      <c r="K1038" s="347"/>
      <c r="L1038" s="347" t="s">
        <v>188</v>
      </c>
      <c r="M1038" s="348" t="s">
        <v>382</v>
      </c>
      <c r="N1038" s="348" t="s">
        <v>382</v>
      </c>
      <c r="O1038" s="348" t="s">
        <v>175</v>
      </c>
      <c r="P1038" s="349">
        <v>35.643139469226398</v>
      </c>
      <c r="Q1038" s="321" t="str">
        <f t="shared" si="49"/>
        <v/>
      </c>
      <c r="R1038" s="318">
        <f t="shared" si="50"/>
        <v>41806</v>
      </c>
      <c r="S1038" s="318" t="str">
        <f t="shared" si="51"/>
        <v/>
      </c>
    </row>
    <row r="1039" spans="3:19" ht="27.75" customHeight="1">
      <c r="C1039" s="345" t="s">
        <v>98</v>
      </c>
      <c r="D1039" s="345" t="s">
        <v>373</v>
      </c>
      <c r="E1039" s="345" t="s">
        <v>374</v>
      </c>
      <c r="F1039" s="345" t="s">
        <v>375</v>
      </c>
      <c r="G1039" s="346" t="s">
        <v>376</v>
      </c>
      <c r="H1039" s="345" t="s">
        <v>384</v>
      </c>
      <c r="I1039" s="345" t="s">
        <v>60</v>
      </c>
      <c r="J1039" s="316">
        <v>41806.71597222222</v>
      </c>
      <c r="K1039" s="347"/>
      <c r="L1039" s="347" t="s">
        <v>377</v>
      </c>
      <c r="M1039" s="348" t="s">
        <v>378</v>
      </c>
      <c r="N1039" s="348" t="s">
        <v>378</v>
      </c>
      <c r="O1039" s="348" t="s">
        <v>175</v>
      </c>
      <c r="P1039" s="349">
        <v>35.675889328063199</v>
      </c>
      <c r="Q1039" s="321" t="str">
        <f t="shared" si="49"/>
        <v/>
      </c>
      <c r="R1039" s="318">
        <f t="shared" si="50"/>
        <v>41806</v>
      </c>
      <c r="S1039" s="318" t="str">
        <f t="shared" si="51"/>
        <v/>
      </c>
    </row>
    <row r="1040" spans="3:19" ht="27.75" customHeight="1">
      <c r="C1040" s="345" t="s">
        <v>98</v>
      </c>
      <c r="D1040" s="345" t="s">
        <v>373</v>
      </c>
      <c r="E1040" s="345" t="s">
        <v>374</v>
      </c>
      <c r="F1040" s="345" t="s">
        <v>375</v>
      </c>
      <c r="G1040" s="346" t="s">
        <v>376</v>
      </c>
      <c r="H1040" s="345" t="s">
        <v>5</v>
      </c>
      <c r="I1040" s="345" t="s">
        <v>60</v>
      </c>
      <c r="J1040" s="316">
        <v>41806.715277777781</v>
      </c>
      <c r="K1040" s="347">
        <v>41816.715277777781</v>
      </c>
      <c r="L1040" s="347" t="s">
        <v>377</v>
      </c>
      <c r="M1040" s="348" t="s">
        <v>378</v>
      </c>
      <c r="N1040" s="348" t="s">
        <v>378</v>
      </c>
      <c r="O1040" s="348" t="s">
        <v>175</v>
      </c>
      <c r="P1040" s="349">
        <v>35.708639186900001</v>
      </c>
      <c r="Q1040" s="321">
        <f t="shared" si="49"/>
        <v>10</v>
      </c>
      <c r="R1040" s="318">
        <f t="shared" si="50"/>
        <v>41806</v>
      </c>
      <c r="S1040" s="318">
        <f t="shared" si="51"/>
        <v>41816</v>
      </c>
    </row>
    <row r="1041" spans="3:19" ht="27.75" customHeight="1">
      <c r="C1041" s="345" t="s">
        <v>98</v>
      </c>
      <c r="D1041" s="345" t="s">
        <v>373</v>
      </c>
      <c r="E1041" s="345" t="s">
        <v>374</v>
      </c>
      <c r="F1041" s="345" t="s">
        <v>375</v>
      </c>
      <c r="G1041" s="346" t="s">
        <v>376</v>
      </c>
      <c r="H1041" s="345" t="s">
        <v>5</v>
      </c>
      <c r="I1041" s="345" t="s">
        <v>60</v>
      </c>
      <c r="J1041" s="316">
        <v>41806.714583333334</v>
      </c>
      <c r="K1041" s="347">
        <v>41810.714583333334</v>
      </c>
      <c r="L1041" s="347" t="s">
        <v>377</v>
      </c>
      <c r="M1041" s="348" t="s">
        <v>378</v>
      </c>
      <c r="N1041" s="348" t="s">
        <v>378</v>
      </c>
      <c r="O1041" s="348" t="s">
        <v>175</v>
      </c>
      <c r="P1041" s="349">
        <v>35.741389045736902</v>
      </c>
      <c r="Q1041" s="321">
        <f t="shared" si="49"/>
        <v>4</v>
      </c>
      <c r="R1041" s="318">
        <f t="shared" si="50"/>
        <v>41806</v>
      </c>
      <c r="S1041" s="318">
        <f t="shared" si="51"/>
        <v>41810</v>
      </c>
    </row>
    <row r="1042" spans="3:19" ht="27.75" customHeight="1">
      <c r="C1042" s="345" t="s">
        <v>98</v>
      </c>
      <c r="D1042" s="345" t="s">
        <v>373</v>
      </c>
      <c r="E1042" s="345" t="s">
        <v>374</v>
      </c>
      <c r="F1042" s="345" t="s">
        <v>375</v>
      </c>
      <c r="G1042" s="346" t="s">
        <v>376</v>
      </c>
      <c r="H1042" s="345" t="s">
        <v>384</v>
      </c>
      <c r="I1042" s="345" t="s">
        <v>60</v>
      </c>
      <c r="J1042" s="316">
        <v>41806.70208333333</v>
      </c>
      <c r="K1042" s="347"/>
      <c r="L1042" s="347" t="s">
        <v>399</v>
      </c>
      <c r="M1042" s="348" t="s">
        <v>378</v>
      </c>
      <c r="N1042" s="348" t="s">
        <v>378</v>
      </c>
      <c r="O1042" s="348" t="s">
        <v>175</v>
      </c>
      <c r="P1042" s="349">
        <v>35.774138904573697</v>
      </c>
      <c r="Q1042" s="321" t="str">
        <f t="shared" si="49"/>
        <v/>
      </c>
      <c r="R1042" s="318">
        <f t="shared" si="50"/>
        <v>41806</v>
      </c>
      <c r="S1042" s="318" t="str">
        <f t="shared" si="51"/>
        <v/>
      </c>
    </row>
    <row r="1043" spans="3:19" ht="27.75" customHeight="1">
      <c r="C1043" s="345" t="s">
        <v>98</v>
      </c>
      <c r="D1043" s="345" t="s">
        <v>373</v>
      </c>
      <c r="E1043" s="345" t="s">
        <v>374</v>
      </c>
      <c r="F1043" s="345" t="s">
        <v>375</v>
      </c>
      <c r="G1043" s="346" t="s">
        <v>376</v>
      </c>
      <c r="H1043" s="345" t="s">
        <v>5</v>
      </c>
      <c r="I1043" s="345" t="s">
        <v>59</v>
      </c>
      <c r="J1043" s="316">
        <v>41806.693749999999</v>
      </c>
      <c r="K1043" s="347">
        <v>41814.693749999999</v>
      </c>
      <c r="L1043" s="347" t="s">
        <v>378</v>
      </c>
      <c r="M1043" s="348" t="s">
        <v>378</v>
      </c>
      <c r="N1043" s="348" t="s">
        <v>378</v>
      </c>
      <c r="O1043" s="348" t="s">
        <v>175</v>
      </c>
      <c r="P1043" s="349">
        <v>35.806888763410498</v>
      </c>
      <c r="Q1043" s="321">
        <f t="shared" si="49"/>
        <v>8</v>
      </c>
      <c r="R1043" s="318">
        <f t="shared" si="50"/>
        <v>41806</v>
      </c>
      <c r="S1043" s="318">
        <f t="shared" si="51"/>
        <v>41814</v>
      </c>
    </row>
    <row r="1044" spans="3:19" ht="27.75" customHeight="1">
      <c r="C1044" s="345" t="s">
        <v>98</v>
      </c>
      <c r="D1044" s="345" t="s">
        <v>373</v>
      </c>
      <c r="E1044" s="345" t="s">
        <v>374</v>
      </c>
      <c r="F1044" s="345" t="s">
        <v>375</v>
      </c>
      <c r="G1044" s="346" t="s">
        <v>376</v>
      </c>
      <c r="H1044" s="345" t="s">
        <v>5</v>
      </c>
      <c r="I1044" s="345" t="s">
        <v>60</v>
      </c>
      <c r="J1044" s="316">
        <v>41806.686805555553</v>
      </c>
      <c r="K1044" s="347">
        <v>41817.686805555553</v>
      </c>
      <c r="L1044" s="347" t="s">
        <v>377</v>
      </c>
      <c r="M1044" s="348" t="s">
        <v>378</v>
      </c>
      <c r="N1044" s="348" t="s">
        <v>378</v>
      </c>
      <c r="O1044" s="348" t="s">
        <v>175</v>
      </c>
      <c r="P1044" s="349">
        <v>35.8396386222473</v>
      </c>
      <c r="Q1044" s="321">
        <f t="shared" si="49"/>
        <v>11</v>
      </c>
      <c r="R1044" s="318">
        <f t="shared" si="50"/>
        <v>41806</v>
      </c>
      <c r="S1044" s="318">
        <f t="shared" si="51"/>
        <v>41817</v>
      </c>
    </row>
    <row r="1045" spans="3:19" ht="27.75" customHeight="1">
      <c r="C1045" s="345" t="s">
        <v>98</v>
      </c>
      <c r="D1045" s="345" t="s">
        <v>373</v>
      </c>
      <c r="E1045" s="345" t="s">
        <v>374</v>
      </c>
      <c r="F1045" s="345" t="s">
        <v>375</v>
      </c>
      <c r="G1045" s="346" t="s">
        <v>376</v>
      </c>
      <c r="H1045" s="339" t="s">
        <v>14</v>
      </c>
      <c r="I1045" s="345" t="s">
        <v>59</v>
      </c>
      <c r="J1045" s="316">
        <v>41806.674305555556</v>
      </c>
      <c r="K1045" s="347"/>
      <c r="L1045" s="347" t="s">
        <v>377</v>
      </c>
      <c r="M1045" s="348" t="s">
        <v>378</v>
      </c>
      <c r="N1045" s="348" t="s">
        <v>378</v>
      </c>
      <c r="O1045" s="348" t="s">
        <v>175</v>
      </c>
      <c r="P1045" s="349">
        <v>35.872388481084101</v>
      </c>
      <c r="Q1045" s="321" t="str">
        <f t="shared" si="49"/>
        <v/>
      </c>
      <c r="R1045" s="318">
        <f t="shared" si="50"/>
        <v>41806</v>
      </c>
      <c r="S1045" s="318" t="str">
        <f t="shared" si="51"/>
        <v/>
      </c>
    </row>
    <row r="1046" spans="3:19" ht="27.75" customHeight="1">
      <c r="C1046" s="345" t="s">
        <v>98</v>
      </c>
      <c r="D1046" s="345" t="s">
        <v>373</v>
      </c>
      <c r="E1046" s="345" t="s">
        <v>374</v>
      </c>
      <c r="F1046" s="345" t="s">
        <v>375</v>
      </c>
      <c r="G1046" s="346" t="s">
        <v>376</v>
      </c>
      <c r="H1046" s="339" t="s">
        <v>14</v>
      </c>
      <c r="I1046" s="345" t="s">
        <v>59</v>
      </c>
      <c r="J1046" s="316">
        <v>41806.665972222225</v>
      </c>
      <c r="K1046" s="347"/>
      <c r="L1046" s="347" t="s">
        <v>188</v>
      </c>
      <c r="M1046" s="348" t="s">
        <v>382</v>
      </c>
      <c r="N1046" s="348" t="s">
        <v>382</v>
      </c>
      <c r="O1046" s="348" t="s">
        <v>175</v>
      </c>
      <c r="P1046" s="349">
        <v>35.905138339920903</v>
      </c>
      <c r="Q1046" s="321" t="str">
        <f t="shared" si="49"/>
        <v/>
      </c>
      <c r="R1046" s="318">
        <f t="shared" si="50"/>
        <v>41806</v>
      </c>
      <c r="S1046" s="318" t="str">
        <f t="shared" si="51"/>
        <v/>
      </c>
    </row>
    <row r="1047" spans="3:19" ht="27.75" customHeight="1">
      <c r="C1047" s="345" t="s">
        <v>98</v>
      </c>
      <c r="D1047" s="345" t="s">
        <v>373</v>
      </c>
      <c r="E1047" s="345" t="s">
        <v>374</v>
      </c>
      <c r="F1047" s="345" t="s">
        <v>375</v>
      </c>
      <c r="G1047" s="346" t="s">
        <v>376</v>
      </c>
      <c r="H1047" s="339" t="s">
        <v>14</v>
      </c>
      <c r="I1047" s="345" t="s">
        <v>59</v>
      </c>
      <c r="J1047" s="316">
        <v>41806.619444444441</v>
      </c>
      <c r="K1047" s="347"/>
      <c r="L1047" s="347" t="s">
        <v>188</v>
      </c>
      <c r="M1047" s="348" t="s">
        <v>382</v>
      </c>
      <c r="N1047" s="348" t="s">
        <v>382</v>
      </c>
      <c r="O1047" s="348" t="s">
        <v>175</v>
      </c>
      <c r="P1047" s="349">
        <v>35.937888198757797</v>
      </c>
      <c r="Q1047" s="321" t="str">
        <f t="shared" si="49"/>
        <v/>
      </c>
      <c r="R1047" s="318">
        <f t="shared" si="50"/>
        <v>41806</v>
      </c>
      <c r="S1047" s="318" t="str">
        <f t="shared" si="51"/>
        <v/>
      </c>
    </row>
    <row r="1048" spans="3:19" ht="27.75" customHeight="1">
      <c r="C1048" s="345" t="s">
        <v>98</v>
      </c>
      <c r="D1048" s="345" t="s">
        <v>373</v>
      </c>
      <c r="E1048" s="345" t="s">
        <v>374</v>
      </c>
      <c r="F1048" s="345" t="s">
        <v>375</v>
      </c>
      <c r="G1048" s="346" t="s">
        <v>376</v>
      </c>
      <c r="H1048" s="345" t="s">
        <v>383</v>
      </c>
      <c r="I1048" s="345" t="s">
        <v>60</v>
      </c>
      <c r="J1048" s="316">
        <v>41806.618750000001</v>
      </c>
      <c r="K1048" s="347"/>
      <c r="L1048" s="347" t="s">
        <v>377</v>
      </c>
      <c r="M1048" s="348" t="s">
        <v>378</v>
      </c>
      <c r="N1048" s="348" t="s">
        <v>378</v>
      </c>
      <c r="O1048" s="348" t="s">
        <v>177</v>
      </c>
      <c r="P1048" s="349">
        <v>35.970638057594599</v>
      </c>
      <c r="Q1048" s="321" t="str">
        <f t="shared" si="49"/>
        <v/>
      </c>
      <c r="R1048" s="318">
        <f t="shared" si="50"/>
        <v>41806</v>
      </c>
      <c r="S1048" s="318" t="str">
        <f t="shared" si="51"/>
        <v/>
      </c>
    </row>
    <row r="1049" spans="3:19" ht="27.75" customHeight="1">
      <c r="C1049" s="345" t="s">
        <v>98</v>
      </c>
      <c r="D1049" s="345" t="s">
        <v>373</v>
      </c>
      <c r="E1049" s="345" t="s">
        <v>374</v>
      </c>
      <c r="F1049" s="345" t="s">
        <v>375</v>
      </c>
      <c r="G1049" s="346" t="s">
        <v>376</v>
      </c>
      <c r="H1049" s="345" t="s">
        <v>139</v>
      </c>
      <c r="I1049" s="345" t="s">
        <v>59</v>
      </c>
      <c r="J1049" s="316">
        <v>41806.618055555555</v>
      </c>
      <c r="K1049" s="347"/>
      <c r="L1049" s="347" t="s">
        <v>377</v>
      </c>
      <c r="M1049" s="348" t="s">
        <v>378</v>
      </c>
      <c r="N1049" s="348" t="s">
        <v>378</v>
      </c>
      <c r="O1049" s="348" t="s">
        <v>177</v>
      </c>
      <c r="P1049" s="349">
        <v>36.0033879164314</v>
      </c>
      <c r="Q1049" s="321" t="str">
        <f t="shared" si="49"/>
        <v/>
      </c>
      <c r="R1049" s="318">
        <f t="shared" si="50"/>
        <v>41806</v>
      </c>
      <c r="S1049" s="318" t="str">
        <f t="shared" si="51"/>
        <v/>
      </c>
    </row>
    <row r="1050" spans="3:19" ht="27.75" customHeight="1">
      <c r="C1050" s="345" t="s">
        <v>98</v>
      </c>
      <c r="D1050" s="345" t="s">
        <v>373</v>
      </c>
      <c r="E1050" s="345" t="s">
        <v>374</v>
      </c>
      <c r="F1050" s="345" t="s">
        <v>375</v>
      </c>
      <c r="G1050" s="346" t="s">
        <v>376</v>
      </c>
      <c r="H1050" s="345" t="s">
        <v>5</v>
      </c>
      <c r="I1050" s="345" t="s">
        <v>60</v>
      </c>
      <c r="J1050" s="316">
        <v>41806.617361111108</v>
      </c>
      <c r="K1050" s="347">
        <v>41818.617361111108</v>
      </c>
      <c r="L1050" s="347" t="s">
        <v>377</v>
      </c>
      <c r="M1050" s="348" t="s">
        <v>378</v>
      </c>
      <c r="N1050" s="348" t="s">
        <v>378</v>
      </c>
      <c r="O1050" s="348" t="s">
        <v>175</v>
      </c>
      <c r="P1050" s="349">
        <v>36.036137775268202</v>
      </c>
      <c r="Q1050" s="321">
        <f t="shared" ref="Q1050:Q1089" si="52">IF(ISERROR(DATEDIF(J1050,K1050,"D")),"",DATEDIF(J1050,K1050,"D"))</f>
        <v>12</v>
      </c>
      <c r="R1050" s="318">
        <f t="shared" ref="R1050:R1089" si="53">DATE(YEAR(J1050),MONTH(J1050),DAY(J1050))</f>
        <v>41806</v>
      </c>
      <c r="S1050" s="318">
        <f t="shared" ref="S1050:S1089" si="54">IF(K1050&lt;&gt;"",DATE(YEAR(K1050),MONTH(K1050),DAY(K1050)),"")</f>
        <v>41818</v>
      </c>
    </row>
    <row r="1051" spans="3:19" ht="27.75" customHeight="1">
      <c r="C1051" s="345" t="s">
        <v>98</v>
      </c>
      <c r="D1051" s="345" t="s">
        <v>373</v>
      </c>
      <c r="E1051" s="345" t="s">
        <v>374</v>
      </c>
      <c r="F1051" s="345" t="s">
        <v>375</v>
      </c>
      <c r="G1051" s="346" t="s">
        <v>376</v>
      </c>
      <c r="H1051" s="345" t="s">
        <v>5</v>
      </c>
      <c r="I1051" s="345" t="s">
        <v>61</v>
      </c>
      <c r="J1051" s="316">
        <v>41806.586805555555</v>
      </c>
      <c r="K1051" s="347">
        <v>41808.586805555555</v>
      </c>
      <c r="L1051" s="347" t="s">
        <v>377</v>
      </c>
      <c r="M1051" s="348" t="s">
        <v>378</v>
      </c>
      <c r="N1051" s="348" t="s">
        <v>378</v>
      </c>
      <c r="O1051" s="348" t="s">
        <v>175</v>
      </c>
      <c r="P1051" s="349">
        <v>36.068887634105003</v>
      </c>
      <c r="Q1051" s="321">
        <f t="shared" si="52"/>
        <v>2</v>
      </c>
      <c r="R1051" s="318">
        <f t="shared" si="53"/>
        <v>41806</v>
      </c>
      <c r="S1051" s="318">
        <f t="shared" si="54"/>
        <v>41808</v>
      </c>
    </row>
    <row r="1052" spans="3:19" ht="27.75" customHeight="1">
      <c r="C1052" s="345" t="s">
        <v>98</v>
      </c>
      <c r="D1052" s="345" t="s">
        <v>373</v>
      </c>
      <c r="E1052" s="345" t="s">
        <v>374</v>
      </c>
      <c r="F1052" s="345" t="s">
        <v>375</v>
      </c>
      <c r="G1052" s="346" t="s">
        <v>376</v>
      </c>
      <c r="H1052" s="339" t="s">
        <v>14</v>
      </c>
      <c r="I1052" s="345" t="s">
        <v>61</v>
      </c>
      <c r="J1052" s="316">
        <v>41806.539583333331</v>
      </c>
      <c r="K1052" s="347"/>
      <c r="L1052" s="347" t="s">
        <v>188</v>
      </c>
      <c r="M1052" s="348" t="s">
        <v>378</v>
      </c>
      <c r="N1052" s="348" t="s">
        <v>378</v>
      </c>
      <c r="O1052" s="348" t="s">
        <v>175</v>
      </c>
      <c r="P1052" s="349">
        <v>36.101637492941798</v>
      </c>
      <c r="Q1052" s="321" t="str">
        <f t="shared" si="52"/>
        <v/>
      </c>
      <c r="R1052" s="318">
        <f t="shared" si="53"/>
        <v>41806</v>
      </c>
      <c r="S1052" s="318" t="str">
        <f t="shared" si="54"/>
        <v/>
      </c>
    </row>
    <row r="1053" spans="3:19" ht="27.75" customHeight="1">
      <c r="C1053" s="345" t="s">
        <v>98</v>
      </c>
      <c r="D1053" s="345" t="s">
        <v>373</v>
      </c>
      <c r="E1053" s="345" t="s">
        <v>374</v>
      </c>
      <c r="F1053" s="345" t="s">
        <v>375</v>
      </c>
      <c r="G1053" s="346" t="s">
        <v>376</v>
      </c>
      <c r="H1053" s="339" t="s">
        <v>14</v>
      </c>
      <c r="I1053" s="345" t="s">
        <v>61</v>
      </c>
      <c r="J1053" s="316">
        <v>41806.447222222225</v>
      </c>
      <c r="K1053" s="347"/>
      <c r="L1053" s="347" t="s">
        <v>377</v>
      </c>
      <c r="M1053" s="348" t="s">
        <v>378</v>
      </c>
      <c r="N1053" s="348" t="s">
        <v>378</v>
      </c>
      <c r="O1053" s="348" t="s">
        <v>177</v>
      </c>
      <c r="P1053" s="349">
        <v>36.134387351778599</v>
      </c>
      <c r="Q1053" s="321" t="str">
        <f t="shared" si="52"/>
        <v/>
      </c>
      <c r="R1053" s="318">
        <f t="shared" si="53"/>
        <v>41806</v>
      </c>
      <c r="S1053" s="318" t="str">
        <f t="shared" si="54"/>
        <v/>
      </c>
    </row>
    <row r="1054" spans="3:19" ht="27.75" customHeight="1">
      <c r="C1054" s="345" t="s">
        <v>98</v>
      </c>
      <c r="D1054" s="345" t="s">
        <v>373</v>
      </c>
      <c r="E1054" s="345" t="s">
        <v>374</v>
      </c>
      <c r="F1054" s="345" t="s">
        <v>375</v>
      </c>
      <c r="G1054" s="346" t="s">
        <v>376</v>
      </c>
      <c r="H1054" s="339" t="s">
        <v>14</v>
      </c>
      <c r="I1054" s="345" t="s">
        <v>60</v>
      </c>
      <c r="J1054" s="316">
        <v>41803.703472222223</v>
      </c>
      <c r="K1054" s="347"/>
      <c r="L1054" s="347" t="s">
        <v>377</v>
      </c>
      <c r="M1054" s="348" t="s">
        <v>378</v>
      </c>
      <c r="N1054" s="348" t="s">
        <v>378</v>
      </c>
      <c r="O1054" s="348" t="s">
        <v>177</v>
      </c>
      <c r="P1054" s="349">
        <v>36.1671372106155</v>
      </c>
      <c r="Q1054" s="321" t="str">
        <f t="shared" si="52"/>
        <v/>
      </c>
      <c r="R1054" s="318">
        <f t="shared" si="53"/>
        <v>41803</v>
      </c>
      <c r="S1054" s="318" t="str">
        <f t="shared" si="54"/>
        <v/>
      </c>
    </row>
    <row r="1055" spans="3:19" ht="27.75" customHeight="1">
      <c r="C1055" s="345" t="s">
        <v>98</v>
      </c>
      <c r="D1055" s="345" t="s">
        <v>373</v>
      </c>
      <c r="E1055" s="345" t="s">
        <v>374</v>
      </c>
      <c r="F1055" s="345" t="s">
        <v>375</v>
      </c>
      <c r="G1055" s="346" t="s">
        <v>376</v>
      </c>
      <c r="H1055" s="339" t="s">
        <v>14</v>
      </c>
      <c r="I1055" s="345" t="s">
        <v>59</v>
      </c>
      <c r="J1055" s="316">
        <v>41803.69027777778</v>
      </c>
      <c r="K1055" s="347"/>
      <c r="L1055" s="347" t="s">
        <v>377</v>
      </c>
      <c r="M1055" s="348" t="s">
        <v>378</v>
      </c>
      <c r="N1055" s="348" t="s">
        <v>378</v>
      </c>
      <c r="O1055" s="348" t="s">
        <v>177</v>
      </c>
      <c r="P1055" s="349">
        <v>36.199887069452302</v>
      </c>
      <c r="Q1055" s="321" t="str">
        <f t="shared" si="52"/>
        <v/>
      </c>
      <c r="R1055" s="318">
        <f t="shared" si="53"/>
        <v>41803</v>
      </c>
      <c r="S1055" s="318" t="str">
        <f t="shared" si="54"/>
        <v/>
      </c>
    </row>
    <row r="1056" spans="3:19" ht="27.75" customHeight="1">
      <c r="C1056" s="345" t="s">
        <v>98</v>
      </c>
      <c r="D1056" s="345" t="s">
        <v>373</v>
      </c>
      <c r="E1056" s="345" t="s">
        <v>374</v>
      </c>
      <c r="F1056" s="345" t="s">
        <v>375</v>
      </c>
      <c r="G1056" s="346" t="s">
        <v>376</v>
      </c>
      <c r="H1056" s="339" t="s">
        <v>14</v>
      </c>
      <c r="I1056" s="345" t="s">
        <v>58</v>
      </c>
      <c r="J1056" s="316">
        <v>41803.681250000001</v>
      </c>
      <c r="K1056" s="347"/>
      <c r="L1056" s="347" t="s">
        <v>188</v>
      </c>
      <c r="M1056" s="348" t="s">
        <v>382</v>
      </c>
      <c r="N1056" s="348" t="s">
        <v>382</v>
      </c>
      <c r="O1056" s="348" t="s">
        <v>177</v>
      </c>
      <c r="P1056" s="349">
        <v>36.232636928289097</v>
      </c>
      <c r="Q1056" s="321" t="str">
        <f t="shared" si="52"/>
        <v/>
      </c>
      <c r="R1056" s="318">
        <f t="shared" si="53"/>
        <v>41803</v>
      </c>
      <c r="S1056" s="318" t="str">
        <f t="shared" si="54"/>
        <v/>
      </c>
    </row>
    <row r="1057" spans="3:19" ht="27.75" customHeight="1">
      <c r="C1057" s="345" t="s">
        <v>98</v>
      </c>
      <c r="D1057" s="345" t="s">
        <v>373</v>
      </c>
      <c r="E1057" s="345" t="s">
        <v>374</v>
      </c>
      <c r="F1057" s="345" t="s">
        <v>375</v>
      </c>
      <c r="G1057" s="346" t="s">
        <v>376</v>
      </c>
      <c r="H1057" s="339" t="s">
        <v>14</v>
      </c>
      <c r="I1057" s="345" t="s">
        <v>60</v>
      </c>
      <c r="J1057" s="316">
        <v>41803.527083333334</v>
      </c>
      <c r="K1057" s="347"/>
      <c r="L1057" s="347" t="s">
        <v>188</v>
      </c>
      <c r="M1057" s="348" t="s">
        <v>382</v>
      </c>
      <c r="N1057" s="348" t="s">
        <v>382</v>
      </c>
      <c r="O1057" s="348" t="s">
        <v>177</v>
      </c>
      <c r="P1057" s="349">
        <v>36.265386787125898</v>
      </c>
      <c r="Q1057" s="321" t="str">
        <f t="shared" si="52"/>
        <v/>
      </c>
      <c r="R1057" s="318">
        <f t="shared" si="53"/>
        <v>41803</v>
      </c>
      <c r="S1057" s="318" t="str">
        <f t="shared" si="54"/>
        <v/>
      </c>
    </row>
    <row r="1058" spans="3:19" ht="27.75" customHeight="1">
      <c r="C1058" s="345" t="s">
        <v>98</v>
      </c>
      <c r="D1058" s="345" t="s">
        <v>373</v>
      </c>
      <c r="E1058" s="345" t="s">
        <v>374</v>
      </c>
      <c r="F1058" s="345" t="s">
        <v>375</v>
      </c>
      <c r="G1058" s="346" t="s">
        <v>376</v>
      </c>
      <c r="H1058" s="339" t="s">
        <v>14</v>
      </c>
      <c r="I1058" s="345" t="s">
        <v>59</v>
      </c>
      <c r="J1058" s="316">
        <v>41803.416666666664</v>
      </c>
      <c r="K1058" s="347"/>
      <c r="L1058" s="347" t="s">
        <v>377</v>
      </c>
      <c r="M1058" s="348" t="s">
        <v>378</v>
      </c>
      <c r="N1058" s="348" t="s">
        <v>378</v>
      </c>
      <c r="O1058" s="348" t="s">
        <v>177</v>
      </c>
      <c r="P1058" s="349">
        <v>36.2981366459627</v>
      </c>
      <c r="Q1058" s="321" t="str">
        <f t="shared" si="52"/>
        <v/>
      </c>
      <c r="R1058" s="318">
        <f t="shared" si="53"/>
        <v>41803</v>
      </c>
      <c r="S1058" s="318" t="str">
        <f t="shared" si="54"/>
        <v/>
      </c>
    </row>
    <row r="1059" spans="3:19" ht="27.75" customHeight="1">
      <c r="C1059" s="345" t="s">
        <v>98</v>
      </c>
      <c r="D1059" s="345" t="s">
        <v>373</v>
      </c>
      <c r="E1059" s="345" t="s">
        <v>374</v>
      </c>
      <c r="F1059" s="345" t="s">
        <v>375</v>
      </c>
      <c r="G1059" s="346" t="s">
        <v>376</v>
      </c>
      <c r="H1059" s="345" t="s">
        <v>384</v>
      </c>
      <c r="I1059" s="345" t="s">
        <v>60</v>
      </c>
      <c r="J1059" s="316">
        <v>41803.405555555553</v>
      </c>
      <c r="K1059" s="347"/>
      <c r="L1059" s="347" t="s">
        <v>188</v>
      </c>
      <c r="M1059" s="348" t="s">
        <v>382</v>
      </c>
      <c r="N1059" s="348" t="s">
        <v>382</v>
      </c>
      <c r="O1059" s="348" t="s">
        <v>175</v>
      </c>
      <c r="P1059" s="349">
        <v>36.330886504799501</v>
      </c>
      <c r="Q1059" s="321" t="str">
        <f t="shared" si="52"/>
        <v/>
      </c>
      <c r="R1059" s="318">
        <f t="shared" si="53"/>
        <v>41803</v>
      </c>
      <c r="S1059" s="318" t="str">
        <f t="shared" si="54"/>
        <v/>
      </c>
    </row>
    <row r="1060" spans="3:19" ht="27.75" customHeight="1">
      <c r="C1060" s="345" t="s">
        <v>98</v>
      </c>
      <c r="D1060" s="345" t="s">
        <v>373</v>
      </c>
      <c r="E1060" s="345" t="s">
        <v>374</v>
      </c>
      <c r="F1060" s="345" t="s">
        <v>375</v>
      </c>
      <c r="G1060" s="346" t="s">
        <v>376</v>
      </c>
      <c r="H1060" s="339" t="s">
        <v>14</v>
      </c>
      <c r="I1060" s="345" t="s">
        <v>59</v>
      </c>
      <c r="J1060" s="316">
        <v>41796.984722222223</v>
      </c>
      <c r="K1060" s="347"/>
      <c r="L1060" s="347" t="s">
        <v>188</v>
      </c>
      <c r="M1060" s="348" t="s">
        <v>382</v>
      </c>
      <c r="N1060" s="348" t="s">
        <v>382</v>
      </c>
      <c r="O1060" s="348" t="s">
        <v>175</v>
      </c>
      <c r="P1060" s="349">
        <v>36.363636363636303</v>
      </c>
      <c r="Q1060" s="321" t="str">
        <f t="shared" si="52"/>
        <v/>
      </c>
      <c r="R1060" s="318">
        <f t="shared" si="53"/>
        <v>41796</v>
      </c>
      <c r="S1060" s="318" t="str">
        <f t="shared" si="54"/>
        <v/>
      </c>
    </row>
    <row r="1061" spans="3:19" ht="27.75" customHeight="1">
      <c r="C1061" s="345" t="s">
        <v>98</v>
      </c>
      <c r="D1061" s="345" t="s">
        <v>373</v>
      </c>
      <c r="E1061" s="345" t="s">
        <v>374</v>
      </c>
      <c r="F1061" s="345" t="s">
        <v>375</v>
      </c>
      <c r="G1061" s="346" t="s">
        <v>376</v>
      </c>
      <c r="H1061" s="339" t="s">
        <v>14</v>
      </c>
      <c r="I1061" s="345" t="s">
        <v>59</v>
      </c>
      <c r="J1061" s="316">
        <v>41796.981249999997</v>
      </c>
      <c r="K1061" s="347"/>
      <c r="L1061" s="347" t="s">
        <v>188</v>
      </c>
      <c r="M1061" s="348" t="s">
        <v>382</v>
      </c>
      <c r="N1061" s="348" t="s">
        <v>382</v>
      </c>
      <c r="O1061" s="348" t="s">
        <v>175</v>
      </c>
      <c r="P1061" s="349">
        <v>36.396386222473197</v>
      </c>
      <c r="Q1061" s="321" t="str">
        <f t="shared" si="52"/>
        <v/>
      </c>
      <c r="R1061" s="318">
        <f t="shared" si="53"/>
        <v>41796</v>
      </c>
      <c r="S1061" s="318" t="str">
        <f t="shared" si="54"/>
        <v/>
      </c>
    </row>
    <row r="1062" spans="3:19" ht="27.75" customHeight="1">
      <c r="C1062" s="345" t="s">
        <v>98</v>
      </c>
      <c r="D1062" s="345" t="s">
        <v>373</v>
      </c>
      <c r="E1062" s="345" t="s">
        <v>374</v>
      </c>
      <c r="F1062" s="345" t="s">
        <v>375</v>
      </c>
      <c r="G1062" s="346" t="s">
        <v>376</v>
      </c>
      <c r="H1062" s="345" t="s">
        <v>5</v>
      </c>
      <c r="I1062" s="345" t="s">
        <v>59</v>
      </c>
      <c r="J1062" s="316">
        <v>41796.683333333334</v>
      </c>
      <c r="K1062" s="347">
        <v>41806.683333333334</v>
      </c>
      <c r="L1062" s="347" t="s">
        <v>188</v>
      </c>
      <c r="M1062" s="348" t="s">
        <v>382</v>
      </c>
      <c r="N1062" s="348" t="s">
        <v>382</v>
      </c>
      <c r="O1062" s="348" t="s">
        <v>175</v>
      </c>
      <c r="P1062" s="349">
        <v>36.429136081309998</v>
      </c>
      <c r="Q1062" s="321">
        <f t="shared" si="52"/>
        <v>10</v>
      </c>
      <c r="R1062" s="318">
        <f t="shared" si="53"/>
        <v>41796</v>
      </c>
      <c r="S1062" s="318">
        <f t="shared" si="54"/>
        <v>41806</v>
      </c>
    </row>
    <row r="1063" spans="3:19" ht="27.75" customHeight="1">
      <c r="C1063" s="345" t="s">
        <v>98</v>
      </c>
      <c r="D1063" s="345" t="s">
        <v>373</v>
      </c>
      <c r="E1063" s="345" t="s">
        <v>374</v>
      </c>
      <c r="F1063" s="345" t="s">
        <v>375</v>
      </c>
      <c r="G1063" s="346" t="s">
        <v>376</v>
      </c>
      <c r="H1063" s="345" t="s">
        <v>384</v>
      </c>
      <c r="I1063" s="345" t="s">
        <v>60</v>
      </c>
      <c r="J1063" s="316">
        <v>41796.636111111111</v>
      </c>
      <c r="K1063" s="347"/>
      <c r="L1063" s="347" t="s">
        <v>188</v>
      </c>
      <c r="M1063" s="348" t="s">
        <v>382</v>
      </c>
      <c r="N1063" s="348" t="s">
        <v>382</v>
      </c>
      <c r="O1063" s="348" t="s">
        <v>175</v>
      </c>
      <c r="P1063" s="349">
        <v>36.4618859401468</v>
      </c>
      <c r="Q1063" s="321" t="str">
        <f t="shared" si="52"/>
        <v/>
      </c>
      <c r="R1063" s="318">
        <f t="shared" si="53"/>
        <v>41796</v>
      </c>
      <c r="S1063" s="318" t="str">
        <f t="shared" si="54"/>
        <v/>
      </c>
    </row>
    <row r="1064" spans="3:19" ht="27.75" customHeight="1">
      <c r="C1064" s="345" t="s">
        <v>98</v>
      </c>
      <c r="D1064" s="345" t="s">
        <v>373</v>
      </c>
      <c r="E1064" s="345" t="s">
        <v>374</v>
      </c>
      <c r="F1064" s="345" t="s">
        <v>375</v>
      </c>
      <c r="G1064" s="346" t="s">
        <v>376</v>
      </c>
      <c r="H1064" s="345" t="s">
        <v>5</v>
      </c>
      <c r="I1064" s="345" t="s">
        <v>60</v>
      </c>
      <c r="J1064" s="316">
        <v>41796.597916666666</v>
      </c>
      <c r="K1064" s="347">
        <v>41817.597916666666</v>
      </c>
      <c r="L1064" s="347" t="s">
        <v>188</v>
      </c>
      <c r="M1064" s="348" t="s">
        <v>382</v>
      </c>
      <c r="N1064" s="348" t="s">
        <v>382</v>
      </c>
      <c r="O1064" s="348" t="s">
        <v>175</v>
      </c>
      <c r="P1064" s="349">
        <v>36.494635798983602</v>
      </c>
      <c r="Q1064" s="321">
        <f t="shared" si="52"/>
        <v>21</v>
      </c>
      <c r="R1064" s="318">
        <f t="shared" si="53"/>
        <v>41796</v>
      </c>
      <c r="S1064" s="318">
        <f t="shared" si="54"/>
        <v>41817</v>
      </c>
    </row>
    <row r="1065" spans="3:19" ht="27.75" customHeight="1">
      <c r="C1065" s="345" t="s">
        <v>98</v>
      </c>
      <c r="D1065" s="345" t="s">
        <v>373</v>
      </c>
      <c r="E1065" s="345" t="s">
        <v>374</v>
      </c>
      <c r="F1065" s="345" t="s">
        <v>375</v>
      </c>
      <c r="G1065" s="346" t="s">
        <v>376</v>
      </c>
      <c r="H1065" s="345" t="s">
        <v>5</v>
      </c>
      <c r="I1065" s="345" t="s">
        <v>60</v>
      </c>
      <c r="J1065" s="316">
        <v>41796.568055555559</v>
      </c>
      <c r="K1065" s="347">
        <v>41817.568055555559</v>
      </c>
      <c r="L1065" s="347" t="s">
        <v>188</v>
      </c>
      <c r="M1065" s="348" t="s">
        <v>382</v>
      </c>
      <c r="N1065" s="348" t="s">
        <v>382</v>
      </c>
      <c r="O1065" s="348" t="s">
        <v>175</v>
      </c>
      <c r="P1065" s="349">
        <v>36.527385657820403</v>
      </c>
      <c r="Q1065" s="321">
        <f t="shared" si="52"/>
        <v>21</v>
      </c>
      <c r="R1065" s="318">
        <f t="shared" si="53"/>
        <v>41796</v>
      </c>
      <c r="S1065" s="318">
        <f t="shared" si="54"/>
        <v>41817</v>
      </c>
    </row>
    <row r="1066" spans="3:19" ht="27.75" customHeight="1">
      <c r="C1066" s="345" t="s">
        <v>98</v>
      </c>
      <c r="D1066" s="345" t="s">
        <v>373</v>
      </c>
      <c r="E1066" s="345" t="s">
        <v>374</v>
      </c>
      <c r="F1066" s="345" t="s">
        <v>375</v>
      </c>
      <c r="G1066" s="346" t="s">
        <v>376</v>
      </c>
      <c r="H1066" s="345" t="s">
        <v>384</v>
      </c>
      <c r="I1066" s="345" t="s">
        <v>60</v>
      </c>
      <c r="J1066" s="316">
        <v>41796.555555555555</v>
      </c>
      <c r="K1066" s="347"/>
      <c r="L1066" s="347" t="s">
        <v>188</v>
      </c>
      <c r="M1066" s="348" t="s">
        <v>382</v>
      </c>
      <c r="N1066" s="348" t="s">
        <v>382</v>
      </c>
      <c r="O1066" s="348" t="s">
        <v>175</v>
      </c>
      <c r="P1066" s="349">
        <v>36.560135516657198</v>
      </c>
      <c r="Q1066" s="321" t="str">
        <f t="shared" si="52"/>
        <v/>
      </c>
      <c r="R1066" s="318">
        <f t="shared" si="53"/>
        <v>41796</v>
      </c>
      <c r="S1066" s="318" t="str">
        <f t="shared" si="54"/>
        <v/>
      </c>
    </row>
    <row r="1067" spans="3:19" ht="27.75" customHeight="1">
      <c r="C1067" s="345" t="s">
        <v>98</v>
      </c>
      <c r="D1067" s="345" t="s">
        <v>373</v>
      </c>
      <c r="E1067" s="345" t="s">
        <v>374</v>
      </c>
      <c r="F1067" s="345" t="s">
        <v>375</v>
      </c>
      <c r="G1067" s="346" t="s">
        <v>376</v>
      </c>
      <c r="H1067" s="339" t="s">
        <v>14</v>
      </c>
      <c r="I1067" s="345" t="s">
        <v>60</v>
      </c>
      <c r="J1067" s="316">
        <v>41796.534722222219</v>
      </c>
      <c r="K1067" s="347"/>
      <c r="L1067" s="347" t="s">
        <v>188</v>
      </c>
      <c r="M1067" s="348" t="s">
        <v>382</v>
      </c>
      <c r="N1067" s="348" t="s">
        <v>382</v>
      </c>
      <c r="O1067" s="348" t="s">
        <v>175</v>
      </c>
      <c r="P1067" s="349">
        <v>36.592885375494099</v>
      </c>
      <c r="Q1067" s="321" t="str">
        <f t="shared" si="52"/>
        <v/>
      </c>
      <c r="R1067" s="318">
        <f t="shared" si="53"/>
        <v>41796</v>
      </c>
      <c r="S1067" s="318" t="str">
        <f t="shared" si="54"/>
        <v/>
      </c>
    </row>
    <row r="1068" spans="3:19" ht="27.75" customHeight="1">
      <c r="C1068" s="345" t="s">
        <v>98</v>
      </c>
      <c r="D1068" s="345" t="s">
        <v>373</v>
      </c>
      <c r="E1068" s="345" t="s">
        <v>374</v>
      </c>
      <c r="F1068" s="345" t="s">
        <v>375</v>
      </c>
      <c r="G1068" s="346" t="s">
        <v>376</v>
      </c>
      <c r="H1068" s="339" t="s">
        <v>14</v>
      </c>
      <c r="I1068" s="345" t="s">
        <v>59</v>
      </c>
      <c r="J1068" s="316">
        <v>41796.529861111114</v>
      </c>
      <c r="K1068" s="347"/>
      <c r="L1068" s="347" t="s">
        <v>378</v>
      </c>
      <c r="M1068" s="348" t="s">
        <v>378</v>
      </c>
      <c r="N1068" s="348" t="s">
        <v>378</v>
      </c>
      <c r="O1068" s="348" t="s">
        <v>175</v>
      </c>
      <c r="P1068" s="349">
        <v>36.6256352343309</v>
      </c>
      <c r="Q1068" s="321" t="str">
        <f t="shared" si="52"/>
        <v/>
      </c>
      <c r="R1068" s="318">
        <f t="shared" si="53"/>
        <v>41796</v>
      </c>
      <c r="S1068" s="318" t="str">
        <f t="shared" si="54"/>
        <v/>
      </c>
    </row>
    <row r="1069" spans="3:19" ht="27.75" customHeight="1">
      <c r="C1069" s="345" t="s">
        <v>98</v>
      </c>
      <c r="D1069" s="345" t="s">
        <v>373</v>
      </c>
      <c r="E1069" s="345" t="s">
        <v>374</v>
      </c>
      <c r="F1069" s="345" t="s">
        <v>375</v>
      </c>
      <c r="G1069" s="346" t="s">
        <v>376</v>
      </c>
      <c r="H1069" s="345" t="s">
        <v>5</v>
      </c>
      <c r="I1069" s="345" t="s">
        <v>61</v>
      </c>
      <c r="J1069" s="316">
        <v>41796.491666666669</v>
      </c>
      <c r="K1069" s="347">
        <v>41817.491666666669</v>
      </c>
      <c r="L1069" s="347" t="s">
        <v>378</v>
      </c>
      <c r="M1069" s="348" t="s">
        <v>378</v>
      </c>
      <c r="N1069" s="348" t="s">
        <v>378</v>
      </c>
      <c r="O1069" s="348" t="s">
        <v>175</v>
      </c>
      <c r="P1069" s="349">
        <v>36.658385093167702</v>
      </c>
      <c r="Q1069" s="321">
        <f t="shared" si="52"/>
        <v>21</v>
      </c>
      <c r="R1069" s="318">
        <f t="shared" si="53"/>
        <v>41796</v>
      </c>
      <c r="S1069" s="318">
        <f t="shared" si="54"/>
        <v>41817</v>
      </c>
    </row>
    <row r="1070" spans="3:19" ht="27.75" customHeight="1">
      <c r="C1070" s="345" t="s">
        <v>98</v>
      </c>
      <c r="D1070" s="345" t="s">
        <v>373</v>
      </c>
      <c r="E1070" s="345" t="s">
        <v>374</v>
      </c>
      <c r="F1070" s="345" t="s">
        <v>375</v>
      </c>
      <c r="G1070" s="346" t="s">
        <v>376</v>
      </c>
      <c r="H1070" s="345" t="s">
        <v>138</v>
      </c>
      <c r="I1070" s="345" t="s">
        <v>60</v>
      </c>
      <c r="J1070" s="316">
        <v>41796.489583333336</v>
      </c>
      <c r="K1070" s="347"/>
      <c r="L1070" s="347" t="s">
        <v>378</v>
      </c>
      <c r="M1070" s="348" t="s">
        <v>378</v>
      </c>
      <c r="N1070" s="348" t="s">
        <v>378</v>
      </c>
      <c r="O1070" s="348" t="s">
        <v>177</v>
      </c>
      <c r="P1070" s="349">
        <v>36.691134952004496</v>
      </c>
      <c r="Q1070" s="321" t="str">
        <f t="shared" si="52"/>
        <v/>
      </c>
      <c r="R1070" s="318">
        <f t="shared" si="53"/>
        <v>41796</v>
      </c>
      <c r="S1070" s="318" t="str">
        <f t="shared" si="54"/>
        <v/>
      </c>
    </row>
    <row r="1071" spans="3:19" ht="27.75" customHeight="1">
      <c r="C1071" s="345" t="s">
        <v>98</v>
      </c>
      <c r="D1071" s="345" t="s">
        <v>373</v>
      </c>
      <c r="E1071" s="345" t="s">
        <v>374</v>
      </c>
      <c r="F1071" s="345" t="s">
        <v>375</v>
      </c>
      <c r="G1071" s="346" t="s">
        <v>376</v>
      </c>
      <c r="H1071" s="339" t="s">
        <v>14</v>
      </c>
      <c r="I1071" s="345" t="s">
        <v>59</v>
      </c>
      <c r="J1071" s="316">
        <v>41796.48333333333</v>
      </c>
      <c r="K1071" s="347"/>
      <c r="L1071" s="347" t="s">
        <v>188</v>
      </c>
      <c r="M1071" s="348" t="s">
        <v>382</v>
      </c>
      <c r="N1071" s="348" t="s">
        <v>382</v>
      </c>
      <c r="O1071" s="348" t="s">
        <v>177</v>
      </c>
      <c r="P1071" s="349">
        <v>36.723884810841298</v>
      </c>
      <c r="Q1071" s="321" t="str">
        <f t="shared" si="52"/>
        <v/>
      </c>
      <c r="R1071" s="318">
        <f t="shared" si="53"/>
        <v>41796</v>
      </c>
      <c r="S1071" s="318" t="str">
        <f t="shared" si="54"/>
        <v/>
      </c>
    </row>
    <row r="1072" spans="3:19" ht="27.75" customHeight="1">
      <c r="C1072" s="345" t="s">
        <v>98</v>
      </c>
      <c r="D1072" s="345" t="s">
        <v>373</v>
      </c>
      <c r="E1072" s="345" t="s">
        <v>374</v>
      </c>
      <c r="F1072" s="345" t="s">
        <v>375</v>
      </c>
      <c r="G1072" s="346" t="s">
        <v>376</v>
      </c>
      <c r="H1072" s="339" t="s">
        <v>14</v>
      </c>
      <c r="I1072" s="345" t="s">
        <v>59</v>
      </c>
      <c r="J1072" s="316">
        <v>41796.481249999997</v>
      </c>
      <c r="K1072" s="347"/>
      <c r="L1072" s="347" t="s">
        <v>378</v>
      </c>
      <c r="M1072" s="348" t="s">
        <v>378</v>
      </c>
      <c r="N1072" s="348" t="s">
        <v>378</v>
      </c>
      <c r="O1072" s="348" t="s">
        <v>175</v>
      </c>
      <c r="P1072" s="349">
        <v>36.7566346696781</v>
      </c>
      <c r="Q1072" s="321" t="str">
        <f t="shared" si="52"/>
        <v/>
      </c>
      <c r="R1072" s="318">
        <f t="shared" si="53"/>
        <v>41796</v>
      </c>
      <c r="S1072" s="318" t="str">
        <f t="shared" si="54"/>
        <v/>
      </c>
    </row>
    <row r="1073" spans="3:19" ht="27.75" customHeight="1">
      <c r="C1073" s="345" t="s">
        <v>98</v>
      </c>
      <c r="D1073" s="345" t="s">
        <v>373</v>
      </c>
      <c r="E1073" s="345" t="s">
        <v>374</v>
      </c>
      <c r="F1073" s="345" t="s">
        <v>375</v>
      </c>
      <c r="G1073" s="346" t="s">
        <v>376</v>
      </c>
      <c r="H1073" s="339" t="s">
        <v>14</v>
      </c>
      <c r="I1073" s="345" t="s">
        <v>59</v>
      </c>
      <c r="J1073" s="316">
        <v>41807.836111111108</v>
      </c>
      <c r="K1073" s="347"/>
      <c r="L1073" s="347" t="s">
        <v>188</v>
      </c>
      <c r="M1073" s="348" t="s">
        <v>382</v>
      </c>
      <c r="N1073" s="348" t="s">
        <v>382</v>
      </c>
      <c r="O1073" s="348" t="s">
        <v>175</v>
      </c>
      <c r="P1073" s="349">
        <v>36.789384528514901</v>
      </c>
      <c r="Q1073" s="321" t="str">
        <f t="shared" si="52"/>
        <v/>
      </c>
      <c r="R1073" s="318">
        <f t="shared" si="53"/>
        <v>41807</v>
      </c>
      <c r="S1073" s="318" t="str">
        <f t="shared" si="54"/>
        <v/>
      </c>
    </row>
    <row r="1074" spans="3:19" ht="27.75" customHeight="1">
      <c r="C1074" s="345" t="s">
        <v>98</v>
      </c>
      <c r="D1074" s="345" t="s">
        <v>373</v>
      </c>
      <c r="E1074" s="345" t="s">
        <v>374</v>
      </c>
      <c r="F1074" s="345" t="s">
        <v>375</v>
      </c>
      <c r="G1074" s="346" t="s">
        <v>376</v>
      </c>
      <c r="H1074" s="345" t="s">
        <v>5</v>
      </c>
      <c r="I1074" s="345" t="s">
        <v>59</v>
      </c>
      <c r="J1074" s="316">
        <v>41807.804166666669</v>
      </c>
      <c r="K1074" s="347">
        <v>41803.804166666669</v>
      </c>
      <c r="L1074" s="347" t="s">
        <v>188</v>
      </c>
      <c r="M1074" s="348" t="s">
        <v>382</v>
      </c>
      <c r="N1074" s="348" t="s">
        <v>382</v>
      </c>
      <c r="O1074" s="348" t="s">
        <v>175</v>
      </c>
      <c r="P1074" s="349">
        <v>36.822134387351802</v>
      </c>
      <c r="Q1074" s="321" t="str">
        <f t="shared" si="52"/>
        <v/>
      </c>
      <c r="R1074" s="318">
        <f t="shared" si="53"/>
        <v>41807</v>
      </c>
      <c r="S1074" s="318">
        <f t="shared" si="54"/>
        <v>41803</v>
      </c>
    </row>
    <row r="1075" spans="3:19" ht="27.75" customHeight="1">
      <c r="C1075" s="345" t="s">
        <v>98</v>
      </c>
      <c r="D1075" s="345" t="s">
        <v>373</v>
      </c>
      <c r="E1075" s="345" t="s">
        <v>374</v>
      </c>
      <c r="F1075" s="345" t="s">
        <v>375</v>
      </c>
      <c r="G1075" s="346" t="s">
        <v>376</v>
      </c>
      <c r="H1075" s="345" t="s">
        <v>5</v>
      </c>
      <c r="I1075" s="345" t="s">
        <v>59</v>
      </c>
      <c r="J1075" s="316">
        <v>41807.697222222225</v>
      </c>
      <c r="K1075" s="347">
        <v>41808.697222222225</v>
      </c>
      <c r="L1075" s="347" t="s">
        <v>378</v>
      </c>
      <c r="M1075" s="348" t="s">
        <v>378</v>
      </c>
      <c r="N1075" s="348" t="s">
        <v>378</v>
      </c>
      <c r="O1075" s="348" t="s">
        <v>177</v>
      </c>
      <c r="P1075" s="349">
        <v>36.854884246188597</v>
      </c>
      <c r="Q1075" s="321">
        <f t="shared" si="52"/>
        <v>1</v>
      </c>
      <c r="R1075" s="318">
        <f t="shared" si="53"/>
        <v>41807</v>
      </c>
      <c r="S1075" s="318">
        <f t="shared" si="54"/>
        <v>41808</v>
      </c>
    </row>
    <row r="1076" spans="3:19" ht="27.75" customHeight="1">
      <c r="C1076" s="345" t="s">
        <v>98</v>
      </c>
      <c r="D1076" s="345" t="s">
        <v>373</v>
      </c>
      <c r="E1076" s="345" t="s">
        <v>374</v>
      </c>
      <c r="F1076" s="345" t="s">
        <v>375</v>
      </c>
      <c r="G1076" s="346" t="s">
        <v>376</v>
      </c>
      <c r="H1076" s="345" t="s">
        <v>5</v>
      </c>
      <c r="I1076" s="345" t="s">
        <v>59</v>
      </c>
      <c r="J1076" s="316">
        <v>41807.694444444445</v>
      </c>
      <c r="K1076" s="347">
        <v>41805.694444444445</v>
      </c>
      <c r="L1076" s="347" t="s">
        <v>378</v>
      </c>
      <c r="M1076" s="348" t="s">
        <v>378</v>
      </c>
      <c r="N1076" s="348" t="s">
        <v>378</v>
      </c>
      <c r="O1076" s="348" t="s">
        <v>177</v>
      </c>
      <c r="P1076" s="349">
        <v>36.887634105025398</v>
      </c>
      <c r="Q1076" s="321" t="str">
        <f t="shared" si="52"/>
        <v/>
      </c>
      <c r="R1076" s="318">
        <f t="shared" si="53"/>
        <v>41807</v>
      </c>
      <c r="S1076" s="318">
        <f t="shared" si="54"/>
        <v>41805</v>
      </c>
    </row>
    <row r="1077" spans="3:19" ht="27.75" customHeight="1">
      <c r="C1077" s="345" t="s">
        <v>98</v>
      </c>
      <c r="D1077" s="345" t="s">
        <v>373</v>
      </c>
      <c r="E1077" s="345" t="s">
        <v>374</v>
      </c>
      <c r="F1077" s="345" t="s">
        <v>375</v>
      </c>
      <c r="G1077" s="346" t="s">
        <v>376</v>
      </c>
      <c r="H1077" s="345" t="s">
        <v>5</v>
      </c>
      <c r="I1077" s="345" t="s">
        <v>59</v>
      </c>
      <c r="J1077" s="316">
        <v>41807.693055555559</v>
      </c>
      <c r="K1077" s="347">
        <v>41817.693055555559</v>
      </c>
      <c r="L1077" s="347" t="s">
        <v>378</v>
      </c>
      <c r="M1077" s="348" t="s">
        <v>378</v>
      </c>
      <c r="N1077" s="348" t="s">
        <v>378</v>
      </c>
      <c r="O1077" s="348" t="s">
        <v>177</v>
      </c>
      <c r="P1077" s="349">
        <v>36.9203839638622</v>
      </c>
      <c r="Q1077" s="321">
        <f t="shared" si="52"/>
        <v>10</v>
      </c>
      <c r="R1077" s="318">
        <f t="shared" si="53"/>
        <v>41807</v>
      </c>
      <c r="S1077" s="318">
        <f t="shared" si="54"/>
        <v>41817</v>
      </c>
    </row>
    <row r="1078" spans="3:19" ht="27.75" customHeight="1">
      <c r="C1078" s="345" t="s">
        <v>98</v>
      </c>
      <c r="D1078" s="345" t="s">
        <v>373</v>
      </c>
      <c r="E1078" s="345" t="s">
        <v>374</v>
      </c>
      <c r="F1078" s="345" t="s">
        <v>375</v>
      </c>
      <c r="G1078" s="346" t="s">
        <v>376</v>
      </c>
      <c r="H1078" s="339" t="s">
        <v>14</v>
      </c>
      <c r="I1078" s="345" t="s">
        <v>60</v>
      </c>
      <c r="J1078" s="316">
        <v>41807.690972222219</v>
      </c>
      <c r="K1078" s="347"/>
      <c r="L1078" s="347" t="s">
        <v>378</v>
      </c>
      <c r="M1078" s="348" t="s">
        <v>378</v>
      </c>
      <c r="N1078" s="348" t="s">
        <v>378</v>
      </c>
      <c r="O1078" s="348" t="s">
        <v>177</v>
      </c>
      <c r="P1078" s="349">
        <v>36.953133822699002</v>
      </c>
      <c r="Q1078" s="321" t="str">
        <f t="shared" si="52"/>
        <v/>
      </c>
      <c r="R1078" s="318">
        <f t="shared" si="53"/>
        <v>41807</v>
      </c>
      <c r="S1078" s="318" t="str">
        <f t="shared" si="54"/>
        <v/>
      </c>
    </row>
    <row r="1079" spans="3:19" ht="27.75" customHeight="1">
      <c r="C1079" s="345" t="s">
        <v>98</v>
      </c>
      <c r="D1079" s="345" t="s">
        <v>373</v>
      </c>
      <c r="E1079" s="345" t="s">
        <v>374</v>
      </c>
      <c r="F1079" s="345" t="s">
        <v>375</v>
      </c>
      <c r="G1079" s="346" t="s">
        <v>376</v>
      </c>
      <c r="H1079" s="339" t="s">
        <v>14</v>
      </c>
      <c r="I1079" s="345" t="s">
        <v>59</v>
      </c>
      <c r="J1079" s="316">
        <v>41807.689583333333</v>
      </c>
      <c r="K1079" s="347"/>
      <c r="L1079" s="347" t="s">
        <v>378</v>
      </c>
      <c r="M1079" s="348" t="s">
        <v>378</v>
      </c>
      <c r="N1079" s="348" t="s">
        <v>378</v>
      </c>
      <c r="O1079" s="348" t="s">
        <v>177</v>
      </c>
      <c r="P1079" s="349">
        <v>36.985883681535803</v>
      </c>
      <c r="Q1079" s="321" t="str">
        <f t="shared" si="52"/>
        <v/>
      </c>
      <c r="R1079" s="318">
        <f t="shared" si="53"/>
        <v>41807</v>
      </c>
      <c r="S1079" s="318" t="str">
        <f t="shared" si="54"/>
        <v/>
      </c>
    </row>
    <row r="1080" spans="3:19" ht="27.75" customHeight="1">
      <c r="C1080" s="345" t="s">
        <v>98</v>
      </c>
      <c r="D1080" s="345" t="s">
        <v>373</v>
      </c>
      <c r="E1080" s="345" t="s">
        <v>374</v>
      </c>
      <c r="F1080" s="345" t="s">
        <v>375</v>
      </c>
      <c r="G1080" s="346" t="s">
        <v>376</v>
      </c>
      <c r="H1080" s="345" t="s">
        <v>5</v>
      </c>
      <c r="I1080" s="345" t="s">
        <v>59</v>
      </c>
      <c r="J1080" s="316">
        <v>41807.688194444447</v>
      </c>
      <c r="K1080" s="347">
        <v>41807.688194444447</v>
      </c>
      <c r="L1080" s="347" t="s">
        <v>378</v>
      </c>
      <c r="M1080" s="348" t="s">
        <v>378</v>
      </c>
      <c r="N1080" s="348" t="s">
        <v>378</v>
      </c>
      <c r="O1080" s="348" t="s">
        <v>177</v>
      </c>
      <c r="P1080" s="349">
        <v>37.018633540372697</v>
      </c>
      <c r="Q1080" s="321">
        <f t="shared" si="52"/>
        <v>0</v>
      </c>
      <c r="R1080" s="318">
        <f t="shared" si="53"/>
        <v>41807</v>
      </c>
      <c r="S1080" s="318">
        <f t="shared" si="54"/>
        <v>41807</v>
      </c>
    </row>
    <row r="1081" spans="3:19" ht="27.75" customHeight="1">
      <c r="C1081" s="345" t="s">
        <v>98</v>
      </c>
      <c r="D1081" s="345" t="s">
        <v>373</v>
      </c>
      <c r="E1081" s="345" t="s">
        <v>374</v>
      </c>
      <c r="F1081" s="345" t="s">
        <v>375</v>
      </c>
      <c r="G1081" s="346" t="s">
        <v>376</v>
      </c>
      <c r="H1081" s="339" t="s">
        <v>14</v>
      </c>
      <c r="I1081" s="345" t="s">
        <v>61</v>
      </c>
      <c r="J1081" s="316">
        <v>41807.686805555553</v>
      </c>
      <c r="K1081" s="347"/>
      <c r="L1081" s="347" t="s">
        <v>378</v>
      </c>
      <c r="M1081" s="348" t="s">
        <v>378</v>
      </c>
      <c r="N1081" s="348" t="s">
        <v>378</v>
      </c>
      <c r="O1081" s="348" t="s">
        <v>175</v>
      </c>
      <c r="P1081" s="349">
        <v>37.051383399209499</v>
      </c>
      <c r="Q1081" s="321" t="str">
        <f t="shared" si="52"/>
        <v/>
      </c>
      <c r="R1081" s="318">
        <f t="shared" si="53"/>
        <v>41807</v>
      </c>
      <c r="S1081" s="318" t="str">
        <f t="shared" si="54"/>
        <v/>
      </c>
    </row>
    <row r="1082" spans="3:19" ht="27.75" customHeight="1">
      <c r="C1082" s="345" t="s">
        <v>98</v>
      </c>
      <c r="D1082" s="345" t="s">
        <v>373</v>
      </c>
      <c r="E1082" s="345" t="s">
        <v>374</v>
      </c>
      <c r="F1082" s="345" t="s">
        <v>375</v>
      </c>
      <c r="G1082" s="346" t="s">
        <v>376</v>
      </c>
      <c r="H1082" s="345" t="s">
        <v>5</v>
      </c>
      <c r="I1082" s="345" t="s">
        <v>60</v>
      </c>
      <c r="J1082" s="316">
        <v>41807.68472222222</v>
      </c>
      <c r="K1082" s="347">
        <v>41808.68472222222</v>
      </c>
      <c r="L1082" s="347" t="s">
        <v>378</v>
      </c>
      <c r="M1082" s="348" t="s">
        <v>378</v>
      </c>
      <c r="N1082" s="348" t="s">
        <v>378</v>
      </c>
      <c r="O1082" s="348" t="s">
        <v>175</v>
      </c>
      <c r="P1082" s="349">
        <v>37.0841332580463</v>
      </c>
      <c r="Q1082" s="321">
        <f t="shared" si="52"/>
        <v>1</v>
      </c>
      <c r="R1082" s="318">
        <f t="shared" si="53"/>
        <v>41807</v>
      </c>
      <c r="S1082" s="318">
        <f t="shared" si="54"/>
        <v>41808</v>
      </c>
    </row>
    <row r="1083" spans="3:19" ht="27.75" customHeight="1">
      <c r="C1083" s="345" t="s">
        <v>98</v>
      </c>
      <c r="D1083" s="345" t="s">
        <v>373</v>
      </c>
      <c r="E1083" s="345" t="s">
        <v>374</v>
      </c>
      <c r="F1083" s="345" t="s">
        <v>375</v>
      </c>
      <c r="G1083" s="346" t="s">
        <v>376</v>
      </c>
      <c r="H1083" s="339" t="s">
        <v>14</v>
      </c>
      <c r="I1083" s="345" t="s">
        <v>60</v>
      </c>
      <c r="J1083" s="316">
        <v>41807.674305555556</v>
      </c>
      <c r="K1083" s="347"/>
      <c r="L1083" s="347" t="s">
        <v>378</v>
      </c>
      <c r="M1083" s="348" t="s">
        <v>378</v>
      </c>
      <c r="N1083" s="348" t="s">
        <v>378</v>
      </c>
      <c r="O1083" s="348" t="s">
        <v>175</v>
      </c>
      <c r="P1083" s="349">
        <v>37.116883116883102</v>
      </c>
      <c r="Q1083" s="321" t="str">
        <f t="shared" si="52"/>
        <v/>
      </c>
      <c r="R1083" s="318">
        <f t="shared" si="53"/>
        <v>41807</v>
      </c>
      <c r="S1083" s="318" t="str">
        <f t="shared" si="54"/>
        <v/>
      </c>
    </row>
    <row r="1084" spans="3:19" ht="27.75" customHeight="1">
      <c r="C1084" s="345" t="s">
        <v>98</v>
      </c>
      <c r="D1084" s="345" t="s">
        <v>373</v>
      </c>
      <c r="E1084" s="345" t="s">
        <v>374</v>
      </c>
      <c r="F1084" s="345" t="s">
        <v>375</v>
      </c>
      <c r="G1084" s="346" t="s">
        <v>376</v>
      </c>
      <c r="H1084" s="345" t="s">
        <v>5</v>
      </c>
      <c r="I1084" s="345" t="s">
        <v>59</v>
      </c>
      <c r="J1084" s="316">
        <v>41807.671527777777</v>
      </c>
      <c r="K1084" s="347">
        <v>41808.671527777777</v>
      </c>
      <c r="L1084" s="347" t="s">
        <v>378</v>
      </c>
      <c r="M1084" s="348" t="s">
        <v>378</v>
      </c>
      <c r="N1084" s="348" t="s">
        <v>378</v>
      </c>
      <c r="O1084" s="348" t="s">
        <v>175</v>
      </c>
      <c r="P1084" s="349">
        <v>37.149632975719904</v>
      </c>
      <c r="Q1084" s="321">
        <f t="shared" si="52"/>
        <v>1</v>
      </c>
      <c r="R1084" s="318">
        <f t="shared" si="53"/>
        <v>41807</v>
      </c>
      <c r="S1084" s="318">
        <f t="shared" si="54"/>
        <v>41808</v>
      </c>
    </row>
    <row r="1085" spans="3:19" ht="27.75" customHeight="1">
      <c r="C1085" s="345" t="s">
        <v>98</v>
      </c>
      <c r="D1085" s="345" t="s">
        <v>373</v>
      </c>
      <c r="E1085" s="345" t="s">
        <v>374</v>
      </c>
      <c r="F1085" s="345" t="s">
        <v>375</v>
      </c>
      <c r="G1085" s="346" t="s">
        <v>376</v>
      </c>
      <c r="H1085" s="339" t="s">
        <v>14</v>
      </c>
      <c r="I1085" s="345" t="s">
        <v>59</v>
      </c>
      <c r="J1085" s="316">
        <v>41807.65347222222</v>
      </c>
      <c r="K1085" s="347"/>
      <c r="L1085" s="347" t="s">
        <v>378</v>
      </c>
      <c r="M1085" s="348" t="s">
        <v>378</v>
      </c>
      <c r="N1085" s="348" t="s">
        <v>378</v>
      </c>
      <c r="O1085" s="348" t="s">
        <v>175</v>
      </c>
      <c r="P1085" s="349">
        <v>37.182382834556698</v>
      </c>
      <c r="Q1085" s="321" t="str">
        <f t="shared" si="52"/>
        <v/>
      </c>
      <c r="R1085" s="318">
        <f t="shared" si="53"/>
        <v>41807</v>
      </c>
      <c r="S1085" s="318" t="str">
        <f t="shared" si="54"/>
        <v/>
      </c>
    </row>
    <row r="1086" spans="3:19" ht="27.75" customHeight="1">
      <c r="C1086" s="345" t="s">
        <v>98</v>
      </c>
      <c r="D1086" s="345" t="s">
        <v>373</v>
      </c>
      <c r="E1086" s="345" t="s">
        <v>374</v>
      </c>
      <c r="F1086" s="345" t="s">
        <v>375</v>
      </c>
      <c r="G1086" s="346" t="s">
        <v>376</v>
      </c>
      <c r="H1086" s="345" t="s">
        <v>5</v>
      </c>
      <c r="I1086" s="345" t="s">
        <v>61</v>
      </c>
      <c r="J1086" s="316">
        <v>41807.634722222225</v>
      </c>
      <c r="K1086" s="347">
        <v>41809.634722222225</v>
      </c>
      <c r="L1086" s="347" t="s">
        <v>378</v>
      </c>
      <c r="M1086" s="348" t="s">
        <v>378</v>
      </c>
      <c r="N1086" s="348" t="s">
        <v>378</v>
      </c>
      <c r="O1086" s="348" t="s">
        <v>175</v>
      </c>
      <c r="P1086" s="349">
        <v>37.2151326933935</v>
      </c>
      <c r="Q1086" s="321">
        <f t="shared" si="52"/>
        <v>2</v>
      </c>
      <c r="R1086" s="318">
        <f t="shared" si="53"/>
        <v>41807</v>
      </c>
      <c r="S1086" s="318">
        <f t="shared" si="54"/>
        <v>41809</v>
      </c>
    </row>
    <row r="1087" spans="3:19" ht="27.75" customHeight="1">
      <c r="C1087" s="345" t="s">
        <v>98</v>
      </c>
      <c r="D1087" s="345" t="s">
        <v>373</v>
      </c>
      <c r="E1087" s="345" t="s">
        <v>374</v>
      </c>
      <c r="F1087" s="345" t="s">
        <v>375</v>
      </c>
      <c r="G1087" s="346" t="s">
        <v>376</v>
      </c>
      <c r="H1087" s="345" t="s">
        <v>5</v>
      </c>
      <c r="I1087" s="345" t="s">
        <v>60</v>
      </c>
      <c r="J1087" s="316">
        <v>41807.629861111112</v>
      </c>
      <c r="K1087" s="347">
        <v>41809.629861111112</v>
      </c>
      <c r="L1087" s="347" t="s">
        <v>378</v>
      </c>
      <c r="M1087" s="348" t="s">
        <v>378</v>
      </c>
      <c r="N1087" s="348" t="s">
        <v>378</v>
      </c>
      <c r="O1087" s="348" t="s">
        <v>175</v>
      </c>
      <c r="P1087" s="349">
        <v>37.247882552230401</v>
      </c>
      <c r="Q1087" s="321">
        <f t="shared" si="52"/>
        <v>2</v>
      </c>
      <c r="R1087" s="318">
        <f t="shared" si="53"/>
        <v>41807</v>
      </c>
      <c r="S1087" s="318">
        <f t="shared" si="54"/>
        <v>41809</v>
      </c>
    </row>
    <row r="1088" spans="3:19" ht="27.75" customHeight="1">
      <c r="C1088" s="345" t="s">
        <v>98</v>
      </c>
      <c r="D1088" s="345" t="s">
        <v>373</v>
      </c>
      <c r="E1088" s="345" t="s">
        <v>374</v>
      </c>
      <c r="F1088" s="345" t="s">
        <v>375</v>
      </c>
      <c r="G1088" s="346" t="s">
        <v>376</v>
      </c>
      <c r="H1088" s="345" t="s">
        <v>5</v>
      </c>
      <c r="I1088" s="345" t="s">
        <v>58</v>
      </c>
      <c r="J1088" s="316">
        <v>41807.620833333334</v>
      </c>
      <c r="K1088" s="347">
        <v>41807.620833333334</v>
      </c>
      <c r="L1088" s="347" t="s">
        <v>378</v>
      </c>
      <c r="M1088" s="348" t="s">
        <v>378</v>
      </c>
      <c r="N1088" s="348" t="s">
        <v>378</v>
      </c>
      <c r="O1088" s="348" t="s">
        <v>175</v>
      </c>
      <c r="P1088" s="349">
        <v>37.280632411067202</v>
      </c>
      <c r="Q1088" s="321">
        <f t="shared" si="52"/>
        <v>0</v>
      </c>
      <c r="R1088" s="318">
        <f t="shared" si="53"/>
        <v>41807</v>
      </c>
      <c r="S1088" s="318">
        <f t="shared" si="54"/>
        <v>41807</v>
      </c>
    </row>
    <row r="1089" spans="3:19" ht="27.75" customHeight="1">
      <c r="C1089" s="345" t="s">
        <v>98</v>
      </c>
      <c r="D1089" s="345" t="s">
        <v>373</v>
      </c>
      <c r="E1089" s="345" t="s">
        <v>374</v>
      </c>
      <c r="F1089" s="345" t="s">
        <v>375</v>
      </c>
      <c r="G1089" s="346" t="s">
        <v>376</v>
      </c>
      <c r="H1089" s="345" t="s">
        <v>5</v>
      </c>
      <c r="I1089" s="345" t="s">
        <v>61</v>
      </c>
      <c r="J1089" s="316">
        <v>41807.609722222223</v>
      </c>
      <c r="K1089" s="347">
        <v>41806.609722222223</v>
      </c>
      <c r="L1089" s="347" t="s">
        <v>378</v>
      </c>
      <c r="M1089" s="348" t="s">
        <v>378</v>
      </c>
      <c r="N1089" s="348" t="s">
        <v>378</v>
      </c>
      <c r="O1089" s="348" t="s">
        <v>175</v>
      </c>
      <c r="P1089" s="349">
        <v>37.313382269903997</v>
      </c>
      <c r="Q1089" s="321" t="str">
        <f t="shared" si="52"/>
        <v/>
      </c>
      <c r="R1089" s="318">
        <f t="shared" si="53"/>
        <v>41807</v>
      </c>
      <c r="S1089" s="318">
        <f t="shared" si="54"/>
        <v>41806</v>
      </c>
    </row>
  </sheetData>
  <autoFilter ref="C2:S1089" xr:uid="{00000000-0009-0000-0000-000004000000}"/>
  <hyperlinks>
    <hyperlink ref="D3" r:id="rId1" display="https://tools.sapient.com/jira/browse/FUT-27" xr:uid="{00000000-0004-0000-0400-000000000000}"/>
    <hyperlink ref="D4" r:id="rId2" display="https://tools.sapient.com/jira/browse/FUT-26" xr:uid="{00000000-0004-0000-0400-000001000000}"/>
    <hyperlink ref="D5" r:id="rId3" display="https://tools.sapient.com/jira/browse/FUT-24" xr:uid="{00000000-0004-0000-0400-000002000000}"/>
    <hyperlink ref="D6" r:id="rId4" display="https://tools.sapient.com/jira/browse/FUT-23" xr:uid="{00000000-0004-0000-0400-000003000000}"/>
    <hyperlink ref="D7" r:id="rId5" display="https://tools.sapient.com/jira/browse/FUT-22" xr:uid="{00000000-0004-0000-0400-000004000000}"/>
    <hyperlink ref="D8" r:id="rId6" display="https://tools.sapient.com/jira/browse/FUT-21" xr:uid="{00000000-0004-0000-0400-000005000000}"/>
    <hyperlink ref="D16" r:id="rId7" display="https://tools.sapient.com/jira/browse/FUT-20" xr:uid="{00000000-0004-0000-0400-000006000000}"/>
    <hyperlink ref="D17" r:id="rId8" display="https://tools.sapient.com/jira/browse/FUT-19" xr:uid="{00000000-0004-0000-0400-000007000000}"/>
    <hyperlink ref="D18" r:id="rId9" display="https://tools.sapient.com/jira/browse/FUT-18" xr:uid="{00000000-0004-0000-0400-000008000000}"/>
    <hyperlink ref="D19" r:id="rId10" display="https://tools.sapient.com/jira/browse/FUT-10" xr:uid="{00000000-0004-0000-0400-000009000000}"/>
    <hyperlink ref="D20" r:id="rId11" display="https://tools.sapient.com/jira/browse/FUT-9" xr:uid="{00000000-0004-0000-0400-00000A000000}"/>
    <hyperlink ref="D21" r:id="rId12" display="https://tools.sapient.com/jira/browse/FUT-8" xr:uid="{00000000-0004-0000-0400-00000B000000}"/>
    <hyperlink ref="D22" r:id="rId13" display="https://tools.sapient.com/jira/browse/FUT-7" xr:uid="{00000000-0004-0000-0400-00000C000000}"/>
    <hyperlink ref="D23" r:id="rId14" display="https://tools.sapient.com/jira/browse/FUT-6" xr:uid="{00000000-0004-0000-0400-00000D000000}"/>
    <hyperlink ref="D24" r:id="rId15" display="https://tools.sapient.com/jira/browse/FUT-4" xr:uid="{00000000-0004-0000-0400-00000E000000}"/>
    <hyperlink ref="D9" r:id="rId16" display="https://tools.sapient.com/jira/browse/FUT-17" xr:uid="{00000000-0004-0000-0400-00000F000000}"/>
    <hyperlink ref="D10" r:id="rId17" display="https://tools.sapient.com/jira/browse/FUT-16" xr:uid="{00000000-0004-0000-0400-000010000000}"/>
    <hyperlink ref="D11" r:id="rId18" display="https://tools.sapient.com/jira/browse/FUT-15" xr:uid="{00000000-0004-0000-0400-000011000000}"/>
    <hyperlink ref="D12" r:id="rId19" display="https://tools.sapient.com/jira/browse/FUT-14" xr:uid="{00000000-0004-0000-0400-000012000000}"/>
    <hyperlink ref="D13" r:id="rId20" display="https://tools.sapient.com/jira/browse/FUT-13" xr:uid="{00000000-0004-0000-0400-000013000000}"/>
    <hyperlink ref="D14" r:id="rId21" display="https://tools.sapient.com/jira/browse/FUT-12" xr:uid="{00000000-0004-0000-0400-000014000000}"/>
    <hyperlink ref="D15" r:id="rId22" display="https://tools.sapient.com/jira/browse/FUT-11" xr:uid="{00000000-0004-0000-0400-000015000000}"/>
  </hyperlinks>
  <pageMargins left="0.7" right="0.7" top="0.75" bottom="0.75" header="0.3" footer="0.3"/>
  <pageSetup paperSize="9" orientation="portrait" verticalDpi="200" r:id="rId2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rgb="FFFF0000"/>
  </sheetPr>
  <dimension ref="B3:H100"/>
  <sheetViews>
    <sheetView workbookViewId="0">
      <selection activeCell="K28" sqref="K28"/>
    </sheetView>
  </sheetViews>
  <sheetFormatPr defaultRowHeight="12.75"/>
  <cols>
    <col min="1" max="1" width="4" style="36" customWidth="1"/>
    <col min="2" max="2" width="15.7109375" style="36" bestFit="1" customWidth="1"/>
    <col min="3" max="7" width="9.140625" style="36"/>
    <col min="8" max="8" width="16.42578125" style="36" bestFit="1" customWidth="1"/>
    <col min="9" max="16384" width="9.140625" style="36"/>
  </cols>
  <sheetData>
    <row r="3" spans="2:8">
      <c r="B3" s="279" t="s">
        <v>372</v>
      </c>
      <c r="C3" s="279" t="s">
        <v>58</v>
      </c>
      <c r="D3" s="279" t="s">
        <v>59</v>
      </c>
      <c r="E3" s="279" t="s">
        <v>60</v>
      </c>
      <c r="F3" s="279" t="s">
        <v>61</v>
      </c>
      <c r="G3" s="279" t="s">
        <v>6</v>
      </c>
      <c r="H3" s="279" t="s">
        <v>166</v>
      </c>
    </row>
    <row r="4" spans="2:8">
      <c r="B4" s="323" t="str">
        <f t="array" ref="B4">INDEX('Defect Dump'!$L$3:$L$10000, MATCH(0, COUNTIF($B$3:B3, 'Defect Dump'!$L$3:$L$10000), 0))</f>
        <v>Label3</v>
      </c>
      <c r="C4" s="280">
        <f t="array" ref="C4">COUNTIFS('Defect Dump'!$I3:$I10000,C$3,'Defect Dump'!$L3:$L10000,$B4)</f>
        <v>49</v>
      </c>
      <c r="D4" s="280">
        <f t="array" ref="D4">COUNTIFS('Defect Dump'!$I3:$I10000,D$3,'Defect Dump'!$L3:$L10000,$B4)</f>
        <v>134</v>
      </c>
      <c r="E4" s="280">
        <f t="array" ref="E4">COUNTIFS('Defect Dump'!$I3:$I10000,E$3,'Defect Dump'!$L3:$L10000,$B4)</f>
        <v>203</v>
      </c>
      <c r="F4" s="280">
        <f t="array" ref="F4">COUNTIFS('Defect Dump'!$I3:$I10000,F$3,'Defect Dump'!$L3:$L10000,$B4)</f>
        <v>97</v>
      </c>
      <c r="G4" s="280">
        <f t="shared" ref="G4" si="0">SUM(C4:F4)</f>
        <v>483</v>
      </c>
      <c r="H4" s="280" t="str">
        <f>IF(AND($C4&lt;1,$D4&lt;1,$E4&lt;1,$F4&lt;1),"Not Started",IF($C4&gt;0,"Red",IF(OR($D4&gt;0,$E4&gt;0),"Amber",IF($F4&lt;10,"Green","Amber"))))</f>
        <v>Red</v>
      </c>
    </row>
    <row r="5" spans="2:8">
      <c r="B5" s="323" t="str">
        <f t="array" ref="B5">INDEX('Defect Dump'!$L$3:$L$10000, MATCH(0, COUNTIF($B$3:B4, 'Defect Dump'!$L$3:$L$10000), 0))</f>
        <v>Portal</v>
      </c>
      <c r="C5" s="280">
        <f t="array" ref="C5">COUNTIFS('Defect Dump'!$I4:$I10001,C$3,'Defect Dump'!$L4:$L10001,$B5)</f>
        <v>24</v>
      </c>
      <c r="D5" s="280">
        <f t="array" ref="D5">COUNTIFS('Defect Dump'!$I4:$I10001,D$3,'Defect Dump'!$L4:$L10001,$B5)</f>
        <v>107</v>
      </c>
      <c r="E5" s="280">
        <f t="array" ref="E5">COUNTIFS('Defect Dump'!$I4:$I10001,E$3,'Defect Dump'!$L4:$L10001,$B5)</f>
        <v>180</v>
      </c>
      <c r="F5" s="280">
        <f t="array" ref="F5">COUNTIFS('Defect Dump'!$I4:$I10001,F$3,'Defect Dump'!$L4:$L10001,$B5)</f>
        <v>84</v>
      </c>
      <c r="G5" s="280">
        <f t="shared" ref="G5:G68" si="1">SUM(C5:F5)</f>
        <v>395</v>
      </c>
      <c r="H5" s="280" t="str">
        <f t="shared" ref="H5:H68" si="2">IF(AND($C5&lt;1,$D5&lt;1,$E5&lt;1,$F5&lt;1),"Not Started",IF($C5&gt;0,"Red",IF(OR($D5&gt;0,$E5&gt;0),"Amber",IF($F5&lt;10,"Green","Amber"))))</f>
        <v>Red</v>
      </c>
    </row>
    <row r="6" spans="2:8">
      <c r="B6" s="323" t="str">
        <f t="array" ref="B6">INDEX('Defect Dump'!$L$3:$L$10000, MATCH(0, COUNTIF($B$3:B5, 'Defect Dump'!$L$3:$L$10000), 0))</f>
        <v>Data</v>
      </c>
      <c r="C6" s="280">
        <f t="array" ref="C6">COUNTIFS('Defect Dump'!$I5:$I10002,C$3,'Defect Dump'!$L5:$L10002,$B6)</f>
        <v>14</v>
      </c>
      <c r="D6" s="280">
        <f t="array" ref="D6">COUNTIFS('Defect Dump'!$I5:$I10002,D$3,'Defect Dump'!$L5:$L10002,$B6)</f>
        <v>59</v>
      </c>
      <c r="E6" s="280">
        <f t="array" ref="E6">COUNTIFS('Defect Dump'!$I5:$I10002,E$3,'Defect Dump'!$L5:$L10002,$B6)</f>
        <v>100</v>
      </c>
      <c r="F6" s="280">
        <f t="array" ref="F6">COUNTIFS('Defect Dump'!$I5:$I10002,F$3,'Defect Dump'!$L5:$L10002,$B6)</f>
        <v>36</v>
      </c>
      <c r="G6" s="280">
        <f t="shared" si="1"/>
        <v>209</v>
      </c>
      <c r="H6" s="280" t="str">
        <f t="shared" si="2"/>
        <v>Red</v>
      </c>
    </row>
    <row r="7" spans="2:8">
      <c r="B7" s="323">
        <f t="array" ref="B7">INDEX('Defect Dump'!$L$3:$L$10000, MATCH(0, COUNTIF($B$3:B6, 'Defect Dump'!$L$3:$L$10000), 0))</f>
        <v>0</v>
      </c>
      <c r="C7" s="280">
        <f t="array" ref="C7">COUNTIFS('Defect Dump'!$I6:$I10003,C$3,'Defect Dump'!$L6:$L10003,$B7)</f>
        <v>0</v>
      </c>
      <c r="D7" s="280">
        <f t="array" ref="D7">COUNTIFS('Defect Dump'!$I6:$I10003,D$3,'Defect Dump'!$L6:$L10003,$B7)</f>
        <v>0</v>
      </c>
      <c r="E7" s="280">
        <f t="array" ref="E7">COUNTIFS('Defect Dump'!$I6:$I10003,E$3,'Defect Dump'!$L6:$L10003,$B7)</f>
        <v>0</v>
      </c>
      <c r="F7" s="280">
        <f t="array" ref="F7">COUNTIFS('Defect Dump'!$I6:$I10003,F$3,'Defect Dump'!$L6:$L10003,$B7)</f>
        <v>0</v>
      </c>
      <c r="G7" s="280">
        <f t="shared" si="1"/>
        <v>0</v>
      </c>
      <c r="H7" s="280" t="str">
        <f t="shared" si="2"/>
        <v>Not Started</v>
      </c>
    </row>
    <row r="8" spans="2:8">
      <c r="B8" s="323" t="e">
        <f t="array" ref="B8">INDEX('Defect Dump'!$L$3:$L$10000, MATCH(0, COUNTIF($B$3:B7, 'Defect Dump'!$L$3:$L$10000), 0))</f>
        <v>#N/A</v>
      </c>
      <c r="C8" s="280">
        <f t="array" ref="C8">COUNTIFS('Defect Dump'!$I7:$I10004,C$3,'Defect Dump'!$L7:$L10004,$B8)</f>
        <v>0</v>
      </c>
      <c r="D8" s="280">
        <f t="array" ref="D8">COUNTIFS('Defect Dump'!$I7:$I10004,D$3,'Defect Dump'!$L7:$L10004,$B8)</f>
        <v>0</v>
      </c>
      <c r="E8" s="280">
        <f t="array" ref="E8">COUNTIFS('Defect Dump'!$I7:$I10004,E$3,'Defect Dump'!$L7:$L10004,$B8)</f>
        <v>0</v>
      </c>
      <c r="F8" s="280">
        <f t="array" ref="F8">COUNTIFS('Defect Dump'!$I7:$I10004,F$3,'Defect Dump'!$L7:$L10004,$B8)</f>
        <v>0</v>
      </c>
      <c r="G8" s="280">
        <f t="shared" si="1"/>
        <v>0</v>
      </c>
      <c r="H8" s="280" t="str">
        <f t="shared" si="2"/>
        <v>Not Started</v>
      </c>
    </row>
    <row r="9" spans="2:8">
      <c r="B9" s="323" t="e">
        <f t="array" ref="B9">INDEX('Defect Dump'!$L$3:$L$10000, MATCH(0, COUNTIF($B$3:B8, 'Defect Dump'!$L$3:$L$10000), 0))</f>
        <v>#N/A</v>
      </c>
      <c r="C9" s="280">
        <f t="array" ref="C9">COUNTIFS('Defect Dump'!$I8:$I10005,C$3,'Defect Dump'!$L8:$L10005,$B9)</f>
        <v>0</v>
      </c>
      <c r="D9" s="280">
        <f t="array" ref="D9">COUNTIFS('Defect Dump'!$I8:$I10005,D$3,'Defect Dump'!$L8:$L10005,$B9)</f>
        <v>0</v>
      </c>
      <c r="E9" s="280">
        <f t="array" ref="E9">COUNTIFS('Defect Dump'!$I8:$I10005,E$3,'Defect Dump'!$L8:$L10005,$B9)</f>
        <v>0</v>
      </c>
      <c r="F9" s="280">
        <f t="array" ref="F9">COUNTIFS('Defect Dump'!$I8:$I10005,F$3,'Defect Dump'!$L8:$L10005,$B9)</f>
        <v>0</v>
      </c>
      <c r="G9" s="280">
        <f t="shared" si="1"/>
        <v>0</v>
      </c>
      <c r="H9" s="280" t="str">
        <f t="shared" si="2"/>
        <v>Not Started</v>
      </c>
    </row>
    <row r="10" spans="2:8">
      <c r="B10" s="323" t="e">
        <f t="array" ref="B10">INDEX('Defect Dump'!$L$3:$L$10000, MATCH(0, COUNTIF($B$3:B9, 'Defect Dump'!$L$3:$L$10000), 0))</f>
        <v>#N/A</v>
      </c>
      <c r="C10" s="280">
        <f t="array" ref="C10">COUNTIFS('Defect Dump'!$I9:$I10006,C$3,'Defect Dump'!$L9:$L10006,$B10)</f>
        <v>0</v>
      </c>
      <c r="D10" s="280">
        <f t="array" ref="D10">COUNTIFS('Defect Dump'!$I9:$I10006,D$3,'Defect Dump'!$L9:$L10006,$B10)</f>
        <v>0</v>
      </c>
      <c r="E10" s="280">
        <f t="array" ref="E10">COUNTIFS('Defect Dump'!$I9:$I10006,E$3,'Defect Dump'!$L9:$L10006,$B10)</f>
        <v>0</v>
      </c>
      <c r="F10" s="280">
        <f t="array" ref="F10">COUNTIFS('Defect Dump'!$I9:$I10006,F$3,'Defect Dump'!$L9:$L10006,$B10)</f>
        <v>0</v>
      </c>
      <c r="G10" s="280">
        <f t="shared" si="1"/>
        <v>0</v>
      </c>
      <c r="H10" s="280" t="str">
        <f t="shared" si="2"/>
        <v>Not Started</v>
      </c>
    </row>
    <row r="11" spans="2:8">
      <c r="B11" s="323" t="e">
        <f t="array" ref="B11">INDEX('Defect Dump'!$L$3:$L$10000, MATCH(0, COUNTIF($B$3:B10, 'Defect Dump'!$L$3:$L$10000), 0))</f>
        <v>#N/A</v>
      </c>
      <c r="C11" s="280">
        <f t="array" ref="C11">COUNTIFS('Defect Dump'!$I10:$I10007,C$3,'Defect Dump'!$L10:$L10007,$B11)</f>
        <v>0</v>
      </c>
      <c r="D11" s="280">
        <f t="array" ref="D11">COUNTIFS('Defect Dump'!$I10:$I10007,D$3,'Defect Dump'!$L10:$L10007,$B11)</f>
        <v>0</v>
      </c>
      <c r="E11" s="280">
        <f t="array" ref="E11">COUNTIFS('Defect Dump'!$I10:$I10007,E$3,'Defect Dump'!$L10:$L10007,$B11)</f>
        <v>0</v>
      </c>
      <c r="F11" s="280">
        <f t="array" ref="F11">COUNTIFS('Defect Dump'!$I10:$I10007,F$3,'Defect Dump'!$L10:$L10007,$B11)</f>
        <v>0</v>
      </c>
      <c r="G11" s="280">
        <f t="shared" si="1"/>
        <v>0</v>
      </c>
      <c r="H11" s="280" t="str">
        <f t="shared" si="2"/>
        <v>Not Started</v>
      </c>
    </row>
    <row r="12" spans="2:8">
      <c r="B12" s="323" t="e">
        <f t="array" ref="B12">INDEX('Defect Dump'!$L$3:$L$10000, MATCH(0, COUNTIF($B$3:B11, 'Defect Dump'!$L$3:$L$10000), 0))</f>
        <v>#N/A</v>
      </c>
      <c r="C12" s="280">
        <f t="array" ref="C12">COUNTIFS('Defect Dump'!$I11:$I10008,C$3,'Defect Dump'!$L11:$L10008,$B12)</f>
        <v>0</v>
      </c>
      <c r="D12" s="280">
        <f t="array" ref="D12">COUNTIFS('Defect Dump'!$I11:$I10008,D$3,'Defect Dump'!$L11:$L10008,$B12)</f>
        <v>0</v>
      </c>
      <c r="E12" s="280">
        <f t="array" ref="E12">COUNTIFS('Defect Dump'!$I11:$I10008,E$3,'Defect Dump'!$L11:$L10008,$B12)</f>
        <v>0</v>
      </c>
      <c r="F12" s="280">
        <f t="array" ref="F12">COUNTIFS('Defect Dump'!$I11:$I10008,F$3,'Defect Dump'!$L11:$L10008,$B12)</f>
        <v>0</v>
      </c>
      <c r="G12" s="280">
        <f t="shared" si="1"/>
        <v>0</v>
      </c>
      <c r="H12" s="280" t="str">
        <f t="shared" si="2"/>
        <v>Not Started</v>
      </c>
    </row>
    <row r="13" spans="2:8">
      <c r="B13" s="323" t="e">
        <f t="array" ref="B13">INDEX('Defect Dump'!$L$3:$L$10000, MATCH(0, COUNTIF($B$3:B12, 'Defect Dump'!$L$3:$L$10000), 0))</f>
        <v>#N/A</v>
      </c>
      <c r="C13" s="280">
        <f t="array" ref="C13">COUNTIFS('Defect Dump'!$I12:$I10009,C$3,'Defect Dump'!$L12:$L10009,$B13)</f>
        <v>0</v>
      </c>
      <c r="D13" s="280">
        <f t="array" ref="D13">COUNTIFS('Defect Dump'!$I12:$I10009,D$3,'Defect Dump'!$L12:$L10009,$B13)</f>
        <v>0</v>
      </c>
      <c r="E13" s="280">
        <f t="array" ref="E13">COUNTIFS('Defect Dump'!$I12:$I10009,E$3,'Defect Dump'!$L12:$L10009,$B13)</f>
        <v>0</v>
      </c>
      <c r="F13" s="280">
        <f t="array" ref="F13">COUNTIFS('Defect Dump'!$I12:$I10009,F$3,'Defect Dump'!$L12:$L10009,$B13)</f>
        <v>0</v>
      </c>
      <c r="G13" s="280">
        <f t="shared" si="1"/>
        <v>0</v>
      </c>
      <c r="H13" s="280" t="str">
        <f t="shared" si="2"/>
        <v>Not Started</v>
      </c>
    </row>
    <row r="14" spans="2:8">
      <c r="B14" s="323" t="e">
        <f t="array" ref="B14">INDEX('Defect Dump'!$L$3:$L$10000, MATCH(0, COUNTIF($B$3:B13, 'Defect Dump'!$L$3:$L$10000), 0))</f>
        <v>#N/A</v>
      </c>
      <c r="C14" s="280">
        <f t="array" ref="C14">COUNTIFS('Defect Dump'!$I13:$I10010,C$3,'Defect Dump'!$L13:$L10010,$B14)</f>
        <v>0</v>
      </c>
      <c r="D14" s="280">
        <f t="array" ref="D14">COUNTIFS('Defect Dump'!$I13:$I10010,D$3,'Defect Dump'!$L13:$L10010,$B14)</f>
        <v>0</v>
      </c>
      <c r="E14" s="280">
        <f t="array" ref="E14">COUNTIFS('Defect Dump'!$I13:$I10010,E$3,'Defect Dump'!$L13:$L10010,$B14)</f>
        <v>0</v>
      </c>
      <c r="F14" s="280">
        <f t="array" ref="F14">COUNTIFS('Defect Dump'!$I13:$I10010,F$3,'Defect Dump'!$L13:$L10010,$B14)</f>
        <v>0</v>
      </c>
      <c r="G14" s="280">
        <f t="shared" si="1"/>
        <v>0</v>
      </c>
      <c r="H14" s="280" t="str">
        <f t="shared" si="2"/>
        <v>Not Started</v>
      </c>
    </row>
    <row r="15" spans="2:8">
      <c r="B15" s="323" t="e">
        <f t="array" ref="B15">INDEX('Defect Dump'!$L$3:$L$10000, MATCH(0, COUNTIF($B$3:B14, 'Defect Dump'!$L$3:$L$10000), 0))</f>
        <v>#N/A</v>
      </c>
      <c r="C15" s="280">
        <f t="array" ref="C15">COUNTIFS('Defect Dump'!$I14:$I10011,C$3,'Defect Dump'!$L14:$L10011,$B15)</f>
        <v>0</v>
      </c>
      <c r="D15" s="280">
        <f t="array" ref="D15">COUNTIFS('Defect Dump'!$I14:$I10011,D$3,'Defect Dump'!$L14:$L10011,$B15)</f>
        <v>0</v>
      </c>
      <c r="E15" s="280">
        <f t="array" ref="E15">COUNTIFS('Defect Dump'!$I14:$I10011,E$3,'Defect Dump'!$L14:$L10011,$B15)</f>
        <v>0</v>
      </c>
      <c r="F15" s="280">
        <f t="array" ref="F15">COUNTIFS('Defect Dump'!$I14:$I10011,F$3,'Defect Dump'!$L14:$L10011,$B15)</f>
        <v>0</v>
      </c>
      <c r="G15" s="280">
        <f t="shared" si="1"/>
        <v>0</v>
      </c>
      <c r="H15" s="280" t="str">
        <f t="shared" si="2"/>
        <v>Not Started</v>
      </c>
    </row>
    <row r="16" spans="2:8">
      <c r="B16" s="323" t="e">
        <f t="array" ref="B16">INDEX('Defect Dump'!$L$3:$L$10000, MATCH(0, COUNTIF($B$3:B15, 'Defect Dump'!$L$3:$L$10000), 0))</f>
        <v>#N/A</v>
      </c>
      <c r="C16" s="280">
        <f t="array" ref="C16">COUNTIFS('Defect Dump'!$I15:$I10012,C$3,'Defect Dump'!$L15:$L10012,$B16)</f>
        <v>0</v>
      </c>
      <c r="D16" s="280">
        <f t="array" ref="D16">COUNTIFS('Defect Dump'!$I15:$I10012,D$3,'Defect Dump'!$L15:$L10012,$B16)</f>
        <v>0</v>
      </c>
      <c r="E16" s="280">
        <f t="array" ref="E16">COUNTIFS('Defect Dump'!$I15:$I10012,E$3,'Defect Dump'!$L15:$L10012,$B16)</f>
        <v>0</v>
      </c>
      <c r="F16" s="280">
        <f t="array" ref="F16">COUNTIFS('Defect Dump'!$I15:$I10012,F$3,'Defect Dump'!$L15:$L10012,$B16)</f>
        <v>0</v>
      </c>
      <c r="G16" s="280">
        <f t="shared" si="1"/>
        <v>0</v>
      </c>
      <c r="H16" s="280" t="str">
        <f t="shared" si="2"/>
        <v>Not Started</v>
      </c>
    </row>
    <row r="17" spans="2:8">
      <c r="B17" s="323" t="e">
        <f t="array" ref="B17">INDEX('Defect Dump'!$L$3:$L$10000, MATCH(0, COUNTIF($B$3:B16, 'Defect Dump'!$L$3:$L$10000), 0))</f>
        <v>#N/A</v>
      </c>
      <c r="C17" s="280">
        <f t="array" ref="C17">COUNTIFS('Defect Dump'!$I16:$I10013,C$3,'Defect Dump'!$L16:$L10013,$B17)</f>
        <v>0</v>
      </c>
      <c r="D17" s="280">
        <f t="array" ref="D17">COUNTIFS('Defect Dump'!$I16:$I10013,D$3,'Defect Dump'!$L16:$L10013,$B17)</f>
        <v>0</v>
      </c>
      <c r="E17" s="280">
        <f t="array" ref="E17">COUNTIFS('Defect Dump'!$I16:$I10013,E$3,'Defect Dump'!$L16:$L10013,$B17)</f>
        <v>0</v>
      </c>
      <c r="F17" s="280">
        <f t="array" ref="F17">COUNTIFS('Defect Dump'!$I16:$I10013,F$3,'Defect Dump'!$L16:$L10013,$B17)</f>
        <v>0</v>
      </c>
      <c r="G17" s="280">
        <f t="shared" si="1"/>
        <v>0</v>
      </c>
      <c r="H17" s="280" t="str">
        <f t="shared" si="2"/>
        <v>Not Started</v>
      </c>
    </row>
    <row r="18" spans="2:8">
      <c r="B18" s="323" t="e">
        <f t="array" ref="B18">INDEX('Defect Dump'!$L$3:$L$10000, MATCH(0, COUNTIF($B$3:B17, 'Defect Dump'!$L$3:$L$10000), 0))</f>
        <v>#N/A</v>
      </c>
      <c r="C18" s="280">
        <f t="array" ref="C18">COUNTIFS('Defect Dump'!$I17:$I10014,C$3,'Defect Dump'!$L17:$L10014,$B18)</f>
        <v>0</v>
      </c>
      <c r="D18" s="280">
        <f t="array" ref="D18">COUNTIFS('Defect Dump'!$I17:$I10014,D$3,'Defect Dump'!$L17:$L10014,$B18)</f>
        <v>0</v>
      </c>
      <c r="E18" s="280">
        <f t="array" ref="E18">COUNTIFS('Defect Dump'!$I17:$I10014,E$3,'Defect Dump'!$L17:$L10014,$B18)</f>
        <v>0</v>
      </c>
      <c r="F18" s="280">
        <f t="array" ref="F18">COUNTIFS('Defect Dump'!$I17:$I10014,F$3,'Defect Dump'!$L17:$L10014,$B18)</f>
        <v>0</v>
      </c>
      <c r="G18" s="280">
        <f t="shared" si="1"/>
        <v>0</v>
      </c>
      <c r="H18" s="280" t="str">
        <f t="shared" si="2"/>
        <v>Not Started</v>
      </c>
    </row>
    <row r="19" spans="2:8">
      <c r="B19" s="323" t="e">
        <f t="array" ref="B19">INDEX('Defect Dump'!$L$3:$L$10000, MATCH(0, COUNTIF($B$3:B18, 'Defect Dump'!$L$3:$L$10000), 0))</f>
        <v>#N/A</v>
      </c>
      <c r="C19" s="280">
        <f t="array" ref="C19">COUNTIFS('Defect Dump'!$I18:$I10015,C$3,'Defect Dump'!$L18:$L10015,$B19)</f>
        <v>0</v>
      </c>
      <c r="D19" s="280">
        <f t="array" ref="D19">COUNTIFS('Defect Dump'!$I18:$I10015,D$3,'Defect Dump'!$L18:$L10015,$B19)</f>
        <v>0</v>
      </c>
      <c r="E19" s="280">
        <f t="array" ref="E19">COUNTIFS('Defect Dump'!$I18:$I10015,E$3,'Defect Dump'!$L18:$L10015,$B19)</f>
        <v>0</v>
      </c>
      <c r="F19" s="280">
        <f t="array" ref="F19">COUNTIFS('Defect Dump'!$I18:$I10015,F$3,'Defect Dump'!$L18:$L10015,$B19)</f>
        <v>0</v>
      </c>
      <c r="G19" s="280">
        <f t="shared" si="1"/>
        <v>0</v>
      </c>
      <c r="H19" s="280" t="str">
        <f t="shared" si="2"/>
        <v>Not Started</v>
      </c>
    </row>
    <row r="20" spans="2:8">
      <c r="B20" s="323" t="e">
        <f t="array" ref="B20">INDEX('Defect Dump'!$L$3:$L$10000, MATCH(0, COUNTIF($B$3:B19, 'Defect Dump'!$L$3:$L$10000), 0))</f>
        <v>#N/A</v>
      </c>
      <c r="C20" s="280">
        <f t="array" ref="C20">COUNTIFS('Defect Dump'!$I19:$I10016,C$3,'Defect Dump'!$L19:$L10016,$B20)</f>
        <v>0</v>
      </c>
      <c r="D20" s="280">
        <f t="array" ref="D20">COUNTIFS('Defect Dump'!$I19:$I10016,D$3,'Defect Dump'!$L19:$L10016,$B20)</f>
        <v>0</v>
      </c>
      <c r="E20" s="280">
        <f t="array" ref="E20">COUNTIFS('Defect Dump'!$I19:$I10016,E$3,'Defect Dump'!$L19:$L10016,$B20)</f>
        <v>0</v>
      </c>
      <c r="F20" s="280">
        <f t="array" ref="F20">COUNTIFS('Defect Dump'!$I19:$I10016,F$3,'Defect Dump'!$L19:$L10016,$B20)</f>
        <v>0</v>
      </c>
      <c r="G20" s="280">
        <f t="shared" si="1"/>
        <v>0</v>
      </c>
      <c r="H20" s="280" t="str">
        <f t="shared" si="2"/>
        <v>Not Started</v>
      </c>
    </row>
    <row r="21" spans="2:8">
      <c r="B21" s="323" t="e">
        <f t="array" ref="B21">INDEX('Defect Dump'!$L$3:$L$10000, MATCH(0, COUNTIF($B$3:B20, 'Defect Dump'!$L$3:$L$10000), 0))</f>
        <v>#N/A</v>
      </c>
      <c r="C21" s="280">
        <f t="array" ref="C21">COUNTIFS('Defect Dump'!$I20:$I10017,C$3,'Defect Dump'!$L20:$L10017,$B21)</f>
        <v>0</v>
      </c>
      <c r="D21" s="280">
        <f t="array" ref="D21">COUNTIFS('Defect Dump'!$I20:$I10017,D$3,'Defect Dump'!$L20:$L10017,$B21)</f>
        <v>0</v>
      </c>
      <c r="E21" s="280">
        <f t="array" ref="E21">COUNTIFS('Defect Dump'!$I20:$I10017,E$3,'Defect Dump'!$L20:$L10017,$B21)</f>
        <v>0</v>
      </c>
      <c r="F21" s="280">
        <f t="array" ref="F21">COUNTIFS('Defect Dump'!$I20:$I10017,F$3,'Defect Dump'!$L20:$L10017,$B21)</f>
        <v>0</v>
      </c>
      <c r="G21" s="280">
        <f t="shared" si="1"/>
        <v>0</v>
      </c>
      <c r="H21" s="280" t="str">
        <f t="shared" si="2"/>
        <v>Not Started</v>
      </c>
    </row>
    <row r="22" spans="2:8">
      <c r="B22" s="323" t="e">
        <f t="array" ref="B22">INDEX('Defect Dump'!$L$3:$L$10000, MATCH(0, COUNTIF($B$3:B21, 'Defect Dump'!$L$3:$L$10000), 0))</f>
        <v>#N/A</v>
      </c>
      <c r="C22" s="280">
        <f t="array" ref="C22">COUNTIFS('Defect Dump'!$I21:$I10018,C$3,'Defect Dump'!$L21:$L10018,$B22)</f>
        <v>0</v>
      </c>
      <c r="D22" s="280">
        <f t="array" ref="D22">COUNTIFS('Defect Dump'!$I21:$I10018,D$3,'Defect Dump'!$L21:$L10018,$B22)</f>
        <v>0</v>
      </c>
      <c r="E22" s="280">
        <f t="array" ref="E22">COUNTIFS('Defect Dump'!$I21:$I10018,E$3,'Defect Dump'!$L21:$L10018,$B22)</f>
        <v>0</v>
      </c>
      <c r="F22" s="280">
        <f t="array" ref="F22">COUNTIFS('Defect Dump'!$I21:$I10018,F$3,'Defect Dump'!$L21:$L10018,$B22)</f>
        <v>0</v>
      </c>
      <c r="G22" s="280">
        <f t="shared" si="1"/>
        <v>0</v>
      </c>
      <c r="H22" s="280" t="str">
        <f t="shared" si="2"/>
        <v>Not Started</v>
      </c>
    </row>
    <row r="23" spans="2:8">
      <c r="B23" s="323" t="e">
        <f t="array" ref="B23">INDEX('Defect Dump'!$L$3:$L$10000, MATCH(0, COUNTIF($B$3:B22, 'Defect Dump'!$L$3:$L$10000), 0))</f>
        <v>#N/A</v>
      </c>
      <c r="C23" s="280">
        <f t="array" ref="C23">COUNTIFS('Defect Dump'!$I22:$I10019,C$3,'Defect Dump'!$L22:$L10019,$B23)</f>
        <v>0</v>
      </c>
      <c r="D23" s="280">
        <f t="array" ref="D23">COUNTIFS('Defect Dump'!$I22:$I10019,D$3,'Defect Dump'!$L22:$L10019,$B23)</f>
        <v>0</v>
      </c>
      <c r="E23" s="280">
        <f t="array" ref="E23">COUNTIFS('Defect Dump'!$I22:$I10019,E$3,'Defect Dump'!$L22:$L10019,$B23)</f>
        <v>0</v>
      </c>
      <c r="F23" s="280">
        <f t="array" ref="F23">COUNTIFS('Defect Dump'!$I22:$I10019,F$3,'Defect Dump'!$L22:$L10019,$B23)</f>
        <v>0</v>
      </c>
      <c r="G23" s="280">
        <f t="shared" si="1"/>
        <v>0</v>
      </c>
      <c r="H23" s="280" t="str">
        <f t="shared" si="2"/>
        <v>Not Started</v>
      </c>
    </row>
    <row r="24" spans="2:8">
      <c r="B24" s="323" t="e">
        <f t="array" ref="B24">INDEX('Defect Dump'!$L$3:$L$10000, MATCH(0, COUNTIF($B$3:B23, 'Defect Dump'!$L$3:$L$10000), 0))</f>
        <v>#N/A</v>
      </c>
      <c r="C24" s="280">
        <f t="array" ref="C24">COUNTIFS('Defect Dump'!$I23:$I10020,C$3,'Defect Dump'!$L23:$L10020,$B24)</f>
        <v>0</v>
      </c>
      <c r="D24" s="280">
        <f t="array" ref="D24">COUNTIFS('Defect Dump'!$I23:$I10020,D$3,'Defect Dump'!$L23:$L10020,$B24)</f>
        <v>0</v>
      </c>
      <c r="E24" s="280">
        <f t="array" ref="E24">COUNTIFS('Defect Dump'!$I23:$I10020,E$3,'Defect Dump'!$L23:$L10020,$B24)</f>
        <v>0</v>
      </c>
      <c r="F24" s="280">
        <f t="array" ref="F24">COUNTIFS('Defect Dump'!$I23:$I10020,F$3,'Defect Dump'!$L23:$L10020,$B24)</f>
        <v>0</v>
      </c>
      <c r="G24" s="280">
        <f t="shared" si="1"/>
        <v>0</v>
      </c>
      <c r="H24" s="280" t="str">
        <f t="shared" si="2"/>
        <v>Not Started</v>
      </c>
    </row>
    <row r="25" spans="2:8">
      <c r="B25" s="323" t="e">
        <f t="array" ref="B25">INDEX('Defect Dump'!$L$3:$L$10000, MATCH(0, COUNTIF($B$3:B24, 'Defect Dump'!$L$3:$L$10000), 0))</f>
        <v>#N/A</v>
      </c>
      <c r="C25" s="280">
        <f t="array" ref="C25">COUNTIFS('Defect Dump'!$I24:$I10021,C$3,'Defect Dump'!$L24:$L10021,$B25)</f>
        <v>0</v>
      </c>
      <c r="D25" s="280">
        <f t="array" ref="D25">COUNTIFS('Defect Dump'!$I24:$I10021,D$3,'Defect Dump'!$L24:$L10021,$B25)</f>
        <v>0</v>
      </c>
      <c r="E25" s="280">
        <f t="array" ref="E25">COUNTIFS('Defect Dump'!$I24:$I10021,E$3,'Defect Dump'!$L24:$L10021,$B25)</f>
        <v>0</v>
      </c>
      <c r="F25" s="280">
        <f t="array" ref="F25">COUNTIFS('Defect Dump'!$I24:$I10021,F$3,'Defect Dump'!$L24:$L10021,$B25)</f>
        <v>0</v>
      </c>
      <c r="G25" s="280">
        <f t="shared" si="1"/>
        <v>0</v>
      </c>
      <c r="H25" s="280" t="str">
        <f t="shared" si="2"/>
        <v>Not Started</v>
      </c>
    </row>
    <row r="26" spans="2:8">
      <c r="B26" s="323" t="e">
        <f t="array" ref="B26">INDEX('Defect Dump'!$L$3:$L$10000, MATCH(0, COUNTIF($B$3:B25, 'Defect Dump'!$L$3:$L$10000), 0))</f>
        <v>#N/A</v>
      </c>
      <c r="C26" s="280">
        <f t="array" ref="C26">COUNTIFS('Defect Dump'!$I25:$I10022,C$3,'Defect Dump'!$L25:$L10022,$B26)</f>
        <v>0</v>
      </c>
      <c r="D26" s="280">
        <f t="array" ref="D26">COUNTIFS('Defect Dump'!$I25:$I10022,D$3,'Defect Dump'!$L25:$L10022,$B26)</f>
        <v>0</v>
      </c>
      <c r="E26" s="280">
        <f t="array" ref="E26">COUNTIFS('Defect Dump'!$I25:$I10022,E$3,'Defect Dump'!$L25:$L10022,$B26)</f>
        <v>0</v>
      </c>
      <c r="F26" s="280">
        <f t="array" ref="F26">COUNTIFS('Defect Dump'!$I25:$I10022,F$3,'Defect Dump'!$L25:$L10022,$B26)</f>
        <v>0</v>
      </c>
      <c r="G26" s="280">
        <f t="shared" si="1"/>
        <v>0</v>
      </c>
      <c r="H26" s="280" t="str">
        <f t="shared" si="2"/>
        <v>Not Started</v>
      </c>
    </row>
    <row r="27" spans="2:8">
      <c r="B27" s="323" t="e">
        <f t="array" ref="B27">INDEX('Defect Dump'!$L$3:$L$10000, MATCH(0, COUNTIF($B$3:B26, 'Defect Dump'!$L$3:$L$10000), 0))</f>
        <v>#N/A</v>
      </c>
      <c r="C27" s="280">
        <f t="array" ref="C27">COUNTIFS('Defect Dump'!$I26:$I10023,C$3,'Defect Dump'!$L26:$L10023,$B27)</f>
        <v>0</v>
      </c>
      <c r="D27" s="280">
        <f t="array" ref="D27">COUNTIFS('Defect Dump'!$I26:$I10023,D$3,'Defect Dump'!$L26:$L10023,$B27)</f>
        <v>0</v>
      </c>
      <c r="E27" s="280">
        <f t="array" ref="E27">COUNTIFS('Defect Dump'!$I26:$I10023,E$3,'Defect Dump'!$L26:$L10023,$B27)</f>
        <v>0</v>
      </c>
      <c r="F27" s="280">
        <f t="array" ref="F27">COUNTIFS('Defect Dump'!$I26:$I10023,F$3,'Defect Dump'!$L26:$L10023,$B27)</f>
        <v>0</v>
      </c>
      <c r="G27" s="280">
        <f t="shared" si="1"/>
        <v>0</v>
      </c>
      <c r="H27" s="280" t="str">
        <f t="shared" si="2"/>
        <v>Not Started</v>
      </c>
    </row>
    <row r="28" spans="2:8">
      <c r="B28" s="323" t="e">
        <f t="array" ref="B28">INDEX('Defect Dump'!$L$3:$L$10000, MATCH(0, COUNTIF($B$3:B27, 'Defect Dump'!$L$3:$L$10000), 0))</f>
        <v>#N/A</v>
      </c>
      <c r="C28" s="280">
        <f t="array" ref="C28">COUNTIFS('Defect Dump'!$I27:$I10024,C$3,'Defect Dump'!$L27:$L10024,$B28)</f>
        <v>0</v>
      </c>
      <c r="D28" s="280">
        <f t="array" ref="D28">COUNTIFS('Defect Dump'!$I27:$I10024,D$3,'Defect Dump'!$L27:$L10024,$B28)</f>
        <v>0</v>
      </c>
      <c r="E28" s="280">
        <f t="array" ref="E28">COUNTIFS('Defect Dump'!$I27:$I10024,E$3,'Defect Dump'!$L27:$L10024,$B28)</f>
        <v>0</v>
      </c>
      <c r="F28" s="280">
        <f t="array" ref="F28">COUNTIFS('Defect Dump'!$I27:$I10024,F$3,'Defect Dump'!$L27:$L10024,$B28)</f>
        <v>0</v>
      </c>
      <c r="G28" s="280">
        <f t="shared" si="1"/>
        <v>0</v>
      </c>
      <c r="H28" s="280" t="str">
        <f t="shared" si="2"/>
        <v>Not Started</v>
      </c>
    </row>
    <row r="29" spans="2:8">
      <c r="B29" s="323" t="e">
        <f t="array" ref="B29">INDEX('Defect Dump'!$L$3:$L$10000, MATCH(0, COUNTIF($B$3:B28, 'Defect Dump'!$L$3:$L$10000), 0))</f>
        <v>#N/A</v>
      </c>
      <c r="C29" s="280">
        <f t="array" ref="C29">COUNTIFS('Defect Dump'!$I28:$I10025,C$3,'Defect Dump'!$L28:$L10025,$B29)</f>
        <v>0</v>
      </c>
      <c r="D29" s="280">
        <f t="array" ref="D29">COUNTIFS('Defect Dump'!$I28:$I10025,D$3,'Defect Dump'!$L28:$L10025,$B29)</f>
        <v>0</v>
      </c>
      <c r="E29" s="280">
        <f t="array" ref="E29">COUNTIFS('Defect Dump'!$I28:$I10025,E$3,'Defect Dump'!$L28:$L10025,$B29)</f>
        <v>0</v>
      </c>
      <c r="F29" s="280">
        <f t="array" ref="F29">COUNTIFS('Defect Dump'!$I28:$I10025,F$3,'Defect Dump'!$L28:$L10025,$B29)</f>
        <v>0</v>
      </c>
      <c r="G29" s="280">
        <f t="shared" si="1"/>
        <v>0</v>
      </c>
      <c r="H29" s="280" t="str">
        <f t="shared" si="2"/>
        <v>Not Started</v>
      </c>
    </row>
    <row r="30" spans="2:8">
      <c r="B30" s="323" t="e">
        <f t="array" ref="B30">INDEX('Defect Dump'!$L$3:$L$10000, MATCH(0, COUNTIF($B$3:B29, 'Defect Dump'!$L$3:$L$10000), 0))</f>
        <v>#N/A</v>
      </c>
      <c r="C30" s="280">
        <f t="array" ref="C30">COUNTIFS('Defect Dump'!$I29:$I10026,C$3,'Defect Dump'!$L29:$L10026,$B30)</f>
        <v>0</v>
      </c>
      <c r="D30" s="280">
        <f t="array" ref="D30">COUNTIFS('Defect Dump'!$I29:$I10026,D$3,'Defect Dump'!$L29:$L10026,$B30)</f>
        <v>0</v>
      </c>
      <c r="E30" s="280">
        <f t="array" ref="E30">COUNTIFS('Defect Dump'!$I29:$I10026,E$3,'Defect Dump'!$L29:$L10026,$B30)</f>
        <v>0</v>
      </c>
      <c r="F30" s="280">
        <f t="array" ref="F30">COUNTIFS('Defect Dump'!$I29:$I10026,F$3,'Defect Dump'!$L29:$L10026,$B30)</f>
        <v>0</v>
      </c>
      <c r="G30" s="280">
        <f t="shared" si="1"/>
        <v>0</v>
      </c>
      <c r="H30" s="280" t="str">
        <f t="shared" si="2"/>
        <v>Not Started</v>
      </c>
    </row>
    <row r="31" spans="2:8">
      <c r="B31" s="323" t="e">
        <f t="array" ref="B31">INDEX('Defect Dump'!$L$3:$L$10000, MATCH(0, COUNTIF($B$3:B30, 'Defect Dump'!$L$3:$L$10000), 0))</f>
        <v>#N/A</v>
      </c>
      <c r="C31" s="280">
        <f t="array" ref="C31">COUNTIFS('Defect Dump'!$I30:$I10027,C$3,'Defect Dump'!$L30:$L10027,$B31)</f>
        <v>0</v>
      </c>
      <c r="D31" s="280">
        <f t="array" ref="D31">COUNTIFS('Defect Dump'!$I30:$I10027,D$3,'Defect Dump'!$L30:$L10027,$B31)</f>
        <v>0</v>
      </c>
      <c r="E31" s="280">
        <f t="array" ref="E31">COUNTIFS('Defect Dump'!$I30:$I10027,E$3,'Defect Dump'!$L30:$L10027,$B31)</f>
        <v>0</v>
      </c>
      <c r="F31" s="280">
        <f t="array" ref="F31">COUNTIFS('Defect Dump'!$I30:$I10027,F$3,'Defect Dump'!$L30:$L10027,$B31)</f>
        <v>0</v>
      </c>
      <c r="G31" s="280">
        <f t="shared" si="1"/>
        <v>0</v>
      </c>
      <c r="H31" s="280" t="str">
        <f t="shared" si="2"/>
        <v>Not Started</v>
      </c>
    </row>
    <row r="32" spans="2:8">
      <c r="B32" s="323" t="e">
        <f t="array" ref="B32">INDEX('Defect Dump'!$L$3:$L$10000, MATCH(0, COUNTIF($B$3:B31, 'Defect Dump'!$L$3:$L$10000), 0))</f>
        <v>#N/A</v>
      </c>
      <c r="C32" s="280">
        <f t="array" ref="C32">COUNTIFS('Defect Dump'!$I31:$I10028,C$3,'Defect Dump'!$L31:$L10028,$B32)</f>
        <v>0</v>
      </c>
      <c r="D32" s="280">
        <f t="array" ref="D32">COUNTIFS('Defect Dump'!$I31:$I10028,D$3,'Defect Dump'!$L31:$L10028,$B32)</f>
        <v>0</v>
      </c>
      <c r="E32" s="280">
        <f t="array" ref="E32">COUNTIFS('Defect Dump'!$I31:$I10028,E$3,'Defect Dump'!$L31:$L10028,$B32)</f>
        <v>0</v>
      </c>
      <c r="F32" s="280">
        <f t="array" ref="F32">COUNTIFS('Defect Dump'!$I31:$I10028,F$3,'Defect Dump'!$L31:$L10028,$B32)</f>
        <v>0</v>
      </c>
      <c r="G32" s="280">
        <f t="shared" si="1"/>
        <v>0</v>
      </c>
      <c r="H32" s="280" t="str">
        <f t="shared" si="2"/>
        <v>Not Started</v>
      </c>
    </row>
    <row r="33" spans="2:8">
      <c r="B33" s="323" t="e">
        <f t="array" ref="B33">INDEX('Defect Dump'!$L$3:$L$10000, MATCH(0, COUNTIF($B$3:B32, 'Defect Dump'!$L$3:$L$10000), 0))</f>
        <v>#N/A</v>
      </c>
      <c r="C33" s="280">
        <f t="array" ref="C33">COUNTIFS('Defect Dump'!$I32:$I10029,C$3,'Defect Dump'!$L32:$L10029,$B33)</f>
        <v>0</v>
      </c>
      <c r="D33" s="280">
        <f t="array" ref="D33">COUNTIFS('Defect Dump'!$I32:$I10029,D$3,'Defect Dump'!$L32:$L10029,$B33)</f>
        <v>0</v>
      </c>
      <c r="E33" s="280">
        <f t="array" ref="E33">COUNTIFS('Defect Dump'!$I32:$I10029,E$3,'Defect Dump'!$L32:$L10029,$B33)</f>
        <v>0</v>
      </c>
      <c r="F33" s="280">
        <f t="array" ref="F33">COUNTIFS('Defect Dump'!$I32:$I10029,F$3,'Defect Dump'!$L32:$L10029,$B33)</f>
        <v>0</v>
      </c>
      <c r="G33" s="280">
        <f t="shared" si="1"/>
        <v>0</v>
      </c>
      <c r="H33" s="280" t="str">
        <f t="shared" si="2"/>
        <v>Not Started</v>
      </c>
    </row>
    <row r="34" spans="2:8">
      <c r="B34" s="323" t="e">
        <f t="array" ref="B34">INDEX('Defect Dump'!$L$3:$L$10000, MATCH(0, COUNTIF($B$3:B33, 'Defect Dump'!$L$3:$L$10000), 0))</f>
        <v>#N/A</v>
      </c>
      <c r="C34" s="280">
        <f t="array" ref="C34">COUNTIFS('Defect Dump'!$I33:$I10030,C$3,'Defect Dump'!$L33:$L10030,$B34)</f>
        <v>0</v>
      </c>
      <c r="D34" s="280">
        <f t="array" ref="D34">COUNTIFS('Defect Dump'!$I33:$I10030,D$3,'Defect Dump'!$L33:$L10030,$B34)</f>
        <v>0</v>
      </c>
      <c r="E34" s="280">
        <f t="array" ref="E34">COUNTIFS('Defect Dump'!$I33:$I10030,E$3,'Defect Dump'!$L33:$L10030,$B34)</f>
        <v>0</v>
      </c>
      <c r="F34" s="280">
        <f t="array" ref="F34">COUNTIFS('Defect Dump'!$I33:$I10030,F$3,'Defect Dump'!$L33:$L10030,$B34)</f>
        <v>0</v>
      </c>
      <c r="G34" s="280">
        <f t="shared" si="1"/>
        <v>0</v>
      </c>
      <c r="H34" s="280" t="str">
        <f t="shared" si="2"/>
        <v>Not Started</v>
      </c>
    </row>
    <row r="35" spans="2:8">
      <c r="B35" s="323" t="e">
        <f t="array" ref="B35">INDEX('Defect Dump'!$L$3:$L$10000, MATCH(0, COUNTIF($B$3:B34, 'Defect Dump'!$L$3:$L$10000), 0))</f>
        <v>#N/A</v>
      </c>
      <c r="C35" s="280">
        <f t="array" ref="C35">COUNTIFS('Defect Dump'!$I34:$I10031,C$3,'Defect Dump'!$L34:$L10031,$B35)</f>
        <v>0</v>
      </c>
      <c r="D35" s="280">
        <f t="array" ref="D35">COUNTIFS('Defect Dump'!$I34:$I10031,D$3,'Defect Dump'!$L34:$L10031,$B35)</f>
        <v>0</v>
      </c>
      <c r="E35" s="280">
        <f t="array" ref="E35">COUNTIFS('Defect Dump'!$I34:$I10031,E$3,'Defect Dump'!$L34:$L10031,$B35)</f>
        <v>0</v>
      </c>
      <c r="F35" s="280">
        <f t="array" ref="F35">COUNTIFS('Defect Dump'!$I34:$I10031,F$3,'Defect Dump'!$L34:$L10031,$B35)</f>
        <v>0</v>
      </c>
      <c r="G35" s="280">
        <f t="shared" si="1"/>
        <v>0</v>
      </c>
      <c r="H35" s="280" t="str">
        <f t="shared" si="2"/>
        <v>Not Started</v>
      </c>
    </row>
    <row r="36" spans="2:8">
      <c r="B36" s="323" t="e">
        <f t="array" ref="B36">INDEX('Defect Dump'!$L$3:$L$10000, MATCH(0, COUNTIF($B$3:B35, 'Defect Dump'!$L$3:$L$10000), 0))</f>
        <v>#N/A</v>
      </c>
      <c r="C36" s="280">
        <f t="array" ref="C36">COUNTIFS('Defect Dump'!$I35:$I10032,C$3,'Defect Dump'!$L35:$L10032,$B36)</f>
        <v>0</v>
      </c>
      <c r="D36" s="280">
        <f t="array" ref="D36">COUNTIFS('Defect Dump'!$I35:$I10032,D$3,'Defect Dump'!$L35:$L10032,$B36)</f>
        <v>0</v>
      </c>
      <c r="E36" s="280">
        <f t="array" ref="E36">COUNTIFS('Defect Dump'!$I35:$I10032,E$3,'Defect Dump'!$L35:$L10032,$B36)</f>
        <v>0</v>
      </c>
      <c r="F36" s="280">
        <f t="array" ref="F36">COUNTIFS('Defect Dump'!$I35:$I10032,F$3,'Defect Dump'!$L35:$L10032,$B36)</f>
        <v>0</v>
      </c>
      <c r="G36" s="280">
        <f t="shared" si="1"/>
        <v>0</v>
      </c>
      <c r="H36" s="280" t="str">
        <f t="shared" si="2"/>
        <v>Not Started</v>
      </c>
    </row>
    <row r="37" spans="2:8">
      <c r="B37" s="323" t="e">
        <f t="array" ref="B37">INDEX('Defect Dump'!$L$3:$L$10000, MATCH(0, COUNTIF($B$3:B36, 'Defect Dump'!$L$3:$L$10000), 0))</f>
        <v>#N/A</v>
      </c>
      <c r="C37" s="280">
        <f t="array" ref="C37">COUNTIFS('Defect Dump'!$I36:$I10033,C$3,'Defect Dump'!$L36:$L10033,$B37)</f>
        <v>0</v>
      </c>
      <c r="D37" s="280">
        <f t="array" ref="D37">COUNTIFS('Defect Dump'!$I36:$I10033,D$3,'Defect Dump'!$L36:$L10033,$B37)</f>
        <v>0</v>
      </c>
      <c r="E37" s="280">
        <f t="array" ref="E37">COUNTIFS('Defect Dump'!$I36:$I10033,E$3,'Defect Dump'!$L36:$L10033,$B37)</f>
        <v>0</v>
      </c>
      <c r="F37" s="280">
        <f t="array" ref="F37">COUNTIFS('Defect Dump'!$I36:$I10033,F$3,'Defect Dump'!$L36:$L10033,$B37)</f>
        <v>0</v>
      </c>
      <c r="G37" s="280">
        <f t="shared" si="1"/>
        <v>0</v>
      </c>
      <c r="H37" s="280" t="str">
        <f t="shared" si="2"/>
        <v>Not Started</v>
      </c>
    </row>
    <row r="38" spans="2:8">
      <c r="B38" s="323" t="e">
        <f t="array" ref="B38">INDEX('Defect Dump'!$L$3:$L$10000, MATCH(0, COUNTIF($B$3:B37, 'Defect Dump'!$L$3:$L$10000), 0))</f>
        <v>#N/A</v>
      </c>
      <c r="C38" s="280">
        <f t="array" ref="C38">COUNTIFS('Defect Dump'!$I37:$I10034,C$3,'Defect Dump'!$L37:$L10034,$B38)</f>
        <v>0</v>
      </c>
      <c r="D38" s="280">
        <f t="array" ref="D38">COUNTIFS('Defect Dump'!$I37:$I10034,D$3,'Defect Dump'!$L37:$L10034,$B38)</f>
        <v>0</v>
      </c>
      <c r="E38" s="280">
        <f t="array" ref="E38">COUNTIFS('Defect Dump'!$I37:$I10034,E$3,'Defect Dump'!$L37:$L10034,$B38)</f>
        <v>0</v>
      </c>
      <c r="F38" s="280">
        <f t="array" ref="F38">COUNTIFS('Defect Dump'!$I37:$I10034,F$3,'Defect Dump'!$L37:$L10034,$B38)</f>
        <v>0</v>
      </c>
      <c r="G38" s="280">
        <f t="shared" si="1"/>
        <v>0</v>
      </c>
      <c r="H38" s="280" t="str">
        <f t="shared" si="2"/>
        <v>Not Started</v>
      </c>
    </row>
    <row r="39" spans="2:8">
      <c r="B39" s="323" t="e">
        <f t="array" ref="B39">INDEX('Defect Dump'!$L$3:$L$10000, MATCH(0, COUNTIF($B$3:B38, 'Defect Dump'!$L$3:$L$10000), 0))</f>
        <v>#N/A</v>
      </c>
      <c r="C39" s="280">
        <f t="array" ref="C39">COUNTIFS('Defect Dump'!$I38:$I10035,C$3,'Defect Dump'!$L38:$L10035,$B39)</f>
        <v>0</v>
      </c>
      <c r="D39" s="280">
        <f t="array" ref="D39">COUNTIFS('Defect Dump'!$I38:$I10035,D$3,'Defect Dump'!$L38:$L10035,$B39)</f>
        <v>0</v>
      </c>
      <c r="E39" s="280">
        <f t="array" ref="E39">COUNTIFS('Defect Dump'!$I38:$I10035,E$3,'Defect Dump'!$L38:$L10035,$B39)</f>
        <v>0</v>
      </c>
      <c r="F39" s="280">
        <f t="array" ref="F39">COUNTIFS('Defect Dump'!$I38:$I10035,F$3,'Defect Dump'!$L38:$L10035,$B39)</f>
        <v>0</v>
      </c>
      <c r="G39" s="280">
        <f t="shared" si="1"/>
        <v>0</v>
      </c>
      <c r="H39" s="280" t="str">
        <f t="shared" si="2"/>
        <v>Not Started</v>
      </c>
    </row>
    <row r="40" spans="2:8">
      <c r="B40" s="323" t="e">
        <f t="array" ref="B40">INDEX('Defect Dump'!$L$3:$L$10000, MATCH(0, COUNTIF($B$3:B39, 'Defect Dump'!$L$3:$L$10000), 0))</f>
        <v>#N/A</v>
      </c>
      <c r="C40" s="280">
        <f t="array" ref="C40">COUNTIFS('Defect Dump'!$I39:$I10036,C$3,'Defect Dump'!$L39:$L10036,$B40)</f>
        <v>0</v>
      </c>
      <c r="D40" s="280">
        <f t="array" ref="D40">COUNTIFS('Defect Dump'!$I39:$I10036,D$3,'Defect Dump'!$L39:$L10036,$B40)</f>
        <v>0</v>
      </c>
      <c r="E40" s="280">
        <f t="array" ref="E40">COUNTIFS('Defect Dump'!$I39:$I10036,E$3,'Defect Dump'!$L39:$L10036,$B40)</f>
        <v>0</v>
      </c>
      <c r="F40" s="280">
        <f t="array" ref="F40">COUNTIFS('Defect Dump'!$I39:$I10036,F$3,'Defect Dump'!$L39:$L10036,$B40)</f>
        <v>0</v>
      </c>
      <c r="G40" s="280">
        <f t="shared" si="1"/>
        <v>0</v>
      </c>
      <c r="H40" s="280" t="str">
        <f t="shared" si="2"/>
        <v>Not Started</v>
      </c>
    </row>
    <row r="41" spans="2:8">
      <c r="B41" s="323" t="e">
        <f t="array" ref="B41">INDEX('Defect Dump'!$L$3:$L$10000, MATCH(0, COUNTIF($B$3:B40, 'Defect Dump'!$L$3:$L$10000), 0))</f>
        <v>#N/A</v>
      </c>
      <c r="C41" s="280">
        <f t="array" ref="C41">COUNTIFS('Defect Dump'!$I40:$I10037,C$3,'Defect Dump'!$L40:$L10037,$B41)</f>
        <v>0</v>
      </c>
      <c r="D41" s="280">
        <f t="array" ref="D41">COUNTIFS('Defect Dump'!$I40:$I10037,D$3,'Defect Dump'!$L40:$L10037,$B41)</f>
        <v>0</v>
      </c>
      <c r="E41" s="280">
        <f t="array" ref="E41">COUNTIFS('Defect Dump'!$I40:$I10037,E$3,'Defect Dump'!$L40:$L10037,$B41)</f>
        <v>0</v>
      </c>
      <c r="F41" s="280">
        <f t="array" ref="F41">COUNTIFS('Defect Dump'!$I40:$I10037,F$3,'Defect Dump'!$L40:$L10037,$B41)</f>
        <v>0</v>
      </c>
      <c r="G41" s="280">
        <f t="shared" si="1"/>
        <v>0</v>
      </c>
      <c r="H41" s="280" t="str">
        <f t="shared" si="2"/>
        <v>Not Started</v>
      </c>
    </row>
    <row r="42" spans="2:8">
      <c r="B42" s="323" t="e">
        <f t="array" ref="B42">INDEX('Defect Dump'!$L$3:$L$10000, MATCH(0, COUNTIF($B$3:B41, 'Defect Dump'!$L$3:$L$10000), 0))</f>
        <v>#N/A</v>
      </c>
      <c r="C42" s="280">
        <f t="array" ref="C42">COUNTIFS('Defect Dump'!$I41:$I10038,C$3,'Defect Dump'!$L41:$L10038,$B42)</f>
        <v>0</v>
      </c>
      <c r="D42" s="280">
        <f t="array" ref="D42">COUNTIFS('Defect Dump'!$I41:$I10038,D$3,'Defect Dump'!$L41:$L10038,$B42)</f>
        <v>0</v>
      </c>
      <c r="E42" s="280">
        <f t="array" ref="E42">COUNTIFS('Defect Dump'!$I41:$I10038,E$3,'Defect Dump'!$L41:$L10038,$B42)</f>
        <v>0</v>
      </c>
      <c r="F42" s="280">
        <f t="array" ref="F42">COUNTIFS('Defect Dump'!$I41:$I10038,F$3,'Defect Dump'!$L41:$L10038,$B42)</f>
        <v>0</v>
      </c>
      <c r="G42" s="280">
        <f t="shared" si="1"/>
        <v>0</v>
      </c>
      <c r="H42" s="280" t="str">
        <f t="shared" si="2"/>
        <v>Not Started</v>
      </c>
    </row>
    <row r="43" spans="2:8">
      <c r="B43" s="323" t="e">
        <f t="array" ref="B43">INDEX('Defect Dump'!$L$3:$L$10000, MATCH(0, COUNTIF($B$3:B42, 'Defect Dump'!$L$3:$L$10000), 0))</f>
        <v>#N/A</v>
      </c>
      <c r="C43" s="280">
        <f t="array" ref="C43">COUNTIFS('Defect Dump'!$I42:$I10039,C$3,'Defect Dump'!$L42:$L10039,$B43)</f>
        <v>0</v>
      </c>
      <c r="D43" s="280">
        <f t="array" ref="D43">COUNTIFS('Defect Dump'!$I42:$I10039,D$3,'Defect Dump'!$L42:$L10039,$B43)</f>
        <v>0</v>
      </c>
      <c r="E43" s="280">
        <f t="array" ref="E43">COUNTIFS('Defect Dump'!$I42:$I10039,E$3,'Defect Dump'!$L42:$L10039,$B43)</f>
        <v>0</v>
      </c>
      <c r="F43" s="280">
        <f t="array" ref="F43">COUNTIFS('Defect Dump'!$I42:$I10039,F$3,'Defect Dump'!$L42:$L10039,$B43)</f>
        <v>0</v>
      </c>
      <c r="G43" s="280">
        <f t="shared" si="1"/>
        <v>0</v>
      </c>
      <c r="H43" s="280" t="str">
        <f t="shared" si="2"/>
        <v>Not Started</v>
      </c>
    </row>
    <row r="44" spans="2:8">
      <c r="B44" s="323" t="e">
        <f t="array" ref="B44">INDEX('Defect Dump'!$L$3:$L$10000, MATCH(0, COUNTIF($B$3:B43, 'Defect Dump'!$L$3:$L$10000), 0))</f>
        <v>#N/A</v>
      </c>
      <c r="C44" s="280">
        <f t="array" ref="C44">COUNTIFS('Defect Dump'!$I43:$I10040,C$3,'Defect Dump'!$L43:$L10040,$B44)</f>
        <v>0</v>
      </c>
      <c r="D44" s="280">
        <f t="array" ref="D44">COUNTIFS('Defect Dump'!$I43:$I10040,D$3,'Defect Dump'!$L43:$L10040,$B44)</f>
        <v>0</v>
      </c>
      <c r="E44" s="280">
        <f t="array" ref="E44">COUNTIFS('Defect Dump'!$I43:$I10040,E$3,'Defect Dump'!$L43:$L10040,$B44)</f>
        <v>0</v>
      </c>
      <c r="F44" s="280">
        <f t="array" ref="F44">COUNTIFS('Defect Dump'!$I43:$I10040,F$3,'Defect Dump'!$L43:$L10040,$B44)</f>
        <v>0</v>
      </c>
      <c r="G44" s="280">
        <f t="shared" si="1"/>
        <v>0</v>
      </c>
      <c r="H44" s="280" t="str">
        <f t="shared" si="2"/>
        <v>Not Started</v>
      </c>
    </row>
    <row r="45" spans="2:8">
      <c r="B45" s="323" t="e">
        <f t="array" ref="B45">INDEX('Defect Dump'!$L$3:$L$10000, MATCH(0, COUNTIF($B$3:B44, 'Defect Dump'!$L$3:$L$10000), 0))</f>
        <v>#N/A</v>
      </c>
      <c r="C45" s="280">
        <f t="array" ref="C45">COUNTIFS('Defect Dump'!$I44:$I10041,C$3,'Defect Dump'!$L44:$L10041,$B45)</f>
        <v>0</v>
      </c>
      <c r="D45" s="280">
        <f t="array" ref="D45">COUNTIFS('Defect Dump'!$I44:$I10041,D$3,'Defect Dump'!$L44:$L10041,$B45)</f>
        <v>0</v>
      </c>
      <c r="E45" s="280">
        <f t="array" ref="E45">COUNTIFS('Defect Dump'!$I44:$I10041,E$3,'Defect Dump'!$L44:$L10041,$B45)</f>
        <v>0</v>
      </c>
      <c r="F45" s="280">
        <f t="array" ref="F45">COUNTIFS('Defect Dump'!$I44:$I10041,F$3,'Defect Dump'!$L44:$L10041,$B45)</f>
        <v>0</v>
      </c>
      <c r="G45" s="280">
        <f t="shared" si="1"/>
        <v>0</v>
      </c>
      <c r="H45" s="280" t="str">
        <f t="shared" si="2"/>
        <v>Not Started</v>
      </c>
    </row>
    <row r="46" spans="2:8">
      <c r="B46" s="323" t="e">
        <f t="array" ref="B46">INDEX('Defect Dump'!$L$3:$L$10000, MATCH(0, COUNTIF($B$3:B45, 'Defect Dump'!$L$3:$L$10000), 0))</f>
        <v>#N/A</v>
      </c>
      <c r="C46" s="280">
        <f t="array" ref="C46">COUNTIFS('Defect Dump'!$I45:$I10042,C$3,'Defect Dump'!$L45:$L10042,$B46)</f>
        <v>0</v>
      </c>
      <c r="D46" s="280">
        <f t="array" ref="D46">COUNTIFS('Defect Dump'!$I45:$I10042,D$3,'Defect Dump'!$L45:$L10042,$B46)</f>
        <v>0</v>
      </c>
      <c r="E46" s="280">
        <f t="array" ref="E46">COUNTIFS('Defect Dump'!$I45:$I10042,E$3,'Defect Dump'!$L45:$L10042,$B46)</f>
        <v>0</v>
      </c>
      <c r="F46" s="280">
        <f t="array" ref="F46">COUNTIFS('Defect Dump'!$I45:$I10042,F$3,'Defect Dump'!$L45:$L10042,$B46)</f>
        <v>0</v>
      </c>
      <c r="G46" s="280">
        <f t="shared" si="1"/>
        <v>0</v>
      </c>
      <c r="H46" s="280" t="str">
        <f t="shared" si="2"/>
        <v>Not Started</v>
      </c>
    </row>
    <row r="47" spans="2:8">
      <c r="B47" s="323" t="e">
        <f t="array" ref="B47">INDEX('Defect Dump'!$L$3:$L$10000, MATCH(0, COUNTIF($B$3:B46, 'Defect Dump'!$L$3:$L$10000), 0))</f>
        <v>#N/A</v>
      </c>
      <c r="C47" s="280">
        <f t="array" ref="C47">COUNTIFS('Defect Dump'!$I46:$I10043,C$3,'Defect Dump'!$L46:$L10043,$B47)</f>
        <v>0</v>
      </c>
      <c r="D47" s="280">
        <f t="array" ref="D47">COUNTIFS('Defect Dump'!$I46:$I10043,D$3,'Defect Dump'!$L46:$L10043,$B47)</f>
        <v>0</v>
      </c>
      <c r="E47" s="280">
        <f t="array" ref="E47">COUNTIFS('Defect Dump'!$I46:$I10043,E$3,'Defect Dump'!$L46:$L10043,$B47)</f>
        <v>0</v>
      </c>
      <c r="F47" s="280">
        <f t="array" ref="F47">COUNTIFS('Defect Dump'!$I46:$I10043,F$3,'Defect Dump'!$L46:$L10043,$B47)</f>
        <v>0</v>
      </c>
      <c r="G47" s="280">
        <f t="shared" si="1"/>
        <v>0</v>
      </c>
      <c r="H47" s="280" t="str">
        <f t="shared" si="2"/>
        <v>Not Started</v>
      </c>
    </row>
    <row r="48" spans="2:8">
      <c r="B48" s="323" t="e">
        <f t="array" ref="B48">INDEX('Defect Dump'!$L$3:$L$10000, MATCH(0, COUNTIF($B$3:B47, 'Defect Dump'!$L$3:$L$10000), 0))</f>
        <v>#N/A</v>
      </c>
      <c r="C48" s="280">
        <f t="array" ref="C48">COUNTIFS('Defect Dump'!$I47:$I10044,C$3,'Defect Dump'!$L47:$L10044,$B48)</f>
        <v>0</v>
      </c>
      <c r="D48" s="280">
        <f t="array" ref="D48">COUNTIFS('Defect Dump'!$I47:$I10044,D$3,'Defect Dump'!$L47:$L10044,$B48)</f>
        <v>0</v>
      </c>
      <c r="E48" s="280">
        <f t="array" ref="E48">COUNTIFS('Defect Dump'!$I47:$I10044,E$3,'Defect Dump'!$L47:$L10044,$B48)</f>
        <v>0</v>
      </c>
      <c r="F48" s="280">
        <f t="array" ref="F48">COUNTIFS('Defect Dump'!$I47:$I10044,F$3,'Defect Dump'!$L47:$L10044,$B48)</f>
        <v>0</v>
      </c>
      <c r="G48" s="280">
        <f t="shared" si="1"/>
        <v>0</v>
      </c>
      <c r="H48" s="280" t="str">
        <f t="shared" si="2"/>
        <v>Not Started</v>
      </c>
    </row>
    <row r="49" spans="2:8">
      <c r="B49" s="323" t="e">
        <f t="array" ref="B49">INDEX('Defect Dump'!$L$3:$L$10000, MATCH(0, COUNTIF($B$3:B48, 'Defect Dump'!$L$3:$L$10000), 0))</f>
        <v>#N/A</v>
      </c>
      <c r="C49" s="280">
        <f t="array" ref="C49">COUNTIFS('Defect Dump'!$I48:$I10045,C$3,'Defect Dump'!$L48:$L10045,$B49)</f>
        <v>0</v>
      </c>
      <c r="D49" s="280">
        <f t="array" ref="D49">COUNTIFS('Defect Dump'!$I48:$I10045,D$3,'Defect Dump'!$L48:$L10045,$B49)</f>
        <v>0</v>
      </c>
      <c r="E49" s="280">
        <f t="array" ref="E49">COUNTIFS('Defect Dump'!$I48:$I10045,E$3,'Defect Dump'!$L48:$L10045,$B49)</f>
        <v>0</v>
      </c>
      <c r="F49" s="280">
        <f t="array" ref="F49">COUNTIFS('Defect Dump'!$I48:$I10045,F$3,'Defect Dump'!$L48:$L10045,$B49)</f>
        <v>0</v>
      </c>
      <c r="G49" s="280">
        <f t="shared" si="1"/>
        <v>0</v>
      </c>
      <c r="H49" s="280" t="str">
        <f t="shared" si="2"/>
        <v>Not Started</v>
      </c>
    </row>
    <row r="50" spans="2:8">
      <c r="B50" s="323" t="e">
        <f t="array" ref="B50">INDEX('Defect Dump'!$L$3:$L$10000, MATCH(0, COUNTIF($B$3:B49, 'Defect Dump'!$L$3:$L$10000), 0))</f>
        <v>#N/A</v>
      </c>
      <c r="C50" s="280">
        <f t="array" ref="C50">COUNTIFS('Defect Dump'!$I49:$I10046,C$3,'Defect Dump'!$L49:$L10046,$B50)</f>
        <v>0</v>
      </c>
      <c r="D50" s="280">
        <f t="array" ref="D50">COUNTIFS('Defect Dump'!$I49:$I10046,D$3,'Defect Dump'!$L49:$L10046,$B50)</f>
        <v>0</v>
      </c>
      <c r="E50" s="280">
        <f t="array" ref="E50">COUNTIFS('Defect Dump'!$I49:$I10046,E$3,'Defect Dump'!$L49:$L10046,$B50)</f>
        <v>0</v>
      </c>
      <c r="F50" s="280">
        <f t="array" ref="F50">COUNTIFS('Defect Dump'!$I49:$I10046,F$3,'Defect Dump'!$L49:$L10046,$B50)</f>
        <v>0</v>
      </c>
      <c r="G50" s="280">
        <f t="shared" si="1"/>
        <v>0</v>
      </c>
      <c r="H50" s="280" t="str">
        <f t="shared" si="2"/>
        <v>Not Started</v>
      </c>
    </row>
    <row r="51" spans="2:8">
      <c r="B51" s="323" t="e">
        <f t="array" ref="B51">INDEX('Defect Dump'!$L$3:$L$10000, MATCH(0, COUNTIF($B$3:B50, 'Defect Dump'!$L$3:$L$10000), 0))</f>
        <v>#N/A</v>
      </c>
      <c r="C51" s="280">
        <f t="array" ref="C51">COUNTIFS('Defect Dump'!$I50:$I10047,C$3,'Defect Dump'!$L50:$L10047,$B51)</f>
        <v>0</v>
      </c>
      <c r="D51" s="280">
        <f t="array" ref="D51">COUNTIFS('Defect Dump'!$I50:$I10047,D$3,'Defect Dump'!$L50:$L10047,$B51)</f>
        <v>0</v>
      </c>
      <c r="E51" s="280">
        <f t="array" ref="E51">COUNTIFS('Defect Dump'!$I50:$I10047,E$3,'Defect Dump'!$L50:$L10047,$B51)</f>
        <v>0</v>
      </c>
      <c r="F51" s="280">
        <f t="array" ref="F51">COUNTIFS('Defect Dump'!$I50:$I10047,F$3,'Defect Dump'!$L50:$L10047,$B51)</f>
        <v>0</v>
      </c>
      <c r="G51" s="280">
        <f t="shared" si="1"/>
        <v>0</v>
      </c>
      <c r="H51" s="280" t="str">
        <f t="shared" si="2"/>
        <v>Not Started</v>
      </c>
    </row>
    <row r="52" spans="2:8">
      <c r="B52" s="323" t="e">
        <f t="array" ref="B52">INDEX('Defect Dump'!$L$3:$L$10000, MATCH(0, COUNTIF($B$3:B51, 'Defect Dump'!$L$3:$L$10000), 0))</f>
        <v>#N/A</v>
      </c>
      <c r="C52" s="280">
        <f t="array" ref="C52">COUNTIFS('Defect Dump'!$I51:$I10048,C$3,'Defect Dump'!$L51:$L10048,$B52)</f>
        <v>0</v>
      </c>
      <c r="D52" s="280">
        <f t="array" ref="D52">COUNTIFS('Defect Dump'!$I51:$I10048,D$3,'Defect Dump'!$L51:$L10048,$B52)</f>
        <v>0</v>
      </c>
      <c r="E52" s="280">
        <f t="array" ref="E52">COUNTIFS('Defect Dump'!$I51:$I10048,E$3,'Defect Dump'!$L51:$L10048,$B52)</f>
        <v>0</v>
      </c>
      <c r="F52" s="280">
        <f t="array" ref="F52">COUNTIFS('Defect Dump'!$I51:$I10048,F$3,'Defect Dump'!$L51:$L10048,$B52)</f>
        <v>0</v>
      </c>
      <c r="G52" s="280">
        <f t="shared" si="1"/>
        <v>0</v>
      </c>
      <c r="H52" s="280" t="str">
        <f t="shared" si="2"/>
        <v>Not Started</v>
      </c>
    </row>
    <row r="53" spans="2:8">
      <c r="B53" s="323" t="e">
        <f t="array" ref="B53">INDEX('Defect Dump'!$L$3:$L$10000, MATCH(0, COUNTIF($B$3:B52, 'Defect Dump'!$L$3:$L$10000), 0))</f>
        <v>#N/A</v>
      </c>
      <c r="C53" s="280">
        <f t="array" ref="C53">COUNTIFS('Defect Dump'!$I52:$I10049,C$3,'Defect Dump'!$L52:$L10049,$B53)</f>
        <v>0</v>
      </c>
      <c r="D53" s="280">
        <f t="array" ref="D53">COUNTIFS('Defect Dump'!$I52:$I10049,D$3,'Defect Dump'!$L52:$L10049,$B53)</f>
        <v>0</v>
      </c>
      <c r="E53" s="280">
        <f t="array" ref="E53">COUNTIFS('Defect Dump'!$I52:$I10049,E$3,'Defect Dump'!$L52:$L10049,$B53)</f>
        <v>0</v>
      </c>
      <c r="F53" s="280">
        <f t="array" ref="F53">COUNTIFS('Defect Dump'!$I52:$I10049,F$3,'Defect Dump'!$L52:$L10049,$B53)</f>
        <v>0</v>
      </c>
      <c r="G53" s="280">
        <f t="shared" si="1"/>
        <v>0</v>
      </c>
      <c r="H53" s="280" t="str">
        <f t="shared" si="2"/>
        <v>Not Started</v>
      </c>
    </row>
    <row r="54" spans="2:8">
      <c r="B54" s="323" t="e">
        <f t="array" ref="B54">INDEX('Defect Dump'!$L$3:$L$10000, MATCH(0, COUNTIF($B$3:B53, 'Defect Dump'!$L$3:$L$10000), 0))</f>
        <v>#N/A</v>
      </c>
      <c r="C54" s="280">
        <f t="array" ref="C54">COUNTIFS('Defect Dump'!$I53:$I10050,C$3,'Defect Dump'!$L53:$L10050,$B54)</f>
        <v>0</v>
      </c>
      <c r="D54" s="280">
        <f t="array" ref="D54">COUNTIFS('Defect Dump'!$I53:$I10050,D$3,'Defect Dump'!$L53:$L10050,$B54)</f>
        <v>0</v>
      </c>
      <c r="E54" s="280">
        <f t="array" ref="E54">COUNTIFS('Defect Dump'!$I53:$I10050,E$3,'Defect Dump'!$L53:$L10050,$B54)</f>
        <v>0</v>
      </c>
      <c r="F54" s="280">
        <f t="array" ref="F54">COUNTIFS('Defect Dump'!$I53:$I10050,F$3,'Defect Dump'!$L53:$L10050,$B54)</f>
        <v>0</v>
      </c>
      <c r="G54" s="280">
        <f t="shared" si="1"/>
        <v>0</v>
      </c>
      <c r="H54" s="280" t="str">
        <f t="shared" si="2"/>
        <v>Not Started</v>
      </c>
    </row>
    <row r="55" spans="2:8">
      <c r="B55" s="323" t="e">
        <f t="array" ref="B55">INDEX('Defect Dump'!$L$3:$L$10000, MATCH(0, COUNTIF($B$3:B54, 'Defect Dump'!$L$3:$L$10000), 0))</f>
        <v>#N/A</v>
      </c>
      <c r="C55" s="280">
        <f t="array" ref="C55">COUNTIFS('Defect Dump'!$I54:$I10051,C$3,'Defect Dump'!$L54:$L10051,$B55)</f>
        <v>0</v>
      </c>
      <c r="D55" s="280">
        <f t="array" ref="D55">COUNTIFS('Defect Dump'!$I54:$I10051,D$3,'Defect Dump'!$L54:$L10051,$B55)</f>
        <v>0</v>
      </c>
      <c r="E55" s="280">
        <f t="array" ref="E55">COUNTIFS('Defect Dump'!$I54:$I10051,E$3,'Defect Dump'!$L54:$L10051,$B55)</f>
        <v>0</v>
      </c>
      <c r="F55" s="280">
        <f t="array" ref="F55">COUNTIFS('Defect Dump'!$I54:$I10051,F$3,'Defect Dump'!$L54:$L10051,$B55)</f>
        <v>0</v>
      </c>
      <c r="G55" s="280">
        <f t="shared" si="1"/>
        <v>0</v>
      </c>
      <c r="H55" s="280" t="str">
        <f t="shared" si="2"/>
        <v>Not Started</v>
      </c>
    </row>
    <row r="56" spans="2:8">
      <c r="B56" s="323" t="e">
        <f t="array" ref="B56">INDEX('Defect Dump'!$L$3:$L$10000, MATCH(0, COUNTIF($B$3:B55, 'Defect Dump'!$L$3:$L$10000), 0))</f>
        <v>#N/A</v>
      </c>
      <c r="C56" s="280">
        <f t="array" ref="C56">COUNTIFS('Defect Dump'!$I55:$I10052,C$3,'Defect Dump'!$L55:$L10052,$B56)</f>
        <v>0</v>
      </c>
      <c r="D56" s="280">
        <f t="array" ref="D56">COUNTIFS('Defect Dump'!$I55:$I10052,D$3,'Defect Dump'!$L55:$L10052,$B56)</f>
        <v>0</v>
      </c>
      <c r="E56" s="280">
        <f t="array" ref="E56">COUNTIFS('Defect Dump'!$I55:$I10052,E$3,'Defect Dump'!$L55:$L10052,$B56)</f>
        <v>0</v>
      </c>
      <c r="F56" s="280">
        <f t="array" ref="F56">COUNTIFS('Defect Dump'!$I55:$I10052,F$3,'Defect Dump'!$L55:$L10052,$B56)</f>
        <v>0</v>
      </c>
      <c r="G56" s="280">
        <f t="shared" si="1"/>
        <v>0</v>
      </c>
      <c r="H56" s="280" t="str">
        <f t="shared" si="2"/>
        <v>Not Started</v>
      </c>
    </row>
    <row r="57" spans="2:8">
      <c r="B57" s="323" t="e">
        <f t="array" ref="B57">INDEX('Defect Dump'!$L$3:$L$10000, MATCH(0, COUNTIF($B$3:B56, 'Defect Dump'!$L$3:$L$10000), 0))</f>
        <v>#N/A</v>
      </c>
      <c r="C57" s="280">
        <f t="array" ref="C57">COUNTIFS('Defect Dump'!$I56:$I10053,C$3,'Defect Dump'!$L56:$L10053,$B57)</f>
        <v>0</v>
      </c>
      <c r="D57" s="280">
        <f t="array" ref="D57">COUNTIFS('Defect Dump'!$I56:$I10053,D$3,'Defect Dump'!$L56:$L10053,$B57)</f>
        <v>0</v>
      </c>
      <c r="E57" s="280">
        <f t="array" ref="E57">COUNTIFS('Defect Dump'!$I56:$I10053,E$3,'Defect Dump'!$L56:$L10053,$B57)</f>
        <v>0</v>
      </c>
      <c r="F57" s="280">
        <f t="array" ref="F57">COUNTIFS('Defect Dump'!$I56:$I10053,F$3,'Defect Dump'!$L56:$L10053,$B57)</f>
        <v>0</v>
      </c>
      <c r="G57" s="280">
        <f t="shared" si="1"/>
        <v>0</v>
      </c>
      <c r="H57" s="280" t="str">
        <f t="shared" si="2"/>
        <v>Not Started</v>
      </c>
    </row>
    <row r="58" spans="2:8">
      <c r="B58" s="323" t="e">
        <f t="array" ref="B58">INDEX('Defect Dump'!$L$3:$L$10000, MATCH(0, COUNTIF($B$3:B57, 'Defect Dump'!$L$3:$L$10000), 0))</f>
        <v>#N/A</v>
      </c>
      <c r="C58" s="280">
        <f t="array" ref="C58">COUNTIFS('Defect Dump'!$I57:$I10054,C$3,'Defect Dump'!$L57:$L10054,$B58)</f>
        <v>0</v>
      </c>
      <c r="D58" s="280">
        <f t="array" ref="D58">COUNTIFS('Defect Dump'!$I57:$I10054,D$3,'Defect Dump'!$L57:$L10054,$B58)</f>
        <v>0</v>
      </c>
      <c r="E58" s="280">
        <f t="array" ref="E58">COUNTIFS('Defect Dump'!$I57:$I10054,E$3,'Defect Dump'!$L57:$L10054,$B58)</f>
        <v>0</v>
      </c>
      <c r="F58" s="280">
        <f t="array" ref="F58">COUNTIFS('Defect Dump'!$I57:$I10054,F$3,'Defect Dump'!$L57:$L10054,$B58)</f>
        <v>0</v>
      </c>
      <c r="G58" s="280">
        <f t="shared" si="1"/>
        <v>0</v>
      </c>
      <c r="H58" s="280" t="str">
        <f t="shared" si="2"/>
        <v>Not Started</v>
      </c>
    </row>
    <row r="59" spans="2:8">
      <c r="B59" s="323" t="e">
        <f t="array" ref="B59">INDEX('Defect Dump'!$L$3:$L$10000, MATCH(0, COUNTIF($B$3:B58, 'Defect Dump'!$L$3:$L$10000), 0))</f>
        <v>#N/A</v>
      </c>
      <c r="C59" s="280">
        <f t="array" ref="C59">COUNTIFS('Defect Dump'!$I58:$I10055,C$3,'Defect Dump'!$L58:$L10055,$B59)</f>
        <v>0</v>
      </c>
      <c r="D59" s="280">
        <f t="array" ref="D59">COUNTIFS('Defect Dump'!$I58:$I10055,D$3,'Defect Dump'!$L58:$L10055,$B59)</f>
        <v>0</v>
      </c>
      <c r="E59" s="280">
        <f t="array" ref="E59">COUNTIFS('Defect Dump'!$I58:$I10055,E$3,'Defect Dump'!$L58:$L10055,$B59)</f>
        <v>0</v>
      </c>
      <c r="F59" s="280">
        <f t="array" ref="F59">COUNTIFS('Defect Dump'!$I58:$I10055,F$3,'Defect Dump'!$L58:$L10055,$B59)</f>
        <v>0</v>
      </c>
      <c r="G59" s="280">
        <f t="shared" si="1"/>
        <v>0</v>
      </c>
      <c r="H59" s="280" t="str">
        <f t="shared" si="2"/>
        <v>Not Started</v>
      </c>
    </row>
    <row r="60" spans="2:8">
      <c r="B60" s="323" t="e">
        <f t="array" ref="B60">INDEX('Defect Dump'!$L$3:$L$10000, MATCH(0, COUNTIF($B$3:B59, 'Defect Dump'!$L$3:$L$10000), 0))</f>
        <v>#N/A</v>
      </c>
      <c r="C60" s="280">
        <f t="array" ref="C60">COUNTIFS('Defect Dump'!$I59:$I10056,C$3,'Defect Dump'!$L59:$L10056,$B60)</f>
        <v>0</v>
      </c>
      <c r="D60" s="280">
        <f t="array" ref="D60">COUNTIFS('Defect Dump'!$I59:$I10056,D$3,'Defect Dump'!$L59:$L10056,$B60)</f>
        <v>0</v>
      </c>
      <c r="E60" s="280">
        <f t="array" ref="E60">COUNTIFS('Defect Dump'!$I59:$I10056,E$3,'Defect Dump'!$L59:$L10056,$B60)</f>
        <v>0</v>
      </c>
      <c r="F60" s="280">
        <f t="array" ref="F60">COUNTIFS('Defect Dump'!$I59:$I10056,F$3,'Defect Dump'!$L59:$L10056,$B60)</f>
        <v>0</v>
      </c>
      <c r="G60" s="280">
        <f t="shared" si="1"/>
        <v>0</v>
      </c>
      <c r="H60" s="280" t="str">
        <f t="shared" si="2"/>
        <v>Not Started</v>
      </c>
    </row>
    <row r="61" spans="2:8">
      <c r="B61" s="323" t="e">
        <f t="array" ref="B61">INDEX('Defect Dump'!$L$3:$L$10000, MATCH(0, COUNTIF($B$3:B60, 'Defect Dump'!$L$3:$L$10000), 0))</f>
        <v>#N/A</v>
      </c>
      <c r="C61" s="280">
        <f t="array" ref="C61">COUNTIFS('Defect Dump'!$I60:$I10057,C$3,'Defect Dump'!$L60:$L10057,$B61)</f>
        <v>0</v>
      </c>
      <c r="D61" s="280">
        <f t="array" ref="D61">COUNTIFS('Defect Dump'!$I60:$I10057,D$3,'Defect Dump'!$L60:$L10057,$B61)</f>
        <v>0</v>
      </c>
      <c r="E61" s="280">
        <f t="array" ref="E61">COUNTIFS('Defect Dump'!$I60:$I10057,E$3,'Defect Dump'!$L60:$L10057,$B61)</f>
        <v>0</v>
      </c>
      <c r="F61" s="280">
        <f t="array" ref="F61">COUNTIFS('Defect Dump'!$I60:$I10057,F$3,'Defect Dump'!$L60:$L10057,$B61)</f>
        <v>0</v>
      </c>
      <c r="G61" s="280">
        <f t="shared" si="1"/>
        <v>0</v>
      </c>
      <c r="H61" s="280" t="str">
        <f t="shared" si="2"/>
        <v>Not Started</v>
      </c>
    </row>
    <row r="62" spans="2:8">
      <c r="B62" s="323" t="e">
        <f t="array" ref="B62">INDEX('Defect Dump'!$L$3:$L$10000, MATCH(0, COUNTIF($B$3:B61, 'Defect Dump'!$L$3:$L$10000), 0))</f>
        <v>#N/A</v>
      </c>
      <c r="C62" s="280">
        <f t="array" ref="C62">COUNTIFS('Defect Dump'!$I61:$I10058,C$3,'Defect Dump'!$L61:$L10058,$B62)</f>
        <v>0</v>
      </c>
      <c r="D62" s="280">
        <f t="array" ref="D62">COUNTIFS('Defect Dump'!$I61:$I10058,D$3,'Defect Dump'!$L61:$L10058,$B62)</f>
        <v>0</v>
      </c>
      <c r="E62" s="280">
        <f t="array" ref="E62">COUNTIFS('Defect Dump'!$I61:$I10058,E$3,'Defect Dump'!$L61:$L10058,$B62)</f>
        <v>0</v>
      </c>
      <c r="F62" s="280">
        <f t="array" ref="F62">COUNTIFS('Defect Dump'!$I61:$I10058,F$3,'Defect Dump'!$L61:$L10058,$B62)</f>
        <v>0</v>
      </c>
      <c r="G62" s="280">
        <f t="shared" si="1"/>
        <v>0</v>
      </c>
      <c r="H62" s="280" t="str">
        <f t="shared" si="2"/>
        <v>Not Started</v>
      </c>
    </row>
    <row r="63" spans="2:8">
      <c r="B63" s="323" t="e">
        <f t="array" ref="B63">INDEX('Defect Dump'!$L$3:$L$10000, MATCH(0, COUNTIF($B$3:B62, 'Defect Dump'!$L$3:$L$10000), 0))</f>
        <v>#N/A</v>
      </c>
      <c r="C63" s="280">
        <f t="array" ref="C63">COUNTIFS('Defect Dump'!$I62:$I10059,C$3,'Defect Dump'!$L62:$L10059,$B63)</f>
        <v>0</v>
      </c>
      <c r="D63" s="280">
        <f t="array" ref="D63">COUNTIFS('Defect Dump'!$I62:$I10059,D$3,'Defect Dump'!$L62:$L10059,$B63)</f>
        <v>0</v>
      </c>
      <c r="E63" s="280">
        <f t="array" ref="E63">COUNTIFS('Defect Dump'!$I62:$I10059,E$3,'Defect Dump'!$L62:$L10059,$B63)</f>
        <v>0</v>
      </c>
      <c r="F63" s="280">
        <f t="array" ref="F63">COUNTIFS('Defect Dump'!$I62:$I10059,F$3,'Defect Dump'!$L62:$L10059,$B63)</f>
        <v>0</v>
      </c>
      <c r="G63" s="280">
        <f t="shared" si="1"/>
        <v>0</v>
      </c>
      <c r="H63" s="280" t="str">
        <f t="shared" si="2"/>
        <v>Not Started</v>
      </c>
    </row>
    <row r="64" spans="2:8">
      <c r="B64" s="323" t="e">
        <f t="array" ref="B64">INDEX('Defect Dump'!$L$3:$L$10000, MATCH(0, COUNTIF($B$3:B63, 'Defect Dump'!$L$3:$L$10000), 0))</f>
        <v>#N/A</v>
      </c>
      <c r="C64" s="280">
        <f t="array" ref="C64">COUNTIFS('Defect Dump'!$I63:$I10060,C$3,'Defect Dump'!$L63:$L10060,$B64)</f>
        <v>0</v>
      </c>
      <c r="D64" s="280">
        <f t="array" ref="D64">COUNTIFS('Defect Dump'!$I63:$I10060,D$3,'Defect Dump'!$L63:$L10060,$B64)</f>
        <v>0</v>
      </c>
      <c r="E64" s="280">
        <f t="array" ref="E64">COUNTIFS('Defect Dump'!$I63:$I10060,E$3,'Defect Dump'!$L63:$L10060,$B64)</f>
        <v>0</v>
      </c>
      <c r="F64" s="280">
        <f t="array" ref="F64">COUNTIFS('Defect Dump'!$I63:$I10060,F$3,'Defect Dump'!$L63:$L10060,$B64)</f>
        <v>0</v>
      </c>
      <c r="G64" s="280">
        <f t="shared" si="1"/>
        <v>0</v>
      </c>
      <c r="H64" s="280" t="str">
        <f t="shared" si="2"/>
        <v>Not Started</v>
      </c>
    </row>
    <row r="65" spans="2:8">
      <c r="B65" s="323" t="e">
        <f t="array" ref="B65">INDEX('Defect Dump'!$L$3:$L$10000, MATCH(0, COUNTIF($B$3:B64, 'Defect Dump'!$L$3:$L$10000), 0))</f>
        <v>#N/A</v>
      </c>
      <c r="C65" s="280">
        <f t="array" ref="C65">COUNTIFS('Defect Dump'!$I64:$I10061,C$3,'Defect Dump'!$L64:$L10061,$B65)</f>
        <v>0</v>
      </c>
      <c r="D65" s="280">
        <f t="array" ref="D65">COUNTIFS('Defect Dump'!$I64:$I10061,D$3,'Defect Dump'!$L64:$L10061,$B65)</f>
        <v>0</v>
      </c>
      <c r="E65" s="280">
        <f t="array" ref="E65">COUNTIFS('Defect Dump'!$I64:$I10061,E$3,'Defect Dump'!$L64:$L10061,$B65)</f>
        <v>0</v>
      </c>
      <c r="F65" s="280">
        <f t="array" ref="F65">COUNTIFS('Defect Dump'!$I64:$I10061,F$3,'Defect Dump'!$L64:$L10061,$B65)</f>
        <v>0</v>
      </c>
      <c r="G65" s="280">
        <f t="shared" si="1"/>
        <v>0</v>
      </c>
      <c r="H65" s="280" t="str">
        <f t="shared" si="2"/>
        <v>Not Started</v>
      </c>
    </row>
    <row r="66" spans="2:8">
      <c r="B66" s="323" t="e">
        <f t="array" ref="B66">INDEX('Defect Dump'!$L$3:$L$10000, MATCH(0, COUNTIF($B$3:B65, 'Defect Dump'!$L$3:$L$10000), 0))</f>
        <v>#N/A</v>
      </c>
      <c r="C66" s="280">
        <f t="array" ref="C66">COUNTIFS('Defect Dump'!$I65:$I10062,C$3,'Defect Dump'!$L65:$L10062,$B66)</f>
        <v>0</v>
      </c>
      <c r="D66" s="280">
        <f t="array" ref="D66">COUNTIFS('Defect Dump'!$I65:$I10062,D$3,'Defect Dump'!$L65:$L10062,$B66)</f>
        <v>0</v>
      </c>
      <c r="E66" s="280">
        <f t="array" ref="E66">COUNTIFS('Defect Dump'!$I65:$I10062,E$3,'Defect Dump'!$L65:$L10062,$B66)</f>
        <v>0</v>
      </c>
      <c r="F66" s="280">
        <f t="array" ref="F66">COUNTIFS('Defect Dump'!$I65:$I10062,F$3,'Defect Dump'!$L65:$L10062,$B66)</f>
        <v>0</v>
      </c>
      <c r="G66" s="280">
        <f t="shared" si="1"/>
        <v>0</v>
      </c>
      <c r="H66" s="280" t="str">
        <f t="shared" si="2"/>
        <v>Not Started</v>
      </c>
    </row>
    <row r="67" spans="2:8">
      <c r="B67" s="323" t="e">
        <f t="array" ref="B67">INDEX('Defect Dump'!$L$3:$L$10000, MATCH(0, COUNTIF($B$3:B66, 'Defect Dump'!$L$3:$L$10000), 0))</f>
        <v>#N/A</v>
      </c>
      <c r="C67" s="280">
        <f t="array" ref="C67">COUNTIFS('Defect Dump'!$I66:$I10063,C$3,'Defect Dump'!$L66:$L10063,$B67)</f>
        <v>0</v>
      </c>
      <c r="D67" s="280">
        <f t="array" ref="D67">COUNTIFS('Defect Dump'!$I66:$I10063,D$3,'Defect Dump'!$L66:$L10063,$B67)</f>
        <v>0</v>
      </c>
      <c r="E67" s="280">
        <f t="array" ref="E67">COUNTIFS('Defect Dump'!$I66:$I10063,E$3,'Defect Dump'!$L66:$L10063,$B67)</f>
        <v>0</v>
      </c>
      <c r="F67" s="280">
        <f t="array" ref="F67">COUNTIFS('Defect Dump'!$I66:$I10063,F$3,'Defect Dump'!$L66:$L10063,$B67)</f>
        <v>0</v>
      </c>
      <c r="G67" s="280">
        <f t="shared" si="1"/>
        <v>0</v>
      </c>
      <c r="H67" s="280" t="str">
        <f t="shared" si="2"/>
        <v>Not Started</v>
      </c>
    </row>
    <row r="68" spans="2:8">
      <c r="B68" s="323" t="e">
        <f t="array" ref="B68">INDEX('Defect Dump'!$L$3:$L$10000, MATCH(0, COUNTIF($B$3:B67, 'Defect Dump'!$L$3:$L$10000), 0))</f>
        <v>#N/A</v>
      </c>
      <c r="C68" s="280">
        <f t="array" ref="C68">COUNTIFS('Defect Dump'!$I67:$I10064,C$3,'Defect Dump'!$L67:$L10064,$B68)</f>
        <v>0</v>
      </c>
      <c r="D68" s="280">
        <f t="array" ref="D68">COUNTIFS('Defect Dump'!$I67:$I10064,D$3,'Defect Dump'!$L67:$L10064,$B68)</f>
        <v>0</v>
      </c>
      <c r="E68" s="280">
        <f t="array" ref="E68">COUNTIFS('Defect Dump'!$I67:$I10064,E$3,'Defect Dump'!$L67:$L10064,$B68)</f>
        <v>0</v>
      </c>
      <c r="F68" s="280">
        <f t="array" ref="F68">COUNTIFS('Defect Dump'!$I67:$I10064,F$3,'Defect Dump'!$L67:$L10064,$B68)</f>
        <v>0</v>
      </c>
      <c r="G68" s="280">
        <f t="shared" si="1"/>
        <v>0</v>
      </c>
      <c r="H68" s="280" t="str">
        <f t="shared" si="2"/>
        <v>Not Started</v>
      </c>
    </row>
    <row r="69" spans="2:8">
      <c r="B69" s="323" t="e">
        <f t="array" ref="B69">INDEX('Defect Dump'!$L$3:$L$10000, MATCH(0, COUNTIF($B$3:B68, 'Defect Dump'!$L$3:$L$10000), 0))</f>
        <v>#N/A</v>
      </c>
      <c r="C69" s="280">
        <f t="array" ref="C69">COUNTIFS('Defect Dump'!$I68:$I10065,C$3,'Defect Dump'!$L68:$L10065,$B69)</f>
        <v>0</v>
      </c>
      <c r="D69" s="280">
        <f t="array" ref="D69">COUNTIFS('Defect Dump'!$I68:$I10065,D$3,'Defect Dump'!$L68:$L10065,$B69)</f>
        <v>0</v>
      </c>
      <c r="E69" s="280">
        <f t="array" ref="E69">COUNTIFS('Defect Dump'!$I68:$I10065,E$3,'Defect Dump'!$L68:$L10065,$B69)</f>
        <v>0</v>
      </c>
      <c r="F69" s="280">
        <f t="array" ref="F69">COUNTIFS('Defect Dump'!$I68:$I10065,F$3,'Defect Dump'!$L68:$L10065,$B69)</f>
        <v>0</v>
      </c>
      <c r="G69" s="280">
        <f t="shared" ref="G69:G100" si="3">SUM(C69:F69)</f>
        <v>0</v>
      </c>
      <c r="H69" s="280" t="str">
        <f t="shared" ref="H69:H100" si="4">IF(AND($C69&lt;1,$D69&lt;1,$E69&lt;1,$F69&lt;1),"Not Started",IF($C69&gt;0,"Red",IF(OR($D69&gt;0,$E69&gt;0),"Amber",IF($F69&lt;10,"Green","Amber"))))</f>
        <v>Not Started</v>
      </c>
    </row>
    <row r="70" spans="2:8">
      <c r="B70" s="323" t="e">
        <f t="array" ref="B70">INDEX('Defect Dump'!$L$3:$L$10000, MATCH(0, COUNTIF($B$3:B69, 'Defect Dump'!$L$3:$L$10000), 0))</f>
        <v>#N/A</v>
      </c>
      <c r="C70" s="280">
        <f t="array" ref="C70">COUNTIFS('Defect Dump'!$I69:$I10066,C$3,'Defect Dump'!$L69:$L10066,$B70)</f>
        <v>0</v>
      </c>
      <c r="D70" s="280">
        <f t="array" ref="D70">COUNTIFS('Defect Dump'!$I69:$I10066,D$3,'Defect Dump'!$L69:$L10066,$B70)</f>
        <v>0</v>
      </c>
      <c r="E70" s="280">
        <f t="array" ref="E70">COUNTIFS('Defect Dump'!$I69:$I10066,E$3,'Defect Dump'!$L69:$L10066,$B70)</f>
        <v>0</v>
      </c>
      <c r="F70" s="280">
        <f t="array" ref="F70">COUNTIFS('Defect Dump'!$I69:$I10066,F$3,'Defect Dump'!$L69:$L10066,$B70)</f>
        <v>0</v>
      </c>
      <c r="G70" s="280">
        <f t="shared" si="3"/>
        <v>0</v>
      </c>
      <c r="H70" s="280" t="str">
        <f t="shared" si="4"/>
        <v>Not Started</v>
      </c>
    </row>
    <row r="71" spans="2:8">
      <c r="B71" s="323" t="e">
        <f t="array" ref="B71">INDEX('Defect Dump'!$L$3:$L$10000, MATCH(0, COUNTIF($B$3:B70, 'Defect Dump'!$L$3:$L$10000), 0))</f>
        <v>#N/A</v>
      </c>
      <c r="C71" s="280">
        <f t="array" ref="C71">COUNTIFS('Defect Dump'!$I70:$I10067,C$3,'Defect Dump'!$L70:$L10067,$B71)</f>
        <v>0</v>
      </c>
      <c r="D71" s="280">
        <f t="array" ref="D71">COUNTIFS('Defect Dump'!$I70:$I10067,D$3,'Defect Dump'!$L70:$L10067,$B71)</f>
        <v>0</v>
      </c>
      <c r="E71" s="280">
        <f t="array" ref="E71">COUNTIFS('Defect Dump'!$I70:$I10067,E$3,'Defect Dump'!$L70:$L10067,$B71)</f>
        <v>0</v>
      </c>
      <c r="F71" s="280">
        <f t="array" ref="F71">COUNTIFS('Defect Dump'!$I70:$I10067,F$3,'Defect Dump'!$L70:$L10067,$B71)</f>
        <v>0</v>
      </c>
      <c r="G71" s="280">
        <f t="shared" si="3"/>
        <v>0</v>
      </c>
      <c r="H71" s="280" t="str">
        <f t="shared" si="4"/>
        <v>Not Started</v>
      </c>
    </row>
    <row r="72" spans="2:8">
      <c r="B72" s="323" t="e">
        <f t="array" ref="B72">INDEX('Defect Dump'!$L$3:$L$10000, MATCH(0, COUNTIF($B$3:B71, 'Defect Dump'!$L$3:$L$10000), 0))</f>
        <v>#N/A</v>
      </c>
      <c r="C72" s="280">
        <f t="array" ref="C72">COUNTIFS('Defect Dump'!$I71:$I10068,C$3,'Defect Dump'!$L71:$L10068,$B72)</f>
        <v>0</v>
      </c>
      <c r="D72" s="280">
        <f t="array" ref="D72">COUNTIFS('Defect Dump'!$I71:$I10068,D$3,'Defect Dump'!$L71:$L10068,$B72)</f>
        <v>0</v>
      </c>
      <c r="E72" s="280">
        <f t="array" ref="E72">COUNTIFS('Defect Dump'!$I71:$I10068,E$3,'Defect Dump'!$L71:$L10068,$B72)</f>
        <v>0</v>
      </c>
      <c r="F72" s="280">
        <f t="array" ref="F72">COUNTIFS('Defect Dump'!$I71:$I10068,F$3,'Defect Dump'!$L71:$L10068,$B72)</f>
        <v>0</v>
      </c>
      <c r="G72" s="280">
        <f t="shared" si="3"/>
        <v>0</v>
      </c>
      <c r="H72" s="280" t="str">
        <f t="shared" si="4"/>
        <v>Not Started</v>
      </c>
    </row>
    <row r="73" spans="2:8">
      <c r="B73" s="323" t="e">
        <f t="array" ref="B73">INDEX('Defect Dump'!$L$3:$L$10000, MATCH(0, COUNTIF($B$3:B72, 'Defect Dump'!$L$3:$L$10000), 0))</f>
        <v>#N/A</v>
      </c>
      <c r="C73" s="280">
        <f t="array" ref="C73">COUNTIFS('Defect Dump'!$I72:$I10069,C$3,'Defect Dump'!$L72:$L10069,$B73)</f>
        <v>0</v>
      </c>
      <c r="D73" s="280">
        <f t="array" ref="D73">COUNTIFS('Defect Dump'!$I72:$I10069,D$3,'Defect Dump'!$L72:$L10069,$B73)</f>
        <v>0</v>
      </c>
      <c r="E73" s="280">
        <f t="array" ref="E73">COUNTIFS('Defect Dump'!$I72:$I10069,E$3,'Defect Dump'!$L72:$L10069,$B73)</f>
        <v>0</v>
      </c>
      <c r="F73" s="280">
        <f t="array" ref="F73">COUNTIFS('Defect Dump'!$I72:$I10069,F$3,'Defect Dump'!$L72:$L10069,$B73)</f>
        <v>0</v>
      </c>
      <c r="G73" s="280">
        <f t="shared" si="3"/>
        <v>0</v>
      </c>
      <c r="H73" s="280" t="str">
        <f t="shared" si="4"/>
        <v>Not Started</v>
      </c>
    </row>
    <row r="74" spans="2:8">
      <c r="B74" s="323" t="e">
        <f t="array" ref="B74">INDEX('Defect Dump'!$L$3:$L$10000, MATCH(0, COUNTIF($B$3:B73, 'Defect Dump'!$L$3:$L$10000), 0))</f>
        <v>#N/A</v>
      </c>
      <c r="C74" s="280">
        <f t="array" ref="C74">COUNTIFS('Defect Dump'!$I73:$I10070,C$3,'Defect Dump'!$L73:$L10070,$B74)</f>
        <v>0</v>
      </c>
      <c r="D74" s="280">
        <f t="array" ref="D74">COUNTIFS('Defect Dump'!$I73:$I10070,D$3,'Defect Dump'!$L73:$L10070,$B74)</f>
        <v>0</v>
      </c>
      <c r="E74" s="280">
        <f t="array" ref="E74">COUNTIFS('Defect Dump'!$I73:$I10070,E$3,'Defect Dump'!$L73:$L10070,$B74)</f>
        <v>0</v>
      </c>
      <c r="F74" s="280">
        <f t="array" ref="F74">COUNTIFS('Defect Dump'!$I73:$I10070,F$3,'Defect Dump'!$L73:$L10070,$B74)</f>
        <v>0</v>
      </c>
      <c r="G74" s="280">
        <f t="shared" si="3"/>
        <v>0</v>
      </c>
      <c r="H74" s="280" t="str">
        <f t="shared" si="4"/>
        <v>Not Started</v>
      </c>
    </row>
    <row r="75" spans="2:8">
      <c r="B75" s="323" t="e">
        <f t="array" ref="B75">INDEX('Defect Dump'!$L$3:$L$10000, MATCH(0, COUNTIF($B$3:B74, 'Defect Dump'!$L$3:$L$10000), 0))</f>
        <v>#N/A</v>
      </c>
      <c r="C75" s="280">
        <f t="array" ref="C75">COUNTIFS('Defect Dump'!$I74:$I10071,C$3,'Defect Dump'!$L74:$L10071,$B75)</f>
        <v>0</v>
      </c>
      <c r="D75" s="280">
        <f t="array" ref="D75">COUNTIFS('Defect Dump'!$I74:$I10071,D$3,'Defect Dump'!$L74:$L10071,$B75)</f>
        <v>0</v>
      </c>
      <c r="E75" s="280">
        <f t="array" ref="E75">COUNTIFS('Defect Dump'!$I74:$I10071,E$3,'Defect Dump'!$L74:$L10071,$B75)</f>
        <v>0</v>
      </c>
      <c r="F75" s="280">
        <f t="array" ref="F75">COUNTIFS('Defect Dump'!$I74:$I10071,F$3,'Defect Dump'!$L74:$L10071,$B75)</f>
        <v>0</v>
      </c>
      <c r="G75" s="280">
        <f t="shared" si="3"/>
        <v>0</v>
      </c>
      <c r="H75" s="280" t="str">
        <f t="shared" si="4"/>
        <v>Not Started</v>
      </c>
    </row>
    <row r="76" spans="2:8">
      <c r="B76" s="323" t="e">
        <f t="array" ref="B76">INDEX('Defect Dump'!$L$3:$L$10000, MATCH(0, COUNTIF($B$3:B75, 'Defect Dump'!$L$3:$L$10000), 0))</f>
        <v>#N/A</v>
      </c>
      <c r="C76" s="280">
        <f t="array" ref="C76">COUNTIFS('Defect Dump'!$I75:$I10072,C$3,'Defect Dump'!$L75:$L10072,$B76)</f>
        <v>0</v>
      </c>
      <c r="D76" s="280">
        <f t="array" ref="D76">COUNTIFS('Defect Dump'!$I75:$I10072,D$3,'Defect Dump'!$L75:$L10072,$B76)</f>
        <v>0</v>
      </c>
      <c r="E76" s="280">
        <f t="array" ref="E76">COUNTIFS('Defect Dump'!$I75:$I10072,E$3,'Defect Dump'!$L75:$L10072,$B76)</f>
        <v>0</v>
      </c>
      <c r="F76" s="280">
        <f t="array" ref="F76">COUNTIFS('Defect Dump'!$I75:$I10072,F$3,'Defect Dump'!$L75:$L10072,$B76)</f>
        <v>0</v>
      </c>
      <c r="G76" s="280">
        <f t="shared" si="3"/>
        <v>0</v>
      </c>
      <c r="H76" s="280" t="str">
        <f t="shared" si="4"/>
        <v>Not Started</v>
      </c>
    </row>
    <row r="77" spans="2:8">
      <c r="B77" s="323" t="e">
        <f t="array" ref="B77">INDEX('Defect Dump'!$L$3:$L$10000, MATCH(0, COUNTIF($B$3:B76, 'Defect Dump'!$L$3:$L$10000), 0))</f>
        <v>#N/A</v>
      </c>
      <c r="C77" s="280">
        <f t="array" ref="C77">COUNTIFS('Defect Dump'!$I76:$I10073,C$3,'Defect Dump'!$L76:$L10073,$B77)</f>
        <v>0</v>
      </c>
      <c r="D77" s="280">
        <f t="array" ref="D77">COUNTIFS('Defect Dump'!$I76:$I10073,D$3,'Defect Dump'!$L76:$L10073,$B77)</f>
        <v>0</v>
      </c>
      <c r="E77" s="280">
        <f t="array" ref="E77">COUNTIFS('Defect Dump'!$I76:$I10073,E$3,'Defect Dump'!$L76:$L10073,$B77)</f>
        <v>0</v>
      </c>
      <c r="F77" s="280">
        <f t="array" ref="F77">COUNTIFS('Defect Dump'!$I76:$I10073,F$3,'Defect Dump'!$L76:$L10073,$B77)</f>
        <v>0</v>
      </c>
      <c r="G77" s="280">
        <f t="shared" si="3"/>
        <v>0</v>
      </c>
      <c r="H77" s="280" t="str">
        <f t="shared" si="4"/>
        <v>Not Started</v>
      </c>
    </row>
    <row r="78" spans="2:8">
      <c r="B78" s="323" t="e">
        <f t="array" ref="B78">INDEX('Defect Dump'!$L$3:$L$10000, MATCH(0, COUNTIF($B$3:B77, 'Defect Dump'!$L$3:$L$10000), 0))</f>
        <v>#N/A</v>
      </c>
      <c r="C78" s="280">
        <f t="array" ref="C78">COUNTIFS('Defect Dump'!$I77:$I10074,C$3,'Defect Dump'!$L77:$L10074,$B78)</f>
        <v>0</v>
      </c>
      <c r="D78" s="280">
        <f t="array" ref="D78">COUNTIFS('Defect Dump'!$I77:$I10074,D$3,'Defect Dump'!$L77:$L10074,$B78)</f>
        <v>0</v>
      </c>
      <c r="E78" s="280">
        <f t="array" ref="E78">COUNTIFS('Defect Dump'!$I77:$I10074,E$3,'Defect Dump'!$L77:$L10074,$B78)</f>
        <v>0</v>
      </c>
      <c r="F78" s="280">
        <f t="array" ref="F78">COUNTIFS('Defect Dump'!$I77:$I10074,F$3,'Defect Dump'!$L77:$L10074,$B78)</f>
        <v>0</v>
      </c>
      <c r="G78" s="280">
        <f t="shared" si="3"/>
        <v>0</v>
      </c>
      <c r="H78" s="280" t="str">
        <f t="shared" si="4"/>
        <v>Not Started</v>
      </c>
    </row>
    <row r="79" spans="2:8">
      <c r="B79" s="323" t="e">
        <f t="array" ref="B79">INDEX('Defect Dump'!$L$3:$L$10000, MATCH(0, COUNTIF($B$3:B78, 'Defect Dump'!$L$3:$L$10000), 0))</f>
        <v>#N/A</v>
      </c>
      <c r="C79" s="280">
        <f t="array" ref="C79">COUNTIFS('Defect Dump'!$I78:$I10075,C$3,'Defect Dump'!$L78:$L10075,$B79)</f>
        <v>0</v>
      </c>
      <c r="D79" s="280">
        <f t="array" ref="D79">COUNTIFS('Defect Dump'!$I78:$I10075,D$3,'Defect Dump'!$L78:$L10075,$B79)</f>
        <v>0</v>
      </c>
      <c r="E79" s="280">
        <f t="array" ref="E79">COUNTIFS('Defect Dump'!$I78:$I10075,E$3,'Defect Dump'!$L78:$L10075,$B79)</f>
        <v>0</v>
      </c>
      <c r="F79" s="280">
        <f t="array" ref="F79">COUNTIFS('Defect Dump'!$I78:$I10075,F$3,'Defect Dump'!$L78:$L10075,$B79)</f>
        <v>0</v>
      </c>
      <c r="G79" s="280">
        <f t="shared" si="3"/>
        <v>0</v>
      </c>
      <c r="H79" s="280" t="str">
        <f t="shared" si="4"/>
        <v>Not Started</v>
      </c>
    </row>
    <row r="80" spans="2:8">
      <c r="B80" s="323" t="e">
        <f t="array" ref="B80">INDEX('Defect Dump'!$L$3:$L$10000, MATCH(0, COUNTIF($B$3:B79, 'Defect Dump'!$L$3:$L$10000), 0))</f>
        <v>#N/A</v>
      </c>
      <c r="C80" s="280">
        <f t="array" ref="C80">COUNTIFS('Defect Dump'!$I79:$I10076,C$3,'Defect Dump'!$L79:$L10076,$B80)</f>
        <v>0</v>
      </c>
      <c r="D80" s="280">
        <f t="array" ref="D80">COUNTIFS('Defect Dump'!$I79:$I10076,D$3,'Defect Dump'!$L79:$L10076,$B80)</f>
        <v>0</v>
      </c>
      <c r="E80" s="280">
        <f t="array" ref="E80">COUNTIFS('Defect Dump'!$I79:$I10076,E$3,'Defect Dump'!$L79:$L10076,$B80)</f>
        <v>0</v>
      </c>
      <c r="F80" s="280">
        <f t="array" ref="F80">COUNTIFS('Defect Dump'!$I79:$I10076,F$3,'Defect Dump'!$L79:$L10076,$B80)</f>
        <v>0</v>
      </c>
      <c r="G80" s="280">
        <f t="shared" si="3"/>
        <v>0</v>
      </c>
      <c r="H80" s="280" t="str">
        <f t="shared" si="4"/>
        <v>Not Started</v>
      </c>
    </row>
    <row r="81" spans="2:8">
      <c r="B81" s="323" t="e">
        <f t="array" ref="B81">INDEX('Defect Dump'!$L$3:$L$10000, MATCH(0, COUNTIF($B$3:B80, 'Defect Dump'!$L$3:$L$10000), 0))</f>
        <v>#N/A</v>
      </c>
      <c r="C81" s="280">
        <f t="array" ref="C81">COUNTIFS('Defect Dump'!$I80:$I10077,C$3,'Defect Dump'!$L80:$L10077,$B81)</f>
        <v>0</v>
      </c>
      <c r="D81" s="280">
        <f t="array" ref="D81">COUNTIFS('Defect Dump'!$I80:$I10077,D$3,'Defect Dump'!$L80:$L10077,$B81)</f>
        <v>0</v>
      </c>
      <c r="E81" s="280">
        <f t="array" ref="E81">COUNTIFS('Defect Dump'!$I80:$I10077,E$3,'Defect Dump'!$L80:$L10077,$B81)</f>
        <v>0</v>
      </c>
      <c r="F81" s="280">
        <f t="array" ref="F81">COUNTIFS('Defect Dump'!$I80:$I10077,F$3,'Defect Dump'!$L80:$L10077,$B81)</f>
        <v>0</v>
      </c>
      <c r="G81" s="280">
        <f t="shared" si="3"/>
        <v>0</v>
      </c>
      <c r="H81" s="280" t="str">
        <f t="shared" si="4"/>
        <v>Not Started</v>
      </c>
    </row>
    <row r="82" spans="2:8">
      <c r="B82" s="323" t="e">
        <f t="array" ref="B82">INDEX('Defect Dump'!$L$3:$L$10000, MATCH(0, COUNTIF($B$3:B81, 'Defect Dump'!$L$3:$L$10000), 0))</f>
        <v>#N/A</v>
      </c>
      <c r="C82" s="280">
        <f t="array" ref="C82">COUNTIFS('Defect Dump'!$I81:$I10078,C$3,'Defect Dump'!$L81:$L10078,$B82)</f>
        <v>0</v>
      </c>
      <c r="D82" s="280">
        <f t="array" ref="D82">COUNTIFS('Defect Dump'!$I81:$I10078,D$3,'Defect Dump'!$L81:$L10078,$B82)</f>
        <v>0</v>
      </c>
      <c r="E82" s="280">
        <f t="array" ref="E82">COUNTIFS('Defect Dump'!$I81:$I10078,E$3,'Defect Dump'!$L81:$L10078,$B82)</f>
        <v>0</v>
      </c>
      <c r="F82" s="280">
        <f t="array" ref="F82">COUNTIFS('Defect Dump'!$I81:$I10078,F$3,'Defect Dump'!$L81:$L10078,$B82)</f>
        <v>0</v>
      </c>
      <c r="G82" s="280">
        <f t="shared" si="3"/>
        <v>0</v>
      </c>
      <c r="H82" s="280" t="str">
        <f t="shared" si="4"/>
        <v>Not Started</v>
      </c>
    </row>
    <row r="83" spans="2:8">
      <c r="B83" s="323" t="e">
        <f t="array" ref="B83">INDEX('Defect Dump'!$L$3:$L$10000, MATCH(0, COUNTIF($B$3:B82, 'Defect Dump'!$L$3:$L$10000), 0))</f>
        <v>#N/A</v>
      </c>
      <c r="C83" s="280">
        <f t="array" ref="C83">COUNTIFS('Defect Dump'!$I82:$I10079,C$3,'Defect Dump'!$L82:$L10079,$B83)</f>
        <v>0</v>
      </c>
      <c r="D83" s="280">
        <f t="array" ref="D83">COUNTIFS('Defect Dump'!$I82:$I10079,D$3,'Defect Dump'!$L82:$L10079,$B83)</f>
        <v>0</v>
      </c>
      <c r="E83" s="280">
        <f t="array" ref="E83">COUNTIFS('Defect Dump'!$I82:$I10079,E$3,'Defect Dump'!$L82:$L10079,$B83)</f>
        <v>0</v>
      </c>
      <c r="F83" s="280">
        <f t="array" ref="F83">COUNTIFS('Defect Dump'!$I82:$I10079,F$3,'Defect Dump'!$L82:$L10079,$B83)</f>
        <v>0</v>
      </c>
      <c r="G83" s="280">
        <f t="shared" si="3"/>
        <v>0</v>
      </c>
      <c r="H83" s="280" t="str">
        <f t="shared" si="4"/>
        <v>Not Started</v>
      </c>
    </row>
    <row r="84" spans="2:8">
      <c r="B84" s="323" t="e">
        <f t="array" ref="B84">INDEX('Defect Dump'!$L$3:$L$10000, MATCH(0, COUNTIF($B$3:B83, 'Defect Dump'!$L$3:$L$10000), 0))</f>
        <v>#N/A</v>
      </c>
      <c r="C84" s="280">
        <f t="array" ref="C84">COUNTIFS('Defect Dump'!$I83:$I10080,C$3,'Defect Dump'!$L83:$L10080,$B84)</f>
        <v>0</v>
      </c>
      <c r="D84" s="280">
        <f t="array" ref="D84">COUNTIFS('Defect Dump'!$I83:$I10080,D$3,'Defect Dump'!$L83:$L10080,$B84)</f>
        <v>0</v>
      </c>
      <c r="E84" s="280">
        <f t="array" ref="E84">COUNTIFS('Defect Dump'!$I83:$I10080,E$3,'Defect Dump'!$L83:$L10080,$B84)</f>
        <v>0</v>
      </c>
      <c r="F84" s="280">
        <f t="array" ref="F84">COUNTIFS('Defect Dump'!$I83:$I10080,F$3,'Defect Dump'!$L83:$L10080,$B84)</f>
        <v>0</v>
      </c>
      <c r="G84" s="280">
        <f t="shared" si="3"/>
        <v>0</v>
      </c>
      <c r="H84" s="280" t="str">
        <f t="shared" si="4"/>
        <v>Not Started</v>
      </c>
    </row>
    <row r="85" spans="2:8">
      <c r="B85" s="323" t="e">
        <f t="array" ref="B85">INDEX('Defect Dump'!$L$3:$L$10000, MATCH(0, COUNTIF($B$3:B84, 'Defect Dump'!$L$3:$L$10000), 0))</f>
        <v>#N/A</v>
      </c>
      <c r="C85" s="280">
        <f t="array" ref="C85">COUNTIFS('Defect Dump'!$I84:$I10081,C$3,'Defect Dump'!$L84:$L10081,$B85)</f>
        <v>0</v>
      </c>
      <c r="D85" s="280">
        <f t="array" ref="D85">COUNTIFS('Defect Dump'!$I84:$I10081,D$3,'Defect Dump'!$L84:$L10081,$B85)</f>
        <v>0</v>
      </c>
      <c r="E85" s="280">
        <f t="array" ref="E85">COUNTIFS('Defect Dump'!$I84:$I10081,E$3,'Defect Dump'!$L84:$L10081,$B85)</f>
        <v>0</v>
      </c>
      <c r="F85" s="280">
        <f t="array" ref="F85">COUNTIFS('Defect Dump'!$I84:$I10081,F$3,'Defect Dump'!$L84:$L10081,$B85)</f>
        <v>0</v>
      </c>
      <c r="G85" s="280">
        <f t="shared" si="3"/>
        <v>0</v>
      </c>
      <c r="H85" s="280" t="str">
        <f t="shared" si="4"/>
        <v>Not Started</v>
      </c>
    </row>
    <row r="86" spans="2:8">
      <c r="B86" s="323" t="e">
        <f t="array" ref="B86">INDEX('Defect Dump'!$L$3:$L$10000, MATCH(0, COUNTIF($B$3:B85, 'Defect Dump'!$L$3:$L$10000), 0))</f>
        <v>#N/A</v>
      </c>
      <c r="C86" s="280">
        <f t="array" ref="C86">COUNTIFS('Defect Dump'!$I85:$I10082,C$3,'Defect Dump'!$L85:$L10082,$B86)</f>
        <v>0</v>
      </c>
      <c r="D86" s="280">
        <f t="array" ref="D86">COUNTIFS('Defect Dump'!$I85:$I10082,D$3,'Defect Dump'!$L85:$L10082,$B86)</f>
        <v>0</v>
      </c>
      <c r="E86" s="280">
        <f t="array" ref="E86">COUNTIFS('Defect Dump'!$I85:$I10082,E$3,'Defect Dump'!$L85:$L10082,$B86)</f>
        <v>0</v>
      </c>
      <c r="F86" s="280">
        <f t="array" ref="F86">COUNTIFS('Defect Dump'!$I85:$I10082,F$3,'Defect Dump'!$L85:$L10082,$B86)</f>
        <v>0</v>
      </c>
      <c r="G86" s="280">
        <f t="shared" si="3"/>
        <v>0</v>
      </c>
      <c r="H86" s="280" t="str">
        <f t="shared" si="4"/>
        <v>Not Started</v>
      </c>
    </row>
    <row r="87" spans="2:8">
      <c r="B87" s="323" t="e">
        <f t="array" ref="B87">INDEX('Defect Dump'!$L$3:$L$10000, MATCH(0, COUNTIF($B$3:B86, 'Defect Dump'!$L$3:$L$10000), 0))</f>
        <v>#N/A</v>
      </c>
      <c r="C87" s="280">
        <f t="array" ref="C87">COUNTIFS('Defect Dump'!$I86:$I10083,C$3,'Defect Dump'!$L86:$L10083,$B87)</f>
        <v>0</v>
      </c>
      <c r="D87" s="280">
        <f t="array" ref="D87">COUNTIFS('Defect Dump'!$I86:$I10083,D$3,'Defect Dump'!$L86:$L10083,$B87)</f>
        <v>0</v>
      </c>
      <c r="E87" s="280">
        <f t="array" ref="E87">COUNTIFS('Defect Dump'!$I86:$I10083,E$3,'Defect Dump'!$L86:$L10083,$B87)</f>
        <v>0</v>
      </c>
      <c r="F87" s="280">
        <f t="array" ref="F87">COUNTIFS('Defect Dump'!$I86:$I10083,F$3,'Defect Dump'!$L86:$L10083,$B87)</f>
        <v>0</v>
      </c>
      <c r="G87" s="280">
        <f t="shared" si="3"/>
        <v>0</v>
      </c>
      <c r="H87" s="280" t="str">
        <f t="shared" si="4"/>
        <v>Not Started</v>
      </c>
    </row>
    <row r="88" spans="2:8">
      <c r="B88" s="323" t="e">
        <f t="array" ref="B88">INDEX('Defect Dump'!$L$3:$L$10000, MATCH(0, COUNTIF($B$3:B87, 'Defect Dump'!$L$3:$L$10000), 0))</f>
        <v>#N/A</v>
      </c>
      <c r="C88" s="280">
        <f t="array" ref="C88">COUNTIFS('Defect Dump'!$I87:$I10084,C$3,'Defect Dump'!$L87:$L10084,$B88)</f>
        <v>0</v>
      </c>
      <c r="D88" s="280">
        <f t="array" ref="D88">COUNTIFS('Defect Dump'!$I87:$I10084,D$3,'Defect Dump'!$L87:$L10084,$B88)</f>
        <v>0</v>
      </c>
      <c r="E88" s="280">
        <f t="array" ref="E88">COUNTIFS('Defect Dump'!$I87:$I10084,E$3,'Defect Dump'!$L87:$L10084,$B88)</f>
        <v>0</v>
      </c>
      <c r="F88" s="280">
        <f t="array" ref="F88">COUNTIFS('Defect Dump'!$I87:$I10084,F$3,'Defect Dump'!$L87:$L10084,$B88)</f>
        <v>0</v>
      </c>
      <c r="G88" s="280">
        <f t="shared" si="3"/>
        <v>0</v>
      </c>
      <c r="H88" s="280" t="str">
        <f t="shared" si="4"/>
        <v>Not Started</v>
      </c>
    </row>
    <row r="89" spans="2:8">
      <c r="B89" s="323" t="e">
        <f t="array" ref="B89">INDEX('Defect Dump'!$L$3:$L$10000, MATCH(0, COUNTIF($B$3:B88, 'Defect Dump'!$L$3:$L$10000), 0))</f>
        <v>#N/A</v>
      </c>
      <c r="C89" s="280">
        <f t="array" ref="C89">COUNTIFS('Defect Dump'!$I88:$I10085,C$3,'Defect Dump'!$L88:$L10085,$B89)</f>
        <v>0</v>
      </c>
      <c r="D89" s="280">
        <f t="array" ref="D89">COUNTIFS('Defect Dump'!$I88:$I10085,D$3,'Defect Dump'!$L88:$L10085,$B89)</f>
        <v>0</v>
      </c>
      <c r="E89" s="280">
        <f t="array" ref="E89">COUNTIFS('Defect Dump'!$I88:$I10085,E$3,'Defect Dump'!$L88:$L10085,$B89)</f>
        <v>0</v>
      </c>
      <c r="F89" s="280">
        <f t="array" ref="F89">COUNTIFS('Defect Dump'!$I88:$I10085,F$3,'Defect Dump'!$L88:$L10085,$B89)</f>
        <v>0</v>
      </c>
      <c r="G89" s="280">
        <f t="shared" si="3"/>
        <v>0</v>
      </c>
      <c r="H89" s="280" t="str">
        <f t="shared" si="4"/>
        <v>Not Started</v>
      </c>
    </row>
    <row r="90" spans="2:8">
      <c r="B90" s="323" t="e">
        <f t="array" ref="B90">INDEX('Defect Dump'!$L$3:$L$10000, MATCH(0, COUNTIF($B$3:B89, 'Defect Dump'!$L$3:$L$10000), 0))</f>
        <v>#N/A</v>
      </c>
      <c r="C90" s="280">
        <f t="array" ref="C90">COUNTIFS('Defect Dump'!$I89:$I10086,C$3,'Defect Dump'!$L89:$L10086,$B90)</f>
        <v>0</v>
      </c>
      <c r="D90" s="280">
        <f t="array" ref="D90">COUNTIFS('Defect Dump'!$I89:$I10086,D$3,'Defect Dump'!$L89:$L10086,$B90)</f>
        <v>0</v>
      </c>
      <c r="E90" s="280">
        <f t="array" ref="E90">COUNTIFS('Defect Dump'!$I89:$I10086,E$3,'Defect Dump'!$L89:$L10086,$B90)</f>
        <v>0</v>
      </c>
      <c r="F90" s="280">
        <f t="array" ref="F90">COUNTIFS('Defect Dump'!$I89:$I10086,F$3,'Defect Dump'!$L89:$L10086,$B90)</f>
        <v>0</v>
      </c>
      <c r="G90" s="280">
        <f t="shared" si="3"/>
        <v>0</v>
      </c>
      <c r="H90" s="280" t="str">
        <f t="shared" si="4"/>
        <v>Not Started</v>
      </c>
    </row>
    <row r="91" spans="2:8">
      <c r="B91" s="323" t="e">
        <f t="array" ref="B91">INDEX('Defect Dump'!$L$3:$L$10000, MATCH(0, COUNTIF($B$3:B90, 'Defect Dump'!$L$3:$L$10000), 0))</f>
        <v>#N/A</v>
      </c>
      <c r="C91" s="280">
        <f t="array" ref="C91">COUNTIFS('Defect Dump'!$I90:$I10087,C$3,'Defect Dump'!$L90:$L10087,$B91)</f>
        <v>0</v>
      </c>
      <c r="D91" s="280">
        <f t="array" ref="D91">COUNTIFS('Defect Dump'!$I90:$I10087,D$3,'Defect Dump'!$L90:$L10087,$B91)</f>
        <v>0</v>
      </c>
      <c r="E91" s="280">
        <f t="array" ref="E91">COUNTIFS('Defect Dump'!$I90:$I10087,E$3,'Defect Dump'!$L90:$L10087,$B91)</f>
        <v>0</v>
      </c>
      <c r="F91" s="280">
        <f t="array" ref="F91">COUNTIFS('Defect Dump'!$I90:$I10087,F$3,'Defect Dump'!$L90:$L10087,$B91)</f>
        <v>0</v>
      </c>
      <c r="G91" s="280">
        <f t="shared" si="3"/>
        <v>0</v>
      </c>
      <c r="H91" s="280" t="str">
        <f t="shared" si="4"/>
        <v>Not Started</v>
      </c>
    </row>
    <row r="92" spans="2:8">
      <c r="B92" s="323" t="e">
        <f t="array" ref="B92">INDEX('Defect Dump'!$L$3:$L$10000, MATCH(0, COUNTIF($B$3:B91, 'Defect Dump'!$L$3:$L$10000), 0))</f>
        <v>#N/A</v>
      </c>
      <c r="C92" s="280">
        <f t="array" ref="C92">COUNTIFS('Defect Dump'!$I91:$I10088,C$3,'Defect Dump'!$L91:$L10088,$B92)</f>
        <v>0</v>
      </c>
      <c r="D92" s="280">
        <f t="array" ref="D92">COUNTIFS('Defect Dump'!$I91:$I10088,D$3,'Defect Dump'!$L91:$L10088,$B92)</f>
        <v>0</v>
      </c>
      <c r="E92" s="280">
        <f t="array" ref="E92">COUNTIFS('Defect Dump'!$I91:$I10088,E$3,'Defect Dump'!$L91:$L10088,$B92)</f>
        <v>0</v>
      </c>
      <c r="F92" s="280">
        <f t="array" ref="F92">COUNTIFS('Defect Dump'!$I91:$I10088,F$3,'Defect Dump'!$L91:$L10088,$B92)</f>
        <v>0</v>
      </c>
      <c r="G92" s="280">
        <f t="shared" si="3"/>
        <v>0</v>
      </c>
      <c r="H92" s="280" t="str">
        <f t="shared" si="4"/>
        <v>Not Started</v>
      </c>
    </row>
    <row r="93" spans="2:8">
      <c r="B93" s="323" t="e">
        <f t="array" ref="B93">INDEX('Defect Dump'!$L$3:$L$10000, MATCH(0, COUNTIF($B$3:B92, 'Defect Dump'!$L$3:$L$10000), 0))</f>
        <v>#N/A</v>
      </c>
      <c r="C93" s="280">
        <f t="array" ref="C93">COUNTIFS('Defect Dump'!$I92:$I10089,C$3,'Defect Dump'!$L92:$L10089,$B93)</f>
        <v>0</v>
      </c>
      <c r="D93" s="280">
        <f t="array" ref="D93">COUNTIFS('Defect Dump'!$I92:$I10089,D$3,'Defect Dump'!$L92:$L10089,$B93)</f>
        <v>0</v>
      </c>
      <c r="E93" s="280">
        <f t="array" ref="E93">COUNTIFS('Defect Dump'!$I92:$I10089,E$3,'Defect Dump'!$L92:$L10089,$B93)</f>
        <v>0</v>
      </c>
      <c r="F93" s="280">
        <f t="array" ref="F93">COUNTIFS('Defect Dump'!$I92:$I10089,F$3,'Defect Dump'!$L92:$L10089,$B93)</f>
        <v>0</v>
      </c>
      <c r="G93" s="280">
        <f t="shared" si="3"/>
        <v>0</v>
      </c>
      <c r="H93" s="280" t="str">
        <f t="shared" si="4"/>
        <v>Not Started</v>
      </c>
    </row>
    <row r="94" spans="2:8">
      <c r="B94" s="323" t="e">
        <f t="array" ref="B94">INDEX('Defect Dump'!$L$3:$L$10000, MATCH(0, COUNTIF($B$3:B93, 'Defect Dump'!$L$3:$L$10000), 0))</f>
        <v>#N/A</v>
      </c>
      <c r="C94" s="280">
        <f t="array" ref="C94">COUNTIFS('Defect Dump'!$I93:$I10090,C$3,'Defect Dump'!$L93:$L10090,$B94)</f>
        <v>0</v>
      </c>
      <c r="D94" s="280">
        <f t="array" ref="D94">COUNTIFS('Defect Dump'!$I93:$I10090,D$3,'Defect Dump'!$L93:$L10090,$B94)</f>
        <v>0</v>
      </c>
      <c r="E94" s="280">
        <f t="array" ref="E94">COUNTIFS('Defect Dump'!$I93:$I10090,E$3,'Defect Dump'!$L93:$L10090,$B94)</f>
        <v>0</v>
      </c>
      <c r="F94" s="280">
        <f t="array" ref="F94">COUNTIFS('Defect Dump'!$I93:$I10090,F$3,'Defect Dump'!$L93:$L10090,$B94)</f>
        <v>0</v>
      </c>
      <c r="G94" s="280">
        <f t="shared" si="3"/>
        <v>0</v>
      </c>
      <c r="H94" s="280" t="str">
        <f t="shared" si="4"/>
        <v>Not Started</v>
      </c>
    </row>
    <row r="95" spans="2:8">
      <c r="B95" s="323" t="e">
        <f t="array" ref="B95">INDEX('Defect Dump'!$L$3:$L$10000, MATCH(0, COUNTIF($B$3:B94, 'Defect Dump'!$L$3:$L$10000), 0))</f>
        <v>#N/A</v>
      </c>
      <c r="C95" s="280">
        <f t="array" ref="C95">COUNTIFS('Defect Dump'!$I94:$I10091,C$3,'Defect Dump'!$L94:$L10091,$B95)</f>
        <v>0</v>
      </c>
      <c r="D95" s="280">
        <f t="array" ref="D95">COUNTIFS('Defect Dump'!$I94:$I10091,D$3,'Defect Dump'!$L94:$L10091,$B95)</f>
        <v>0</v>
      </c>
      <c r="E95" s="280">
        <f t="array" ref="E95">COUNTIFS('Defect Dump'!$I94:$I10091,E$3,'Defect Dump'!$L94:$L10091,$B95)</f>
        <v>0</v>
      </c>
      <c r="F95" s="280">
        <f t="array" ref="F95">COUNTIFS('Defect Dump'!$I94:$I10091,F$3,'Defect Dump'!$L94:$L10091,$B95)</f>
        <v>0</v>
      </c>
      <c r="G95" s="280">
        <f t="shared" si="3"/>
        <v>0</v>
      </c>
      <c r="H95" s="280" t="str">
        <f t="shared" si="4"/>
        <v>Not Started</v>
      </c>
    </row>
    <row r="96" spans="2:8">
      <c r="B96" s="323" t="e">
        <f t="array" ref="B96">INDEX('Defect Dump'!$L$3:$L$10000, MATCH(0, COUNTIF($B$3:B95, 'Defect Dump'!$L$3:$L$10000), 0))</f>
        <v>#N/A</v>
      </c>
      <c r="C96" s="280">
        <f t="array" ref="C96">COUNTIFS('Defect Dump'!$I95:$I10092,C$3,'Defect Dump'!$L95:$L10092,$B96)</f>
        <v>0</v>
      </c>
      <c r="D96" s="280">
        <f t="array" ref="D96">COUNTIFS('Defect Dump'!$I95:$I10092,D$3,'Defect Dump'!$L95:$L10092,$B96)</f>
        <v>0</v>
      </c>
      <c r="E96" s="280">
        <f t="array" ref="E96">COUNTIFS('Defect Dump'!$I95:$I10092,E$3,'Defect Dump'!$L95:$L10092,$B96)</f>
        <v>0</v>
      </c>
      <c r="F96" s="280">
        <f t="array" ref="F96">COUNTIFS('Defect Dump'!$I95:$I10092,F$3,'Defect Dump'!$L95:$L10092,$B96)</f>
        <v>0</v>
      </c>
      <c r="G96" s="280">
        <f t="shared" si="3"/>
        <v>0</v>
      </c>
      <c r="H96" s="280" t="str">
        <f t="shared" si="4"/>
        <v>Not Started</v>
      </c>
    </row>
    <row r="97" spans="2:8">
      <c r="B97" s="323" t="e">
        <f t="array" ref="B97">INDEX('Defect Dump'!$L$3:$L$10000, MATCH(0, COUNTIF($B$3:B96, 'Defect Dump'!$L$3:$L$10000), 0))</f>
        <v>#N/A</v>
      </c>
      <c r="C97" s="280">
        <f t="array" ref="C97">COUNTIFS('Defect Dump'!$I96:$I10093,C$3,'Defect Dump'!$L96:$L10093,$B97)</f>
        <v>0</v>
      </c>
      <c r="D97" s="280">
        <f t="array" ref="D97">COUNTIFS('Defect Dump'!$I96:$I10093,D$3,'Defect Dump'!$L96:$L10093,$B97)</f>
        <v>0</v>
      </c>
      <c r="E97" s="280">
        <f t="array" ref="E97">COUNTIFS('Defect Dump'!$I96:$I10093,E$3,'Defect Dump'!$L96:$L10093,$B97)</f>
        <v>0</v>
      </c>
      <c r="F97" s="280">
        <f t="array" ref="F97">COUNTIFS('Defect Dump'!$I96:$I10093,F$3,'Defect Dump'!$L96:$L10093,$B97)</f>
        <v>0</v>
      </c>
      <c r="G97" s="280">
        <f t="shared" si="3"/>
        <v>0</v>
      </c>
      <c r="H97" s="280" t="str">
        <f t="shared" si="4"/>
        <v>Not Started</v>
      </c>
    </row>
    <row r="98" spans="2:8">
      <c r="B98" s="323" t="e">
        <f t="array" ref="B98">INDEX('Defect Dump'!$L$3:$L$10000, MATCH(0, COUNTIF($B$3:B97, 'Defect Dump'!$L$3:$L$10000), 0))</f>
        <v>#N/A</v>
      </c>
      <c r="C98" s="280">
        <f t="array" ref="C98">COUNTIFS('Defect Dump'!$I97:$I10094,C$3,'Defect Dump'!$L97:$L10094,$B98)</f>
        <v>0</v>
      </c>
      <c r="D98" s="280">
        <f t="array" ref="D98">COUNTIFS('Defect Dump'!$I97:$I10094,D$3,'Defect Dump'!$L97:$L10094,$B98)</f>
        <v>0</v>
      </c>
      <c r="E98" s="280">
        <f t="array" ref="E98">COUNTIFS('Defect Dump'!$I97:$I10094,E$3,'Defect Dump'!$L97:$L10094,$B98)</f>
        <v>0</v>
      </c>
      <c r="F98" s="280">
        <f t="array" ref="F98">COUNTIFS('Defect Dump'!$I97:$I10094,F$3,'Defect Dump'!$L97:$L10094,$B98)</f>
        <v>0</v>
      </c>
      <c r="G98" s="280">
        <f t="shared" si="3"/>
        <v>0</v>
      </c>
      <c r="H98" s="280" t="str">
        <f t="shared" si="4"/>
        <v>Not Started</v>
      </c>
    </row>
    <row r="99" spans="2:8">
      <c r="B99" s="323" t="e">
        <f t="array" ref="B99">INDEX('Defect Dump'!$L$3:$L$10000, MATCH(0, COUNTIF($B$3:B98, 'Defect Dump'!$L$3:$L$10000), 0))</f>
        <v>#N/A</v>
      </c>
      <c r="C99" s="280">
        <f t="array" ref="C99">COUNTIFS('Defect Dump'!$I98:$I10095,C$3,'Defect Dump'!$L98:$L10095,$B99)</f>
        <v>0</v>
      </c>
      <c r="D99" s="280">
        <f t="array" ref="D99">COUNTIFS('Defect Dump'!$I98:$I10095,D$3,'Defect Dump'!$L98:$L10095,$B99)</f>
        <v>0</v>
      </c>
      <c r="E99" s="280">
        <f t="array" ref="E99">COUNTIFS('Defect Dump'!$I98:$I10095,E$3,'Defect Dump'!$L98:$L10095,$B99)</f>
        <v>0</v>
      </c>
      <c r="F99" s="280">
        <f t="array" ref="F99">COUNTIFS('Defect Dump'!$I98:$I10095,F$3,'Defect Dump'!$L98:$L10095,$B99)</f>
        <v>0</v>
      </c>
      <c r="G99" s="280">
        <f t="shared" si="3"/>
        <v>0</v>
      </c>
      <c r="H99" s="280" t="str">
        <f t="shared" si="4"/>
        <v>Not Started</v>
      </c>
    </row>
    <row r="100" spans="2:8">
      <c r="B100" s="323" t="e">
        <f t="array" ref="B100">INDEX('Defect Dump'!$L$3:$L$10000, MATCH(0, COUNTIF($B$3:B99, 'Defect Dump'!$L$3:$L$10000), 0))</f>
        <v>#N/A</v>
      </c>
      <c r="C100" s="280">
        <f t="array" ref="C100">COUNTIFS('Defect Dump'!$I99:$I10096,C$3,'Defect Dump'!$L99:$L10096,$B100)</f>
        <v>0</v>
      </c>
      <c r="D100" s="280">
        <f t="array" ref="D100">COUNTIFS('Defect Dump'!$I99:$I10096,D$3,'Defect Dump'!$L99:$L10096,$B100)</f>
        <v>0</v>
      </c>
      <c r="E100" s="280">
        <f t="array" ref="E100">COUNTIFS('Defect Dump'!$I99:$I10096,E$3,'Defect Dump'!$L99:$L10096,$B100)</f>
        <v>0</v>
      </c>
      <c r="F100" s="280">
        <f t="array" ref="F100">COUNTIFS('Defect Dump'!$I99:$I10096,F$3,'Defect Dump'!$L99:$L10096,$B100)</f>
        <v>0</v>
      </c>
      <c r="G100" s="280">
        <f t="shared" si="3"/>
        <v>0</v>
      </c>
      <c r="H100" s="280" t="str">
        <f t="shared" si="4"/>
        <v>Not Started</v>
      </c>
    </row>
  </sheetData>
  <conditionalFormatting sqref="B4:B100">
    <cfRule type="expression" dxfId="31" priority="7">
      <formula>IF($B4=0, TRUE)</formula>
    </cfRule>
    <cfRule type="expression" dxfId="30" priority="8">
      <formula>IF(ISNA($B4), TRUE)</formula>
    </cfRule>
  </conditionalFormatting>
  <conditionalFormatting sqref="H4:H100">
    <cfRule type="expression" dxfId="29" priority="6">
      <formula>IF(ISNA($B4),TRUE)</formula>
    </cfRule>
  </conditionalFormatting>
  <conditionalFormatting sqref="C4:F100">
    <cfRule type="expression" dxfId="28" priority="4">
      <formula>IF($B4=0, TRUE)</formula>
    </cfRule>
    <cfRule type="expression" dxfId="27" priority="5">
      <formula>IF(ISNA($B4), TRUE)</formula>
    </cfRule>
  </conditionalFormatting>
  <conditionalFormatting sqref="G4:G100">
    <cfRule type="expression" dxfId="26" priority="2">
      <formula>IF($B4=0, TRUE)</formula>
    </cfRule>
    <cfRule type="expression" dxfId="25" priority="3">
      <formula>IF(ISNA($B4), TRUE)</formula>
    </cfRule>
  </conditionalFormatting>
  <conditionalFormatting sqref="H4:H100">
    <cfRule type="expression" dxfId="24" priority="1">
      <formula>IF($B4=0, TRUE)</formula>
    </cfRule>
  </conditionalFormatting>
  <conditionalFormatting sqref="B3:H100">
    <cfRule type="expression" dxfId="23" priority="9">
      <formula>IF(ISNA($B3), TRUE)</formula>
    </cfRule>
    <cfRule type="expression" dxfId="22" priority="10">
      <formula>IF($B3=0, TRUE)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6" tint="-0.249977111117893"/>
  </sheetPr>
  <dimension ref="B1:AT87"/>
  <sheetViews>
    <sheetView showGridLines="0" topLeftCell="H1" zoomScale="60" zoomScaleNormal="60" zoomScalePageLayoutView="75" workbookViewId="0">
      <selection activeCell="B8" sqref="B8:AP8"/>
    </sheetView>
  </sheetViews>
  <sheetFormatPr defaultColWidth="8.85546875" defaultRowHeight="12.75"/>
  <cols>
    <col min="1" max="1" width="1.7109375" style="281" customWidth="1"/>
    <col min="2" max="2" width="18.42578125" style="282" customWidth="1"/>
    <col min="3" max="3" width="4.140625" style="281" bestFit="1" customWidth="1"/>
    <col min="4" max="6" width="4.7109375" style="281" bestFit="1" customWidth="1"/>
    <col min="7" max="7" width="9" style="281" bestFit="1" customWidth="1"/>
    <col min="8" max="8" width="14.42578125" style="281" bestFit="1" customWidth="1"/>
    <col min="9" max="9" width="16.28515625" style="281" customWidth="1"/>
    <col min="10" max="10" width="12" style="281" bestFit="1" customWidth="1"/>
    <col min="11" max="13" width="11.28515625" style="281" bestFit="1" customWidth="1"/>
    <col min="14" max="14" width="21.140625" style="281" bestFit="1" customWidth="1"/>
    <col min="15" max="15" width="18" style="281" bestFit="1" customWidth="1"/>
    <col min="16" max="19" width="4.7109375" style="281" customWidth="1"/>
    <col min="20" max="20" width="7.85546875" style="283" customWidth="1"/>
    <col min="21" max="21" width="14.85546875" style="281" bestFit="1" customWidth="1"/>
    <col min="22" max="22" width="12.28515625" style="281" bestFit="1" customWidth="1"/>
    <col min="23" max="25" width="12.7109375" style="281" bestFit="1" customWidth="1"/>
    <col min="26" max="26" width="14.85546875" style="281" bestFit="1" customWidth="1"/>
    <col min="27" max="27" width="18" style="281" bestFit="1" customWidth="1"/>
    <col min="28" max="28" width="12" style="284" customWidth="1"/>
    <col min="29" max="29" width="17.85546875" style="284" bestFit="1" customWidth="1"/>
    <col min="30" max="30" width="9.140625" style="284" customWidth="1"/>
    <col min="31" max="31" width="17.42578125" style="284" bestFit="1" customWidth="1"/>
    <col min="32" max="32" width="12.140625" style="284" bestFit="1" customWidth="1"/>
    <col min="33" max="33" width="4.140625" style="284" customWidth="1"/>
    <col min="34" max="36" width="4.7109375" style="284" customWidth="1"/>
    <col min="37" max="37" width="7" style="284" customWidth="1"/>
    <col min="38" max="38" width="7.28515625" style="284" bestFit="1" customWidth="1"/>
    <col min="39" max="41" width="4.7109375" style="284" customWidth="1"/>
    <col min="42" max="42" width="7" style="284" customWidth="1"/>
    <col min="43" max="45" width="8.85546875" style="281"/>
    <col min="46" max="46" width="9.85546875" style="281" bestFit="1" customWidth="1"/>
    <col min="47" max="16384" width="8.85546875" style="281"/>
  </cols>
  <sheetData>
    <row r="1" spans="2:46" ht="68.25" customHeight="1">
      <c r="AT1" s="322">
        <f ca="1">COUNTA($B:$B)+4</f>
        <v>87</v>
      </c>
    </row>
    <row r="2" spans="2:46" s="285" customFormat="1" ht="5.0999999999999996" customHeight="1">
      <c r="B2" s="286"/>
      <c r="T2" s="287"/>
      <c r="AB2" s="288"/>
      <c r="AC2" s="288"/>
      <c r="AD2" s="288"/>
      <c r="AE2" s="288"/>
      <c r="AF2" s="288"/>
      <c r="AG2" s="288"/>
      <c r="AH2" s="288"/>
      <c r="AI2" s="288"/>
      <c r="AJ2" s="288"/>
      <c r="AK2" s="288"/>
      <c r="AL2" s="288"/>
      <c r="AM2" s="288"/>
      <c r="AN2" s="288"/>
      <c r="AO2" s="288"/>
      <c r="AP2" s="288"/>
    </row>
    <row r="4" spans="2:46" ht="13.5" thickBot="1"/>
    <row r="5" spans="2:46" ht="31.5" customHeight="1">
      <c r="B5" s="395" t="s">
        <v>100</v>
      </c>
      <c r="C5" s="396"/>
      <c r="D5" s="396"/>
      <c r="E5" s="396"/>
      <c r="F5" s="396"/>
      <c r="G5" s="396"/>
      <c r="H5" s="396"/>
      <c r="I5" s="396"/>
      <c r="J5" s="396"/>
      <c r="K5" s="396"/>
      <c r="L5" s="396"/>
      <c r="M5" s="396"/>
      <c r="N5" s="397"/>
      <c r="O5" s="395" t="s">
        <v>101</v>
      </c>
      <c r="P5" s="396"/>
      <c r="Q5" s="396"/>
      <c r="R5" s="396"/>
      <c r="S5" s="396"/>
      <c r="T5" s="396"/>
      <c r="U5" s="396"/>
      <c r="V5" s="396"/>
      <c r="W5" s="396"/>
      <c r="X5" s="396"/>
      <c r="Y5" s="396"/>
      <c r="Z5" s="396"/>
      <c r="AA5" s="397"/>
      <c r="AB5" s="395" t="s">
        <v>102</v>
      </c>
      <c r="AC5" s="396"/>
      <c r="AD5" s="396"/>
      <c r="AE5" s="396"/>
      <c r="AF5" s="396"/>
      <c r="AG5" s="396" t="s">
        <v>103</v>
      </c>
      <c r="AH5" s="396"/>
      <c r="AI5" s="396"/>
      <c r="AJ5" s="396"/>
      <c r="AK5" s="396"/>
      <c r="AL5" s="396" t="s">
        <v>104</v>
      </c>
      <c r="AM5" s="396"/>
      <c r="AN5" s="396"/>
      <c r="AO5" s="396"/>
      <c r="AP5" s="397"/>
    </row>
    <row r="6" spans="2:46" ht="31.5">
      <c r="B6" s="289" t="s">
        <v>106</v>
      </c>
      <c r="C6" s="290" t="s">
        <v>107</v>
      </c>
      <c r="D6" s="290" t="s">
        <v>108</v>
      </c>
      <c r="E6" s="290" t="s">
        <v>109</v>
      </c>
      <c r="F6" s="290" t="s">
        <v>110</v>
      </c>
      <c r="G6" s="291" t="s">
        <v>111</v>
      </c>
      <c r="H6" s="292" t="s">
        <v>112</v>
      </c>
      <c r="I6" s="292" t="s">
        <v>113</v>
      </c>
      <c r="J6" s="292" t="s">
        <v>114</v>
      </c>
      <c r="K6" s="292" t="s">
        <v>115</v>
      </c>
      <c r="L6" s="292" t="s">
        <v>116</v>
      </c>
      <c r="M6" s="292" t="s">
        <v>117</v>
      </c>
      <c r="N6" s="292" t="s">
        <v>118</v>
      </c>
      <c r="O6" s="293" t="s">
        <v>119</v>
      </c>
      <c r="P6" s="290" t="s">
        <v>107</v>
      </c>
      <c r="Q6" s="290" t="s">
        <v>108</v>
      </c>
      <c r="R6" s="290" t="s">
        <v>109</v>
      </c>
      <c r="S6" s="290" t="s">
        <v>110</v>
      </c>
      <c r="T6" s="291" t="s">
        <v>111</v>
      </c>
      <c r="U6" s="292" t="s">
        <v>120</v>
      </c>
      <c r="V6" s="292" t="s">
        <v>121</v>
      </c>
      <c r="W6" s="292" t="s">
        <v>122</v>
      </c>
      <c r="X6" s="292" t="s">
        <v>123</v>
      </c>
      <c r="Y6" s="292" t="s">
        <v>124</v>
      </c>
      <c r="Z6" s="292" t="s">
        <v>120</v>
      </c>
      <c r="AA6" s="293" t="s">
        <v>9</v>
      </c>
      <c r="AB6" s="294" t="s">
        <v>125</v>
      </c>
      <c r="AC6" s="294" t="s">
        <v>126</v>
      </c>
      <c r="AD6" s="294" t="s">
        <v>127</v>
      </c>
      <c r="AE6" s="294" t="s">
        <v>128</v>
      </c>
      <c r="AF6" s="295" t="s">
        <v>105</v>
      </c>
      <c r="AG6" s="295" t="s">
        <v>107</v>
      </c>
      <c r="AH6" s="295" t="s">
        <v>108</v>
      </c>
      <c r="AI6" s="295" t="s">
        <v>109</v>
      </c>
      <c r="AJ6" s="295" t="s">
        <v>110</v>
      </c>
      <c r="AK6" s="295" t="s">
        <v>6</v>
      </c>
      <c r="AL6" s="295" t="s">
        <v>107</v>
      </c>
      <c r="AM6" s="295" t="s">
        <v>108</v>
      </c>
      <c r="AN6" s="295" t="s">
        <v>109</v>
      </c>
      <c r="AO6" s="295" t="s">
        <v>110</v>
      </c>
      <c r="AP6" s="295" t="s">
        <v>6</v>
      </c>
    </row>
    <row r="7" spans="2:46" s="296" customFormat="1" ht="21">
      <c r="B7" s="297">
        <f>Setup!C2</f>
        <v>41796</v>
      </c>
      <c r="C7" s="298">
        <f>COUNTIFS('Defect Dump'!$R$3:$R$10000,$B7,'Defect Dump'!$I$3:$I$10000,"Blocker")</f>
        <v>0</v>
      </c>
      <c r="D7" s="298">
        <f>COUNTIFS('Defect Dump'!$R$3:$R$10000,$B7,'Defect Dump'!$I$3:$I$10000,"Critical")</f>
        <v>6</v>
      </c>
      <c r="E7" s="298">
        <f>COUNTIFS('Defect Dump'!$R$3:$R$10000,$B7,'Defect Dump'!$I$3:$I$10000,"Major")</f>
        <v>6</v>
      </c>
      <c r="F7" s="298">
        <f>COUNTIFS('Defect Dump'!$R$3:$R$10000,$B7,'Defect Dump'!$I$3:$I$10000,"Minor")+COUNTIFS('Defect Dump'!$R$3:$R$10000,$B7,'Defect Dump'!$I$3:$I$10000,"Trivial")</f>
        <v>1</v>
      </c>
      <c r="G7" s="298">
        <f>SUM(C7:F7)</f>
        <v>13</v>
      </c>
      <c r="H7" s="299" t="b">
        <f>B7=$AA7</f>
        <v>1</v>
      </c>
      <c r="I7" s="299" t="b">
        <f t="shared" ref="I7:I8" si="0">G7=AB7</f>
        <v>1</v>
      </c>
      <c r="J7" s="299" t="b">
        <f t="shared" ref="J7:N8" si="1">C7=AG7</f>
        <v>1</v>
      </c>
      <c r="K7" s="299" t="b">
        <f t="shared" si="1"/>
        <v>1</v>
      </c>
      <c r="L7" s="299" t="b">
        <f t="shared" si="1"/>
        <v>1</v>
      </c>
      <c r="M7" s="299" t="b">
        <f t="shared" si="1"/>
        <v>1</v>
      </c>
      <c r="N7" s="299" t="b">
        <f t="shared" si="1"/>
        <v>1</v>
      </c>
      <c r="O7" s="297">
        <f>Setup!C2</f>
        <v>41796</v>
      </c>
      <c r="P7" s="298">
        <f>COUNTIFS('Defect Dump'!$S$3:$S$10000,$B7,'Defect Dump'!$H$3:$H$10000,"Closed",'Defect Dump'!$I$3:$I$10000,"Blocker")</f>
        <v>0</v>
      </c>
      <c r="Q7" s="298">
        <f>COUNTIFS('Defect Dump'!$S$3:$S$10000,$B7,'Defect Dump'!$H$3:$H$10000,"Closed",'Defect Dump'!$I$3:$I$10000,"Critical")</f>
        <v>0</v>
      </c>
      <c r="R7" s="298">
        <f>COUNTIFS('Defect Dump'!$S$3:$S$10000,$B7,'Defect Dump'!$H$3:$H$10000,"Closed",'Defect Dump'!$I$3:$I$10000,"Major")</f>
        <v>0</v>
      </c>
      <c r="S7" s="298">
        <f>COUNTIFS('Defect Dump'!$S$3:$S$10000,$B7,'Defect Dump'!$H$3:$H$10000,"Closed",'Defect Dump'!$I$3:$I$10000,"Minor")+COUNTIFS('Defect Dump'!$S$3:$S$10000,$B7,'Defect Dump'!$H$3:$H$10000,"Closed",'Defect Dump'!$I$3:$I$10000,"Trivial")</f>
        <v>0</v>
      </c>
      <c r="T7" s="298">
        <f>SUM(P7:S7)</f>
        <v>0</v>
      </c>
      <c r="U7" s="299" t="b">
        <f t="shared" ref="U7:U8" si="2">T7=AD7</f>
        <v>1</v>
      </c>
      <c r="V7" s="299" t="b">
        <f t="shared" ref="V7:Z8" si="3">P7=AL7</f>
        <v>1</v>
      </c>
      <c r="W7" s="299" t="b">
        <f t="shared" si="3"/>
        <v>1</v>
      </c>
      <c r="X7" s="299" t="b">
        <f t="shared" si="3"/>
        <v>1</v>
      </c>
      <c r="Y7" s="299" t="b">
        <f t="shared" si="3"/>
        <v>1</v>
      </c>
      <c r="Z7" s="299" t="b">
        <f t="shared" si="3"/>
        <v>1</v>
      </c>
      <c r="AA7" s="297">
        <f>Setup!C2</f>
        <v>41796</v>
      </c>
      <c r="AB7" s="300">
        <f t="shared" ref="AB7:AB8" si="4">G7</f>
        <v>13</v>
      </c>
      <c r="AC7" s="300">
        <f>$AB$7</f>
        <v>13</v>
      </c>
      <c r="AD7" s="300">
        <f t="shared" ref="AD7:AD8" si="5">T7</f>
        <v>0</v>
      </c>
      <c r="AE7" s="300">
        <f>$AD$7</f>
        <v>0</v>
      </c>
      <c r="AF7" s="300">
        <f>AC7-AE7</f>
        <v>13</v>
      </c>
      <c r="AG7" s="300">
        <f t="shared" ref="AG7:AJ8" si="6">C7</f>
        <v>0</v>
      </c>
      <c r="AH7" s="300">
        <f t="shared" si="6"/>
        <v>6</v>
      </c>
      <c r="AI7" s="300">
        <f t="shared" si="6"/>
        <v>6</v>
      </c>
      <c r="AJ7" s="300">
        <f t="shared" si="6"/>
        <v>1</v>
      </c>
      <c r="AK7" s="300">
        <f>SUM(AG7:AJ7)</f>
        <v>13</v>
      </c>
      <c r="AL7" s="300">
        <f t="shared" ref="AL7:AO8" si="7">P7</f>
        <v>0</v>
      </c>
      <c r="AM7" s="300">
        <f t="shared" si="7"/>
        <v>0</v>
      </c>
      <c r="AN7" s="300">
        <f t="shared" si="7"/>
        <v>0</v>
      </c>
      <c r="AO7" s="300">
        <f t="shared" si="7"/>
        <v>0</v>
      </c>
      <c r="AP7" s="300">
        <f>SUM(AL7:AO7)</f>
        <v>0</v>
      </c>
    </row>
    <row r="8" spans="2:46" ht="21">
      <c r="B8" s="297">
        <f ca="1">INDIRECT("B"&amp;(ROW())-1)+1</f>
        <v>41797</v>
      </c>
      <c r="C8" s="298">
        <f ca="1">COUNTIFS('Defect Dump'!$R$3:$R$10000,$B8,'Defect Dump'!$I$3:$I$10000,"Blocker")</f>
        <v>0</v>
      </c>
      <c r="D8" s="298">
        <f ca="1">COUNTIFS('Defect Dump'!$R$3:$R$10000,$B8,'Defect Dump'!$I$3:$I$10000,"Critical")</f>
        <v>0</v>
      </c>
      <c r="E8" s="298">
        <f ca="1">COUNTIFS('Defect Dump'!$R$3:$R$10000,$B8,'Defect Dump'!$I$3:$I$10000,"Major")</f>
        <v>0</v>
      </c>
      <c r="F8" s="298">
        <f ca="1">COUNTIFS('Defect Dump'!$R$3:$R$10000,$B8,'Defect Dump'!$I$3:$I$10000,"Minor")+COUNTIFS('Defect Dump'!$R$3:$R$10000,$B8,'Defect Dump'!$I$3:$I$10000,"Trivial")</f>
        <v>0</v>
      </c>
      <c r="G8" s="298">
        <f t="shared" ref="G8" ca="1" si="8">SUM(C8:F8)</f>
        <v>0</v>
      </c>
      <c r="H8" s="299" t="b">
        <f t="shared" ref="H8" ca="1" si="9">B8=$AA8</f>
        <v>1</v>
      </c>
      <c r="I8" s="299" t="b">
        <f t="shared" ca="1" si="0"/>
        <v>1</v>
      </c>
      <c r="J8" s="299" t="b">
        <f t="shared" ca="1" si="1"/>
        <v>1</v>
      </c>
      <c r="K8" s="299" t="b">
        <f t="shared" ca="1" si="1"/>
        <v>1</v>
      </c>
      <c r="L8" s="299" t="b">
        <f t="shared" ca="1" si="1"/>
        <v>1</v>
      </c>
      <c r="M8" s="299" t="b">
        <f t="shared" ca="1" si="1"/>
        <v>1</v>
      </c>
      <c r="N8" s="299" t="b">
        <f t="shared" ca="1" si="1"/>
        <v>1</v>
      </c>
      <c r="O8" s="297">
        <f ca="1">INDIRECT("O"&amp;(ROW())-1)+1</f>
        <v>41797</v>
      </c>
      <c r="P8" s="298">
        <f ca="1">COUNTIFS('Defect Dump'!$S$3:$S$10000,$B8,'Defect Dump'!$H$3:$H$10000,"Closed",'Defect Dump'!$I$3:$I$10000,"Blocker")</f>
        <v>0</v>
      </c>
      <c r="Q8" s="298">
        <f ca="1">COUNTIFS('Defect Dump'!$S$3:$S$10000,$B8,'Defect Dump'!$H$3:$H$10000,"Closed",'Defect Dump'!$I$3:$I$10000,"Critical")</f>
        <v>0</v>
      </c>
      <c r="R8" s="298">
        <f ca="1">COUNTIFS('Defect Dump'!$S$3:$S$10000,$B8,'Defect Dump'!$H$3:$H$10000,"Closed",'Defect Dump'!$I$3:$I$10000,"Major")</f>
        <v>0</v>
      </c>
      <c r="S8" s="298">
        <f ca="1">COUNTIFS('Defect Dump'!$S$3:$S$10000,$B8,'Defect Dump'!$H$3:$H$10000,"Closed",'Defect Dump'!$I$3:$I$10000,"Minor")+COUNTIFS('Defect Dump'!$S$3:$S$10000,$B8,'Defect Dump'!$H$3:$H$10000,"Closed",'Defect Dump'!$I$3:$I$10000,"Trivial")</f>
        <v>0</v>
      </c>
      <c r="T8" s="298">
        <f t="shared" ref="T8" ca="1" si="10">SUM(P8:S8)</f>
        <v>0</v>
      </c>
      <c r="U8" s="299" t="b">
        <f t="shared" ca="1" si="2"/>
        <v>1</v>
      </c>
      <c r="V8" s="299" t="b">
        <f t="shared" ca="1" si="3"/>
        <v>1</v>
      </c>
      <c r="W8" s="299" t="b">
        <f t="shared" ca="1" si="3"/>
        <v>1</v>
      </c>
      <c r="X8" s="299" t="b">
        <f t="shared" ca="1" si="3"/>
        <v>1</v>
      </c>
      <c r="Y8" s="299" t="b">
        <f t="shared" ca="1" si="3"/>
        <v>1</v>
      </c>
      <c r="Z8" s="299" t="b">
        <f t="shared" ca="1" si="3"/>
        <v>1</v>
      </c>
      <c r="AA8" s="297">
        <f ca="1">INDIRECT("AA"&amp;(ROW())-1)+1</f>
        <v>41797</v>
      </c>
      <c r="AB8" s="300">
        <f t="shared" ca="1" si="4"/>
        <v>0</v>
      </c>
      <c r="AC8" s="300">
        <f ca="1">AC7+AB8</f>
        <v>13</v>
      </c>
      <c r="AD8" s="300">
        <f t="shared" ca="1" si="5"/>
        <v>0</v>
      </c>
      <c r="AE8" s="300">
        <f ca="1">AE7+AD8</f>
        <v>0</v>
      </c>
      <c r="AF8" s="300">
        <f t="shared" ref="AF8" ca="1" si="11">AC8-AE8</f>
        <v>13</v>
      </c>
      <c r="AG8" s="300">
        <f t="shared" ca="1" si="6"/>
        <v>0</v>
      </c>
      <c r="AH8" s="300">
        <f t="shared" ca="1" si="6"/>
        <v>0</v>
      </c>
      <c r="AI8" s="300">
        <f t="shared" ca="1" si="6"/>
        <v>0</v>
      </c>
      <c r="AJ8" s="300">
        <f t="shared" ca="1" si="6"/>
        <v>0</v>
      </c>
      <c r="AK8" s="300">
        <f t="shared" ref="AK8" ca="1" si="12">SUM(AG8:AJ8)</f>
        <v>0</v>
      </c>
      <c r="AL8" s="300">
        <f t="shared" ca="1" si="7"/>
        <v>0</v>
      </c>
      <c r="AM8" s="300">
        <f t="shared" ca="1" si="7"/>
        <v>0</v>
      </c>
      <c r="AN8" s="300">
        <f t="shared" ca="1" si="7"/>
        <v>0</v>
      </c>
      <c r="AO8" s="300">
        <f t="shared" ca="1" si="7"/>
        <v>0</v>
      </c>
      <c r="AP8" s="300">
        <f t="shared" ref="AP8" ca="1" si="13">SUM(AL8:AO8)</f>
        <v>0</v>
      </c>
    </row>
    <row r="9" spans="2:46" ht="21">
      <c r="B9" s="297">
        <f t="shared" ref="B9:B72" ca="1" si="14">INDIRECT("B"&amp;(ROW())-1)+1</f>
        <v>41798</v>
      </c>
      <c r="C9" s="298">
        <f ca="1">COUNTIFS('Defect Dump'!$R$3:$R$10000,$B9,'Defect Dump'!$I$3:$I$10000,"Blocker")</f>
        <v>0</v>
      </c>
      <c r="D9" s="298">
        <f ca="1">COUNTIFS('Defect Dump'!$R$3:$R$10000,$B9,'Defect Dump'!$I$3:$I$10000,"Critical")</f>
        <v>0</v>
      </c>
      <c r="E9" s="298">
        <f ca="1">COUNTIFS('Defect Dump'!$R$3:$R$10000,$B9,'Defect Dump'!$I$3:$I$10000,"Major")</f>
        <v>0</v>
      </c>
      <c r="F9" s="298">
        <f ca="1">COUNTIFS('Defect Dump'!$R$3:$R$10000,$B9,'Defect Dump'!$I$3:$I$10000,"Minor")+COUNTIFS('Defect Dump'!$R$3:$R$10000,$B9,'Defect Dump'!$I$3:$I$10000,"Trivial")</f>
        <v>0</v>
      </c>
      <c r="G9" s="298">
        <f t="shared" ref="G9:G72" ca="1" si="15">SUM(C9:F9)</f>
        <v>0</v>
      </c>
      <c r="H9" s="299" t="b">
        <f t="shared" ref="H9:H72" ca="1" si="16">B9=$AA9</f>
        <v>1</v>
      </c>
      <c r="I9" s="299" t="b">
        <f t="shared" ref="I9:I72" ca="1" si="17">G9=AB9</f>
        <v>1</v>
      </c>
      <c r="J9" s="299" t="b">
        <f t="shared" ref="J9:J72" ca="1" si="18">C9=AG9</f>
        <v>1</v>
      </c>
      <c r="K9" s="299" t="b">
        <f t="shared" ref="K9:K72" ca="1" si="19">D9=AH9</f>
        <v>1</v>
      </c>
      <c r="L9" s="299" t="b">
        <f t="shared" ref="L9:L72" ca="1" si="20">E9=AI9</f>
        <v>1</v>
      </c>
      <c r="M9" s="299" t="b">
        <f t="shared" ref="M9:M72" ca="1" si="21">F9=AJ9</f>
        <v>1</v>
      </c>
      <c r="N9" s="299" t="b">
        <f t="shared" ref="N9:N72" ca="1" si="22">G9=AK9</f>
        <v>1</v>
      </c>
      <c r="O9" s="297">
        <f t="shared" ref="O9:O72" ca="1" si="23">INDIRECT("O"&amp;(ROW())-1)+1</f>
        <v>41798</v>
      </c>
      <c r="P9" s="298">
        <f ca="1">COUNTIFS('Defect Dump'!$S$3:$S$10000,$B9,'Defect Dump'!$H$3:$H$10000,"Closed",'Defect Dump'!$I$3:$I$10000,"Blocker")</f>
        <v>0</v>
      </c>
      <c r="Q9" s="298">
        <f ca="1">COUNTIFS('Defect Dump'!$S$3:$S$10000,$B9,'Defect Dump'!$H$3:$H$10000,"Closed",'Defect Dump'!$I$3:$I$10000,"Critical")</f>
        <v>0</v>
      </c>
      <c r="R9" s="298">
        <f ca="1">COUNTIFS('Defect Dump'!$S$3:$S$10000,$B9,'Defect Dump'!$H$3:$H$10000,"Closed",'Defect Dump'!$I$3:$I$10000,"Major")</f>
        <v>0</v>
      </c>
      <c r="S9" s="298">
        <f ca="1">COUNTIFS('Defect Dump'!$S$3:$S$10000,$B9,'Defect Dump'!$H$3:$H$10000,"Closed",'Defect Dump'!$I$3:$I$10000,"Minor")+COUNTIFS('Defect Dump'!$S$3:$S$10000,$B9,'Defect Dump'!$H$3:$H$10000,"Closed",'Defect Dump'!$I$3:$I$10000,"Trivial")</f>
        <v>0</v>
      </c>
      <c r="T9" s="298">
        <f t="shared" ref="T9:T72" ca="1" si="24">SUM(P9:S9)</f>
        <v>0</v>
      </c>
      <c r="U9" s="299" t="b">
        <f t="shared" ref="U9:U72" ca="1" si="25">T9=AD9</f>
        <v>1</v>
      </c>
      <c r="V9" s="299" t="b">
        <f t="shared" ref="V9:V72" ca="1" si="26">P9=AL9</f>
        <v>1</v>
      </c>
      <c r="W9" s="299" t="b">
        <f t="shared" ref="W9:W72" ca="1" si="27">Q9=AM9</f>
        <v>1</v>
      </c>
      <c r="X9" s="299" t="b">
        <f t="shared" ref="X9:X72" ca="1" si="28">R9=AN9</f>
        <v>1</v>
      </c>
      <c r="Y9" s="299" t="b">
        <f t="shared" ref="Y9:Y72" ca="1" si="29">S9=AO9</f>
        <v>1</v>
      </c>
      <c r="Z9" s="299" t="b">
        <f t="shared" ref="Z9:Z72" ca="1" si="30">T9=AP9</f>
        <v>1</v>
      </c>
      <c r="AA9" s="297">
        <f t="shared" ref="AA9:AA72" ca="1" si="31">INDIRECT("AA"&amp;(ROW())-1)+1</f>
        <v>41798</v>
      </c>
      <c r="AB9" s="300">
        <f t="shared" ref="AB9:AB72" ca="1" si="32">G9</f>
        <v>0</v>
      </c>
      <c r="AC9" s="300">
        <f t="shared" ref="AC9:AC72" ca="1" si="33">AC8+AB9</f>
        <v>13</v>
      </c>
      <c r="AD9" s="300">
        <f t="shared" ref="AD9:AD72" ca="1" si="34">T9</f>
        <v>0</v>
      </c>
      <c r="AE9" s="300">
        <f t="shared" ref="AE9:AE72" ca="1" si="35">AE8+AD9</f>
        <v>0</v>
      </c>
      <c r="AF9" s="300">
        <f t="shared" ref="AF9:AF72" ca="1" si="36">AC9-AE9</f>
        <v>13</v>
      </c>
      <c r="AG9" s="300">
        <f t="shared" ref="AG9:AG72" ca="1" si="37">C9</f>
        <v>0</v>
      </c>
      <c r="AH9" s="300">
        <f t="shared" ref="AH9:AH72" ca="1" si="38">D9</f>
        <v>0</v>
      </c>
      <c r="AI9" s="300">
        <f t="shared" ref="AI9:AI72" ca="1" si="39">E9</f>
        <v>0</v>
      </c>
      <c r="AJ9" s="300">
        <f t="shared" ref="AJ9:AJ72" ca="1" si="40">F9</f>
        <v>0</v>
      </c>
      <c r="AK9" s="300">
        <f t="shared" ref="AK9:AK72" ca="1" si="41">SUM(AG9:AJ9)</f>
        <v>0</v>
      </c>
      <c r="AL9" s="300">
        <f t="shared" ref="AL9:AL72" ca="1" si="42">P9</f>
        <v>0</v>
      </c>
      <c r="AM9" s="300">
        <f t="shared" ref="AM9:AM72" ca="1" si="43">Q9</f>
        <v>0</v>
      </c>
      <c r="AN9" s="300">
        <f t="shared" ref="AN9:AN72" ca="1" si="44">R9</f>
        <v>0</v>
      </c>
      <c r="AO9" s="300">
        <f t="shared" ref="AO9:AO72" ca="1" si="45">S9</f>
        <v>0</v>
      </c>
      <c r="AP9" s="300">
        <f t="shared" ref="AP9:AP72" ca="1" si="46">SUM(AL9:AO9)</f>
        <v>0</v>
      </c>
    </row>
    <row r="10" spans="2:46" ht="21">
      <c r="B10" s="297">
        <f t="shared" ca="1" si="14"/>
        <v>41799</v>
      </c>
      <c r="C10" s="298">
        <f ca="1">COUNTIFS('Defect Dump'!$R$3:$R$10000,$B10,'Defect Dump'!$I$3:$I$10000,"Blocker")</f>
        <v>0</v>
      </c>
      <c r="D10" s="298">
        <f ca="1">COUNTIFS('Defect Dump'!$R$3:$R$10000,$B10,'Defect Dump'!$I$3:$I$10000,"Critical")</f>
        <v>0</v>
      </c>
      <c r="E10" s="298">
        <f ca="1">COUNTIFS('Defect Dump'!$R$3:$R$10000,$B10,'Defect Dump'!$I$3:$I$10000,"Major")</f>
        <v>0</v>
      </c>
      <c r="F10" s="298">
        <f ca="1">COUNTIFS('Defect Dump'!$R$3:$R$10000,$B10,'Defect Dump'!$I$3:$I$10000,"Minor")+COUNTIFS('Defect Dump'!$R$3:$R$10000,$B10,'Defect Dump'!$I$3:$I$10000,"Trivial")</f>
        <v>0</v>
      </c>
      <c r="G10" s="298">
        <f t="shared" ca="1" si="15"/>
        <v>0</v>
      </c>
      <c r="H10" s="299" t="b">
        <f t="shared" ca="1" si="16"/>
        <v>1</v>
      </c>
      <c r="I10" s="299" t="b">
        <f t="shared" ca="1" si="17"/>
        <v>1</v>
      </c>
      <c r="J10" s="299" t="b">
        <f t="shared" ca="1" si="18"/>
        <v>1</v>
      </c>
      <c r="K10" s="299" t="b">
        <f t="shared" ca="1" si="19"/>
        <v>1</v>
      </c>
      <c r="L10" s="299" t="b">
        <f t="shared" ca="1" si="20"/>
        <v>1</v>
      </c>
      <c r="M10" s="299" t="b">
        <f t="shared" ca="1" si="21"/>
        <v>1</v>
      </c>
      <c r="N10" s="299" t="b">
        <f t="shared" ca="1" si="22"/>
        <v>1</v>
      </c>
      <c r="O10" s="297">
        <f t="shared" ca="1" si="23"/>
        <v>41799</v>
      </c>
      <c r="P10" s="298">
        <f ca="1">COUNTIFS('Defect Dump'!$S$3:$S$10000,$B10,'Defect Dump'!$H$3:$H$10000,"Closed",'Defect Dump'!$I$3:$I$10000,"Blocker")</f>
        <v>0</v>
      </c>
      <c r="Q10" s="298">
        <f ca="1">COUNTIFS('Defect Dump'!$S$3:$S$10000,$B10,'Defect Dump'!$H$3:$H$10000,"Closed",'Defect Dump'!$I$3:$I$10000,"Critical")</f>
        <v>0</v>
      </c>
      <c r="R10" s="298">
        <f ca="1">COUNTIFS('Defect Dump'!$S$3:$S$10000,$B10,'Defect Dump'!$H$3:$H$10000,"Closed",'Defect Dump'!$I$3:$I$10000,"Major")</f>
        <v>0</v>
      </c>
      <c r="S10" s="298">
        <f ca="1">COUNTIFS('Defect Dump'!$S$3:$S$10000,$B10,'Defect Dump'!$H$3:$H$10000,"Closed",'Defect Dump'!$I$3:$I$10000,"Minor")+COUNTIFS('Defect Dump'!$S$3:$S$10000,$B10,'Defect Dump'!$H$3:$H$10000,"Closed",'Defect Dump'!$I$3:$I$10000,"Trivial")</f>
        <v>0</v>
      </c>
      <c r="T10" s="298">
        <f t="shared" ca="1" si="24"/>
        <v>0</v>
      </c>
      <c r="U10" s="299" t="b">
        <f t="shared" ca="1" si="25"/>
        <v>1</v>
      </c>
      <c r="V10" s="299" t="b">
        <f t="shared" ca="1" si="26"/>
        <v>1</v>
      </c>
      <c r="W10" s="299" t="b">
        <f t="shared" ca="1" si="27"/>
        <v>1</v>
      </c>
      <c r="X10" s="299" t="b">
        <f t="shared" ca="1" si="28"/>
        <v>1</v>
      </c>
      <c r="Y10" s="299" t="b">
        <f t="shared" ca="1" si="29"/>
        <v>1</v>
      </c>
      <c r="Z10" s="299" t="b">
        <f t="shared" ca="1" si="30"/>
        <v>1</v>
      </c>
      <c r="AA10" s="297">
        <f t="shared" ca="1" si="31"/>
        <v>41799</v>
      </c>
      <c r="AB10" s="300">
        <f t="shared" ca="1" si="32"/>
        <v>0</v>
      </c>
      <c r="AC10" s="300">
        <f t="shared" ca="1" si="33"/>
        <v>13</v>
      </c>
      <c r="AD10" s="300">
        <f t="shared" ca="1" si="34"/>
        <v>0</v>
      </c>
      <c r="AE10" s="300">
        <f t="shared" ca="1" si="35"/>
        <v>0</v>
      </c>
      <c r="AF10" s="300">
        <f t="shared" ca="1" si="36"/>
        <v>13</v>
      </c>
      <c r="AG10" s="300">
        <f t="shared" ca="1" si="37"/>
        <v>0</v>
      </c>
      <c r="AH10" s="300">
        <f t="shared" ca="1" si="38"/>
        <v>0</v>
      </c>
      <c r="AI10" s="300">
        <f t="shared" ca="1" si="39"/>
        <v>0</v>
      </c>
      <c r="AJ10" s="300">
        <f t="shared" ca="1" si="40"/>
        <v>0</v>
      </c>
      <c r="AK10" s="300">
        <f t="shared" ca="1" si="41"/>
        <v>0</v>
      </c>
      <c r="AL10" s="300">
        <f t="shared" ca="1" si="42"/>
        <v>0</v>
      </c>
      <c r="AM10" s="300">
        <f t="shared" ca="1" si="43"/>
        <v>0</v>
      </c>
      <c r="AN10" s="300">
        <f t="shared" ca="1" si="44"/>
        <v>0</v>
      </c>
      <c r="AO10" s="300">
        <f t="shared" ca="1" si="45"/>
        <v>0</v>
      </c>
      <c r="AP10" s="300">
        <f t="shared" ca="1" si="46"/>
        <v>0</v>
      </c>
    </row>
    <row r="11" spans="2:46" ht="21">
      <c r="B11" s="297">
        <f t="shared" ca="1" si="14"/>
        <v>41800</v>
      </c>
      <c r="C11" s="298">
        <f ca="1">COUNTIFS('Defect Dump'!$R$3:$R$10000,$B11,'Defect Dump'!$I$3:$I$10000,"Blocker")</f>
        <v>0</v>
      </c>
      <c r="D11" s="298">
        <f ca="1">COUNTIFS('Defect Dump'!$R$3:$R$10000,$B11,'Defect Dump'!$I$3:$I$10000,"Critical")</f>
        <v>0</v>
      </c>
      <c r="E11" s="298">
        <f ca="1">COUNTIFS('Defect Dump'!$R$3:$R$10000,$B11,'Defect Dump'!$I$3:$I$10000,"Major")</f>
        <v>0</v>
      </c>
      <c r="F11" s="298">
        <f ca="1">COUNTIFS('Defect Dump'!$R$3:$R$10000,$B11,'Defect Dump'!$I$3:$I$10000,"Minor")+COUNTIFS('Defect Dump'!$R$3:$R$10000,$B11,'Defect Dump'!$I$3:$I$10000,"Trivial")</f>
        <v>0</v>
      </c>
      <c r="G11" s="298">
        <f t="shared" ca="1" si="15"/>
        <v>0</v>
      </c>
      <c r="H11" s="299" t="b">
        <f t="shared" ca="1" si="16"/>
        <v>1</v>
      </c>
      <c r="I11" s="299" t="b">
        <f t="shared" ca="1" si="17"/>
        <v>1</v>
      </c>
      <c r="J11" s="299" t="b">
        <f t="shared" ca="1" si="18"/>
        <v>1</v>
      </c>
      <c r="K11" s="299" t="b">
        <f t="shared" ca="1" si="19"/>
        <v>1</v>
      </c>
      <c r="L11" s="299" t="b">
        <f t="shared" ca="1" si="20"/>
        <v>1</v>
      </c>
      <c r="M11" s="299" t="b">
        <f t="shared" ca="1" si="21"/>
        <v>1</v>
      </c>
      <c r="N11" s="299" t="b">
        <f t="shared" ca="1" si="22"/>
        <v>1</v>
      </c>
      <c r="O11" s="297">
        <f t="shared" ca="1" si="23"/>
        <v>41800</v>
      </c>
      <c r="P11" s="298">
        <f ca="1">COUNTIFS('Defect Dump'!$S$3:$S$10000,$B11,'Defect Dump'!$H$3:$H$10000,"Closed",'Defect Dump'!$I$3:$I$10000,"Blocker")</f>
        <v>0</v>
      </c>
      <c r="Q11" s="298">
        <f ca="1">COUNTIFS('Defect Dump'!$S$3:$S$10000,$B11,'Defect Dump'!$H$3:$H$10000,"Closed",'Defect Dump'!$I$3:$I$10000,"Critical")</f>
        <v>0</v>
      </c>
      <c r="R11" s="298">
        <f ca="1">COUNTIFS('Defect Dump'!$S$3:$S$10000,$B11,'Defect Dump'!$H$3:$H$10000,"Closed",'Defect Dump'!$I$3:$I$10000,"Major")</f>
        <v>0</v>
      </c>
      <c r="S11" s="298">
        <f ca="1">COUNTIFS('Defect Dump'!$S$3:$S$10000,$B11,'Defect Dump'!$H$3:$H$10000,"Closed",'Defect Dump'!$I$3:$I$10000,"Minor")+COUNTIFS('Defect Dump'!$S$3:$S$10000,$B11,'Defect Dump'!$H$3:$H$10000,"Closed",'Defect Dump'!$I$3:$I$10000,"Trivial")</f>
        <v>0</v>
      </c>
      <c r="T11" s="298">
        <f t="shared" ca="1" si="24"/>
        <v>0</v>
      </c>
      <c r="U11" s="299" t="b">
        <f t="shared" ca="1" si="25"/>
        <v>1</v>
      </c>
      <c r="V11" s="299" t="b">
        <f t="shared" ca="1" si="26"/>
        <v>1</v>
      </c>
      <c r="W11" s="299" t="b">
        <f t="shared" ca="1" si="27"/>
        <v>1</v>
      </c>
      <c r="X11" s="299" t="b">
        <f t="shared" ca="1" si="28"/>
        <v>1</v>
      </c>
      <c r="Y11" s="299" t="b">
        <f t="shared" ca="1" si="29"/>
        <v>1</v>
      </c>
      <c r="Z11" s="299" t="b">
        <f t="shared" ca="1" si="30"/>
        <v>1</v>
      </c>
      <c r="AA11" s="297">
        <f t="shared" ca="1" si="31"/>
        <v>41800</v>
      </c>
      <c r="AB11" s="300">
        <f t="shared" ca="1" si="32"/>
        <v>0</v>
      </c>
      <c r="AC11" s="300">
        <f t="shared" ca="1" si="33"/>
        <v>13</v>
      </c>
      <c r="AD11" s="300">
        <f t="shared" ca="1" si="34"/>
        <v>0</v>
      </c>
      <c r="AE11" s="300">
        <f t="shared" ca="1" si="35"/>
        <v>0</v>
      </c>
      <c r="AF11" s="300">
        <f t="shared" ca="1" si="36"/>
        <v>13</v>
      </c>
      <c r="AG11" s="300">
        <f t="shared" ca="1" si="37"/>
        <v>0</v>
      </c>
      <c r="AH11" s="300">
        <f t="shared" ca="1" si="38"/>
        <v>0</v>
      </c>
      <c r="AI11" s="300">
        <f t="shared" ca="1" si="39"/>
        <v>0</v>
      </c>
      <c r="AJ11" s="300">
        <f t="shared" ca="1" si="40"/>
        <v>0</v>
      </c>
      <c r="AK11" s="300">
        <f t="shared" ca="1" si="41"/>
        <v>0</v>
      </c>
      <c r="AL11" s="300">
        <f t="shared" ca="1" si="42"/>
        <v>0</v>
      </c>
      <c r="AM11" s="300">
        <f t="shared" ca="1" si="43"/>
        <v>0</v>
      </c>
      <c r="AN11" s="300">
        <f t="shared" ca="1" si="44"/>
        <v>0</v>
      </c>
      <c r="AO11" s="300">
        <f t="shared" ca="1" si="45"/>
        <v>0</v>
      </c>
      <c r="AP11" s="300">
        <f t="shared" ca="1" si="46"/>
        <v>0</v>
      </c>
    </row>
    <row r="12" spans="2:46" ht="21">
      <c r="B12" s="297">
        <f t="shared" ca="1" si="14"/>
        <v>41801</v>
      </c>
      <c r="C12" s="298">
        <f ca="1">COUNTIFS('Defect Dump'!$R$3:$R$10000,$B12,'Defect Dump'!$I$3:$I$10000,"Blocker")</f>
        <v>0</v>
      </c>
      <c r="D12" s="298">
        <f ca="1">COUNTIFS('Defect Dump'!$R$3:$R$10000,$B12,'Defect Dump'!$I$3:$I$10000,"Critical")</f>
        <v>0</v>
      </c>
      <c r="E12" s="298">
        <f ca="1">COUNTIFS('Defect Dump'!$R$3:$R$10000,$B12,'Defect Dump'!$I$3:$I$10000,"Major")</f>
        <v>0</v>
      </c>
      <c r="F12" s="298">
        <f ca="1">COUNTIFS('Defect Dump'!$R$3:$R$10000,$B12,'Defect Dump'!$I$3:$I$10000,"Minor")+COUNTIFS('Defect Dump'!$R$3:$R$10000,$B12,'Defect Dump'!$I$3:$I$10000,"Trivial")</f>
        <v>0</v>
      </c>
      <c r="G12" s="298">
        <f t="shared" ca="1" si="15"/>
        <v>0</v>
      </c>
      <c r="H12" s="299" t="b">
        <f t="shared" ca="1" si="16"/>
        <v>1</v>
      </c>
      <c r="I12" s="299" t="b">
        <f t="shared" ca="1" si="17"/>
        <v>1</v>
      </c>
      <c r="J12" s="299" t="b">
        <f t="shared" ca="1" si="18"/>
        <v>1</v>
      </c>
      <c r="K12" s="299" t="b">
        <f t="shared" ca="1" si="19"/>
        <v>1</v>
      </c>
      <c r="L12" s="299" t="b">
        <f t="shared" ca="1" si="20"/>
        <v>1</v>
      </c>
      <c r="M12" s="299" t="b">
        <f t="shared" ca="1" si="21"/>
        <v>1</v>
      </c>
      <c r="N12" s="299" t="b">
        <f t="shared" ca="1" si="22"/>
        <v>1</v>
      </c>
      <c r="O12" s="297">
        <f t="shared" ca="1" si="23"/>
        <v>41801</v>
      </c>
      <c r="P12" s="298">
        <f ca="1">COUNTIFS('Defect Dump'!$S$3:$S$10000,$B12,'Defect Dump'!$H$3:$H$10000,"Closed",'Defect Dump'!$I$3:$I$10000,"Blocker")</f>
        <v>0</v>
      </c>
      <c r="Q12" s="298">
        <f ca="1">COUNTIFS('Defect Dump'!$S$3:$S$10000,$B12,'Defect Dump'!$H$3:$H$10000,"Closed",'Defect Dump'!$I$3:$I$10000,"Critical")</f>
        <v>0</v>
      </c>
      <c r="R12" s="298">
        <f ca="1">COUNTIFS('Defect Dump'!$S$3:$S$10000,$B12,'Defect Dump'!$H$3:$H$10000,"Closed",'Defect Dump'!$I$3:$I$10000,"Major")</f>
        <v>0</v>
      </c>
      <c r="S12" s="298">
        <f ca="1">COUNTIFS('Defect Dump'!$S$3:$S$10000,$B12,'Defect Dump'!$H$3:$H$10000,"Closed",'Defect Dump'!$I$3:$I$10000,"Minor")+COUNTIFS('Defect Dump'!$S$3:$S$10000,$B12,'Defect Dump'!$H$3:$H$10000,"Closed",'Defect Dump'!$I$3:$I$10000,"Trivial")</f>
        <v>0</v>
      </c>
      <c r="T12" s="298">
        <f t="shared" ca="1" si="24"/>
        <v>0</v>
      </c>
      <c r="U12" s="299" t="b">
        <f t="shared" ca="1" si="25"/>
        <v>1</v>
      </c>
      <c r="V12" s="299" t="b">
        <f t="shared" ca="1" si="26"/>
        <v>1</v>
      </c>
      <c r="W12" s="299" t="b">
        <f t="shared" ca="1" si="27"/>
        <v>1</v>
      </c>
      <c r="X12" s="299" t="b">
        <f t="shared" ca="1" si="28"/>
        <v>1</v>
      </c>
      <c r="Y12" s="299" t="b">
        <f t="shared" ca="1" si="29"/>
        <v>1</v>
      </c>
      <c r="Z12" s="299" t="b">
        <f t="shared" ca="1" si="30"/>
        <v>1</v>
      </c>
      <c r="AA12" s="297">
        <f t="shared" ca="1" si="31"/>
        <v>41801</v>
      </c>
      <c r="AB12" s="300">
        <f t="shared" ca="1" si="32"/>
        <v>0</v>
      </c>
      <c r="AC12" s="300">
        <f t="shared" ca="1" si="33"/>
        <v>13</v>
      </c>
      <c r="AD12" s="300">
        <f t="shared" ca="1" si="34"/>
        <v>0</v>
      </c>
      <c r="AE12" s="300">
        <f t="shared" ca="1" si="35"/>
        <v>0</v>
      </c>
      <c r="AF12" s="300">
        <f t="shared" ca="1" si="36"/>
        <v>13</v>
      </c>
      <c r="AG12" s="300">
        <f t="shared" ca="1" si="37"/>
        <v>0</v>
      </c>
      <c r="AH12" s="300">
        <f t="shared" ca="1" si="38"/>
        <v>0</v>
      </c>
      <c r="AI12" s="300">
        <f t="shared" ca="1" si="39"/>
        <v>0</v>
      </c>
      <c r="AJ12" s="300">
        <f t="shared" ca="1" si="40"/>
        <v>0</v>
      </c>
      <c r="AK12" s="300">
        <f t="shared" ca="1" si="41"/>
        <v>0</v>
      </c>
      <c r="AL12" s="300">
        <f t="shared" ca="1" si="42"/>
        <v>0</v>
      </c>
      <c r="AM12" s="300">
        <f t="shared" ca="1" si="43"/>
        <v>0</v>
      </c>
      <c r="AN12" s="300">
        <f t="shared" ca="1" si="44"/>
        <v>0</v>
      </c>
      <c r="AO12" s="300">
        <f t="shared" ca="1" si="45"/>
        <v>0</v>
      </c>
      <c r="AP12" s="300">
        <f t="shared" ca="1" si="46"/>
        <v>0</v>
      </c>
    </row>
    <row r="13" spans="2:46" ht="21">
      <c r="B13" s="297">
        <f t="shared" ca="1" si="14"/>
        <v>41802</v>
      </c>
      <c r="C13" s="298">
        <f ca="1">COUNTIFS('Defect Dump'!$R$3:$R$10000,$B13,'Defect Dump'!$I$3:$I$10000,"Blocker")</f>
        <v>0</v>
      </c>
      <c r="D13" s="298">
        <f ca="1">COUNTIFS('Defect Dump'!$R$3:$R$10000,$B13,'Defect Dump'!$I$3:$I$10000,"Critical")</f>
        <v>0</v>
      </c>
      <c r="E13" s="298">
        <f ca="1">COUNTIFS('Defect Dump'!$R$3:$R$10000,$B13,'Defect Dump'!$I$3:$I$10000,"Major")</f>
        <v>0</v>
      </c>
      <c r="F13" s="298">
        <f ca="1">COUNTIFS('Defect Dump'!$R$3:$R$10000,$B13,'Defect Dump'!$I$3:$I$10000,"Minor")+COUNTIFS('Defect Dump'!$R$3:$R$10000,$B13,'Defect Dump'!$I$3:$I$10000,"Trivial")</f>
        <v>0</v>
      </c>
      <c r="G13" s="298">
        <f t="shared" ca="1" si="15"/>
        <v>0</v>
      </c>
      <c r="H13" s="299" t="b">
        <f t="shared" ca="1" si="16"/>
        <v>1</v>
      </c>
      <c r="I13" s="299" t="b">
        <f t="shared" ca="1" si="17"/>
        <v>1</v>
      </c>
      <c r="J13" s="299" t="b">
        <f t="shared" ca="1" si="18"/>
        <v>1</v>
      </c>
      <c r="K13" s="299" t="b">
        <f t="shared" ca="1" si="19"/>
        <v>1</v>
      </c>
      <c r="L13" s="299" t="b">
        <f t="shared" ca="1" si="20"/>
        <v>1</v>
      </c>
      <c r="M13" s="299" t="b">
        <f t="shared" ca="1" si="21"/>
        <v>1</v>
      </c>
      <c r="N13" s="299" t="b">
        <f t="shared" ca="1" si="22"/>
        <v>1</v>
      </c>
      <c r="O13" s="297">
        <f t="shared" ca="1" si="23"/>
        <v>41802</v>
      </c>
      <c r="P13" s="298">
        <f ca="1">COUNTIFS('Defect Dump'!$S$3:$S$10000,$B13,'Defect Dump'!$H$3:$H$10000,"Closed",'Defect Dump'!$I$3:$I$10000,"Blocker")</f>
        <v>0</v>
      </c>
      <c r="Q13" s="298">
        <f ca="1">COUNTIFS('Defect Dump'!$S$3:$S$10000,$B13,'Defect Dump'!$H$3:$H$10000,"Closed",'Defect Dump'!$I$3:$I$10000,"Critical")</f>
        <v>0</v>
      </c>
      <c r="R13" s="298">
        <f ca="1">COUNTIFS('Defect Dump'!$S$3:$S$10000,$B13,'Defect Dump'!$H$3:$H$10000,"Closed",'Defect Dump'!$I$3:$I$10000,"Major")</f>
        <v>0</v>
      </c>
      <c r="S13" s="298">
        <f ca="1">COUNTIFS('Defect Dump'!$S$3:$S$10000,$B13,'Defect Dump'!$H$3:$H$10000,"Closed",'Defect Dump'!$I$3:$I$10000,"Minor")+COUNTIFS('Defect Dump'!$S$3:$S$10000,$B13,'Defect Dump'!$H$3:$H$10000,"Closed",'Defect Dump'!$I$3:$I$10000,"Trivial")</f>
        <v>0</v>
      </c>
      <c r="T13" s="298">
        <f t="shared" ca="1" si="24"/>
        <v>0</v>
      </c>
      <c r="U13" s="299" t="b">
        <f t="shared" ca="1" si="25"/>
        <v>1</v>
      </c>
      <c r="V13" s="299" t="b">
        <f t="shared" ca="1" si="26"/>
        <v>1</v>
      </c>
      <c r="W13" s="299" t="b">
        <f t="shared" ca="1" si="27"/>
        <v>1</v>
      </c>
      <c r="X13" s="299" t="b">
        <f t="shared" ca="1" si="28"/>
        <v>1</v>
      </c>
      <c r="Y13" s="299" t="b">
        <f t="shared" ca="1" si="29"/>
        <v>1</v>
      </c>
      <c r="Z13" s="299" t="b">
        <f t="shared" ca="1" si="30"/>
        <v>1</v>
      </c>
      <c r="AA13" s="297">
        <f t="shared" ca="1" si="31"/>
        <v>41802</v>
      </c>
      <c r="AB13" s="300">
        <f t="shared" ca="1" si="32"/>
        <v>0</v>
      </c>
      <c r="AC13" s="300">
        <f t="shared" ca="1" si="33"/>
        <v>13</v>
      </c>
      <c r="AD13" s="300">
        <f t="shared" ca="1" si="34"/>
        <v>0</v>
      </c>
      <c r="AE13" s="300">
        <f t="shared" ca="1" si="35"/>
        <v>0</v>
      </c>
      <c r="AF13" s="300">
        <f t="shared" ca="1" si="36"/>
        <v>13</v>
      </c>
      <c r="AG13" s="300">
        <f t="shared" ca="1" si="37"/>
        <v>0</v>
      </c>
      <c r="AH13" s="300">
        <f t="shared" ca="1" si="38"/>
        <v>0</v>
      </c>
      <c r="AI13" s="300">
        <f t="shared" ca="1" si="39"/>
        <v>0</v>
      </c>
      <c r="AJ13" s="300">
        <f t="shared" ca="1" si="40"/>
        <v>0</v>
      </c>
      <c r="AK13" s="300">
        <f t="shared" ca="1" si="41"/>
        <v>0</v>
      </c>
      <c r="AL13" s="300">
        <f t="shared" ca="1" si="42"/>
        <v>0</v>
      </c>
      <c r="AM13" s="300">
        <f t="shared" ca="1" si="43"/>
        <v>0</v>
      </c>
      <c r="AN13" s="300">
        <f t="shared" ca="1" si="44"/>
        <v>0</v>
      </c>
      <c r="AO13" s="300">
        <f t="shared" ca="1" si="45"/>
        <v>0</v>
      </c>
      <c r="AP13" s="300">
        <f t="shared" ca="1" si="46"/>
        <v>0</v>
      </c>
    </row>
    <row r="14" spans="2:46" ht="21">
      <c r="B14" s="297">
        <f t="shared" ca="1" si="14"/>
        <v>41803</v>
      </c>
      <c r="C14" s="298">
        <f ca="1">COUNTIFS('Defect Dump'!$R$3:$R$10000,$B14,'Defect Dump'!$I$3:$I$10000,"Blocker")</f>
        <v>1</v>
      </c>
      <c r="D14" s="298">
        <f ca="1">COUNTIFS('Defect Dump'!$R$3:$R$10000,$B14,'Defect Dump'!$I$3:$I$10000,"Critical")</f>
        <v>2</v>
      </c>
      <c r="E14" s="298">
        <f ca="1">COUNTIFS('Defect Dump'!$R$3:$R$10000,$B14,'Defect Dump'!$I$3:$I$10000,"Major")</f>
        <v>3</v>
      </c>
      <c r="F14" s="298">
        <f ca="1">COUNTIFS('Defect Dump'!$R$3:$R$10000,$B14,'Defect Dump'!$I$3:$I$10000,"Minor")+COUNTIFS('Defect Dump'!$R$3:$R$10000,$B14,'Defect Dump'!$I$3:$I$10000,"Trivial")</f>
        <v>0</v>
      </c>
      <c r="G14" s="298">
        <f t="shared" ca="1" si="15"/>
        <v>6</v>
      </c>
      <c r="H14" s="299" t="b">
        <f t="shared" ca="1" si="16"/>
        <v>1</v>
      </c>
      <c r="I14" s="299" t="b">
        <f t="shared" ca="1" si="17"/>
        <v>1</v>
      </c>
      <c r="J14" s="299" t="b">
        <f t="shared" ca="1" si="18"/>
        <v>1</v>
      </c>
      <c r="K14" s="299" t="b">
        <f t="shared" ca="1" si="19"/>
        <v>1</v>
      </c>
      <c r="L14" s="299" t="b">
        <f t="shared" ca="1" si="20"/>
        <v>1</v>
      </c>
      <c r="M14" s="299" t="b">
        <f t="shared" ca="1" si="21"/>
        <v>1</v>
      </c>
      <c r="N14" s="299" t="b">
        <f t="shared" ca="1" si="22"/>
        <v>1</v>
      </c>
      <c r="O14" s="297">
        <f t="shared" ca="1" si="23"/>
        <v>41803</v>
      </c>
      <c r="P14" s="298">
        <f ca="1">COUNTIFS('Defect Dump'!$S$3:$S$10000,$B14,'Defect Dump'!$H$3:$H$10000,"Closed",'Defect Dump'!$I$3:$I$10000,"Blocker")</f>
        <v>0</v>
      </c>
      <c r="Q14" s="298">
        <f ca="1">COUNTIFS('Defect Dump'!$S$3:$S$10000,$B14,'Defect Dump'!$H$3:$H$10000,"Closed",'Defect Dump'!$I$3:$I$10000,"Critical")</f>
        <v>1</v>
      </c>
      <c r="R14" s="298">
        <f ca="1">COUNTIFS('Defect Dump'!$S$3:$S$10000,$B14,'Defect Dump'!$H$3:$H$10000,"Closed",'Defect Dump'!$I$3:$I$10000,"Major")</f>
        <v>0</v>
      </c>
      <c r="S14" s="298">
        <f ca="1">COUNTIFS('Defect Dump'!$S$3:$S$10000,$B14,'Defect Dump'!$H$3:$H$10000,"Closed",'Defect Dump'!$I$3:$I$10000,"Minor")+COUNTIFS('Defect Dump'!$S$3:$S$10000,$B14,'Defect Dump'!$H$3:$H$10000,"Closed",'Defect Dump'!$I$3:$I$10000,"Trivial")</f>
        <v>0</v>
      </c>
      <c r="T14" s="298">
        <f t="shared" ca="1" si="24"/>
        <v>1</v>
      </c>
      <c r="U14" s="299" t="b">
        <f t="shared" ca="1" si="25"/>
        <v>1</v>
      </c>
      <c r="V14" s="299" t="b">
        <f t="shared" ca="1" si="26"/>
        <v>1</v>
      </c>
      <c r="W14" s="299" t="b">
        <f t="shared" ca="1" si="27"/>
        <v>1</v>
      </c>
      <c r="X14" s="299" t="b">
        <f t="shared" ca="1" si="28"/>
        <v>1</v>
      </c>
      <c r="Y14" s="299" t="b">
        <f t="shared" ca="1" si="29"/>
        <v>1</v>
      </c>
      <c r="Z14" s="299" t="b">
        <f t="shared" ca="1" si="30"/>
        <v>1</v>
      </c>
      <c r="AA14" s="297">
        <f t="shared" ca="1" si="31"/>
        <v>41803</v>
      </c>
      <c r="AB14" s="300">
        <f t="shared" ca="1" si="32"/>
        <v>6</v>
      </c>
      <c r="AC14" s="300">
        <f t="shared" ca="1" si="33"/>
        <v>19</v>
      </c>
      <c r="AD14" s="300">
        <f t="shared" ca="1" si="34"/>
        <v>1</v>
      </c>
      <c r="AE14" s="300">
        <f t="shared" ca="1" si="35"/>
        <v>1</v>
      </c>
      <c r="AF14" s="300">
        <f t="shared" ca="1" si="36"/>
        <v>18</v>
      </c>
      <c r="AG14" s="300">
        <f t="shared" ca="1" si="37"/>
        <v>1</v>
      </c>
      <c r="AH14" s="300">
        <f t="shared" ca="1" si="38"/>
        <v>2</v>
      </c>
      <c r="AI14" s="300">
        <f t="shared" ca="1" si="39"/>
        <v>3</v>
      </c>
      <c r="AJ14" s="300">
        <f t="shared" ca="1" si="40"/>
        <v>0</v>
      </c>
      <c r="AK14" s="300">
        <f t="shared" ca="1" si="41"/>
        <v>6</v>
      </c>
      <c r="AL14" s="300">
        <f t="shared" ca="1" si="42"/>
        <v>0</v>
      </c>
      <c r="AM14" s="300">
        <f t="shared" ca="1" si="43"/>
        <v>1</v>
      </c>
      <c r="AN14" s="300">
        <f t="shared" ca="1" si="44"/>
        <v>0</v>
      </c>
      <c r="AO14" s="300">
        <f t="shared" ca="1" si="45"/>
        <v>0</v>
      </c>
      <c r="AP14" s="300">
        <f t="shared" ca="1" si="46"/>
        <v>1</v>
      </c>
    </row>
    <row r="15" spans="2:46" ht="21">
      <c r="B15" s="297">
        <f t="shared" ca="1" si="14"/>
        <v>41804</v>
      </c>
      <c r="C15" s="298">
        <f ca="1">COUNTIFS('Defect Dump'!$R$3:$R$10000,$B15,'Defect Dump'!$I$3:$I$10000,"Blocker")</f>
        <v>0</v>
      </c>
      <c r="D15" s="298">
        <f ca="1">COUNTIFS('Defect Dump'!$R$3:$R$10000,$B15,'Defect Dump'!$I$3:$I$10000,"Critical")</f>
        <v>0</v>
      </c>
      <c r="E15" s="298">
        <f ca="1">COUNTIFS('Defect Dump'!$R$3:$R$10000,$B15,'Defect Dump'!$I$3:$I$10000,"Major")</f>
        <v>0</v>
      </c>
      <c r="F15" s="298">
        <f ca="1">COUNTIFS('Defect Dump'!$R$3:$R$10000,$B15,'Defect Dump'!$I$3:$I$10000,"Minor")+COUNTIFS('Defect Dump'!$R$3:$R$10000,$B15,'Defect Dump'!$I$3:$I$10000,"Trivial")</f>
        <v>0</v>
      </c>
      <c r="G15" s="298">
        <f t="shared" ca="1" si="15"/>
        <v>0</v>
      </c>
      <c r="H15" s="299" t="b">
        <f t="shared" ca="1" si="16"/>
        <v>1</v>
      </c>
      <c r="I15" s="299" t="b">
        <f t="shared" ca="1" si="17"/>
        <v>1</v>
      </c>
      <c r="J15" s="299" t="b">
        <f t="shared" ca="1" si="18"/>
        <v>1</v>
      </c>
      <c r="K15" s="299" t="b">
        <f t="shared" ca="1" si="19"/>
        <v>1</v>
      </c>
      <c r="L15" s="299" t="b">
        <f t="shared" ca="1" si="20"/>
        <v>1</v>
      </c>
      <c r="M15" s="299" t="b">
        <f t="shared" ca="1" si="21"/>
        <v>1</v>
      </c>
      <c r="N15" s="299" t="b">
        <f t="shared" ca="1" si="22"/>
        <v>1</v>
      </c>
      <c r="O15" s="297">
        <f t="shared" ca="1" si="23"/>
        <v>41804</v>
      </c>
      <c r="P15" s="298">
        <f ca="1">COUNTIFS('Defect Dump'!$S$3:$S$10000,$B15,'Defect Dump'!$H$3:$H$10000,"Closed",'Defect Dump'!$I$3:$I$10000,"Blocker")</f>
        <v>0</v>
      </c>
      <c r="Q15" s="298">
        <f ca="1">COUNTIFS('Defect Dump'!$S$3:$S$10000,$B15,'Defect Dump'!$H$3:$H$10000,"Closed",'Defect Dump'!$I$3:$I$10000,"Critical")</f>
        <v>0</v>
      </c>
      <c r="R15" s="298">
        <f ca="1">COUNTIFS('Defect Dump'!$S$3:$S$10000,$B15,'Defect Dump'!$H$3:$H$10000,"Closed",'Defect Dump'!$I$3:$I$10000,"Major")</f>
        <v>0</v>
      </c>
      <c r="S15" s="298">
        <f ca="1">COUNTIFS('Defect Dump'!$S$3:$S$10000,$B15,'Defect Dump'!$H$3:$H$10000,"Closed",'Defect Dump'!$I$3:$I$10000,"Minor")+COUNTIFS('Defect Dump'!$S$3:$S$10000,$B15,'Defect Dump'!$H$3:$H$10000,"Closed",'Defect Dump'!$I$3:$I$10000,"Trivial")</f>
        <v>0</v>
      </c>
      <c r="T15" s="298">
        <f t="shared" ca="1" si="24"/>
        <v>0</v>
      </c>
      <c r="U15" s="299" t="b">
        <f t="shared" ca="1" si="25"/>
        <v>1</v>
      </c>
      <c r="V15" s="299" t="b">
        <f t="shared" ca="1" si="26"/>
        <v>1</v>
      </c>
      <c r="W15" s="299" t="b">
        <f t="shared" ca="1" si="27"/>
        <v>1</v>
      </c>
      <c r="X15" s="299" t="b">
        <f t="shared" ca="1" si="28"/>
        <v>1</v>
      </c>
      <c r="Y15" s="299" t="b">
        <f t="shared" ca="1" si="29"/>
        <v>1</v>
      </c>
      <c r="Z15" s="299" t="b">
        <f t="shared" ca="1" si="30"/>
        <v>1</v>
      </c>
      <c r="AA15" s="297">
        <f t="shared" ca="1" si="31"/>
        <v>41804</v>
      </c>
      <c r="AB15" s="300">
        <f t="shared" ca="1" si="32"/>
        <v>0</v>
      </c>
      <c r="AC15" s="300">
        <f t="shared" ca="1" si="33"/>
        <v>19</v>
      </c>
      <c r="AD15" s="300">
        <f t="shared" ca="1" si="34"/>
        <v>0</v>
      </c>
      <c r="AE15" s="300">
        <f t="shared" ca="1" si="35"/>
        <v>1</v>
      </c>
      <c r="AF15" s="300">
        <f t="shared" ca="1" si="36"/>
        <v>18</v>
      </c>
      <c r="AG15" s="300">
        <f t="shared" ca="1" si="37"/>
        <v>0</v>
      </c>
      <c r="AH15" s="300">
        <f t="shared" ca="1" si="38"/>
        <v>0</v>
      </c>
      <c r="AI15" s="300">
        <f t="shared" ca="1" si="39"/>
        <v>0</v>
      </c>
      <c r="AJ15" s="300">
        <f t="shared" ca="1" si="40"/>
        <v>0</v>
      </c>
      <c r="AK15" s="300">
        <f t="shared" ca="1" si="41"/>
        <v>0</v>
      </c>
      <c r="AL15" s="300">
        <f t="shared" ca="1" si="42"/>
        <v>0</v>
      </c>
      <c r="AM15" s="300">
        <f t="shared" ca="1" si="43"/>
        <v>0</v>
      </c>
      <c r="AN15" s="300">
        <f t="shared" ca="1" si="44"/>
        <v>0</v>
      </c>
      <c r="AO15" s="300">
        <f t="shared" ca="1" si="45"/>
        <v>0</v>
      </c>
      <c r="AP15" s="300">
        <f t="shared" ca="1" si="46"/>
        <v>0</v>
      </c>
    </row>
    <row r="16" spans="2:46" ht="21">
      <c r="B16" s="297">
        <f t="shared" ca="1" si="14"/>
        <v>41805</v>
      </c>
      <c r="C16" s="298">
        <f ca="1">COUNTIFS('Defect Dump'!$R$3:$R$10000,$B16,'Defect Dump'!$I$3:$I$10000,"Blocker")</f>
        <v>0</v>
      </c>
      <c r="D16" s="298">
        <f ca="1">COUNTIFS('Defect Dump'!$R$3:$R$10000,$B16,'Defect Dump'!$I$3:$I$10000,"Critical")</f>
        <v>0</v>
      </c>
      <c r="E16" s="298">
        <f ca="1">COUNTIFS('Defect Dump'!$R$3:$R$10000,$B16,'Defect Dump'!$I$3:$I$10000,"Major")</f>
        <v>0</v>
      </c>
      <c r="F16" s="298">
        <f ca="1">COUNTIFS('Defect Dump'!$R$3:$R$10000,$B16,'Defect Dump'!$I$3:$I$10000,"Minor")+COUNTIFS('Defect Dump'!$R$3:$R$10000,$B16,'Defect Dump'!$I$3:$I$10000,"Trivial")</f>
        <v>0</v>
      </c>
      <c r="G16" s="298">
        <f t="shared" ca="1" si="15"/>
        <v>0</v>
      </c>
      <c r="H16" s="299" t="b">
        <f t="shared" ca="1" si="16"/>
        <v>1</v>
      </c>
      <c r="I16" s="299" t="b">
        <f t="shared" ca="1" si="17"/>
        <v>1</v>
      </c>
      <c r="J16" s="299" t="b">
        <f t="shared" ca="1" si="18"/>
        <v>1</v>
      </c>
      <c r="K16" s="299" t="b">
        <f t="shared" ca="1" si="19"/>
        <v>1</v>
      </c>
      <c r="L16" s="299" t="b">
        <f t="shared" ca="1" si="20"/>
        <v>1</v>
      </c>
      <c r="M16" s="299" t="b">
        <f t="shared" ca="1" si="21"/>
        <v>1</v>
      </c>
      <c r="N16" s="299" t="b">
        <f t="shared" ca="1" si="22"/>
        <v>1</v>
      </c>
      <c r="O16" s="297">
        <f t="shared" ca="1" si="23"/>
        <v>41805</v>
      </c>
      <c r="P16" s="298">
        <f ca="1">COUNTIFS('Defect Dump'!$S$3:$S$10000,$B16,'Defect Dump'!$H$3:$H$10000,"Closed",'Defect Dump'!$I$3:$I$10000,"Blocker")</f>
        <v>0</v>
      </c>
      <c r="Q16" s="298">
        <f ca="1">COUNTIFS('Defect Dump'!$S$3:$S$10000,$B16,'Defect Dump'!$H$3:$H$10000,"Closed",'Defect Dump'!$I$3:$I$10000,"Critical")</f>
        <v>1</v>
      </c>
      <c r="R16" s="298">
        <f ca="1">COUNTIFS('Defect Dump'!$S$3:$S$10000,$B16,'Defect Dump'!$H$3:$H$10000,"Closed",'Defect Dump'!$I$3:$I$10000,"Major")</f>
        <v>0</v>
      </c>
      <c r="S16" s="298">
        <f ca="1">COUNTIFS('Defect Dump'!$S$3:$S$10000,$B16,'Defect Dump'!$H$3:$H$10000,"Closed",'Defect Dump'!$I$3:$I$10000,"Minor")+COUNTIFS('Defect Dump'!$S$3:$S$10000,$B16,'Defect Dump'!$H$3:$H$10000,"Closed",'Defect Dump'!$I$3:$I$10000,"Trivial")</f>
        <v>0</v>
      </c>
      <c r="T16" s="298">
        <f t="shared" ca="1" si="24"/>
        <v>1</v>
      </c>
      <c r="U16" s="299" t="b">
        <f t="shared" ca="1" si="25"/>
        <v>1</v>
      </c>
      <c r="V16" s="299" t="b">
        <f t="shared" ca="1" si="26"/>
        <v>1</v>
      </c>
      <c r="W16" s="299" t="b">
        <f t="shared" ca="1" si="27"/>
        <v>1</v>
      </c>
      <c r="X16" s="299" t="b">
        <f t="shared" ca="1" si="28"/>
        <v>1</v>
      </c>
      <c r="Y16" s="299" t="b">
        <f t="shared" ca="1" si="29"/>
        <v>1</v>
      </c>
      <c r="Z16" s="299" t="b">
        <f t="shared" ca="1" si="30"/>
        <v>1</v>
      </c>
      <c r="AA16" s="297">
        <f t="shared" ca="1" si="31"/>
        <v>41805</v>
      </c>
      <c r="AB16" s="300">
        <f t="shared" ca="1" si="32"/>
        <v>0</v>
      </c>
      <c r="AC16" s="300">
        <f t="shared" ca="1" si="33"/>
        <v>19</v>
      </c>
      <c r="AD16" s="300">
        <f t="shared" ca="1" si="34"/>
        <v>1</v>
      </c>
      <c r="AE16" s="300">
        <f t="shared" ca="1" si="35"/>
        <v>2</v>
      </c>
      <c r="AF16" s="300">
        <f t="shared" ca="1" si="36"/>
        <v>17</v>
      </c>
      <c r="AG16" s="300">
        <f t="shared" ca="1" si="37"/>
        <v>0</v>
      </c>
      <c r="AH16" s="300">
        <f t="shared" ca="1" si="38"/>
        <v>0</v>
      </c>
      <c r="AI16" s="300">
        <f t="shared" ca="1" si="39"/>
        <v>0</v>
      </c>
      <c r="AJ16" s="300">
        <f t="shared" ca="1" si="40"/>
        <v>0</v>
      </c>
      <c r="AK16" s="300">
        <f t="shared" ca="1" si="41"/>
        <v>0</v>
      </c>
      <c r="AL16" s="300">
        <f t="shared" ca="1" si="42"/>
        <v>0</v>
      </c>
      <c r="AM16" s="300">
        <f t="shared" ca="1" si="43"/>
        <v>1</v>
      </c>
      <c r="AN16" s="300">
        <f t="shared" ca="1" si="44"/>
        <v>0</v>
      </c>
      <c r="AO16" s="300">
        <f t="shared" ca="1" si="45"/>
        <v>0</v>
      </c>
      <c r="AP16" s="300">
        <f t="shared" ca="1" si="46"/>
        <v>1</v>
      </c>
    </row>
    <row r="17" spans="2:42" ht="21">
      <c r="B17" s="297">
        <f t="shared" ca="1" si="14"/>
        <v>41806</v>
      </c>
      <c r="C17" s="298">
        <f ca="1">COUNTIFS('Defect Dump'!$R$3:$R$10000,$B17,'Defect Dump'!$I$3:$I$10000,"Blocker")</f>
        <v>0</v>
      </c>
      <c r="D17" s="298">
        <f ca="1">COUNTIFS('Defect Dump'!$R$3:$R$10000,$B17,'Defect Dump'!$I$3:$I$10000,"Critical")</f>
        <v>7</v>
      </c>
      <c r="E17" s="298">
        <f ca="1">COUNTIFS('Defect Dump'!$R$3:$R$10000,$B17,'Defect Dump'!$I$3:$I$10000,"Major")</f>
        <v>24</v>
      </c>
      <c r="F17" s="298">
        <f ca="1">COUNTIFS('Defect Dump'!$R$3:$R$10000,$B17,'Defect Dump'!$I$3:$I$10000,"Minor")+COUNTIFS('Defect Dump'!$R$3:$R$10000,$B17,'Defect Dump'!$I$3:$I$10000,"Trivial")</f>
        <v>4</v>
      </c>
      <c r="G17" s="298">
        <f t="shared" ca="1" si="15"/>
        <v>35</v>
      </c>
      <c r="H17" s="299" t="b">
        <f t="shared" ca="1" si="16"/>
        <v>1</v>
      </c>
      <c r="I17" s="299" t="b">
        <f t="shared" ca="1" si="17"/>
        <v>1</v>
      </c>
      <c r="J17" s="299" t="b">
        <f t="shared" ca="1" si="18"/>
        <v>1</v>
      </c>
      <c r="K17" s="299" t="b">
        <f t="shared" ca="1" si="19"/>
        <v>1</v>
      </c>
      <c r="L17" s="299" t="b">
        <f t="shared" ca="1" si="20"/>
        <v>1</v>
      </c>
      <c r="M17" s="299" t="b">
        <f t="shared" ca="1" si="21"/>
        <v>1</v>
      </c>
      <c r="N17" s="299" t="b">
        <f t="shared" ca="1" si="22"/>
        <v>1</v>
      </c>
      <c r="O17" s="297">
        <f t="shared" ca="1" si="23"/>
        <v>41806</v>
      </c>
      <c r="P17" s="298">
        <f ca="1">COUNTIFS('Defect Dump'!$S$3:$S$10000,$B17,'Defect Dump'!$H$3:$H$10000,"Closed",'Defect Dump'!$I$3:$I$10000,"Blocker")</f>
        <v>0</v>
      </c>
      <c r="Q17" s="298">
        <f ca="1">COUNTIFS('Defect Dump'!$S$3:$S$10000,$B17,'Defect Dump'!$H$3:$H$10000,"Closed",'Defect Dump'!$I$3:$I$10000,"Critical")</f>
        <v>1</v>
      </c>
      <c r="R17" s="298">
        <f ca="1">COUNTIFS('Defect Dump'!$S$3:$S$10000,$B17,'Defect Dump'!$H$3:$H$10000,"Closed",'Defect Dump'!$I$3:$I$10000,"Major")</f>
        <v>0</v>
      </c>
      <c r="S17" s="298">
        <f ca="1">COUNTIFS('Defect Dump'!$S$3:$S$10000,$B17,'Defect Dump'!$H$3:$H$10000,"Closed",'Defect Dump'!$I$3:$I$10000,"Minor")+COUNTIFS('Defect Dump'!$S$3:$S$10000,$B17,'Defect Dump'!$H$3:$H$10000,"Closed",'Defect Dump'!$I$3:$I$10000,"Trivial")</f>
        <v>1</v>
      </c>
      <c r="T17" s="298">
        <f t="shared" ca="1" si="24"/>
        <v>2</v>
      </c>
      <c r="U17" s="299" t="b">
        <f t="shared" ca="1" si="25"/>
        <v>1</v>
      </c>
      <c r="V17" s="299" t="b">
        <f t="shared" ca="1" si="26"/>
        <v>1</v>
      </c>
      <c r="W17" s="299" t="b">
        <f t="shared" ca="1" si="27"/>
        <v>1</v>
      </c>
      <c r="X17" s="299" t="b">
        <f t="shared" ca="1" si="28"/>
        <v>1</v>
      </c>
      <c r="Y17" s="299" t="b">
        <f t="shared" ca="1" si="29"/>
        <v>1</v>
      </c>
      <c r="Z17" s="299" t="b">
        <f t="shared" ca="1" si="30"/>
        <v>1</v>
      </c>
      <c r="AA17" s="297">
        <f t="shared" ca="1" si="31"/>
        <v>41806</v>
      </c>
      <c r="AB17" s="300">
        <f t="shared" ca="1" si="32"/>
        <v>35</v>
      </c>
      <c r="AC17" s="300">
        <f t="shared" ca="1" si="33"/>
        <v>54</v>
      </c>
      <c r="AD17" s="300">
        <f t="shared" ca="1" si="34"/>
        <v>2</v>
      </c>
      <c r="AE17" s="300">
        <f t="shared" ca="1" si="35"/>
        <v>4</v>
      </c>
      <c r="AF17" s="300">
        <f t="shared" ca="1" si="36"/>
        <v>50</v>
      </c>
      <c r="AG17" s="300">
        <f t="shared" ca="1" si="37"/>
        <v>0</v>
      </c>
      <c r="AH17" s="300">
        <f t="shared" ca="1" si="38"/>
        <v>7</v>
      </c>
      <c r="AI17" s="300">
        <f t="shared" ca="1" si="39"/>
        <v>24</v>
      </c>
      <c r="AJ17" s="300">
        <f t="shared" ca="1" si="40"/>
        <v>4</v>
      </c>
      <c r="AK17" s="300">
        <f t="shared" ca="1" si="41"/>
        <v>35</v>
      </c>
      <c r="AL17" s="300">
        <f t="shared" ca="1" si="42"/>
        <v>0</v>
      </c>
      <c r="AM17" s="300">
        <f t="shared" ca="1" si="43"/>
        <v>1</v>
      </c>
      <c r="AN17" s="300">
        <f t="shared" ca="1" si="44"/>
        <v>0</v>
      </c>
      <c r="AO17" s="300">
        <f t="shared" ca="1" si="45"/>
        <v>1</v>
      </c>
      <c r="AP17" s="300">
        <f t="shared" ca="1" si="46"/>
        <v>2</v>
      </c>
    </row>
    <row r="18" spans="2:42" ht="21">
      <c r="B18" s="297">
        <f t="shared" ca="1" si="14"/>
        <v>41807</v>
      </c>
      <c r="C18" s="298">
        <f ca="1">COUNTIFS('Defect Dump'!$R$3:$R$10000,$B18,'Defect Dump'!$I$3:$I$10000,"Blocker")</f>
        <v>2</v>
      </c>
      <c r="D18" s="298">
        <f ca="1">COUNTIFS('Defect Dump'!$R$3:$R$10000,$B18,'Defect Dump'!$I$3:$I$10000,"Critical")</f>
        <v>10</v>
      </c>
      <c r="E18" s="298">
        <f ca="1">COUNTIFS('Defect Dump'!$R$3:$R$10000,$B18,'Defect Dump'!$I$3:$I$10000,"Major")</f>
        <v>16</v>
      </c>
      <c r="F18" s="298">
        <f ca="1">COUNTIFS('Defect Dump'!$R$3:$R$10000,$B18,'Defect Dump'!$I$3:$I$10000,"Minor")+COUNTIFS('Defect Dump'!$R$3:$R$10000,$B18,'Defect Dump'!$I$3:$I$10000,"Trivial")</f>
        <v>8</v>
      </c>
      <c r="G18" s="298">
        <f t="shared" ca="1" si="15"/>
        <v>36</v>
      </c>
      <c r="H18" s="299" t="b">
        <f t="shared" ca="1" si="16"/>
        <v>1</v>
      </c>
      <c r="I18" s="299" t="b">
        <f t="shared" ca="1" si="17"/>
        <v>1</v>
      </c>
      <c r="J18" s="299" t="b">
        <f t="shared" ca="1" si="18"/>
        <v>1</v>
      </c>
      <c r="K18" s="299" t="b">
        <f t="shared" ca="1" si="19"/>
        <v>1</v>
      </c>
      <c r="L18" s="299" t="b">
        <f t="shared" ca="1" si="20"/>
        <v>1</v>
      </c>
      <c r="M18" s="299" t="b">
        <f t="shared" ca="1" si="21"/>
        <v>1</v>
      </c>
      <c r="N18" s="299" t="b">
        <f t="shared" ca="1" si="22"/>
        <v>1</v>
      </c>
      <c r="O18" s="297">
        <f t="shared" ca="1" si="23"/>
        <v>41807</v>
      </c>
      <c r="P18" s="298">
        <f ca="1">COUNTIFS('Defect Dump'!$S$3:$S$10000,$B18,'Defect Dump'!$H$3:$H$10000,"Closed",'Defect Dump'!$I$3:$I$10000,"Blocker")</f>
        <v>1</v>
      </c>
      <c r="Q18" s="298">
        <f ca="1">COUNTIFS('Defect Dump'!$S$3:$S$10000,$B18,'Defect Dump'!$H$3:$H$10000,"Closed",'Defect Dump'!$I$3:$I$10000,"Critical")</f>
        <v>1</v>
      </c>
      <c r="R18" s="298">
        <f ca="1">COUNTIFS('Defect Dump'!$S$3:$S$10000,$B18,'Defect Dump'!$H$3:$H$10000,"Closed",'Defect Dump'!$I$3:$I$10000,"Major")</f>
        <v>0</v>
      </c>
      <c r="S18" s="298">
        <f ca="1">COUNTIFS('Defect Dump'!$S$3:$S$10000,$B18,'Defect Dump'!$H$3:$H$10000,"Closed",'Defect Dump'!$I$3:$I$10000,"Minor")+COUNTIFS('Defect Dump'!$S$3:$S$10000,$B18,'Defect Dump'!$H$3:$H$10000,"Closed",'Defect Dump'!$I$3:$I$10000,"Trivial")</f>
        <v>0</v>
      </c>
      <c r="T18" s="298">
        <f t="shared" ca="1" si="24"/>
        <v>2</v>
      </c>
      <c r="U18" s="299" t="b">
        <f t="shared" ca="1" si="25"/>
        <v>1</v>
      </c>
      <c r="V18" s="299" t="b">
        <f t="shared" ca="1" si="26"/>
        <v>1</v>
      </c>
      <c r="W18" s="299" t="b">
        <f t="shared" ca="1" si="27"/>
        <v>1</v>
      </c>
      <c r="X18" s="299" t="b">
        <f t="shared" ca="1" si="28"/>
        <v>1</v>
      </c>
      <c r="Y18" s="299" t="b">
        <f t="shared" ca="1" si="29"/>
        <v>1</v>
      </c>
      <c r="Z18" s="299" t="b">
        <f t="shared" ca="1" si="30"/>
        <v>1</v>
      </c>
      <c r="AA18" s="297">
        <f t="shared" ca="1" si="31"/>
        <v>41807</v>
      </c>
      <c r="AB18" s="300">
        <f t="shared" ca="1" si="32"/>
        <v>36</v>
      </c>
      <c r="AC18" s="300">
        <f t="shared" ca="1" si="33"/>
        <v>90</v>
      </c>
      <c r="AD18" s="300">
        <f t="shared" ca="1" si="34"/>
        <v>2</v>
      </c>
      <c r="AE18" s="300">
        <f t="shared" ca="1" si="35"/>
        <v>6</v>
      </c>
      <c r="AF18" s="300">
        <f t="shared" ca="1" si="36"/>
        <v>84</v>
      </c>
      <c r="AG18" s="300">
        <f t="shared" ca="1" si="37"/>
        <v>2</v>
      </c>
      <c r="AH18" s="300">
        <f t="shared" ca="1" si="38"/>
        <v>10</v>
      </c>
      <c r="AI18" s="300">
        <f t="shared" ca="1" si="39"/>
        <v>16</v>
      </c>
      <c r="AJ18" s="300">
        <f t="shared" ca="1" si="40"/>
        <v>8</v>
      </c>
      <c r="AK18" s="300">
        <f t="shared" ca="1" si="41"/>
        <v>36</v>
      </c>
      <c r="AL18" s="300">
        <f t="shared" ca="1" si="42"/>
        <v>1</v>
      </c>
      <c r="AM18" s="300">
        <f t="shared" ca="1" si="43"/>
        <v>1</v>
      </c>
      <c r="AN18" s="300">
        <f t="shared" ca="1" si="44"/>
        <v>0</v>
      </c>
      <c r="AO18" s="300">
        <f t="shared" ca="1" si="45"/>
        <v>0</v>
      </c>
      <c r="AP18" s="300">
        <f t="shared" ca="1" si="46"/>
        <v>2</v>
      </c>
    </row>
    <row r="19" spans="2:42" ht="21">
      <c r="B19" s="297">
        <f t="shared" ca="1" si="14"/>
        <v>41808</v>
      </c>
      <c r="C19" s="298">
        <f ca="1">COUNTIFS('Defect Dump'!$R$3:$R$10000,$B19,'Defect Dump'!$I$3:$I$10000,"Blocker")</f>
        <v>1</v>
      </c>
      <c r="D19" s="298">
        <f ca="1">COUNTIFS('Defect Dump'!$R$3:$R$10000,$B19,'Defect Dump'!$I$3:$I$10000,"Critical")</f>
        <v>1</v>
      </c>
      <c r="E19" s="298">
        <f ca="1">COUNTIFS('Defect Dump'!$R$3:$R$10000,$B19,'Defect Dump'!$I$3:$I$10000,"Major")</f>
        <v>7</v>
      </c>
      <c r="F19" s="298">
        <f ca="1">COUNTIFS('Defect Dump'!$R$3:$R$10000,$B19,'Defect Dump'!$I$3:$I$10000,"Minor")+COUNTIFS('Defect Dump'!$R$3:$R$10000,$B19,'Defect Dump'!$I$3:$I$10000,"Trivial")</f>
        <v>2</v>
      </c>
      <c r="G19" s="298">
        <f t="shared" ca="1" si="15"/>
        <v>11</v>
      </c>
      <c r="H19" s="299" t="b">
        <f t="shared" ca="1" si="16"/>
        <v>1</v>
      </c>
      <c r="I19" s="299" t="b">
        <f t="shared" ca="1" si="17"/>
        <v>1</v>
      </c>
      <c r="J19" s="299" t="b">
        <f t="shared" ca="1" si="18"/>
        <v>1</v>
      </c>
      <c r="K19" s="299" t="b">
        <f t="shared" ca="1" si="19"/>
        <v>1</v>
      </c>
      <c r="L19" s="299" t="b">
        <f t="shared" ca="1" si="20"/>
        <v>1</v>
      </c>
      <c r="M19" s="299" t="b">
        <f t="shared" ca="1" si="21"/>
        <v>1</v>
      </c>
      <c r="N19" s="299" t="b">
        <f t="shared" ca="1" si="22"/>
        <v>1</v>
      </c>
      <c r="O19" s="297">
        <f t="shared" ca="1" si="23"/>
        <v>41808</v>
      </c>
      <c r="P19" s="298">
        <f ca="1">COUNTIFS('Defect Dump'!$S$3:$S$10000,$B19,'Defect Dump'!$H$3:$H$10000,"Closed",'Defect Dump'!$I$3:$I$10000,"Blocker")</f>
        <v>0</v>
      </c>
      <c r="Q19" s="298">
        <f ca="1">COUNTIFS('Defect Dump'!$S$3:$S$10000,$B19,'Defect Dump'!$H$3:$H$10000,"Closed",'Defect Dump'!$I$3:$I$10000,"Critical")</f>
        <v>2</v>
      </c>
      <c r="R19" s="298">
        <f ca="1">COUNTIFS('Defect Dump'!$S$3:$S$10000,$B19,'Defect Dump'!$H$3:$H$10000,"Closed",'Defect Dump'!$I$3:$I$10000,"Major")</f>
        <v>1</v>
      </c>
      <c r="S19" s="298">
        <f ca="1">COUNTIFS('Defect Dump'!$S$3:$S$10000,$B19,'Defect Dump'!$H$3:$H$10000,"Closed",'Defect Dump'!$I$3:$I$10000,"Minor")+COUNTIFS('Defect Dump'!$S$3:$S$10000,$B19,'Defect Dump'!$H$3:$H$10000,"Closed",'Defect Dump'!$I$3:$I$10000,"Trivial")</f>
        <v>1</v>
      </c>
      <c r="T19" s="298">
        <f t="shared" ca="1" si="24"/>
        <v>4</v>
      </c>
      <c r="U19" s="299" t="b">
        <f t="shared" ca="1" si="25"/>
        <v>1</v>
      </c>
      <c r="V19" s="299" t="b">
        <f t="shared" ca="1" si="26"/>
        <v>1</v>
      </c>
      <c r="W19" s="299" t="b">
        <f t="shared" ca="1" si="27"/>
        <v>1</v>
      </c>
      <c r="X19" s="299" t="b">
        <f t="shared" ca="1" si="28"/>
        <v>1</v>
      </c>
      <c r="Y19" s="299" t="b">
        <f t="shared" ca="1" si="29"/>
        <v>1</v>
      </c>
      <c r="Z19" s="299" t="b">
        <f t="shared" ca="1" si="30"/>
        <v>1</v>
      </c>
      <c r="AA19" s="297">
        <f t="shared" ca="1" si="31"/>
        <v>41808</v>
      </c>
      <c r="AB19" s="300">
        <f t="shared" ca="1" si="32"/>
        <v>11</v>
      </c>
      <c r="AC19" s="300">
        <f t="shared" ca="1" si="33"/>
        <v>101</v>
      </c>
      <c r="AD19" s="300">
        <f t="shared" ca="1" si="34"/>
        <v>4</v>
      </c>
      <c r="AE19" s="300">
        <f t="shared" ca="1" si="35"/>
        <v>10</v>
      </c>
      <c r="AF19" s="300">
        <f t="shared" ca="1" si="36"/>
        <v>91</v>
      </c>
      <c r="AG19" s="300">
        <f t="shared" ca="1" si="37"/>
        <v>1</v>
      </c>
      <c r="AH19" s="300">
        <f t="shared" ca="1" si="38"/>
        <v>1</v>
      </c>
      <c r="AI19" s="300">
        <f t="shared" ca="1" si="39"/>
        <v>7</v>
      </c>
      <c r="AJ19" s="300">
        <f t="shared" ca="1" si="40"/>
        <v>2</v>
      </c>
      <c r="AK19" s="300">
        <f t="shared" ca="1" si="41"/>
        <v>11</v>
      </c>
      <c r="AL19" s="300">
        <f t="shared" ca="1" si="42"/>
        <v>0</v>
      </c>
      <c r="AM19" s="300">
        <f t="shared" ca="1" si="43"/>
        <v>2</v>
      </c>
      <c r="AN19" s="300">
        <f t="shared" ca="1" si="44"/>
        <v>1</v>
      </c>
      <c r="AO19" s="300">
        <f t="shared" ca="1" si="45"/>
        <v>1</v>
      </c>
      <c r="AP19" s="300">
        <f t="shared" ca="1" si="46"/>
        <v>4</v>
      </c>
    </row>
    <row r="20" spans="2:42" ht="21">
      <c r="B20" s="297">
        <f t="shared" ca="1" si="14"/>
        <v>41809</v>
      </c>
      <c r="C20" s="298">
        <f ca="1">COUNTIFS('Defect Dump'!$R$3:$R$10000,$B20,'Defect Dump'!$I$3:$I$10000,"Blocker")</f>
        <v>0</v>
      </c>
      <c r="D20" s="298">
        <f ca="1">COUNTIFS('Defect Dump'!$R$3:$R$10000,$B20,'Defect Dump'!$I$3:$I$10000,"Critical")</f>
        <v>4</v>
      </c>
      <c r="E20" s="298">
        <f ca="1">COUNTIFS('Defect Dump'!$R$3:$R$10000,$B20,'Defect Dump'!$I$3:$I$10000,"Major")</f>
        <v>14</v>
      </c>
      <c r="F20" s="298">
        <f ca="1">COUNTIFS('Defect Dump'!$R$3:$R$10000,$B20,'Defect Dump'!$I$3:$I$10000,"Minor")+COUNTIFS('Defect Dump'!$R$3:$R$10000,$B20,'Defect Dump'!$I$3:$I$10000,"Trivial")</f>
        <v>16</v>
      </c>
      <c r="G20" s="298">
        <f t="shared" ca="1" si="15"/>
        <v>34</v>
      </c>
      <c r="H20" s="299" t="b">
        <f t="shared" ca="1" si="16"/>
        <v>1</v>
      </c>
      <c r="I20" s="299" t="b">
        <f t="shared" ca="1" si="17"/>
        <v>1</v>
      </c>
      <c r="J20" s="299" t="b">
        <f t="shared" ca="1" si="18"/>
        <v>1</v>
      </c>
      <c r="K20" s="299" t="b">
        <f t="shared" ca="1" si="19"/>
        <v>1</v>
      </c>
      <c r="L20" s="299" t="b">
        <f t="shared" ca="1" si="20"/>
        <v>1</v>
      </c>
      <c r="M20" s="299" t="b">
        <f t="shared" ca="1" si="21"/>
        <v>1</v>
      </c>
      <c r="N20" s="299" t="b">
        <f t="shared" ca="1" si="22"/>
        <v>1</v>
      </c>
      <c r="O20" s="297">
        <f t="shared" ca="1" si="23"/>
        <v>41809</v>
      </c>
      <c r="P20" s="298">
        <f ca="1">COUNTIFS('Defect Dump'!$S$3:$S$10000,$B20,'Defect Dump'!$H$3:$H$10000,"Closed",'Defect Dump'!$I$3:$I$10000,"Blocker")</f>
        <v>0</v>
      </c>
      <c r="Q20" s="298">
        <f ca="1">COUNTIFS('Defect Dump'!$S$3:$S$10000,$B20,'Defect Dump'!$H$3:$H$10000,"Closed",'Defect Dump'!$I$3:$I$10000,"Critical")</f>
        <v>0</v>
      </c>
      <c r="R20" s="298">
        <f ca="1">COUNTIFS('Defect Dump'!$S$3:$S$10000,$B20,'Defect Dump'!$H$3:$H$10000,"Closed",'Defect Dump'!$I$3:$I$10000,"Major")</f>
        <v>1</v>
      </c>
      <c r="S20" s="298">
        <f ca="1">COUNTIFS('Defect Dump'!$S$3:$S$10000,$B20,'Defect Dump'!$H$3:$H$10000,"Closed",'Defect Dump'!$I$3:$I$10000,"Minor")+COUNTIFS('Defect Dump'!$S$3:$S$10000,$B20,'Defect Dump'!$H$3:$H$10000,"Closed",'Defect Dump'!$I$3:$I$10000,"Trivial")</f>
        <v>1</v>
      </c>
      <c r="T20" s="298">
        <f t="shared" ca="1" si="24"/>
        <v>2</v>
      </c>
      <c r="U20" s="299" t="b">
        <f t="shared" ca="1" si="25"/>
        <v>1</v>
      </c>
      <c r="V20" s="299" t="b">
        <f t="shared" ca="1" si="26"/>
        <v>1</v>
      </c>
      <c r="W20" s="299" t="b">
        <f t="shared" ca="1" si="27"/>
        <v>1</v>
      </c>
      <c r="X20" s="299" t="b">
        <f t="shared" ca="1" si="28"/>
        <v>1</v>
      </c>
      <c r="Y20" s="299" t="b">
        <f t="shared" ca="1" si="29"/>
        <v>1</v>
      </c>
      <c r="Z20" s="299" t="b">
        <f t="shared" ca="1" si="30"/>
        <v>1</v>
      </c>
      <c r="AA20" s="297">
        <f t="shared" ca="1" si="31"/>
        <v>41809</v>
      </c>
      <c r="AB20" s="300">
        <f t="shared" ca="1" si="32"/>
        <v>34</v>
      </c>
      <c r="AC20" s="300">
        <f t="shared" ca="1" si="33"/>
        <v>135</v>
      </c>
      <c r="AD20" s="300">
        <f t="shared" ca="1" si="34"/>
        <v>2</v>
      </c>
      <c r="AE20" s="300">
        <f t="shared" ca="1" si="35"/>
        <v>12</v>
      </c>
      <c r="AF20" s="300">
        <f t="shared" ca="1" si="36"/>
        <v>123</v>
      </c>
      <c r="AG20" s="300">
        <f t="shared" ca="1" si="37"/>
        <v>0</v>
      </c>
      <c r="AH20" s="300">
        <f t="shared" ca="1" si="38"/>
        <v>4</v>
      </c>
      <c r="AI20" s="300">
        <f t="shared" ca="1" si="39"/>
        <v>14</v>
      </c>
      <c r="AJ20" s="300">
        <f t="shared" ca="1" si="40"/>
        <v>16</v>
      </c>
      <c r="AK20" s="300">
        <f t="shared" ca="1" si="41"/>
        <v>34</v>
      </c>
      <c r="AL20" s="300">
        <f t="shared" ca="1" si="42"/>
        <v>0</v>
      </c>
      <c r="AM20" s="300">
        <f t="shared" ca="1" si="43"/>
        <v>0</v>
      </c>
      <c r="AN20" s="300">
        <f t="shared" ca="1" si="44"/>
        <v>1</v>
      </c>
      <c r="AO20" s="300">
        <f t="shared" ca="1" si="45"/>
        <v>1</v>
      </c>
      <c r="AP20" s="300">
        <f t="shared" ca="1" si="46"/>
        <v>2</v>
      </c>
    </row>
    <row r="21" spans="2:42" ht="21">
      <c r="B21" s="297">
        <f t="shared" ca="1" si="14"/>
        <v>41810</v>
      </c>
      <c r="C21" s="298">
        <f ca="1">COUNTIFS('Defect Dump'!$R$3:$R$10000,$B21,'Defect Dump'!$I$3:$I$10000,"Blocker")</f>
        <v>0</v>
      </c>
      <c r="D21" s="298">
        <f ca="1">COUNTIFS('Defect Dump'!$R$3:$R$10000,$B21,'Defect Dump'!$I$3:$I$10000,"Critical")</f>
        <v>4</v>
      </c>
      <c r="E21" s="298">
        <f ca="1">COUNTIFS('Defect Dump'!$R$3:$R$10000,$B21,'Defect Dump'!$I$3:$I$10000,"Major")</f>
        <v>16</v>
      </c>
      <c r="F21" s="298">
        <f ca="1">COUNTIFS('Defect Dump'!$R$3:$R$10000,$B21,'Defect Dump'!$I$3:$I$10000,"Minor")+COUNTIFS('Defect Dump'!$R$3:$R$10000,$B21,'Defect Dump'!$I$3:$I$10000,"Trivial")</f>
        <v>21</v>
      </c>
      <c r="G21" s="298">
        <f t="shared" ca="1" si="15"/>
        <v>41</v>
      </c>
      <c r="H21" s="299" t="b">
        <f t="shared" ca="1" si="16"/>
        <v>1</v>
      </c>
      <c r="I21" s="299" t="b">
        <f t="shared" ca="1" si="17"/>
        <v>1</v>
      </c>
      <c r="J21" s="299" t="b">
        <f t="shared" ca="1" si="18"/>
        <v>1</v>
      </c>
      <c r="K21" s="299" t="b">
        <f t="shared" ca="1" si="19"/>
        <v>1</v>
      </c>
      <c r="L21" s="299" t="b">
        <f t="shared" ca="1" si="20"/>
        <v>1</v>
      </c>
      <c r="M21" s="299" t="b">
        <f t="shared" ca="1" si="21"/>
        <v>1</v>
      </c>
      <c r="N21" s="299" t="b">
        <f t="shared" ca="1" si="22"/>
        <v>1</v>
      </c>
      <c r="O21" s="297">
        <f t="shared" ca="1" si="23"/>
        <v>41810</v>
      </c>
      <c r="P21" s="298">
        <f ca="1">COUNTIFS('Defect Dump'!$S$3:$S$10000,$B21,'Defect Dump'!$H$3:$H$10000,"Closed",'Defect Dump'!$I$3:$I$10000,"Blocker")</f>
        <v>0</v>
      </c>
      <c r="Q21" s="298">
        <f ca="1">COUNTIFS('Defect Dump'!$S$3:$S$10000,$B21,'Defect Dump'!$H$3:$H$10000,"Closed",'Defect Dump'!$I$3:$I$10000,"Critical")</f>
        <v>1</v>
      </c>
      <c r="R21" s="298">
        <f ca="1">COUNTIFS('Defect Dump'!$S$3:$S$10000,$B21,'Defect Dump'!$H$3:$H$10000,"Closed",'Defect Dump'!$I$3:$I$10000,"Major")</f>
        <v>1</v>
      </c>
      <c r="S21" s="298">
        <f ca="1">COUNTIFS('Defect Dump'!$S$3:$S$10000,$B21,'Defect Dump'!$H$3:$H$10000,"Closed",'Defect Dump'!$I$3:$I$10000,"Minor")+COUNTIFS('Defect Dump'!$S$3:$S$10000,$B21,'Defect Dump'!$H$3:$H$10000,"Closed",'Defect Dump'!$I$3:$I$10000,"Trivial")</f>
        <v>0</v>
      </c>
      <c r="T21" s="298">
        <f t="shared" ca="1" si="24"/>
        <v>2</v>
      </c>
      <c r="U21" s="299" t="b">
        <f t="shared" ca="1" si="25"/>
        <v>1</v>
      </c>
      <c r="V21" s="299" t="b">
        <f t="shared" ca="1" si="26"/>
        <v>1</v>
      </c>
      <c r="W21" s="299" t="b">
        <f t="shared" ca="1" si="27"/>
        <v>1</v>
      </c>
      <c r="X21" s="299" t="b">
        <f t="shared" ca="1" si="28"/>
        <v>1</v>
      </c>
      <c r="Y21" s="299" t="b">
        <f t="shared" ca="1" si="29"/>
        <v>1</v>
      </c>
      <c r="Z21" s="299" t="b">
        <f t="shared" ca="1" si="30"/>
        <v>1</v>
      </c>
      <c r="AA21" s="297">
        <f t="shared" ca="1" si="31"/>
        <v>41810</v>
      </c>
      <c r="AB21" s="300">
        <f t="shared" ca="1" si="32"/>
        <v>41</v>
      </c>
      <c r="AC21" s="300">
        <f t="shared" ca="1" si="33"/>
        <v>176</v>
      </c>
      <c r="AD21" s="300">
        <f t="shared" ca="1" si="34"/>
        <v>2</v>
      </c>
      <c r="AE21" s="300">
        <f t="shared" ca="1" si="35"/>
        <v>14</v>
      </c>
      <c r="AF21" s="300">
        <f t="shared" ca="1" si="36"/>
        <v>162</v>
      </c>
      <c r="AG21" s="300">
        <f t="shared" ca="1" si="37"/>
        <v>0</v>
      </c>
      <c r="AH21" s="300">
        <f t="shared" ca="1" si="38"/>
        <v>4</v>
      </c>
      <c r="AI21" s="300">
        <f t="shared" ca="1" si="39"/>
        <v>16</v>
      </c>
      <c r="AJ21" s="300">
        <f t="shared" ca="1" si="40"/>
        <v>21</v>
      </c>
      <c r="AK21" s="300">
        <f t="shared" ca="1" si="41"/>
        <v>41</v>
      </c>
      <c r="AL21" s="300">
        <f t="shared" ca="1" si="42"/>
        <v>0</v>
      </c>
      <c r="AM21" s="300">
        <f t="shared" ca="1" si="43"/>
        <v>1</v>
      </c>
      <c r="AN21" s="300">
        <f t="shared" ca="1" si="44"/>
        <v>1</v>
      </c>
      <c r="AO21" s="300">
        <f t="shared" ca="1" si="45"/>
        <v>0</v>
      </c>
      <c r="AP21" s="300">
        <f t="shared" ca="1" si="46"/>
        <v>2</v>
      </c>
    </row>
    <row r="22" spans="2:42" ht="21">
      <c r="B22" s="297">
        <f t="shared" ca="1" si="14"/>
        <v>41811</v>
      </c>
      <c r="C22" s="298">
        <f ca="1">COUNTIFS('Defect Dump'!$R$3:$R$10000,$B22,'Defect Dump'!$I$3:$I$10000,"Blocker")</f>
        <v>0</v>
      </c>
      <c r="D22" s="298">
        <f ca="1">COUNTIFS('Defect Dump'!$R$3:$R$10000,$B22,'Defect Dump'!$I$3:$I$10000,"Critical")</f>
        <v>0</v>
      </c>
      <c r="E22" s="298">
        <f ca="1">COUNTIFS('Defect Dump'!$R$3:$R$10000,$B22,'Defect Dump'!$I$3:$I$10000,"Major")</f>
        <v>0</v>
      </c>
      <c r="F22" s="298">
        <f ca="1">COUNTIFS('Defect Dump'!$R$3:$R$10000,$B22,'Defect Dump'!$I$3:$I$10000,"Minor")+COUNTIFS('Defect Dump'!$R$3:$R$10000,$B22,'Defect Dump'!$I$3:$I$10000,"Trivial")</f>
        <v>0</v>
      </c>
      <c r="G22" s="298">
        <f t="shared" ca="1" si="15"/>
        <v>0</v>
      </c>
      <c r="H22" s="299" t="b">
        <f t="shared" ca="1" si="16"/>
        <v>1</v>
      </c>
      <c r="I22" s="299" t="b">
        <f t="shared" ca="1" si="17"/>
        <v>1</v>
      </c>
      <c r="J22" s="299" t="b">
        <f t="shared" ca="1" si="18"/>
        <v>1</v>
      </c>
      <c r="K22" s="299" t="b">
        <f t="shared" ca="1" si="19"/>
        <v>1</v>
      </c>
      <c r="L22" s="299" t="b">
        <f t="shared" ca="1" si="20"/>
        <v>1</v>
      </c>
      <c r="M22" s="299" t="b">
        <f t="shared" ca="1" si="21"/>
        <v>1</v>
      </c>
      <c r="N22" s="299" t="b">
        <f t="shared" ca="1" si="22"/>
        <v>1</v>
      </c>
      <c r="O22" s="297">
        <f t="shared" ca="1" si="23"/>
        <v>41811</v>
      </c>
      <c r="P22" s="298">
        <f ca="1">COUNTIFS('Defect Dump'!$S$3:$S$10000,$B22,'Defect Dump'!$H$3:$H$10000,"Closed",'Defect Dump'!$I$3:$I$10000,"Blocker")</f>
        <v>0</v>
      </c>
      <c r="Q22" s="298">
        <f ca="1">COUNTIFS('Defect Dump'!$S$3:$S$10000,$B22,'Defect Dump'!$H$3:$H$10000,"Closed",'Defect Dump'!$I$3:$I$10000,"Critical")</f>
        <v>0</v>
      </c>
      <c r="R22" s="298">
        <f ca="1">COUNTIFS('Defect Dump'!$S$3:$S$10000,$B22,'Defect Dump'!$H$3:$H$10000,"Closed",'Defect Dump'!$I$3:$I$10000,"Major")</f>
        <v>0</v>
      </c>
      <c r="S22" s="298">
        <f ca="1">COUNTIFS('Defect Dump'!$S$3:$S$10000,$B22,'Defect Dump'!$H$3:$H$10000,"Closed",'Defect Dump'!$I$3:$I$10000,"Minor")+COUNTIFS('Defect Dump'!$S$3:$S$10000,$B22,'Defect Dump'!$H$3:$H$10000,"Closed",'Defect Dump'!$I$3:$I$10000,"Trivial")</f>
        <v>0</v>
      </c>
      <c r="T22" s="298">
        <f t="shared" ca="1" si="24"/>
        <v>0</v>
      </c>
      <c r="U22" s="299" t="b">
        <f t="shared" ca="1" si="25"/>
        <v>1</v>
      </c>
      <c r="V22" s="299" t="b">
        <f t="shared" ca="1" si="26"/>
        <v>1</v>
      </c>
      <c r="W22" s="299" t="b">
        <f t="shared" ca="1" si="27"/>
        <v>1</v>
      </c>
      <c r="X22" s="299" t="b">
        <f t="shared" ca="1" si="28"/>
        <v>1</v>
      </c>
      <c r="Y22" s="299" t="b">
        <f t="shared" ca="1" si="29"/>
        <v>1</v>
      </c>
      <c r="Z22" s="299" t="b">
        <f t="shared" ca="1" si="30"/>
        <v>1</v>
      </c>
      <c r="AA22" s="297">
        <f t="shared" ca="1" si="31"/>
        <v>41811</v>
      </c>
      <c r="AB22" s="300">
        <f t="shared" ca="1" si="32"/>
        <v>0</v>
      </c>
      <c r="AC22" s="300">
        <f t="shared" ca="1" si="33"/>
        <v>176</v>
      </c>
      <c r="AD22" s="300">
        <f t="shared" ca="1" si="34"/>
        <v>0</v>
      </c>
      <c r="AE22" s="300">
        <f t="shared" ca="1" si="35"/>
        <v>14</v>
      </c>
      <c r="AF22" s="300">
        <f t="shared" ca="1" si="36"/>
        <v>162</v>
      </c>
      <c r="AG22" s="300">
        <f t="shared" ca="1" si="37"/>
        <v>0</v>
      </c>
      <c r="AH22" s="300">
        <f t="shared" ca="1" si="38"/>
        <v>0</v>
      </c>
      <c r="AI22" s="300">
        <f t="shared" ca="1" si="39"/>
        <v>0</v>
      </c>
      <c r="AJ22" s="300">
        <f t="shared" ca="1" si="40"/>
        <v>0</v>
      </c>
      <c r="AK22" s="300">
        <f t="shared" ca="1" si="41"/>
        <v>0</v>
      </c>
      <c r="AL22" s="300">
        <f t="shared" ca="1" si="42"/>
        <v>0</v>
      </c>
      <c r="AM22" s="300">
        <f t="shared" ca="1" si="43"/>
        <v>0</v>
      </c>
      <c r="AN22" s="300">
        <f t="shared" ca="1" si="44"/>
        <v>0</v>
      </c>
      <c r="AO22" s="300">
        <f t="shared" ca="1" si="45"/>
        <v>0</v>
      </c>
      <c r="AP22" s="300">
        <f t="shared" ca="1" si="46"/>
        <v>0</v>
      </c>
    </row>
    <row r="23" spans="2:42" ht="21">
      <c r="B23" s="297">
        <f t="shared" ca="1" si="14"/>
        <v>41812</v>
      </c>
      <c r="C23" s="298">
        <f ca="1">COUNTIFS('Defect Dump'!$R$3:$R$10000,$B23,'Defect Dump'!$I$3:$I$10000,"Blocker")</f>
        <v>0</v>
      </c>
      <c r="D23" s="298">
        <f ca="1">COUNTIFS('Defect Dump'!$R$3:$R$10000,$B23,'Defect Dump'!$I$3:$I$10000,"Critical")</f>
        <v>0</v>
      </c>
      <c r="E23" s="298">
        <f ca="1">COUNTIFS('Defect Dump'!$R$3:$R$10000,$B23,'Defect Dump'!$I$3:$I$10000,"Major")</f>
        <v>0</v>
      </c>
      <c r="F23" s="298">
        <f ca="1">COUNTIFS('Defect Dump'!$R$3:$R$10000,$B23,'Defect Dump'!$I$3:$I$10000,"Minor")+COUNTIFS('Defect Dump'!$R$3:$R$10000,$B23,'Defect Dump'!$I$3:$I$10000,"Trivial")</f>
        <v>0</v>
      </c>
      <c r="G23" s="298">
        <f t="shared" ca="1" si="15"/>
        <v>0</v>
      </c>
      <c r="H23" s="299" t="b">
        <f t="shared" ca="1" si="16"/>
        <v>1</v>
      </c>
      <c r="I23" s="299" t="b">
        <f t="shared" ca="1" si="17"/>
        <v>1</v>
      </c>
      <c r="J23" s="299" t="b">
        <f t="shared" ca="1" si="18"/>
        <v>1</v>
      </c>
      <c r="K23" s="299" t="b">
        <f t="shared" ca="1" si="19"/>
        <v>1</v>
      </c>
      <c r="L23" s="299" t="b">
        <f t="shared" ca="1" si="20"/>
        <v>1</v>
      </c>
      <c r="M23" s="299" t="b">
        <f t="shared" ca="1" si="21"/>
        <v>1</v>
      </c>
      <c r="N23" s="299" t="b">
        <f t="shared" ca="1" si="22"/>
        <v>1</v>
      </c>
      <c r="O23" s="297">
        <f t="shared" ca="1" si="23"/>
        <v>41812</v>
      </c>
      <c r="P23" s="298">
        <f ca="1">COUNTIFS('Defect Dump'!$S$3:$S$10000,$B23,'Defect Dump'!$H$3:$H$10000,"Closed",'Defect Dump'!$I$3:$I$10000,"Blocker")</f>
        <v>0</v>
      </c>
      <c r="Q23" s="298">
        <f ca="1">COUNTIFS('Defect Dump'!$S$3:$S$10000,$B23,'Defect Dump'!$H$3:$H$10000,"Closed",'Defect Dump'!$I$3:$I$10000,"Critical")</f>
        <v>0</v>
      </c>
      <c r="R23" s="298">
        <f ca="1">COUNTIFS('Defect Dump'!$S$3:$S$10000,$B23,'Defect Dump'!$H$3:$H$10000,"Closed",'Defect Dump'!$I$3:$I$10000,"Major")</f>
        <v>0</v>
      </c>
      <c r="S23" s="298">
        <f ca="1">COUNTIFS('Defect Dump'!$S$3:$S$10000,$B23,'Defect Dump'!$H$3:$H$10000,"Closed",'Defect Dump'!$I$3:$I$10000,"Minor")+COUNTIFS('Defect Dump'!$S$3:$S$10000,$B23,'Defect Dump'!$H$3:$H$10000,"Closed",'Defect Dump'!$I$3:$I$10000,"Trivial")</f>
        <v>0</v>
      </c>
      <c r="T23" s="298">
        <f t="shared" ca="1" si="24"/>
        <v>0</v>
      </c>
      <c r="U23" s="299" t="b">
        <f t="shared" ca="1" si="25"/>
        <v>1</v>
      </c>
      <c r="V23" s="299" t="b">
        <f t="shared" ca="1" si="26"/>
        <v>1</v>
      </c>
      <c r="W23" s="299" t="b">
        <f t="shared" ca="1" si="27"/>
        <v>1</v>
      </c>
      <c r="X23" s="299" t="b">
        <f t="shared" ca="1" si="28"/>
        <v>1</v>
      </c>
      <c r="Y23" s="299" t="b">
        <f t="shared" ca="1" si="29"/>
        <v>1</v>
      </c>
      <c r="Z23" s="299" t="b">
        <f t="shared" ca="1" si="30"/>
        <v>1</v>
      </c>
      <c r="AA23" s="297">
        <f t="shared" ca="1" si="31"/>
        <v>41812</v>
      </c>
      <c r="AB23" s="300">
        <f t="shared" ca="1" si="32"/>
        <v>0</v>
      </c>
      <c r="AC23" s="300">
        <f t="shared" ca="1" si="33"/>
        <v>176</v>
      </c>
      <c r="AD23" s="300">
        <f t="shared" ca="1" si="34"/>
        <v>0</v>
      </c>
      <c r="AE23" s="300">
        <f t="shared" ca="1" si="35"/>
        <v>14</v>
      </c>
      <c r="AF23" s="300">
        <f t="shared" ca="1" si="36"/>
        <v>162</v>
      </c>
      <c r="AG23" s="300">
        <f t="shared" ca="1" si="37"/>
        <v>0</v>
      </c>
      <c r="AH23" s="300">
        <f t="shared" ca="1" si="38"/>
        <v>0</v>
      </c>
      <c r="AI23" s="300">
        <f t="shared" ca="1" si="39"/>
        <v>0</v>
      </c>
      <c r="AJ23" s="300">
        <f t="shared" ca="1" si="40"/>
        <v>0</v>
      </c>
      <c r="AK23" s="300">
        <f t="shared" ca="1" si="41"/>
        <v>0</v>
      </c>
      <c r="AL23" s="300">
        <f t="shared" ca="1" si="42"/>
        <v>0</v>
      </c>
      <c r="AM23" s="300">
        <f t="shared" ca="1" si="43"/>
        <v>0</v>
      </c>
      <c r="AN23" s="300">
        <f t="shared" ca="1" si="44"/>
        <v>0</v>
      </c>
      <c r="AO23" s="300">
        <f t="shared" ca="1" si="45"/>
        <v>0</v>
      </c>
      <c r="AP23" s="300">
        <f t="shared" ca="1" si="46"/>
        <v>0</v>
      </c>
    </row>
    <row r="24" spans="2:42" ht="21">
      <c r="B24" s="297">
        <f t="shared" ca="1" si="14"/>
        <v>41813</v>
      </c>
      <c r="C24" s="298">
        <f ca="1">COUNTIFS('Defect Dump'!$R$3:$R$10000,$B24,'Defect Dump'!$I$3:$I$10000,"Blocker")</f>
        <v>1</v>
      </c>
      <c r="D24" s="298">
        <f ca="1">COUNTIFS('Defect Dump'!$R$3:$R$10000,$B24,'Defect Dump'!$I$3:$I$10000,"Critical")</f>
        <v>0</v>
      </c>
      <c r="E24" s="298">
        <f ca="1">COUNTIFS('Defect Dump'!$R$3:$R$10000,$B24,'Defect Dump'!$I$3:$I$10000,"Major")</f>
        <v>15</v>
      </c>
      <c r="F24" s="298">
        <f ca="1">COUNTIFS('Defect Dump'!$R$3:$R$10000,$B24,'Defect Dump'!$I$3:$I$10000,"Minor")+COUNTIFS('Defect Dump'!$R$3:$R$10000,$B24,'Defect Dump'!$I$3:$I$10000,"Trivial")</f>
        <v>8</v>
      </c>
      <c r="G24" s="298">
        <f t="shared" ca="1" si="15"/>
        <v>24</v>
      </c>
      <c r="H24" s="299" t="b">
        <f t="shared" ca="1" si="16"/>
        <v>1</v>
      </c>
      <c r="I24" s="299" t="b">
        <f t="shared" ca="1" si="17"/>
        <v>1</v>
      </c>
      <c r="J24" s="299" t="b">
        <f t="shared" ca="1" si="18"/>
        <v>1</v>
      </c>
      <c r="K24" s="299" t="b">
        <f t="shared" ca="1" si="19"/>
        <v>1</v>
      </c>
      <c r="L24" s="299" t="b">
        <f t="shared" ca="1" si="20"/>
        <v>1</v>
      </c>
      <c r="M24" s="299" t="b">
        <f t="shared" ca="1" si="21"/>
        <v>1</v>
      </c>
      <c r="N24" s="299" t="b">
        <f t="shared" ca="1" si="22"/>
        <v>1</v>
      </c>
      <c r="O24" s="297">
        <f t="shared" ca="1" si="23"/>
        <v>41813</v>
      </c>
      <c r="P24" s="298">
        <f ca="1">COUNTIFS('Defect Dump'!$S$3:$S$10000,$B24,'Defect Dump'!$H$3:$H$10000,"Closed",'Defect Dump'!$I$3:$I$10000,"Blocker")</f>
        <v>1</v>
      </c>
      <c r="Q24" s="298">
        <f ca="1">COUNTIFS('Defect Dump'!$S$3:$S$10000,$B24,'Defect Dump'!$H$3:$H$10000,"Closed",'Defect Dump'!$I$3:$I$10000,"Critical")</f>
        <v>1</v>
      </c>
      <c r="R24" s="298">
        <f ca="1">COUNTIFS('Defect Dump'!$S$3:$S$10000,$B24,'Defect Dump'!$H$3:$H$10000,"Closed",'Defect Dump'!$I$3:$I$10000,"Major")</f>
        <v>5</v>
      </c>
      <c r="S24" s="298">
        <f ca="1">COUNTIFS('Defect Dump'!$S$3:$S$10000,$B24,'Defect Dump'!$H$3:$H$10000,"Closed",'Defect Dump'!$I$3:$I$10000,"Minor")+COUNTIFS('Defect Dump'!$S$3:$S$10000,$B24,'Defect Dump'!$H$3:$H$10000,"Closed",'Defect Dump'!$I$3:$I$10000,"Trivial")</f>
        <v>1</v>
      </c>
      <c r="T24" s="298">
        <f t="shared" ca="1" si="24"/>
        <v>8</v>
      </c>
      <c r="U24" s="299" t="b">
        <f t="shared" ca="1" si="25"/>
        <v>1</v>
      </c>
      <c r="V24" s="299" t="b">
        <f t="shared" ca="1" si="26"/>
        <v>1</v>
      </c>
      <c r="W24" s="299" t="b">
        <f t="shared" ca="1" si="27"/>
        <v>1</v>
      </c>
      <c r="X24" s="299" t="b">
        <f t="shared" ca="1" si="28"/>
        <v>1</v>
      </c>
      <c r="Y24" s="299" t="b">
        <f t="shared" ca="1" si="29"/>
        <v>1</v>
      </c>
      <c r="Z24" s="299" t="b">
        <f t="shared" ca="1" si="30"/>
        <v>1</v>
      </c>
      <c r="AA24" s="297">
        <f t="shared" ca="1" si="31"/>
        <v>41813</v>
      </c>
      <c r="AB24" s="300">
        <f t="shared" ca="1" si="32"/>
        <v>24</v>
      </c>
      <c r="AC24" s="300">
        <f t="shared" ca="1" si="33"/>
        <v>200</v>
      </c>
      <c r="AD24" s="300">
        <f t="shared" ca="1" si="34"/>
        <v>8</v>
      </c>
      <c r="AE24" s="300">
        <f t="shared" ca="1" si="35"/>
        <v>22</v>
      </c>
      <c r="AF24" s="300">
        <f t="shared" ca="1" si="36"/>
        <v>178</v>
      </c>
      <c r="AG24" s="300">
        <f t="shared" ca="1" si="37"/>
        <v>1</v>
      </c>
      <c r="AH24" s="300">
        <f t="shared" ca="1" si="38"/>
        <v>0</v>
      </c>
      <c r="AI24" s="300">
        <f t="shared" ca="1" si="39"/>
        <v>15</v>
      </c>
      <c r="AJ24" s="300">
        <f t="shared" ca="1" si="40"/>
        <v>8</v>
      </c>
      <c r="AK24" s="300">
        <f t="shared" ca="1" si="41"/>
        <v>24</v>
      </c>
      <c r="AL24" s="300">
        <f t="shared" ca="1" si="42"/>
        <v>1</v>
      </c>
      <c r="AM24" s="300">
        <f t="shared" ca="1" si="43"/>
        <v>1</v>
      </c>
      <c r="AN24" s="300">
        <f t="shared" ca="1" si="44"/>
        <v>5</v>
      </c>
      <c r="AO24" s="300">
        <f t="shared" ca="1" si="45"/>
        <v>1</v>
      </c>
      <c r="AP24" s="300">
        <f t="shared" ca="1" si="46"/>
        <v>8</v>
      </c>
    </row>
    <row r="25" spans="2:42" ht="21">
      <c r="B25" s="297">
        <f t="shared" ca="1" si="14"/>
        <v>41814</v>
      </c>
      <c r="C25" s="298">
        <f ca="1">COUNTIFS('Defect Dump'!$R$3:$R$10000,$B25,'Defect Dump'!$I$3:$I$10000,"Blocker")</f>
        <v>1</v>
      </c>
      <c r="D25" s="298">
        <f ca="1">COUNTIFS('Defect Dump'!$R$3:$R$10000,$B25,'Defect Dump'!$I$3:$I$10000,"Critical")</f>
        <v>1</v>
      </c>
      <c r="E25" s="298">
        <f ca="1">COUNTIFS('Defect Dump'!$R$3:$R$10000,$B25,'Defect Dump'!$I$3:$I$10000,"Major")</f>
        <v>22</v>
      </c>
      <c r="F25" s="298">
        <f ca="1">COUNTIFS('Defect Dump'!$R$3:$R$10000,$B25,'Defect Dump'!$I$3:$I$10000,"Minor")+COUNTIFS('Defect Dump'!$R$3:$R$10000,$B25,'Defect Dump'!$I$3:$I$10000,"Trivial")</f>
        <v>3</v>
      </c>
      <c r="G25" s="298">
        <f t="shared" ca="1" si="15"/>
        <v>27</v>
      </c>
      <c r="H25" s="299" t="b">
        <f t="shared" ca="1" si="16"/>
        <v>1</v>
      </c>
      <c r="I25" s="299" t="b">
        <f t="shared" ca="1" si="17"/>
        <v>1</v>
      </c>
      <c r="J25" s="299" t="b">
        <f t="shared" ca="1" si="18"/>
        <v>1</v>
      </c>
      <c r="K25" s="299" t="b">
        <f t="shared" ca="1" si="19"/>
        <v>1</v>
      </c>
      <c r="L25" s="299" t="b">
        <f t="shared" ca="1" si="20"/>
        <v>1</v>
      </c>
      <c r="M25" s="299" t="b">
        <f t="shared" ca="1" si="21"/>
        <v>1</v>
      </c>
      <c r="N25" s="299" t="b">
        <f t="shared" ca="1" si="22"/>
        <v>1</v>
      </c>
      <c r="O25" s="297">
        <f t="shared" ca="1" si="23"/>
        <v>41814</v>
      </c>
      <c r="P25" s="298">
        <f ca="1">COUNTIFS('Defect Dump'!$S$3:$S$10000,$B25,'Defect Dump'!$H$3:$H$10000,"Closed",'Defect Dump'!$I$3:$I$10000,"Blocker")</f>
        <v>0</v>
      </c>
      <c r="Q25" s="298">
        <f ca="1">COUNTIFS('Defect Dump'!$S$3:$S$10000,$B25,'Defect Dump'!$H$3:$H$10000,"Closed",'Defect Dump'!$I$3:$I$10000,"Critical")</f>
        <v>3</v>
      </c>
      <c r="R25" s="298">
        <f ca="1">COUNTIFS('Defect Dump'!$S$3:$S$10000,$B25,'Defect Dump'!$H$3:$H$10000,"Closed",'Defect Dump'!$I$3:$I$10000,"Major")</f>
        <v>1</v>
      </c>
      <c r="S25" s="298">
        <f ca="1">COUNTIFS('Defect Dump'!$S$3:$S$10000,$B25,'Defect Dump'!$H$3:$H$10000,"Closed",'Defect Dump'!$I$3:$I$10000,"Minor")+COUNTIFS('Defect Dump'!$S$3:$S$10000,$B25,'Defect Dump'!$H$3:$H$10000,"Closed",'Defect Dump'!$I$3:$I$10000,"Trivial")</f>
        <v>1</v>
      </c>
      <c r="T25" s="298">
        <f t="shared" ca="1" si="24"/>
        <v>5</v>
      </c>
      <c r="U25" s="299" t="b">
        <f t="shared" ca="1" si="25"/>
        <v>1</v>
      </c>
      <c r="V25" s="299" t="b">
        <f t="shared" ca="1" si="26"/>
        <v>1</v>
      </c>
      <c r="W25" s="299" t="b">
        <f t="shared" ca="1" si="27"/>
        <v>1</v>
      </c>
      <c r="X25" s="299" t="b">
        <f t="shared" ca="1" si="28"/>
        <v>1</v>
      </c>
      <c r="Y25" s="299" t="b">
        <f t="shared" ca="1" si="29"/>
        <v>1</v>
      </c>
      <c r="Z25" s="299" t="b">
        <f t="shared" ca="1" si="30"/>
        <v>1</v>
      </c>
      <c r="AA25" s="297">
        <f t="shared" ca="1" si="31"/>
        <v>41814</v>
      </c>
      <c r="AB25" s="300">
        <f t="shared" ca="1" si="32"/>
        <v>27</v>
      </c>
      <c r="AC25" s="300">
        <f t="shared" ca="1" si="33"/>
        <v>227</v>
      </c>
      <c r="AD25" s="300">
        <f t="shared" ca="1" si="34"/>
        <v>5</v>
      </c>
      <c r="AE25" s="300">
        <f t="shared" ca="1" si="35"/>
        <v>27</v>
      </c>
      <c r="AF25" s="300">
        <f t="shared" ca="1" si="36"/>
        <v>200</v>
      </c>
      <c r="AG25" s="300">
        <f t="shared" ca="1" si="37"/>
        <v>1</v>
      </c>
      <c r="AH25" s="300">
        <f t="shared" ca="1" si="38"/>
        <v>1</v>
      </c>
      <c r="AI25" s="300">
        <f t="shared" ca="1" si="39"/>
        <v>22</v>
      </c>
      <c r="AJ25" s="300">
        <f t="shared" ca="1" si="40"/>
        <v>3</v>
      </c>
      <c r="AK25" s="300">
        <f t="shared" ca="1" si="41"/>
        <v>27</v>
      </c>
      <c r="AL25" s="300">
        <f t="shared" ca="1" si="42"/>
        <v>0</v>
      </c>
      <c r="AM25" s="300">
        <f t="shared" ca="1" si="43"/>
        <v>3</v>
      </c>
      <c r="AN25" s="300">
        <f t="shared" ca="1" si="44"/>
        <v>1</v>
      </c>
      <c r="AO25" s="300">
        <f t="shared" ca="1" si="45"/>
        <v>1</v>
      </c>
      <c r="AP25" s="300">
        <f t="shared" ca="1" si="46"/>
        <v>5</v>
      </c>
    </row>
    <row r="26" spans="2:42" ht="21">
      <c r="B26" s="297">
        <f t="shared" ca="1" si="14"/>
        <v>41815</v>
      </c>
      <c r="C26" s="298">
        <f ca="1">COUNTIFS('Defect Dump'!$R$3:$R$10000,$B26,'Defect Dump'!$I$3:$I$10000,"Blocker")</f>
        <v>0</v>
      </c>
      <c r="D26" s="298">
        <f ca="1">COUNTIFS('Defect Dump'!$R$3:$R$10000,$B26,'Defect Dump'!$I$3:$I$10000,"Critical")</f>
        <v>0</v>
      </c>
      <c r="E26" s="298">
        <f ca="1">COUNTIFS('Defect Dump'!$R$3:$R$10000,$B26,'Defect Dump'!$I$3:$I$10000,"Major")</f>
        <v>0</v>
      </c>
      <c r="F26" s="298">
        <f ca="1">COUNTIFS('Defect Dump'!$R$3:$R$10000,$B26,'Defect Dump'!$I$3:$I$10000,"Minor")+COUNTIFS('Defect Dump'!$R$3:$R$10000,$B26,'Defect Dump'!$I$3:$I$10000,"Trivial")</f>
        <v>0</v>
      </c>
      <c r="G26" s="298">
        <f t="shared" ca="1" si="15"/>
        <v>0</v>
      </c>
      <c r="H26" s="299" t="b">
        <f t="shared" ca="1" si="16"/>
        <v>1</v>
      </c>
      <c r="I26" s="299" t="b">
        <f t="shared" ca="1" si="17"/>
        <v>1</v>
      </c>
      <c r="J26" s="299" t="b">
        <f t="shared" ca="1" si="18"/>
        <v>1</v>
      </c>
      <c r="K26" s="299" t="b">
        <f t="shared" ca="1" si="19"/>
        <v>1</v>
      </c>
      <c r="L26" s="299" t="b">
        <f t="shared" ca="1" si="20"/>
        <v>1</v>
      </c>
      <c r="M26" s="299" t="b">
        <f t="shared" ca="1" si="21"/>
        <v>1</v>
      </c>
      <c r="N26" s="299" t="b">
        <f t="shared" ca="1" si="22"/>
        <v>1</v>
      </c>
      <c r="O26" s="297">
        <f t="shared" ca="1" si="23"/>
        <v>41815</v>
      </c>
      <c r="P26" s="298">
        <f ca="1">COUNTIFS('Defect Dump'!$S$3:$S$10000,$B26,'Defect Dump'!$H$3:$H$10000,"Closed",'Defect Dump'!$I$3:$I$10000,"Blocker")</f>
        <v>1</v>
      </c>
      <c r="Q26" s="298">
        <f ca="1">COUNTIFS('Defect Dump'!$S$3:$S$10000,$B26,'Defect Dump'!$H$3:$H$10000,"Closed",'Defect Dump'!$I$3:$I$10000,"Critical")</f>
        <v>0</v>
      </c>
      <c r="R26" s="298">
        <f ca="1">COUNTIFS('Defect Dump'!$S$3:$S$10000,$B26,'Defect Dump'!$H$3:$H$10000,"Closed",'Defect Dump'!$I$3:$I$10000,"Major")</f>
        <v>3</v>
      </c>
      <c r="S26" s="298">
        <f ca="1">COUNTIFS('Defect Dump'!$S$3:$S$10000,$B26,'Defect Dump'!$H$3:$H$10000,"Closed",'Defect Dump'!$I$3:$I$10000,"Minor")+COUNTIFS('Defect Dump'!$S$3:$S$10000,$B26,'Defect Dump'!$H$3:$H$10000,"Closed",'Defect Dump'!$I$3:$I$10000,"Trivial")</f>
        <v>3</v>
      </c>
      <c r="T26" s="298">
        <f t="shared" ca="1" si="24"/>
        <v>7</v>
      </c>
      <c r="U26" s="299" t="b">
        <f t="shared" ca="1" si="25"/>
        <v>1</v>
      </c>
      <c r="V26" s="299" t="b">
        <f t="shared" ca="1" si="26"/>
        <v>1</v>
      </c>
      <c r="W26" s="299" t="b">
        <f t="shared" ca="1" si="27"/>
        <v>1</v>
      </c>
      <c r="X26" s="299" t="b">
        <f t="shared" ca="1" si="28"/>
        <v>1</v>
      </c>
      <c r="Y26" s="299" t="b">
        <f t="shared" ca="1" si="29"/>
        <v>1</v>
      </c>
      <c r="Z26" s="299" t="b">
        <f t="shared" ca="1" si="30"/>
        <v>1</v>
      </c>
      <c r="AA26" s="297">
        <f t="shared" ca="1" si="31"/>
        <v>41815</v>
      </c>
      <c r="AB26" s="300">
        <f t="shared" ca="1" si="32"/>
        <v>0</v>
      </c>
      <c r="AC26" s="300">
        <f t="shared" ca="1" si="33"/>
        <v>227</v>
      </c>
      <c r="AD26" s="300">
        <f t="shared" ca="1" si="34"/>
        <v>7</v>
      </c>
      <c r="AE26" s="300">
        <f t="shared" ca="1" si="35"/>
        <v>34</v>
      </c>
      <c r="AF26" s="300">
        <f t="shared" ca="1" si="36"/>
        <v>193</v>
      </c>
      <c r="AG26" s="300">
        <f t="shared" ca="1" si="37"/>
        <v>0</v>
      </c>
      <c r="AH26" s="300">
        <f t="shared" ca="1" si="38"/>
        <v>0</v>
      </c>
      <c r="AI26" s="300">
        <f t="shared" ca="1" si="39"/>
        <v>0</v>
      </c>
      <c r="AJ26" s="300">
        <f t="shared" ca="1" si="40"/>
        <v>0</v>
      </c>
      <c r="AK26" s="300">
        <f t="shared" ca="1" si="41"/>
        <v>0</v>
      </c>
      <c r="AL26" s="300">
        <f t="shared" ca="1" si="42"/>
        <v>1</v>
      </c>
      <c r="AM26" s="300">
        <f t="shared" ca="1" si="43"/>
        <v>0</v>
      </c>
      <c r="AN26" s="300">
        <f t="shared" ca="1" si="44"/>
        <v>3</v>
      </c>
      <c r="AO26" s="300">
        <f t="shared" ca="1" si="45"/>
        <v>3</v>
      </c>
      <c r="AP26" s="300">
        <f t="shared" ca="1" si="46"/>
        <v>7</v>
      </c>
    </row>
    <row r="27" spans="2:42" ht="21">
      <c r="B27" s="297">
        <f t="shared" ca="1" si="14"/>
        <v>41816</v>
      </c>
      <c r="C27" s="298">
        <f ca="1">COUNTIFS('Defect Dump'!$R$3:$R$10000,$B27,'Defect Dump'!$I$3:$I$10000,"Blocker")</f>
        <v>0</v>
      </c>
      <c r="D27" s="298">
        <f ca="1">COUNTIFS('Defect Dump'!$R$3:$R$10000,$B27,'Defect Dump'!$I$3:$I$10000,"Critical")</f>
        <v>0</v>
      </c>
      <c r="E27" s="298">
        <f ca="1">COUNTIFS('Defect Dump'!$R$3:$R$10000,$B27,'Defect Dump'!$I$3:$I$10000,"Major")</f>
        <v>10</v>
      </c>
      <c r="F27" s="298">
        <f ca="1">COUNTIFS('Defect Dump'!$R$3:$R$10000,$B27,'Defect Dump'!$I$3:$I$10000,"Minor")+COUNTIFS('Defect Dump'!$R$3:$R$10000,$B27,'Defect Dump'!$I$3:$I$10000,"Trivial")</f>
        <v>5</v>
      </c>
      <c r="G27" s="298">
        <f t="shared" ca="1" si="15"/>
        <v>15</v>
      </c>
      <c r="H27" s="299" t="b">
        <f t="shared" ca="1" si="16"/>
        <v>1</v>
      </c>
      <c r="I27" s="299" t="b">
        <f t="shared" ca="1" si="17"/>
        <v>1</v>
      </c>
      <c r="J27" s="299" t="b">
        <f t="shared" ca="1" si="18"/>
        <v>1</v>
      </c>
      <c r="K27" s="299" t="b">
        <f t="shared" ca="1" si="19"/>
        <v>1</v>
      </c>
      <c r="L27" s="299" t="b">
        <f t="shared" ca="1" si="20"/>
        <v>1</v>
      </c>
      <c r="M27" s="299" t="b">
        <f t="shared" ca="1" si="21"/>
        <v>1</v>
      </c>
      <c r="N27" s="299" t="b">
        <f t="shared" ca="1" si="22"/>
        <v>1</v>
      </c>
      <c r="O27" s="297">
        <f t="shared" ca="1" si="23"/>
        <v>41816</v>
      </c>
      <c r="P27" s="298">
        <f ca="1">COUNTIFS('Defect Dump'!$S$3:$S$10000,$B27,'Defect Dump'!$H$3:$H$10000,"Closed",'Defect Dump'!$I$3:$I$10000,"Blocker")</f>
        <v>0</v>
      </c>
      <c r="Q27" s="298">
        <f ca="1">COUNTIFS('Defect Dump'!$S$3:$S$10000,$B27,'Defect Dump'!$H$3:$H$10000,"Closed",'Defect Dump'!$I$3:$I$10000,"Critical")</f>
        <v>1</v>
      </c>
      <c r="R27" s="298">
        <f ca="1">COUNTIFS('Defect Dump'!$S$3:$S$10000,$B27,'Defect Dump'!$H$3:$H$10000,"Closed",'Defect Dump'!$I$3:$I$10000,"Major")</f>
        <v>6</v>
      </c>
      <c r="S27" s="298">
        <f ca="1">COUNTIFS('Defect Dump'!$S$3:$S$10000,$B27,'Defect Dump'!$H$3:$H$10000,"Closed",'Defect Dump'!$I$3:$I$10000,"Minor")+COUNTIFS('Defect Dump'!$S$3:$S$10000,$B27,'Defect Dump'!$H$3:$H$10000,"Closed",'Defect Dump'!$I$3:$I$10000,"Trivial")</f>
        <v>2</v>
      </c>
      <c r="T27" s="298">
        <f t="shared" ca="1" si="24"/>
        <v>9</v>
      </c>
      <c r="U27" s="299" t="b">
        <f t="shared" ca="1" si="25"/>
        <v>1</v>
      </c>
      <c r="V27" s="299" t="b">
        <f t="shared" ca="1" si="26"/>
        <v>1</v>
      </c>
      <c r="W27" s="299" t="b">
        <f t="shared" ca="1" si="27"/>
        <v>1</v>
      </c>
      <c r="X27" s="299" t="b">
        <f t="shared" ca="1" si="28"/>
        <v>1</v>
      </c>
      <c r="Y27" s="299" t="b">
        <f t="shared" ca="1" si="29"/>
        <v>1</v>
      </c>
      <c r="Z27" s="299" t="b">
        <f t="shared" ca="1" si="30"/>
        <v>1</v>
      </c>
      <c r="AA27" s="297">
        <f t="shared" ca="1" si="31"/>
        <v>41816</v>
      </c>
      <c r="AB27" s="300">
        <f t="shared" ca="1" si="32"/>
        <v>15</v>
      </c>
      <c r="AC27" s="300">
        <f t="shared" ca="1" si="33"/>
        <v>242</v>
      </c>
      <c r="AD27" s="300">
        <f t="shared" ca="1" si="34"/>
        <v>9</v>
      </c>
      <c r="AE27" s="300">
        <f t="shared" ca="1" si="35"/>
        <v>43</v>
      </c>
      <c r="AF27" s="300">
        <f t="shared" ca="1" si="36"/>
        <v>199</v>
      </c>
      <c r="AG27" s="300">
        <f t="shared" ca="1" si="37"/>
        <v>0</v>
      </c>
      <c r="AH27" s="300">
        <f t="shared" ca="1" si="38"/>
        <v>0</v>
      </c>
      <c r="AI27" s="300">
        <f t="shared" ca="1" si="39"/>
        <v>10</v>
      </c>
      <c r="AJ27" s="300">
        <f t="shared" ca="1" si="40"/>
        <v>5</v>
      </c>
      <c r="AK27" s="300">
        <f t="shared" ca="1" si="41"/>
        <v>15</v>
      </c>
      <c r="AL27" s="300">
        <f t="shared" ca="1" si="42"/>
        <v>0</v>
      </c>
      <c r="AM27" s="300">
        <f t="shared" ca="1" si="43"/>
        <v>1</v>
      </c>
      <c r="AN27" s="300">
        <f t="shared" ca="1" si="44"/>
        <v>6</v>
      </c>
      <c r="AO27" s="300">
        <f t="shared" ca="1" si="45"/>
        <v>2</v>
      </c>
      <c r="AP27" s="300">
        <f t="shared" ca="1" si="46"/>
        <v>9</v>
      </c>
    </row>
    <row r="28" spans="2:42" ht="21">
      <c r="B28" s="297">
        <f t="shared" ca="1" si="14"/>
        <v>41817</v>
      </c>
      <c r="C28" s="298">
        <f ca="1">COUNTIFS('Defect Dump'!$R$3:$R$10000,$B28,'Defect Dump'!$I$3:$I$10000,"Blocker")</f>
        <v>2</v>
      </c>
      <c r="D28" s="298">
        <f ca="1">COUNTIFS('Defect Dump'!$R$3:$R$10000,$B28,'Defect Dump'!$I$3:$I$10000,"Critical")</f>
        <v>2</v>
      </c>
      <c r="E28" s="298">
        <f ca="1">COUNTIFS('Defect Dump'!$R$3:$R$10000,$B28,'Defect Dump'!$I$3:$I$10000,"Major")</f>
        <v>9</v>
      </c>
      <c r="F28" s="298">
        <f ca="1">COUNTIFS('Defect Dump'!$R$3:$R$10000,$B28,'Defect Dump'!$I$3:$I$10000,"Minor")+COUNTIFS('Defect Dump'!$R$3:$R$10000,$B28,'Defect Dump'!$I$3:$I$10000,"Trivial")</f>
        <v>10</v>
      </c>
      <c r="G28" s="298">
        <f t="shared" ca="1" si="15"/>
        <v>23</v>
      </c>
      <c r="H28" s="299" t="b">
        <f t="shared" ca="1" si="16"/>
        <v>1</v>
      </c>
      <c r="I28" s="299" t="b">
        <f t="shared" ca="1" si="17"/>
        <v>1</v>
      </c>
      <c r="J28" s="299" t="b">
        <f t="shared" ca="1" si="18"/>
        <v>1</v>
      </c>
      <c r="K28" s="299" t="b">
        <f t="shared" ca="1" si="19"/>
        <v>1</v>
      </c>
      <c r="L28" s="299" t="b">
        <f t="shared" ca="1" si="20"/>
        <v>1</v>
      </c>
      <c r="M28" s="299" t="b">
        <f t="shared" ca="1" si="21"/>
        <v>1</v>
      </c>
      <c r="N28" s="299" t="b">
        <f t="shared" ca="1" si="22"/>
        <v>1</v>
      </c>
      <c r="O28" s="297">
        <f t="shared" ca="1" si="23"/>
        <v>41817</v>
      </c>
      <c r="P28" s="298">
        <f ca="1">COUNTIFS('Defect Dump'!$S$3:$S$10000,$B28,'Defect Dump'!$H$3:$H$10000,"Closed",'Defect Dump'!$I$3:$I$10000,"Blocker")</f>
        <v>0</v>
      </c>
      <c r="Q28" s="298">
        <f ca="1">COUNTIFS('Defect Dump'!$S$3:$S$10000,$B28,'Defect Dump'!$H$3:$H$10000,"Closed",'Defect Dump'!$I$3:$I$10000,"Critical")</f>
        <v>2</v>
      </c>
      <c r="R28" s="298">
        <f ca="1">COUNTIFS('Defect Dump'!$S$3:$S$10000,$B28,'Defect Dump'!$H$3:$H$10000,"Closed",'Defect Dump'!$I$3:$I$10000,"Major")</f>
        <v>4</v>
      </c>
      <c r="S28" s="298">
        <f ca="1">COUNTIFS('Defect Dump'!$S$3:$S$10000,$B28,'Defect Dump'!$H$3:$H$10000,"Closed",'Defect Dump'!$I$3:$I$10000,"Minor")+COUNTIFS('Defect Dump'!$S$3:$S$10000,$B28,'Defect Dump'!$H$3:$H$10000,"Closed",'Defect Dump'!$I$3:$I$10000,"Trivial")</f>
        <v>4</v>
      </c>
      <c r="T28" s="298">
        <f t="shared" ca="1" si="24"/>
        <v>10</v>
      </c>
      <c r="U28" s="299" t="b">
        <f t="shared" ca="1" si="25"/>
        <v>1</v>
      </c>
      <c r="V28" s="299" t="b">
        <f t="shared" ca="1" si="26"/>
        <v>1</v>
      </c>
      <c r="W28" s="299" t="b">
        <f t="shared" ca="1" si="27"/>
        <v>1</v>
      </c>
      <c r="X28" s="299" t="b">
        <f t="shared" ca="1" si="28"/>
        <v>1</v>
      </c>
      <c r="Y28" s="299" t="b">
        <f t="shared" ca="1" si="29"/>
        <v>1</v>
      </c>
      <c r="Z28" s="299" t="b">
        <f t="shared" ca="1" si="30"/>
        <v>1</v>
      </c>
      <c r="AA28" s="297">
        <f t="shared" ca="1" si="31"/>
        <v>41817</v>
      </c>
      <c r="AB28" s="300">
        <f t="shared" ca="1" si="32"/>
        <v>23</v>
      </c>
      <c r="AC28" s="300">
        <f t="shared" ca="1" si="33"/>
        <v>265</v>
      </c>
      <c r="AD28" s="300">
        <f t="shared" ca="1" si="34"/>
        <v>10</v>
      </c>
      <c r="AE28" s="300">
        <f t="shared" ca="1" si="35"/>
        <v>53</v>
      </c>
      <c r="AF28" s="300">
        <f t="shared" ca="1" si="36"/>
        <v>212</v>
      </c>
      <c r="AG28" s="300">
        <f t="shared" ca="1" si="37"/>
        <v>2</v>
      </c>
      <c r="AH28" s="300">
        <f t="shared" ca="1" si="38"/>
        <v>2</v>
      </c>
      <c r="AI28" s="300">
        <f t="shared" ca="1" si="39"/>
        <v>9</v>
      </c>
      <c r="AJ28" s="300">
        <f t="shared" ca="1" si="40"/>
        <v>10</v>
      </c>
      <c r="AK28" s="300">
        <f t="shared" ca="1" si="41"/>
        <v>23</v>
      </c>
      <c r="AL28" s="300">
        <f t="shared" ca="1" si="42"/>
        <v>0</v>
      </c>
      <c r="AM28" s="300">
        <f t="shared" ca="1" si="43"/>
        <v>2</v>
      </c>
      <c r="AN28" s="300">
        <f t="shared" ca="1" si="44"/>
        <v>4</v>
      </c>
      <c r="AO28" s="300">
        <f t="shared" ca="1" si="45"/>
        <v>4</v>
      </c>
      <c r="AP28" s="300">
        <f t="shared" ca="1" si="46"/>
        <v>10</v>
      </c>
    </row>
    <row r="29" spans="2:42" ht="21">
      <c r="B29" s="297">
        <f t="shared" ca="1" si="14"/>
        <v>41818</v>
      </c>
      <c r="C29" s="298">
        <f ca="1">COUNTIFS('Defect Dump'!$R$3:$R$10000,$B29,'Defect Dump'!$I$3:$I$10000,"Blocker")</f>
        <v>0</v>
      </c>
      <c r="D29" s="298">
        <f ca="1">COUNTIFS('Defect Dump'!$R$3:$R$10000,$B29,'Defect Dump'!$I$3:$I$10000,"Critical")</f>
        <v>1</v>
      </c>
      <c r="E29" s="298">
        <f ca="1">COUNTIFS('Defect Dump'!$R$3:$R$10000,$B29,'Defect Dump'!$I$3:$I$10000,"Major")</f>
        <v>1</v>
      </c>
      <c r="F29" s="298">
        <f ca="1">COUNTIFS('Defect Dump'!$R$3:$R$10000,$B29,'Defect Dump'!$I$3:$I$10000,"Minor")+COUNTIFS('Defect Dump'!$R$3:$R$10000,$B29,'Defect Dump'!$I$3:$I$10000,"Trivial")</f>
        <v>2</v>
      </c>
      <c r="G29" s="298">
        <f t="shared" ca="1" si="15"/>
        <v>4</v>
      </c>
      <c r="H29" s="299" t="b">
        <f t="shared" ca="1" si="16"/>
        <v>1</v>
      </c>
      <c r="I29" s="299" t="b">
        <f t="shared" ca="1" si="17"/>
        <v>1</v>
      </c>
      <c r="J29" s="299" t="b">
        <f t="shared" ca="1" si="18"/>
        <v>1</v>
      </c>
      <c r="K29" s="299" t="b">
        <f t="shared" ca="1" si="19"/>
        <v>1</v>
      </c>
      <c r="L29" s="299" t="b">
        <f t="shared" ca="1" si="20"/>
        <v>1</v>
      </c>
      <c r="M29" s="299" t="b">
        <f t="shared" ca="1" si="21"/>
        <v>1</v>
      </c>
      <c r="N29" s="299" t="b">
        <f t="shared" ca="1" si="22"/>
        <v>1</v>
      </c>
      <c r="O29" s="297">
        <f t="shared" ca="1" si="23"/>
        <v>41818</v>
      </c>
      <c r="P29" s="298">
        <f ca="1">COUNTIFS('Defect Dump'!$S$3:$S$10000,$B29,'Defect Dump'!$H$3:$H$10000,"Closed",'Defect Dump'!$I$3:$I$10000,"Blocker")</f>
        <v>0</v>
      </c>
      <c r="Q29" s="298">
        <f ca="1">COUNTIFS('Defect Dump'!$S$3:$S$10000,$B29,'Defect Dump'!$H$3:$H$10000,"Closed",'Defect Dump'!$I$3:$I$10000,"Critical")</f>
        <v>1</v>
      </c>
      <c r="R29" s="298">
        <f ca="1">COUNTIFS('Defect Dump'!$S$3:$S$10000,$B29,'Defect Dump'!$H$3:$H$10000,"Closed",'Defect Dump'!$I$3:$I$10000,"Major")</f>
        <v>2</v>
      </c>
      <c r="S29" s="298">
        <f ca="1">COUNTIFS('Defect Dump'!$S$3:$S$10000,$B29,'Defect Dump'!$H$3:$H$10000,"Closed",'Defect Dump'!$I$3:$I$10000,"Minor")+COUNTIFS('Defect Dump'!$S$3:$S$10000,$B29,'Defect Dump'!$H$3:$H$10000,"Closed",'Defect Dump'!$I$3:$I$10000,"Trivial")</f>
        <v>3</v>
      </c>
      <c r="T29" s="298">
        <f t="shared" ca="1" si="24"/>
        <v>6</v>
      </c>
      <c r="U29" s="299" t="b">
        <f t="shared" ca="1" si="25"/>
        <v>1</v>
      </c>
      <c r="V29" s="299" t="b">
        <f t="shared" ca="1" si="26"/>
        <v>1</v>
      </c>
      <c r="W29" s="299" t="b">
        <f t="shared" ca="1" si="27"/>
        <v>1</v>
      </c>
      <c r="X29" s="299" t="b">
        <f t="shared" ca="1" si="28"/>
        <v>1</v>
      </c>
      <c r="Y29" s="299" t="b">
        <f t="shared" ca="1" si="29"/>
        <v>1</v>
      </c>
      <c r="Z29" s="299" t="b">
        <f t="shared" ca="1" si="30"/>
        <v>1</v>
      </c>
      <c r="AA29" s="297">
        <f t="shared" ca="1" si="31"/>
        <v>41818</v>
      </c>
      <c r="AB29" s="300">
        <f t="shared" ca="1" si="32"/>
        <v>4</v>
      </c>
      <c r="AC29" s="300">
        <f t="shared" ca="1" si="33"/>
        <v>269</v>
      </c>
      <c r="AD29" s="300">
        <f t="shared" ca="1" si="34"/>
        <v>6</v>
      </c>
      <c r="AE29" s="300">
        <f t="shared" ca="1" si="35"/>
        <v>59</v>
      </c>
      <c r="AF29" s="300">
        <f t="shared" ca="1" si="36"/>
        <v>210</v>
      </c>
      <c r="AG29" s="300">
        <f t="shared" ca="1" si="37"/>
        <v>0</v>
      </c>
      <c r="AH29" s="300">
        <f t="shared" ca="1" si="38"/>
        <v>1</v>
      </c>
      <c r="AI29" s="300">
        <f t="shared" ca="1" si="39"/>
        <v>1</v>
      </c>
      <c r="AJ29" s="300">
        <f t="shared" ca="1" si="40"/>
        <v>2</v>
      </c>
      <c r="AK29" s="300">
        <f t="shared" ca="1" si="41"/>
        <v>4</v>
      </c>
      <c r="AL29" s="300">
        <f t="shared" ca="1" si="42"/>
        <v>0</v>
      </c>
      <c r="AM29" s="300">
        <f t="shared" ca="1" si="43"/>
        <v>1</v>
      </c>
      <c r="AN29" s="300">
        <f t="shared" ca="1" si="44"/>
        <v>2</v>
      </c>
      <c r="AO29" s="300">
        <f t="shared" ca="1" si="45"/>
        <v>3</v>
      </c>
      <c r="AP29" s="300">
        <f t="shared" ca="1" si="46"/>
        <v>6</v>
      </c>
    </row>
    <row r="30" spans="2:42" ht="21">
      <c r="B30" s="297">
        <f t="shared" ca="1" si="14"/>
        <v>41819</v>
      </c>
      <c r="C30" s="298">
        <f ca="1">COUNTIFS('Defect Dump'!$R$3:$R$10000,$B30,'Defect Dump'!$I$3:$I$10000,"Blocker")</f>
        <v>0</v>
      </c>
      <c r="D30" s="298">
        <f ca="1">COUNTIFS('Defect Dump'!$R$3:$R$10000,$B30,'Defect Dump'!$I$3:$I$10000,"Critical")</f>
        <v>0</v>
      </c>
      <c r="E30" s="298">
        <f ca="1">COUNTIFS('Defect Dump'!$R$3:$R$10000,$B30,'Defect Dump'!$I$3:$I$10000,"Major")</f>
        <v>0</v>
      </c>
      <c r="F30" s="298">
        <f ca="1">COUNTIFS('Defect Dump'!$R$3:$R$10000,$B30,'Defect Dump'!$I$3:$I$10000,"Minor")+COUNTIFS('Defect Dump'!$R$3:$R$10000,$B30,'Defect Dump'!$I$3:$I$10000,"Trivial")</f>
        <v>0</v>
      </c>
      <c r="G30" s="298">
        <f t="shared" ca="1" si="15"/>
        <v>0</v>
      </c>
      <c r="H30" s="299" t="b">
        <f t="shared" ca="1" si="16"/>
        <v>1</v>
      </c>
      <c r="I30" s="299" t="b">
        <f t="shared" ca="1" si="17"/>
        <v>1</v>
      </c>
      <c r="J30" s="299" t="b">
        <f t="shared" ca="1" si="18"/>
        <v>1</v>
      </c>
      <c r="K30" s="299" t="b">
        <f t="shared" ca="1" si="19"/>
        <v>1</v>
      </c>
      <c r="L30" s="299" t="b">
        <f t="shared" ca="1" si="20"/>
        <v>1</v>
      </c>
      <c r="M30" s="299" t="b">
        <f t="shared" ca="1" si="21"/>
        <v>1</v>
      </c>
      <c r="N30" s="299" t="b">
        <f t="shared" ca="1" si="22"/>
        <v>1</v>
      </c>
      <c r="O30" s="297">
        <f t="shared" ca="1" si="23"/>
        <v>41819</v>
      </c>
      <c r="P30" s="298">
        <f ca="1">COUNTIFS('Defect Dump'!$S$3:$S$10000,$B30,'Defect Dump'!$H$3:$H$10000,"Closed",'Defect Dump'!$I$3:$I$10000,"Blocker")</f>
        <v>0</v>
      </c>
      <c r="Q30" s="298">
        <f ca="1">COUNTIFS('Defect Dump'!$S$3:$S$10000,$B30,'Defect Dump'!$H$3:$H$10000,"Closed",'Defect Dump'!$I$3:$I$10000,"Critical")</f>
        <v>0</v>
      </c>
      <c r="R30" s="298">
        <f ca="1">COUNTIFS('Defect Dump'!$S$3:$S$10000,$B30,'Defect Dump'!$H$3:$H$10000,"Closed",'Defect Dump'!$I$3:$I$10000,"Major")</f>
        <v>1</v>
      </c>
      <c r="S30" s="298">
        <f ca="1">COUNTIFS('Defect Dump'!$S$3:$S$10000,$B30,'Defect Dump'!$H$3:$H$10000,"Closed",'Defect Dump'!$I$3:$I$10000,"Minor")+COUNTIFS('Defect Dump'!$S$3:$S$10000,$B30,'Defect Dump'!$H$3:$H$10000,"Closed",'Defect Dump'!$I$3:$I$10000,"Trivial")</f>
        <v>2</v>
      </c>
      <c r="T30" s="298">
        <f t="shared" ca="1" si="24"/>
        <v>3</v>
      </c>
      <c r="U30" s="299" t="b">
        <f t="shared" ca="1" si="25"/>
        <v>1</v>
      </c>
      <c r="V30" s="299" t="b">
        <f t="shared" ca="1" si="26"/>
        <v>1</v>
      </c>
      <c r="W30" s="299" t="b">
        <f t="shared" ca="1" si="27"/>
        <v>1</v>
      </c>
      <c r="X30" s="299" t="b">
        <f t="shared" ca="1" si="28"/>
        <v>1</v>
      </c>
      <c r="Y30" s="299" t="b">
        <f t="shared" ca="1" si="29"/>
        <v>1</v>
      </c>
      <c r="Z30" s="299" t="b">
        <f t="shared" ca="1" si="30"/>
        <v>1</v>
      </c>
      <c r="AA30" s="297">
        <f t="shared" ca="1" si="31"/>
        <v>41819</v>
      </c>
      <c r="AB30" s="300">
        <f t="shared" ca="1" si="32"/>
        <v>0</v>
      </c>
      <c r="AC30" s="300">
        <f t="shared" ca="1" si="33"/>
        <v>269</v>
      </c>
      <c r="AD30" s="300">
        <f t="shared" ca="1" si="34"/>
        <v>3</v>
      </c>
      <c r="AE30" s="300">
        <f t="shared" ca="1" si="35"/>
        <v>62</v>
      </c>
      <c r="AF30" s="300">
        <f t="shared" ca="1" si="36"/>
        <v>207</v>
      </c>
      <c r="AG30" s="300">
        <f t="shared" ca="1" si="37"/>
        <v>0</v>
      </c>
      <c r="AH30" s="300">
        <f t="shared" ca="1" si="38"/>
        <v>0</v>
      </c>
      <c r="AI30" s="300">
        <f t="shared" ca="1" si="39"/>
        <v>0</v>
      </c>
      <c r="AJ30" s="300">
        <f t="shared" ca="1" si="40"/>
        <v>0</v>
      </c>
      <c r="AK30" s="300">
        <f t="shared" ca="1" si="41"/>
        <v>0</v>
      </c>
      <c r="AL30" s="300">
        <f t="shared" ca="1" si="42"/>
        <v>0</v>
      </c>
      <c r="AM30" s="300">
        <f t="shared" ca="1" si="43"/>
        <v>0</v>
      </c>
      <c r="AN30" s="300">
        <f t="shared" ca="1" si="44"/>
        <v>1</v>
      </c>
      <c r="AO30" s="300">
        <f t="shared" ca="1" si="45"/>
        <v>2</v>
      </c>
      <c r="AP30" s="300">
        <f t="shared" ca="1" si="46"/>
        <v>3</v>
      </c>
    </row>
    <row r="31" spans="2:42" ht="21">
      <c r="B31" s="297">
        <f t="shared" ca="1" si="14"/>
        <v>41820</v>
      </c>
      <c r="C31" s="298">
        <f ca="1">COUNTIFS('Defect Dump'!$R$3:$R$10000,$B31,'Defect Dump'!$I$3:$I$10000,"Blocker")</f>
        <v>4</v>
      </c>
      <c r="D31" s="298">
        <f ca="1">COUNTIFS('Defect Dump'!$R$3:$R$10000,$B31,'Defect Dump'!$I$3:$I$10000,"Critical")</f>
        <v>3</v>
      </c>
      <c r="E31" s="298">
        <f ca="1">COUNTIFS('Defect Dump'!$R$3:$R$10000,$B31,'Defect Dump'!$I$3:$I$10000,"Major")</f>
        <v>5</v>
      </c>
      <c r="F31" s="298">
        <f ca="1">COUNTIFS('Defect Dump'!$R$3:$R$10000,$B31,'Defect Dump'!$I$3:$I$10000,"Minor")+COUNTIFS('Defect Dump'!$R$3:$R$10000,$B31,'Defect Dump'!$I$3:$I$10000,"Trivial")</f>
        <v>7</v>
      </c>
      <c r="G31" s="298">
        <f t="shared" ca="1" si="15"/>
        <v>19</v>
      </c>
      <c r="H31" s="299" t="b">
        <f t="shared" ca="1" si="16"/>
        <v>1</v>
      </c>
      <c r="I31" s="299" t="b">
        <f t="shared" ca="1" si="17"/>
        <v>1</v>
      </c>
      <c r="J31" s="299" t="b">
        <f t="shared" ca="1" si="18"/>
        <v>1</v>
      </c>
      <c r="K31" s="299" t="b">
        <f t="shared" ca="1" si="19"/>
        <v>1</v>
      </c>
      <c r="L31" s="299" t="b">
        <f t="shared" ca="1" si="20"/>
        <v>1</v>
      </c>
      <c r="M31" s="299" t="b">
        <f t="shared" ca="1" si="21"/>
        <v>1</v>
      </c>
      <c r="N31" s="299" t="b">
        <f t="shared" ca="1" si="22"/>
        <v>1</v>
      </c>
      <c r="O31" s="297">
        <f t="shared" ca="1" si="23"/>
        <v>41820</v>
      </c>
      <c r="P31" s="298">
        <f ca="1">COUNTIFS('Defect Dump'!$S$3:$S$10000,$B31,'Defect Dump'!$H$3:$H$10000,"Closed",'Defect Dump'!$I$3:$I$10000,"Blocker")</f>
        <v>0</v>
      </c>
      <c r="Q31" s="298">
        <f ca="1">COUNTIFS('Defect Dump'!$S$3:$S$10000,$B31,'Defect Dump'!$H$3:$H$10000,"Closed",'Defect Dump'!$I$3:$I$10000,"Critical")</f>
        <v>3</v>
      </c>
      <c r="R31" s="298">
        <f ca="1">COUNTIFS('Defect Dump'!$S$3:$S$10000,$B31,'Defect Dump'!$H$3:$H$10000,"Closed",'Defect Dump'!$I$3:$I$10000,"Major")</f>
        <v>5</v>
      </c>
      <c r="S31" s="298">
        <f ca="1">COUNTIFS('Defect Dump'!$S$3:$S$10000,$B31,'Defect Dump'!$H$3:$H$10000,"Closed",'Defect Dump'!$I$3:$I$10000,"Minor")+COUNTIFS('Defect Dump'!$S$3:$S$10000,$B31,'Defect Dump'!$H$3:$H$10000,"Closed",'Defect Dump'!$I$3:$I$10000,"Trivial")</f>
        <v>2</v>
      </c>
      <c r="T31" s="298">
        <f t="shared" ca="1" si="24"/>
        <v>10</v>
      </c>
      <c r="U31" s="299" t="b">
        <f t="shared" ca="1" si="25"/>
        <v>1</v>
      </c>
      <c r="V31" s="299" t="b">
        <f t="shared" ca="1" si="26"/>
        <v>1</v>
      </c>
      <c r="W31" s="299" t="b">
        <f t="shared" ca="1" si="27"/>
        <v>1</v>
      </c>
      <c r="X31" s="299" t="b">
        <f t="shared" ca="1" si="28"/>
        <v>1</v>
      </c>
      <c r="Y31" s="299" t="b">
        <f t="shared" ca="1" si="29"/>
        <v>1</v>
      </c>
      <c r="Z31" s="299" t="b">
        <f t="shared" ca="1" si="30"/>
        <v>1</v>
      </c>
      <c r="AA31" s="297">
        <f t="shared" ca="1" si="31"/>
        <v>41820</v>
      </c>
      <c r="AB31" s="300">
        <f t="shared" ca="1" si="32"/>
        <v>19</v>
      </c>
      <c r="AC31" s="300">
        <f t="shared" ca="1" si="33"/>
        <v>288</v>
      </c>
      <c r="AD31" s="300">
        <f t="shared" ca="1" si="34"/>
        <v>10</v>
      </c>
      <c r="AE31" s="300">
        <f t="shared" ca="1" si="35"/>
        <v>72</v>
      </c>
      <c r="AF31" s="300">
        <f t="shared" ca="1" si="36"/>
        <v>216</v>
      </c>
      <c r="AG31" s="300">
        <f t="shared" ca="1" si="37"/>
        <v>4</v>
      </c>
      <c r="AH31" s="300">
        <f t="shared" ca="1" si="38"/>
        <v>3</v>
      </c>
      <c r="AI31" s="300">
        <f t="shared" ca="1" si="39"/>
        <v>5</v>
      </c>
      <c r="AJ31" s="300">
        <f t="shared" ca="1" si="40"/>
        <v>7</v>
      </c>
      <c r="AK31" s="300">
        <f t="shared" ca="1" si="41"/>
        <v>19</v>
      </c>
      <c r="AL31" s="300">
        <f t="shared" ca="1" si="42"/>
        <v>0</v>
      </c>
      <c r="AM31" s="300">
        <f t="shared" ca="1" si="43"/>
        <v>3</v>
      </c>
      <c r="AN31" s="300">
        <f t="shared" ca="1" si="44"/>
        <v>5</v>
      </c>
      <c r="AO31" s="300">
        <f t="shared" ca="1" si="45"/>
        <v>2</v>
      </c>
      <c r="AP31" s="300">
        <f t="shared" ca="1" si="46"/>
        <v>10</v>
      </c>
    </row>
    <row r="32" spans="2:42" ht="21">
      <c r="B32" s="297">
        <f t="shared" ca="1" si="14"/>
        <v>41821</v>
      </c>
      <c r="C32" s="298">
        <f ca="1">COUNTIFS('Defect Dump'!$R$3:$R$10000,$B32,'Defect Dump'!$I$3:$I$10000,"Blocker")</f>
        <v>0</v>
      </c>
      <c r="D32" s="298">
        <f ca="1">COUNTIFS('Defect Dump'!$R$3:$R$10000,$B32,'Defect Dump'!$I$3:$I$10000,"Critical")</f>
        <v>0</v>
      </c>
      <c r="E32" s="298">
        <f ca="1">COUNTIFS('Defect Dump'!$R$3:$R$10000,$B32,'Defect Dump'!$I$3:$I$10000,"Major")</f>
        <v>0</v>
      </c>
      <c r="F32" s="298">
        <f ca="1">COUNTIFS('Defect Dump'!$R$3:$R$10000,$B32,'Defect Dump'!$I$3:$I$10000,"Minor")+COUNTIFS('Defect Dump'!$R$3:$R$10000,$B32,'Defect Dump'!$I$3:$I$10000,"Trivial")</f>
        <v>0</v>
      </c>
      <c r="G32" s="298">
        <f t="shared" ca="1" si="15"/>
        <v>0</v>
      </c>
      <c r="H32" s="299" t="b">
        <f t="shared" ca="1" si="16"/>
        <v>1</v>
      </c>
      <c r="I32" s="299" t="b">
        <f t="shared" ca="1" si="17"/>
        <v>1</v>
      </c>
      <c r="J32" s="299" t="b">
        <f t="shared" ca="1" si="18"/>
        <v>1</v>
      </c>
      <c r="K32" s="299" t="b">
        <f t="shared" ca="1" si="19"/>
        <v>1</v>
      </c>
      <c r="L32" s="299" t="b">
        <f t="shared" ca="1" si="20"/>
        <v>1</v>
      </c>
      <c r="M32" s="299" t="b">
        <f t="shared" ca="1" si="21"/>
        <v>1</v>
      </c>
      <c r="N32" s="299" t="b">
        <f t="shared" ca="1" si="22"/>
        <v>1</v>
      </c>
      <c r="O32" s="297">
        <f t="shared" ca="1" si="23"/>
        <v>41821</v>
      </c>
      <c r="P32" s="298">
        <f ca="1">COUNTIFS('Defect Dump'!$S$3:$S$10000,$B32,'Defect Dump'!$H$3:$H$10000,"Closed",'Defect Dump'!$I$3:$I$10000,"Blocker")</f>
        <v>0</v>
      </c>
      <c r="Q32" s="298">
        <f ca="1">COUNTIFS('Defect Dump'!$S$3:$S$10000,$B32,'Defect Dump'!$H$3:$H$10000,"Closed",'Defect Dump'!$I$3:$I$10000,"Critical")</f>
        <v>0</v>
      </c>
      <c r="R32" s="298">
        <f ca="1">COUNTIFS('Defect Dump'!$S$3:$S$10000,$B32,'Defect Dump'!$H$3:$H$10000,"Closed",'Defect Dump'!$I$3:$I$10000,"Major")</f>
        <v>0</v>
      </c>
      <c r="S32" s="298">
        <f ca="1">COUNTIFS('Defect Dump'!$S$3:$S$10000,$B32,'Defect Dump'!$H$3:$H$10000,"Closed",'Defect Dump'!$I$3:$I$10000,"Minor")+COUNTIFS('Defect Dump'!$S$3:$S$10000,$B32,'Defect Dump'!$H$3:$H$10000,"Closed",'Defect Dump'!$I$3:$I$10000,"Trivial")</f>
        <v>0</v>
      </c>
      <c r="T32" s="298">
        <f t="shared" ca="1" si="24"/>
        <v>0</v>
      </c>
      <c r="U32" s="299" t="b">
        <f t="shared" ca="1" si="25"/>
        <v>1</v>
      </c>
      <c r="V32" s="299" t="b">
        <f t="shared" ca="1" si="26"/>
        <v>1</v>
      </c>
      <c r="W32" s="299" t="b">
        <f t="shared" ca="1" si="27"/>
        <v>1</v>
      </c>
      <c r="X32" s="299" t="b">
        <f t="shared" ca="1" si="28"/>
        <v>1</v>
      </c>
      <c r="Y32" s="299" t="b">
        <f t="shared" ca="1" si="29"/>
        <v>1</v>
      </c>
      <c r="Z32" s="299" t="b">
        <f t="shared" ca="1" si="30"/>
        <v>1</v>
      </c>
      <c r="AA32" s="297">
        <f t="shared" ca="1" si="31"/>
        <v>41821</v>
      </c>
      <c r="AB32" s="300">
        <f t="shared" ca="1" si="32"/>
        <v>0</v>
      </c>
      <c r="AC32" s="300">
        <f t="shared" ca="1" si="33"/>
        <v>288</v>
      </c>
      <c r="AD32" s="300">
        <f t="shared" ca="1" si="34"/>
        <v>0</v>
      </c>
      <c r="AE32" s="300">
        <f t="shared" ca="1" si="35"/>
        <v>72</v>
      </c>
      <c r="AF32" s="300">
        <f t="shared" ca="1" si="36"/>
        <v>216</v>
      </c>
      <c r="AG32" s="300">
        <f t="shared" ca="1" si="37"/>
        <v>0</v>
      </c>
      <c r="AH32" s="300">
        <f t="shared" ca="1" si="38"/>
        <v>0</v>
      </c>
      <c r="AI32" s="300">
        <f t="shared" ca="1" si="39"/>
        <v>0</v>
      </c>
      <c r="AJ32" s="300">
        <f t="shared" ca="1" si="40"/>
        <v>0</v>
      </c>
      <c r="AK32" s="300">
        <f t="shared" ca="1" si="41"/>
        <v>0</v>
      </c>
      <c r="AL32" s="300">
        <f t="shared" ca="1" si="42"/>
        <v>0</v>
      </c>
      <c r="AM32" s="300">
        <f t="shared" ca="1" si="43"/>
        <v>0</v>
      </c>
      <c r="AN32" s="300">
        <f t="shared" ca="1" si="44"/>
        <v>0</v>
      </c>
      <c r="AO32" s="300">
        <f t="shared" ca="1" si="45"/>
        <v>0</v>
      </c>
      <c r="AP32" s="300">
        <f t="shared" ca="1" si="46"/>
        <v>0</v>
      </c>
    </row>
    <row r="33" spans="2:42" ht="21">
      <c r="B33" s="297">
        <f t="shared" ca="1" si="14"/>
        <v>41822</v>
      </c>
      <c r="C33" s="298">
        <f ca="1">COUNTIFS('Defect Dump'!$R$3:$R$10000,$B33,'Defect Dump'!$I$3:$I$10000,"Blocker")</f>
        <v>0</v>
      </c>
      <c r="D33" s="298">
        <f ca="1">COUNTIFS('Defect Dump'!$R$3:$R$10000,$B33,'Defect Dump'!$I$3:$I$10000,"Critical")</f>
        <v>0</v>
      </c>
      <c r="E33" s="298">
        <f ca="1">COUNTIFS('Defect Dump'!$R$3:$R$10000,$B33,'Defect Dump'!$I$3:$I$10000,"Major")</f>
        <v>0</v>
      </c>
      <c r="F33" s="298">
        <f ca="1">COUNTIFS('Defect Dump'!$R$3:$R$10000,$B33,'Defect Dump'!$I$3:$I$10000,"Minor")+COUNTIFS('Defect Dump'!$R$3:$R$10000,$B33,'Defect Dump'!$I$3:$I$10000,"Trivial")</f>
        <v>0</v>
      </c>
      <c r="G33" s="298">
        <f t="shared" ca="1" si="15"/>
        <v>0</v>
      </c>
      <c r="H33" s="299" t="b">
        <f t="shared" ca="1" si="16"/>
        <v>1</v>
      </c>
      <c r="I33" s="299" t="b">
        <f t="shared" ca="1" si="17"/>
        <v>1</v>
      </c>
      <c r="J33" s="299" t="b">
        <f t="shared" ca="1" si="18"/>
        <v>1</v>
      </c>
      <c r="K33" s="299" t="b">
        <f t="shared" ca="1" si="19"/>
        <v>1</v>
      </c>
      <c r="L33" s="299" t="b">
        <f t="shared" ca="1" si="20"/>
        <v>1</v>
      </c>
      <c r="M33" s="299" t="b">
        <f t="shared" ca="1" si="21"/>
        <v>1</v>
      </c>
      <c r="N33" s="299" t="b">
        <f t="shared" ca="1" si="22"/>
        <v>1</v>
      </c>
      <c r="O33" s="297">
        <f t="shared" ca="1" si="23"/>
        <v>41822</v>
      </c>
      <c r="P33" s="298">
        <f ca="1">COUNTIFS('Defect Dump'!$S$3:$S$10000,$B33,'Defect Dump'!$H$3:$H$10000,"Closed",'Defect Dump'!$I$3:$I$10000,"Blocker")</f>
        <v>0</v>
      </c>
      <c r="Q33" s="298">
        <f ca="1">COUNTIFS('Defect Dump'!$S$3:$S$10000,$B33,'Defect Dump'!$H$3:$H$10000,"Closed",'Defect Dump'!$I$3:$I$10000,"Critical")</f>
        <v>0</v>
      </c>
      <c r="R33" s="298">
        <f ca="1">COUNTIFS('Defect Dump'!$S$3:$S$10000,$B33,'Defect Dump'!$H$3:$H$10000,"Closed",'Defect Dump'!$I$3:$I$10000,"Major")</f>
        <v>0</v>
      </c>
      <c r="S33" s="298">
        <f ca="1">COUNTIFS('Defect Dump'!$S$3:$S$10000,$B33,'Defect Dump'!$H$3:$H$10000,"Closed",'Defect Dump'!$I$3:$I$10000,"Minor")+COUNTIFS('Defect Dump'!$S$3:$S$10000,$B33,'Defect Dump'!$H$3:$H$10000,"Closed",'Defect Dump'!$I$3:$I$10000,"Trivial")</f>
        <v>0</v>
      </c>
      <c r="T33" s="298">
        <f t="shared" ca="1" si="24"/>
        <v>0</v>
      </c>
      <c r="U33" s="299" t="b">
        <f t="shared" ca="1" si="25"/>
        <v>1</v>
      </c>
      <c r="V33" s="299" t="b">
        <f t="shared" ca="1" si="26"/>
        <v>1</v>
      </c>
      <c r="W33" s="299" t="b">
        <f t="shared" ca="1" si="27"/>
        <v>1</v>
      </c>
      <c r="X33" s="299" t="b">
        <f t="shared" ca="1" si="28"/>
        <v>1</v>
      </c>
      <c r="Y33" s="299" t="b">
        <f t="shared" ca="1" si="29"/>
        <v>1</v>
      </c>
      <c r="Z33" s="299" t="b">
        <f t="shared" ca="1" si="30"/>
        <v>1</v>
      </c>
      <c r="AA33" s="297">
        <f t="shared" ca="1" si="31"/>
        <v>41822</v>
      </c>
      <c r="AB33" s="300">
        <f t="shared" ca="1" si="32"/>
        <v>0</v>
      </c>
      <c r="AC33" s="300">
        <f t="shared" ca="1" si="33"/>
        <v>288</v>
      </c>
      <c r="AD33" s="300">
        <f t="shared" ca="1" si="34"/>
        <v>0</v>
      </c>
      <c r="AE33" s="300">
        <f t="shared" ca="1" si="35"/>
        <v>72</v>
      </c>
      <c r="AF33" s="300">
        <f t="shared" ca="1" si="36"/>
        <v>216</v>
      </c>
      <c r="AG33" s="300">
        <f t="shared" ca="1" si="37"/>
        <v>0</v>
      </c>
      <c r="AH33" s="300">
        <f t="shared" ca="1" si="38"/>
        <v>0</v>
      </c>
      <c r="AI33" s="300">
        <f t="shared" ca="1" si="39"/>
        <v>0</v>
      </c>
      <c r="AJ33" s="300">
        <f t="shared" ca="1" si="40"/>
        <v>0</v>
      </c>
      <c r="AK33" s="300">
        <f t="shared" ca="1" si="41"/>
        <v>0</v>
      </c>
      <c r="AL33" s="300">
        <f t="shared" ca="1" si="42"/>
        <v>0</v>
      </c>
      <c r="AM33" s="300">
        <f t="shared" ca="1" si="43"/>
        <v>0</v>
      </c>
      <c r="AN33" s="300">
        <f t="shared" ca="1" si="44"/>
        <v>0</v>
      </c>
      <c r="AO33" s="300">
        <f t="shared" ca="1" si="45"/>
        <v>0</v>
      </c>
      <c r="AP33" s="300">
        <f t="shared" ca="1" si="46"/>
        <v>0</v>
      </c>
    </row>
    <row r="34" spans="2:42" ht="21">
      <c r="B34" s="297">
        <f t="shared" ca="1" si="14"/>
        <v>41823</v>
      </c>
      <c r="C34" s="298">
        <f ca="1">COUNTIFS('Defect Dump'!$R$3:$R$10000,$B34,'Defect Dump'!$I$3:$I$10000,"Blocker")</f>
        <v>0</v>
      </c>
      <c r="D34" s="298">
        <f ca="1">COUNTIFS('Defect Dump'!$R$3:$R$10000,$B34,'Defect Dump'!$I$3:$I$10000,"Critical")</f>
        <v>79</v>
      </c>
      <c r="E34" s="298">
        <f ca="1">COUNTIFS('Defect Dump'!$R$3:$R$10000,$B34,'Defect Dump'!$I$3:$I$10000,"Major")</f>
        <v>5</v>
      </c>
      <c r="F34" s="298">
        <f ca="1">COUNTIFS('Defect Dump'!$R$3:$R$10000,$B34,'Defect Dump'!$I$3:$I$10000,"Minor")+COUNTIFS('Defect Dump'!$R$3:$R$10000,$B34,'Defect Dump'!$I$3:$I$10000,"Trivial")</f>
        <v>3</v>
      </c>
      <c r="G34" s="298">
        <f t="shared" ca="1" si="15"/>
        <v>87</v>
      </c>
      <c r="H34" s="299" t="b">
        <f t="shared" ca="1" si="16"/>
        <v>1</v>
      </c>
      <c r="I34" s="299" t="b">
        <f t="shared" ca="1" si="17"/>
        <v>1</v>
      </c>
      <c r="J34" s="299" t="b">
        <f t="shared" ca="1" si="18"/>
        <v>1</v>
      </c>
      <c r="K34" s="299" t="b">
        <f t="shared" ca="1" si="19"/>
        <v>1</v>
      </c>
      <c r="L34" s="299" t="b">
        <f t="shared" ca="1" si="20"/>
        <v>1</v>
      </c>
      <c r="M34" s="299" t="b">
        <f t="shared" ca="1" si="21"/>
        <v>1</v>
      </c>
      <c r="N34" s="299" t="b">
        <f t="shared" ca="1" si="22"/>
        <v>1</v>
      </c>
      <c r="O34" s="297">
        <f t="shared" ca="1" si="23"/>
        <v>41823</v>
      </c>
      <c r="P34" s="298">
        <f ca="1">COUNTIFS('Defect Dump'!$S$3:$S$10000,$B34,'Defect Dump'!$H$3:$H$10000,"Closed",'Defect Dump'!$I$3:$I$10000,"Blocker")</f>
        <v>0</v>
      </c>
      <c r="Q34" s="298">
        <f ca="1">COUNTIFS('Defect Dump'!$S$3:$S$10000,$B34,'Defect Dump'!$H$3:$H$10000,"Closed",'Defect Dump'!$I$3:$I$10000,"Critical")</f>
        <v>0</v>
      </c>
      <c r="R34" s="298">
        <f ca="1">COUNTIFS('Defect Dump'!$S$3:$S$10000,$B34,'Defect Dump'!$H$3:$H$10000,"Closed",'Defect Dump'!$I$3:$I$10000,"Major")</f>
        <v>1</v>
      </c>
      <c r="S34" s="298">
        <f ca="1">COUNTIFS('Defect Dump'!$S$3:$S$10000,$B34,'Defect Dump'!$H$3:$H$10000,"Closed",'Defect Dump'!$I$3:$I$10000,"Minor")+COUNTIFS('Defect Dump'!$S$3:$S$10000,$B34,'Defect Dump'!$H$3:$H$10000,"Closed",'Defect Dump'!$I$3:$I$10000,"Trivial")</f>
        <v>0</v>
      </c>
      <c r="T34" s="298">
        <f t="shared" ca="1" si="24"/>
        <v>1</v>
      </c>
      <c r="U34" s="299" t="b">
        <f t="shared" ca="1" si="25"/>
        <v>1</v>
      </c>
      <c r="V34" s="299" t="b">
        <f t="shared" ca="1" si="26"/>
        <v>1</v>
      </c>
      <c r="W34" s="299" t="b">
        <f t="shared" ca="1" si="27"/>
        <v>1</v>
      </c>
      <c r="X34" s="299" t="b">
        <f t="shared" ca="1" si="28"/>
        <v>1</v>
      </c>
      <c r="Y34" s="299" t="b">
        <f t="shared" ca="1" si="29"/>
        <v>1</v>
      </c>
      <c r="Z34" s="299" t="b">
        <f t="shared" ca="1" si="30"/>
        <v>1</v>
      </c>
      <c r="AA34" s="297">
        <f t="shared" ca="1" si="31"/>
        <v>41823</v>
      </c>
      <c r="AB34" s="300">
        <f t="shared" ca="1" si="32"/>
        <v>87</v>
      </c>
      <c r="AC34" s="300">
        <f t="shared" ca="1" si="33"/>
        <v>375</v>
      </c>
      <c r="AD34" s="300">
        <f t="shared" ca="1" si="34"/>
        <v>1</v>
      </c>
      <c r="AE34" s="300">
        <f t="shared" ca="1" si="35"/>
        <v>73</v>
      </c>
      <c r="AF34" s="300">
        <f t="shared" ca="1" si="36"/>
        <v>302</v>
      </c>
      <c r="AG34" s="300">
        <f t="shared" ca="1" si="37"/>
        <v>0</v>
      </c>
      <c r="AH34" s="300">
        <f t="shared" ca="1" si="38"/>
        <v>79</v>
      </c>
      <c r="AI34" s="300">
        <f t="shared" ca="1" si="39"/>
        <v>5</v>
      </c>
      <c r="AJ34" s="300">
        <f t="shared" ca="1" si="40"/>
        <v>3</v>
      </c>
      <c r="AK34" s="300">
        <f t="shared" ca="1" si="41"/>
        <v>87</v>
      </c>
      <c r="AL34" s="300">
        <f t="shared" ca="1" si="42"/>
        <v>0</v>
      </c>
      <c r="AM34" s="300">
        <f t="shared" ca="1" si="43"/>
        <v>0</v>
      </c>
      <c r="AN34" s="300">
        <f t="shared" ca="1" si="44"/>
        <v>1</v>
      </c>
      <c r="AO34" s="300">
        <f t="shared" ca="1" si="45"/>
        <v>0</v>
      </c>
      <c r="AP34" s="300">
        <f t="shared" ca="1" si="46"/>
        <v>1</v>
      </c>
    </row>
    <row r="35" spans="2:42" ht="21">
      <c r="B35" s="297">
        <f t="shared" ca="1" si="14"/>
        <v>41824</v>
      </c>
      <c r="C35" s="298">
        <f ca="1">COUNTIFS('Defect Dump'!$R$3:$R$10000,$B35,'Defect Dump'!$I$3:$I$10000,"Blocker")</f>
        <v>0</v>
      </c>
      <c r="D35" s="298">
        <f ca="1">COUNTIFS('Defect Dump'!$R$3:$R$10000,$B35,'Defect Dump'!$I$3:$I$10000,"Critical")</f>
        <v>0</v>
      </c>
      <c r="E35" s="298">
        <f ca="1">COUNTIFS('Defect Dump'!$R$3:$R$10000,$B35,'Defect Dump'!$I$3:$I$10000,"Major")</f>
        <v>0</v>
      </c>
      <c r="F35" s="298">
        <f ca="1">COUNTIFS('Defect Dump'!$R$3:$R$10000,$B35,'Defect Dump'!$I$3:$I$10000,"Minor")+COUNTIFS('Defect Dump'!$R$3:$R$10000,$B35,'Defect Dump'!$I$3:$I$10000,"Trivial")</f>
        <v>0</v>
      </c>
      <c r="G35" s="298">
        <f t="shared" ca="1" si="15"/>
        <v>0</v>
      </c>
      <c r="H35" s="299" t="b">
        <f t="shared" ca="1" si="16"/>
        <v>1</v>
      </c>
      <c r="I35" s="299" t="b">
        <f t="shared" ca="1" si="17"/>
        <v>1</v>
      </c>
      <c r="J35" s="299" t="b">
        <f t="shared" ca="1" si="18"/>
        <v>1</v>
      </c>
      <c r="K35" s="299" t="b">
        <f t="shared" ca="1" si="19"/>
        <v>1</v>
      </c>
      <c r="L35" s="299" t="b">
        <f t="shared" ca="1" si="20"/>
        <v>1</v>
      </c>
      <c r="M35" s="299" t="b">
        <f t="shared" ca="1" si="21"/>
        <v>1</v>
      </c>
      <c r="N35" s="299" t="b">
        <f t="shared" ca="1" si="22"/>
        <v>1</v>
      </c>
      <c r="O35" s="297">
        <f t="shared" ca="1" si="23"/>
        <v>41824</v>
      </c>
      <c r="P35" s="298">
        <f ca="1">COUNTIFS('Defect Dump'!$S$3:$S$10000,$B35,'Defect Dump'!$H$3:$H$10000,"Closed",'Defect Dump'!$I$3:$I$10000,"Blocker")</f>
        <v>0</v>
      </c>
      <c r="Q35" s="298">
        <f ca="1">COUNTIFS('Defect Dump'!$S$3:$S$10000,$B35,'Defect Dump'!$H$3:$H$10000,"Closed",'Defect Dump'!$I$3:$I$10000,"Critical")</f>
        <v>0</v>
      </c>
      <c r="R35" s="298">
        <f ca="1">COUNTIFS('Defect Dump'!$S$3:$S$10000,$B35,'Defect Dump'!$H$3:$H$10000,"Closed",'Defect Dump'!$I$3:$I$10000,"Major")</f>
        <v>1</v>
      </c>
      <c r="S35" s="298">
        <f ca="1">COUNTIFS('Defect Dump'!$S$3:$S$10000,$B35,'Defect Dump'!$H$3:$H$10000,"Closed",'Defect Dump'!$I$3:$I$10000,"Minor")+COUNTIFS('Defect Dump'!$S$3:$S$10000,$B35,'Defect Dump'!$H$3:$H$10000,"Closed",'Defect Dump'!$I$3:$I$10000,"Trivial")</f>
        <v>1</v>
      </c>
      <c r="T35" s="298">
        <f t="shared" ca="1" si="24"/>
        <v>2</v>
      </c>
      <c r="U35" s="299" t="b">
        <f t="shared" ca="1" si="25"/>
        <v>1</v>
      </c>
      <c r="V35" s="299" t="b">
        <f t="shared" ca="1" si="26"/>
        <v>1</v>
      </c>
      <c r="W35" s="299" t="b">
        <f t="shared" ca="1" si="27"/>
        <v>1</v>
      </c>
      <c r="X35" s="299" t="b">
        <f t="shared" ca="1" si="28"/>
        <v>1</v>
      </c>
      <c r="Y35" s="299" t="b">
        <f t="shared" ca="1" si="29"/>
        <v>1</v>
      </c>
      <c r="Z35" s="299" t="b">
        <f t="shared" ca="1" si="30"/>
        <v>1</v>
      </c>
      <c r="AA35" s="297">
        <f t="shared" ca="1" si="31"/>
        <v>41824</v>
      </c>
      <c r="AB35" s="300">
        <f t="shared" ca="1" si="32"/>
        <v>0</v>
      </c>
      <c r="AC35" s="300">
        <f t="shared" ca="1" si="33"/>
        <v>375</v>
      </c>
      <c r="AD35" s="300">
        <f t="shared" ca="1" si="34"/>
        <v>2</v>
      </c>
      <c r="AE35" s="300">
        <f t="shared" ca="1" si="35"/>
        <v>75</v>
      </c>
      <c r="AF35" s="300">
        <f t="shared" ca="1" si="36"/>
        <v>300</v>
      </c>
      <c r="AG35" s="300">
        <f t="shared" ca="1" si="37"/>
        <v>0</v>
      </c>
      <c r="AH35" s="300">
        <f t="shared" ca="1" si="38"/>
        <v>0</v>
      </c>
      <c r="AI35" s="300">
        <f t="shared" ca="1" si="39"/>
        <v>0</v>
      </c>
      <c r="AJ35" s="300">
        <f t="shared" ca="1" si="40"/>
        <v>0</v>
      </c>
      <c r="AK35" s="300">
        <f t="shared" ca="1" si="41"/>
        <v>0</v>
      </c>
      <c r="AL35" s="300">
        <f t="shared" ca="1" si="42"/>
        <v>0</v>
      </c>
      <c r="AM35" s="300">
        <f t="shared" ca="1" si="43"/>
        <v>0</v>
      </c>
      <c r="AN35" s="300">
        <f t="shared" ca="1" si="44"/>
        <v>1</v>
      </c>
      <c r="AO35" s="300">
        <f t="shared" ca="1" si="45"/>
        <v>1</v>
      </c>
      <c r="AP35" s="300">
        <f t="shared" ca="1" si="46"/>
        <v>2</v>
      </c>
    </row>
    <row r="36" spans="2:42" ht="21">
      <c r="B36" s="297">
        <f t="shared" ca="1" si="14"/>
        <v>41825</v>
      </c>
      <c r="C36" s="298">
        <f ca="1">COUNTIFS('Defect Dump'!$R$3:$R$10000,$B36,'Defect Dump'!$I$3:$I$10000,"Blocker")</f>
        <v>0</v>
      </c>
      <c r="D36" s="298">
        <f ca="1">COUNTIFS('Defect Dump'!$R$3:$R$10000,$B36,'Defect Dump'!$I$3:$I$10000,"Critical")</f>
        <v>0</v>
      </c>
      <c r="E36" s="298">
        <f ca="1">COUNTIFS('Defect Dump'!$R$3:$R$10000,$B36,'Defect Dump'!$I$3:$I$10000,"Major")</f>
        <v>0</v>
      </c>
      <c r="F36" s="298">
        <f ca="1">COUNTIFS('Defect Dump'!$R$3:$R$10000,$B36,'Defect Dump'!$I$3:$I$10000,"Minor")+COUNTIFS('Defect Dump'!$R$3:$R$10000,$B36,'Defect Dump'!$I$3:$I$10000,"Trivial")</f>
        <v>0</v>
      </c>
      <c r="G36" s="298">
        <f t="shared" ca="1" si="15"/>
        <v>0</v>
      </c>
      <c r="H36" s="299" t="b">
        <f t="shared" ca="1" si="16"/>
        <v>1</v>
      </c>
      <c r="I36" s="299" t="b">
        <f t="shared" ca="1" si="17"/>
        <v>1</v>
      </c>
      <c r="J36" s="299" t="b">
        <f t="shared" ca="1" si="18"/>
        <v>1</v>
      </c>
      <c r="K36" s="299" t="b">
        <f t="shared" ca="1" si="19"/>
        <v>1</v>
      </c>
      <c r="L36" s="299" t="b">
        <f t="shared" ca="1" si="20"/>
        <v>1</v>
      </c>
      <c r="M36" s="299" t="b">
        <f t="shared" ca="1" si="21"/>
        <v>1</v>
      </c>
      <c r="N36" s="299" t="b">
        <f t="shared" ca="1" si="22"/>
        <v>1</v>
      </c>
      <c r="O36" s="297">
        <f t="shared" ca="1" si="23"/>
        <v>41825</v>
      </c>
      <c r="P36" s="298">
        <f ca="1">COUNTIFS('Defect Dump'!$S$3:$S$10000,$B36,'Defect Dump'!$H$3:$H$10000,"Closed",'Defect Dump'!$I$3:$I$10000,"Blocker")</f>
        <v>0</v>
      </c>
      <c r="Q36" s="298">
        <f ca="1">COUNTIFS('Defect Dump'!$S$3:$S$10000,$B36,'Defect Dump'!$H$3:$H$10000,"Closed",'Defect Dump'!$I$3:$I$10000,"Critical")</f>
        <v>0</v>
      </c>
      <c r="R36" s="298">
        <f ca="1">COUNTIFS('Defect Dump'!$S$3:$S$10000,$B36,'Defect Dump'!$H$3:$H$10000,"Closed",'Defect Dump'!$I$3:$I$10000,"Major")</f>
        <v>1</v>
      </c>
      <c r="S36" s="298">
        <f ca="1">COUNTIFS('Defect Dump'!$S$3:$S$10000,$B36,'Defect Dump'!$H$3:$H$10000,"Closed",'Defect Dump'!$I$3:$I$10000,"Minor")+COUNTIFS('Defect Dump'!$S$3:$S$10000,$B36,'Defect Dump'!$H$3:$H$10000,"Closed",'Defect Dump'!$I$3:$I$10000,"Trivial")</f>
        <v>1</v>
      </c>
      <c r="T36" s="298">
        <f t="shared" ca="1" si="24"/>
        <v>2</v>
      </c>
      <c r="U36" s="299" t="b">
        <f t="shared" ca="1" si="25"/>
        <v>1</v>
      </c>
      <c r="V36" s="299" t="b">
        <f t="shared" ca="1" si="26"/>
        <v>1</v>
      </c>
      <c r="W36" s="299" t="b">
        <f t="shared" ca="1" si="27"/>
        <v>1</v>
      </c>
      <c r="X36" s="299" t="b">
        <f t="shared" ca="1" si="28"/>
        <v>1</v>
      </c>
      <c r="Y36" s="299" t="b">
        <f t="shared" ca="1" si="29"/>
        <v>1</v>
      </c>
      <c r="Z36" s="299" t="b">
        <f t="shared" ca="1" si="30"/>
        <v>1</v>
      </c>
      <c r="AA36" s="297">
        <f t="shared" ca="1" si="31"/>
        <v>41825</v>
      </c>
      <c r="AB36" s="300">
        <f t="shared" ca="1" si="32"/>
        <v>0</v>
      </c>
      <c r="AC36" s="300">
        <f t="shared" ca="1" si="33"/>
        <v>375</v>
      </c>
      <c r="AD36" s="300">
        <f t="shared" ca="1" si="34"/>
        <v>2</v>
      </c>
      <c r="AE36" s="300">
        <f t="shared" ca="1" si="35"/>
        <v>77</v>
      </c>
      <c r="AF36" s="300">
        <f t="shared" ca="1" si="36"/>
        <v>298</v>
      </c>
      <c r="AG36" s="300">
        <f t="shared" ca="1" si="37"/>
        <v>0</v>
      </c>
      <c r="AH36" s="300">
        <f t="shared" ca="1" si="38"/>
        <v>0</v>
      </c>
      <c r="AI36" s="300">
        <f t="shared" ca="1" si="39"/>
        <v>0</v>
      </c>
      <c r="AJ36" s="300">
        <f t="shared" ca="1" si="40"/>
        <v>0</v>
      </c>
      <c r="AK36" s="300">
        <f t="shared" ca="1" si="41"/>
        <v>0</v>
      </c>
      <c r="AL36" s="300">
        <f t="shared" ca="1" si="42"/>
        <v>0</v>
      </c>
      <c r="AM36" s="300">
        <f t="shared" ca="1" si="43"/>
        <v>0</v>
      </c>
      <c r="AN36" s="300">
        <f t="shared" ca="1" si="44"/>
        <v>1</v>
      </c>
      <c r="AO36" s="300">
        <f t="shared" ca="1" si="45"/>
        <v>1</v>
      </c>
      <c r="AP36" s="300">
        <f t="shared" ca="1" si="46"/>
        <v>2</v>
      </c>
    </row>
    <row r="37" spans="2:42" ht="21">
      <c r="B37" s="297">
        <f t="shared" ca="1" si="14"/>
        <v>41826</v>
      </c>
      <c r="C37" s="298">
        <f ca="1">COUNTIFS('Defect Dump'!$R$3:$R$10000,$B37,'Defect Dump'!$I$3:$I$10000,"Blocker")</f>
        <v>5</v>
      </c>
      <c r="D37" s="298">
        <f ca="1">COUNTIFS('Defect Dump'!$R$3:$R$10000,$B37,'Defect Dump'!$I$3:$I$10000,"Critical")</f>
        <v>5</v>
      </c>
      <c r="E37" s="298">
        <f ca="1">COUNTIFS('Defect Dump'!$R$3:$R$10000,$B37,'Defect Dump'!$I$3:$I$10000,"Major")</f>
        <v>9</v>
      </c>
      <c r="F37" s="298">
        <f ca="1">COUNTIFS('Defect Dump'!$R$3:$R$10000,$B37,'Defect Dump'!$I$3:$I$10000,"Minor")+COUNTIFS('Defect Dump'!$R$3:$R$10000,$B37,'Defect Dump'!$I$3:$I$10000,"Trivial")</f>
        <v>4</v>
      </c>
      <c r="G37" s="298">
        <f t="shared" ca="1" si="15"/>
        <v>23</v>
      </c>
      <c r="H37" s="299" t="b">
        <f t="shared" ca="1" si="16"/>
        <v>1</v>
      </c>
      <c r="I37" s="299" t="b">
        <f t="shared" ca="1" si="17"/>
        <v>1</v>
      </c>
      <c r="J37" s="299" t="b">
        <f t="shared" ca="1" si="18"/>
        <v>1</v>
      </c>
      <c r="K37" s="299" t="b">
        <f t="shared" ca="1" si="19"/>
        <v>1</v>
      </c>
      <c r="L37" s="299" t="b">
        <f t="shared" ca="1" si="20"/>
        <v>1</v>
      </c>
      <c r="M37" s="299" t="b">
        <f t="shared" ca="1" si="21"/>
        <v>1</v>
      </c>
      <c r="N37" s="299" t="b">
        <f t="shared" ca="1" si="22"/>
        <v>1</v>
      </c>
      <c r="O37" s="297">
        <f t="shared" ca="1" si="23"/>
        <v>41826</v>
      </c>
      <c r="P37" s="298">
        <f ca="1">COUNTIFS('Defect Dump'!$S$3:$S$10000,$B37,'Defect Dump'!$H$3:$H$10000,"Closed",'Defect Dump'!$I$3:$I$10000,"Blocker")</f>
        <v>1</v>
      </c>
      <c r="Q37" s="298">
        <f ca="1">COUNTIFS('Defect Dump'!$S$3:$S$10000,$B37,'Defect Dump'!$H$3:$H$10000,"Closed",'Defect Dump'!$I$3:$I$10000,"Critical")</f>
        <v>8</v>
      </c>
      <c r="R37" s="298">
        <f ca="1">COUNTIFS('Defect Dump'!$S$3:$S$10000,$B37,'Defect Dump'!$H$3:$H$10000,"Closed",'Defect Dump'!$I$3:$I$10000,"Major")</f>
        <v>4</v>
      </c>
      <c r="S37" s="298">
        <f ca="1">COUNTIFS('Defect Dump'!$S$3:$S$10000,$B37,'Defect Dump'!$H$3:$H$10000,"Closed",'Defect Dump'!$I$3:$I$10000,"Minor")+COUNTIFS('Defect Dump'!$S$3:$S$10000,$B37,'Defect Dump'!$H$3:$H$10000,"Closed",'Defect Dump'!$I$3:$I$10000,"Trivial")</f>
        <v>1</v>
      </c>
      <c r="T37" s="298">
        <f t="shared" ca="1" si="24"/>
        <v>14</v>
      </c>
      <c r="U37" s="299" t="b">
        <f t="shared" ca="1" si="25"/>
        <v>1</v>
      </c>
      <c r="V37" s="299" t="b">
        <f t="shared" ca="1" si="26"/>
        <v>1</v>
      </c>
      <c r="W37" s="299" t="b">
        <f t="shared" ca="1" si="27"/>
        <v>1</v>
      </c>
      <c r="X37" s="299" t="b">
        <f t="shared" ca="1" si="28"/>
        <v>1</v>
      </c>
      <c r="Y37" s="299" t="b">
        <f t="shared" ca="1" si="29"/>
        <v>1</v>
      </c>
      <c r="Z37" s="299" t="b">
        <f t="shared" ca="1" si="30"/>
        <v>1</v>
      </c>
      <c r="AA37" s="297">
        <f t="shared" ca="1" si="31"/>
        <v>41826</v>
      </c>
      <c r="AB37" s="300">
        <f t="shared" ca="1" si="32"/>
        <v>23</v>
      </c>
      <c r="AC37" s="300">
        <f t="shared" ca="1" si="33"/>
        <v>398</v>
      </c>
      <c r="AD37" s="300">
        <f t="shared" ca="1" si="34"/>
        <v>14</v>
      </c>
      <c r="AE37" s="300">
        <f t="shared" ca="1" si="35"/>
        <v>91</v>
      </c>
      <c r="AF37" s="300">
        <f t="shared" ca="1" si="36"/>
        <v>307</v>
      </c>
      <c r="AG37" s="300">
        <f t="shared" ca="1" si="37"/>
        <v>5</v>
      </c>
      <c r="AH37" s="300">
        <f t="shared" ca="1" si="38"/>
        <v>5</v>
      </c>
      <c r="AI37" s="300">
        <f t="shared" ca="1" si="39"/>
        <v>9</v>
      </c>
      <c r="AJ37" s="300">
        <f t="shared" ca="1" si="40"/>
        <v>4</v>
      </c>
      <c r="AK37" s="300">
        <f t="shared" ca="1" si="41"/>
        <v>23</v>
      </c>
      <c r="AL37" s="300">
        <f t="shared" ca="1" si="42"/>
        <v>1</v>
      </c>
      <c r="AM37" s="300">
        <f t="shared" ca="1" si="43"/>
        <v>8</v>
      </c>
      <c r="AN37" s="300">
        <f t="shared" ca="1" si="44"/>
        <v>4</v>
      </c>
      <c r="AO37" s="300">
        <f t="shared" ca="1" si="45"/>
        <v>1</v>
      </c>
      <c r="AP37" s="300">
        <f t="shared" ca="1" si="46"/>
        <v>14</v>
      </c>
    </row>
    <row r="38" spans="2:42" ht="21">
      <c r="B38" s="297">
        <f t="shared" ca="1" si="14"/>
        <v>41827</v>
      </c>
      <c r="C38" s="298">
        <f ca="1">COUNTIFS('Defect Dump'!$R$3:$R$10000,$B38,'Defect Dump'!$I$3:$I$10000,"Blocker")</f>
        <v>0</v>
      </c>
      <c r="D38" s="298">
        <f ca="1">COUNTIFS('Defect Dump'!$R$3:$R$10000,$B38,'Defect Dump'!$I$3:$I$10000,"Critical")</f>
        <v>5</v>
      </c>
      <c r="E38" s="298">
        <f ca="1">COUNTIFS('Defect Dump'!$R$3:$R$10000,$B38,'Defect Dump'!$I$3:$I$10000,"Major")</f>
        <v>11</v>
      </c>
      <c r="F38" s="298">
        <f ca="1">COUNTIFS('Defect Dump'!$R$3:$R$10000,$B38,'Defect Dump'!$I$3:$I$10000,"Minor")+COUNTIFS('Defect Dump'!$R$3:$R$10000,$B38,'Defect Dump'!$I$3:$I$10000,"Trivial")</f>
        <v>3</v>
      </c>
      <c r="G38" s="298">
        <f t="shared" ca="1" si="15"/>
        <v>19</v>
      </c>
      <c r="H38" s="299" t="b">
        <f t="shared" ca="1" si="16"/>
        <v>1</v>
      </c>
      <c r="I38" s="299" t="b">
        <f t="shared" ca="1" si="17"/>
        <v>1</v>
      </c>
      <c r="J38" s="299" t="b">
        <f t="shared" ca="1" si="18"/>
        <v>1</v>
      </c>
      <c r="K38" s="299" t="b">
        <f t="shared" ca="1" si="19"/>
        <v>1</v>
      </c>
      <c r="L38" s="299" t="b">
        <f t="shared" ca="1" si="20"/>
        <v>1</v>
      </c>
      <c r="M38" s="299" t="b">
        <f t="shared" ca="1" si="21"/>
        <v>1</v>
      </c>
      <c r="N38" s="299" t="b">
        <f t="shared" ca="1" si="22"/>
        <v>1</v>
      </c>
      <c r="O38" s="297">
        <f t="shared" ca="1" si="23"/>
        <v>41827</v>
      </c>
      <c r="P38" s="298">
        <f ca="1">COUNTIFS('Defect Dump'!$S$3:$S$10000,$B38,'Defect Dump'!$H$3:$H$10000,"Closed",'Defect Dump'!$I$3:$I$10000,"Blocker")</f>
        <v>0</v>
      </c>
      <c r="Q38" s="298">
        <f ca="1">COUNTIFS('Defect Dump'!$S$3:$S$10000,$B38,'Defect Dump'!$H$3:$H$10000,"Closed",'Defect Dump'!$I$3:$I$10000,"Critical")</f>
        <v>3</v>
      </c>
      <c r="R38" s="298">
        <f ca="1">COUNTIFS('Defect Dump'!$S$3:$S$10000,$B38,'Defect Dump'!$H$3:$H$10000,"Closed",'Defect Dump'!$I$3:$I$10000,"Major")</f>
        <v>2</v>
      </c>
      <c r="S38" s="298">
        <f ca="1">COUNTIFS('Defect Dump'!$S$3:$S$10000,$B38,'Defect Dump'!$H$3:$H$10000,"Closed",'Defect Dump'!$I$3:$I$10000,"Minor")+COUNTIFS('Defect Dump'!$S$3:$S$10000,$B38,'Defect Dump'!$H$3:$H$10000,"Closed",'Defect Dump'!$I$3:$I$10000,"Trivial")</f>
        <v>4</v>
      </c>
      <c r="T38" s="298">
        <f t="shared" ca="1" si="24"/>
        <v>9</v>
      </c>
      <c r="U38" s="299" t="b">
        <f t="shared" ca="1" si="25"/>
        <v>1</v>
      </c>
      <c r="V38" s="299" t="b">
        <f t="shared" ca="1" si="26"/>
        <v>1</v>
      </c>
      <c r="W38" s="299" t="b">
        <f t="shared" ca="1" si="27"/>
        <v>1</v>
      </c>
      <c r="X38" s="299" t="b">
        <f t="shared" ca="1" si="28"/>
        <v>1</v>
      </c>
      <c r="Y38" s="299" t="b">
        <f t="shared" ca="1" si="29"/>
        <v>1</v>
      </c>
      <c r="Z38" s="299" t="b">
        <f t="shared" ca="1" si="30"/>
        <v>1</v>
      </c>
      <c r="AA38" s="297">
        <f t="shared" ca="1" si="31"/>
        <v>41827</v>
      </c>
      <c r="AB38" s="300">
        <f t="shared" ca="1" si="32"/>
        <v>19</v>
      </c>
      <c r="AC38" s="300">
        <f t="shared" ca="1" si="33"/>
        <v>417</v>
      </c>
      <c r="AD38" s="300">
        <f t="shared" ca="1" si="34"/>
        <v>9</v>
      </c>
      <c r="AE38" s="300">
        <f t="shared" ca="1" si="35"/>
        <v>100</v>
      </c>
      <c r="AF38" s="300">
        <f t="shared" ca="1" si="36"/>
        <v>317</v>
      </c>
      <c r="AG38" s="300">
        <f t="shared" ca="1" si="37"/>
        <v>0</v>
      </c>
      <c r="AH38" s="300">
        <f t="shared" ca="1" si="38"/>
        <v>5</v>
      </c>
      <c r="AI38" s="300">
        <f t="shared" ca="1" si="39"/>
        <v>11</v>
      </c>
      <c r="AJ38" s="300">
        <f t="shared" ca="1" si="40"/>
        <v>3</v>
      </c>
      <c r="AK38" s="300">
        <f t="shared" ca="1" si="41"/>
        <v>19</v>
      </c>
      <c r="AL38" s="300">
        <f t="shared" ca="1" si="42"/>
        <v>0</v>
      </c>
      <c r="AM38" s="300">
        <f t="shared" ca="1" si="43"/>
        <v>3</v>
      </c>
      <c r="AN38" s="300">
        <f t="shared" ca="1" si="44"/>
        <v>2</v>
      </c>
      <c r="AO38" s="300">
        <f t="shared" ca="1" si="45"/>
        <v>4</v>
      </c>
      <c r="AP38" s="300">
        <f t="shared" ca="1" si="46"/>
        <v>9</v>
      </c>
    </row>
    <row r="39" spans="2:42" ht="21">
      <c r="B39" s="297">
        <f t="shared" ca="1" si="14"/>
        <v>41828</v>
      </c>
      <c r="C39" s="298">
        <f ca="1">COUNTIFS('Defect Dump'!$R$3:$R$10000,$B39,'Defect Dump'!$I$3:$I$10000,"Blocker")</f>
        <v>3</v>
      </c>
      <c r="D39" s="298">
        <f ca="1">COUNTIFS('Defect Dump'!$R$3:$R$10000,$B39,'Defect Dump'!$I$3:$I$10000,"Critical")</f>
        <v>5</v>
      </c>
      <c r="E39" s="298">
        <f ca="1">COUNTIFS('Defect Dump'!$R$3:$R$10000,$B39,'Defect Dump'!$I$3:$I$10000,"Major")</f>
        <v>18</v>
      </c>
      <c r="F39" s="298">
        <f ca="1">COUNTIFS('Defect Dump'!$R$3:$R$10000,$B39,'Defect Dump'!$I$3:$I$10000,"Minor")+COUNTIFS('Defect Dump'!$R$3:$R$10000,$B39,'Defect Dump'!$I$3:$I$10000,"Trivial")</f>
        <v>15</v>
      </c>
      <c r="G39" s="298">
        <f t="shared" ca="1" si="15"/>
        <v>41</v>
      </c>
      <c r="H39" s="299" t="b">
        <f t="shared" ca="1" si="16"/>
        <v>1</v>
      </c>
      <c r="I39" s="299" t="b">
        <f t="shared" ca="1" si="17"/>
        <v>1</v>
      </c>
      <c r="J39" s="299" t="b">
        <f t="shared" ca="1" si="18"/>
        <v>1</v>
      </c>
      <c r="K39" s="299" t="b">
        <f t="shared" ca="1" si="19"/>
        <v>1</v>
      </c>
      <c r="L39" s="299" t="b">
        <f t="shared" ca="1" si="20"/>
        <v>1</v>
      </c>
      <c r="M39" s="299" t="b">
        <f t="shared" ca="1" si="21"/>
        <v>1</v>
      </c>
      <c r="N39" s="299" t="b">
        <f t="shared" ca="1" si="22"/>
        <v>1</v>
      </c>
      <c r="O39" s="297">
        <f t="shared" ca="1" si="23"/>
        <v>41828</v>
      </c>
      <c r="P39" s="298">
        <f ca="1">COUNTIFS('Defect Dump'!$S$3:$S$10000,$B39,'Defect Dump'!$H$3:$H$10000,"Closed",'Defect Dump'!$I$3:$I$10000,"Blocker")</f>
        <v>0</v>
      </c>
      <c r="Q39" s="298">
        <f ca="1">COUNTIFS('Defect Dump'!$S$3:$S$10000,$B39,'Defect Dump'!$H$3:$H$10000,"Closed",'Defect Dump'!$I$3:$I$10000,"Critical")</f>
        <v>1</v>
      </c>
      <c r="R39" s="298">
        <f ca="1">COUNTIFS('Defect Dump'!$S$3:$S$10000,$B39,'Defect Dump'!$H$3:$H$10000,"Closed",'Defect Dump'!$I$3:$I$10000,"Major")</f>
        <v>3</v>
      </c>
      <c r="S39" s="298">
        <f ca="1">COUNTIFS('Defect Dump'!$S$3:$S$10000,$B39,'Defect Dump'!$H$3:$H$10000,"Closed",'Defect Dump'!$I$3:$I$10000,"Minor")+COUNTIFS('Defect Dump'!$S$3:$S$10000,$B39,'Defect Dump'!$H$3:$H$10000,"Closed",'Defect Dump'!$I$3:$I$10000,"Trivial")</f>
        <v>2</v>
      </c>
      <c r="T39" s="298">
        <f t="shared" ca="1" si="24"/>
        <v>6</v>
      </c>
      <c r="U39" s="299" t="b">
        <f t="shared" ca="1" si="25"/>
        <v>1</v>
      </c>
      <c r="V39" s="299" t="b">
        <f t="shared" ca="1" si="26"/>
        <v>1</v>
      </c>
      <c r="W39" s="299" t="b">
        <f t="shared" ca="1" si="27"/>
        <v>1</v>
      </c>
      <c r="X39" s="299" t="b">
        <f t="shared" ca="1" si="28"/>
        <v>1</v>
      </c>
      <c r="Y39" s="299" t="b">
        <f t="shared" ca="1" si="29"/>
        <v>1</v>
      </c>
      <c r="Z39" s="299" t="b">
        <f t="shared" ca="1" si="30"/>
        <v>1</v>
      </c>
      <c r="AA39" s="297">
        <f t="shared" ca="1" si="31"/>
        <v>41828</v>
      </c>
      <c r="AB39" s="300">
        <f t="shared" ca="1" si="32"/>
        <v>41</v>
      </c>
      <c r="AC39" s="300">
        <f t="shared" ca="1" si="33"/>
        <v>458</v>
      </c>
      <c r="AD39" s="300">
        <f t="shared" ca="1" si="34"/>
        <v>6</v>
      </c>
      <c r="AE39" s="300">
        <f t="shared" ca="1" si="35"/>
        <v>106</v>
      </c>
      <c r="AF39" s="300">
        <f t="shared" ca="1" si="36"/>
        <v>352</v>
      </c>
      <c r="AG39" s="300">
        <f t="shared" ca="1" si="37"/>
        <v>3</v>
      </c>
      <c r="AH39" s="300">
        <f t="shared" ca="1" si="38"/>
        <v>5</v>
      </c>
      <c r="AI39" s="300">
        <f t="shared" ca="1" si="39"/>
        <v>18</v>
      </c>
      <c r="AJ39" s="300">
        <f t="shared" ca="1" si="40"/>
        <v>15</v>
      </c>
      <c r="AK39" s="300">
        <f t="shared" ca="1" si="41"/>
        <v>41</v>
      </c>
      <c r="AL39" s="300">
        <f t="shared" ca="1" si="42"/>
        <v>0</v>
      </c>
      <c r="AM39" s="300">
        <f t="shared" ca="1" si="43"/>
        <v>1</v>
      </c>
      <c r="AN39" s="300">
        <f t="shared" ca="1" si="44"/>
        <v>3</v>
      </c>
      <c r="AO39" s="300">
        <f t="shared" ca="1" si="45"/>
        <v>2</v>
      </c>
      <c r="AP39" s="300">
        <f t="shared" ca="1" si="46"/>
        <v>6</v>
      </c>
    </row>
    <row r="40" spans="2:42" ht="21">
      <c r="B40" s="297">
        <f t="shared" ca="1" si="14"/>
        <v>41829</v>
      </c>
      <c r="C40" s="298">
        <f ca="1">COUNTIFS('Defect Dump'!$R$3:$R$10000,$B40,'Defect Dump'!$I$3:$I$10000,"Blocker")</f>
        <v>1</v>
      </c>
      <c r="D40" s="298">
        <f ca="1">COUNTIFS('Defect Dump'!$R$3:$R$10000,$B40,'Defect Dump'!$I$3:$I$10000,"Critical")</f>
        <v>6</v>
      </c>
      <c r="E40" s="298">
        <f ca="1">COUNTIFS('Defect Dump'!$R$3:$R$10000,$B40,'Defect Dump'!$I$3:$I$10000,"Major")</f>
        <v>7</v>
      </c>
      <c r="F40" s="298">
        <f ca="1">COUNTIFS('Defect Dump'!$R$3:$R$10000,$B40,'Defect Dump'!$I$3:$I$10000,"Minor")+COUNTIFS('Defect Dump'!$R$3:$R$10000,$B40,'Defect Dump'!$I$3:$I$10000,"Trivial")</f>
        <v>3</v>
      </c>
      <c r="G40" s="298">
        <f t="shared" ca="1" si="15"/>
        <v>17</v>
      </c>
      <c r="H40" s="299" t="b">
        <f t="shared" ca="1" si="16"/>
        <v>1</v>
      </c>
      <c r="I40" s="299" t="b">
        <f t="shared" ca="1" si="17"/>
        <v>1</v>
      </c>
      <c r="J40" s="299" t="b">
        <f t="shared" ca="1" si="18"/>
        <v>1</v>
      </c>
      <c r="K40" s="299" t="b">
        <f t="shared" ca="1" si="19"/>
        <v>1</v>
      </c>
      <c r="L40" s="299" t="b">
        <f t="shared" ca="1" si="20"/>
        <v>1</v>
      </c>
      <c r="M40" s="299" t="b">
        <f t="shared" ca="1" si="21"/>
        <v>1</v>
      </c>
      <c r="N40" s="299" t="b">
        <f t="shared" ca="1" si="22"/>
        <v>1</v>
      </c>
      <c r="O40" s="297">
        <f t="shared" ca="1" si="23"/>
        <v>41829</v>
      </c>
      <c r="P40" s="298">
        <f ca="1">COUNTIFS('Defect Dump'!$S$3:$S$10000,$B40,'Defect Dump'!$H$3:$H$10000,"Closed",'Defect Dump'!$I$3:$I$10000,"Blocker")</f>
        <v>0</v>
      </c>
      <c r="Q40" s="298">
        <f ca="1">COUNTIFS('Defect Dump'!$S$3:$S$10000,$B40,'Defect Dump'!$H$3:$H$10000,"Closed",'Defect Dump'!$I$3:$I$10000,"Critical")</f>
        <v>3</v>
      </c>
      <c r="R40" s="298">
        <f ca="1">COUNTIFS('Defect Dump'!$S$3:$S$10000,$B40,'Defect Dump'!$H$3:$H$10000,"Closed",'Defect Dump'!$I$3:$I$10000,"Major")</f>
        <v>1</v>
      </c>
      <c r="S40" s="298">
        <f ca="1">COUNTIFS('Defect Dump'!$S$3:$S$10000,$B40,'Defect Dump'!$H$3:$H$10000,"Closed",'Defect Dump'!$I$3:$I$10000,"Minor")+COUNTIFS('Defect Dump'!$S$3:$S$10000,$B40,'Defect Dump'!$H$3:$H$10000,"Closed",'Defect Dump'!$I$3:$I$10000,"Trivial")</f>
        <v>0</v>
      </c>
      <c r="T40" s="298">
        <f t="shared" ca="1" si="24"/>
        <v>4</v>
      </c>
      <c r="U40" s="299" t="b">
        <f t="shared" ca="1" si="25"/>
        <v>1</v>
      </c>
      <c r="V40" s="299" t="b">
        <f t="shared" ca="1" si="26"/>
        <v>1</v>
      </c>
      <c r="W40" s="299" t="b">
        <f t="shared" ca="1" si="27"/>
        <v>1</v>
      </c>
      <c r="X40" s="299" t="b">
        <f t="shared" ca="1" si="28"/>
        <v>1</v>
      </c>
      <c r="Y40" s="299" t="b">
        <f t="shared" ca="1" si="29"/>
        <v>1</v>
      </c>
      <c r="Z40" s="299" t="b">
        <f t="shared" ca="1" si="30"/>
        <v>1</v>
      </c>
      <c r="AA40" s="297">
        <f t="shared" ca="1" si="31"/>
        <v>41829</v>
      </c>
      <c r="AB40" s="300">
        <f t="shared" ca="1" si="32"/>
        <v>17</v>
      </c>
      <c r="AC40" s="300">
        <f t="shared" ca="1" si="33"/>
        <v>475</v>
      </c>
      <c r="AD40" s="300">
        <f t="shared" ca="1" si="34"/>
        <v>4</v>
      </c>
      <c r="AE40" s="300">
        <f t="shared" ca="1" si="35"/>
        <v>110</v>
      </c>
      <c r="AF40" s="300">
        <f t="shared" ca="1" si="36"/>
        <v>365</v>
      </c>
      <c r="AG40" s="300">
        <f t="shared" ca="1" si="37"/>
        <v>1</v>
      </c>
      <c r="AH40" s="300">
        <f t="shared" ca="1" si="38"/>
        <v>6</v>
      </c>
      <c r="AI40" s="300">
        <f t="shared" ca="1" si="39"/>
        <v>7</v>
      </c>
      <c r="AJ40" s="300">
        <f t="shared" ca="1" si="40"/>
        <v>3</v>
      </c>
      <c r="AK40" s="300">
        <f t="shared" ca="1" si="41"/>
        <v>17</v>
      </c>
      <c r="AL40" s="300">
        <f t="shared" ca="1" si="42"/>
        <v>0</v>
      </c>
      <c r="AM40" s="300">
        <f t="shared" ca="1" si="43"/>
        <v>3</v>
      </c>
      <c r="AN40" s="300">
        <f t="shared" ca="1" si="44"/>
        <v>1</v>
      </c>
      <c r="AO40" s="300">
        <f t="shared" ca="1" si="45"/>
        <v>0</v>
      </c>
      <c r="AP40" s="300">
        <f t="shared" ca="1" si="46"/>
        <v>4</v>
      </c>
    </row>
    <row r="41" spans="2:42" ht="21">
      <c r="B41" s="297">
        <f t="shared" ca="1" si="14"/>
        <v>41830</v>
      </c>
      <c r="C41" s="298">
        <f ca="1">COUNTIFS('Defect Dump'!$R$3:$R$10000,$B41,'Defect Dump'!$I$3:$I$10000,"Blocker")</f>
        <v>0</v>
      </c>
      <c r="D41" s="298">
        <f ca="1">COUNTIFS('Defect Dump'!$R$3:$R$10000,$B41,'Defect Dump'!$I$3:$I$10000,"Critical")</f>
        <v>6</v>
      </c>
      <c r="E41" s="298">
        <f ca="1">COUNTIFS('Defect Dump'!$R$3:$R$10000,$B41,'Defect Dump'!$I$3:$I$10000,"Major")</f>
        <v>38</v>
      </c>
      <c r="F41" s="298">
        <f ca="1">COUNTIFS('Defect Dump'!$R$3:$R$10000,$B41,'Defect Dump'!$I$3:$I$10000,"Minor")+COUNTIFS('Defect Dump'!$R$3:$R$10000,$B41,'Defect Dump'!$I$3:$I$10000,"Trivial")</f>
        <v>2</v>
      </c>
      <c r="G41" s="298">
        <f t="shared" ca="1" si="15"/>
        <v>46</v>
      </c>
      <c r="H41" s="299" t="b">
        <f t="shared" ca="1" si="16"/>
        <v>1</v>
      </c>
      <c r="I41" s="299" t="b">
        <f t="shared" ca="1" si="17"/>
        <v>1</v>
      </c>
      <c r="J41" s="299" t="b">
        <f t="shared" ca="1" si="18"/>
        <v>1</v>
      </c>
      <c r="K41" s="299" t="b">
        <f t="shared" ca="1" si="19"/>
        <v>1</v>
      </c>
      <c r="L41" s="299" t="b">
        <f t="shared" ca="1" si="20"/>
        <v>1</v>
      </c>
      <c r="M41" s="299" t="b">
        <f t="shared" ca="1" si="21"/>
        <v>1</v>
      </c>
      <c r="N41" s="299" t="b">
        <f t="shared" ca="1" si="22"/>
        <v>1</v>
      </c>
      <c r="O41" s="297">
        <f t="shared" ca="1" si="23"/>
        <v>41830</v>
      </c>
      <c r="P41" s="298">
        <f ca="1">COUNTIFS('Defect Dump'!$S$3:$S$10000,$B41,'Defect Dump'!$H$3:$H$10000,"Closed",'Defect Dump'!$I$3:$I$10000,"Blocker")</f>
        <v>0</v>
      </c>
      <c r="Q41" s="298">
        <f ca="1">COUNTIFS('Defect Dump'!$S$3:$S$10000,$B41,'Defect Dump'!$H$3:$H$10000,"Closed",'Defect Dump'!$I$3:$I$10000,"Critical")</f>
        <v>3</v>
      </c>
      <c r="R41" s="298">
        <f ca="1">COUNTIFS('Defect Dump'!$S$3:$S$10000,$B41,'Defect Dump'!$H$3:$H$10000,"Closed",'Defect Dump'!$I$3:$I$10000,"Major")</f>
        <v>0</v>
      </c>
      <c r="S41" s="298">
        <f ca="1">COUNTIFS('Defect Dump'!$S$3:$S$10000,$B41,'Defect Dump'!$H$3:$H$10000,"Closed",'Defect Dump'!$I$3:$I$10000,"Minor")+COUNTIFS('Defect Dump'!$S$3:$S$10000,$B41,'Defect Dump'!$H$3:$H$10000,"Closed",'Defect Dump'!$I$3:$I$10000,"Trivial")</f>
        <v>0</v>
      </c>
      <c r="T41" s="298">
        <f t="shared" ca="1" si="24"/>
        <v>3</v>
      </c>
      <c r="U41" s="299" t="b">
        <f t="shared" ca="1" si="25"/>
        <v>1</v>
      </c>
      <c r="V41" s="299" t="b">
        <f t="shared" ca="1" si="26"/>
        <v>1</v>
      </c>
      <c r="W41" s="299" t="b">
        <f t="shared" ca="1" si="27"/>
        <v>1</v>
      </c>
      <c r="X41" s="299" t="b">
        <f t="shared" ca="1" si="28"/>
        <v>1</v>
      </c>
      <c r="Y41" s="299" t="b">
        <f t="shared" ca="1" si="29"/>
        <v>1</v>
      </c>
      <c r="Z41" s="299" t="b">
        <f t="shared" ca="1" si="30"/>
        <v>1</v>
      </c>
      <c r="AA41" s="297">
        <f t="shared" ca="1" si="31"/>
        <v>41830</v>
      </c>
      <c r="AB41" s="300">
        <f t="shared" ca="1" si="32"/>
        <v>46</v>
      </c>
      <c r="AC41" s="300">
        <f t="shared" ca="1" si="33"/>
        <v>521</v>
      </c>
      <c r="AD41" s="300">
        <f t="shared" ca="1" si="34"/>
        <v>3</v>
      </c>
      <c r="AE41" s="300">
        <f t="shared" ca="1" si="35"/>
        <v>113</v>
      </c>
      <c r="AF41" s="300">
        <f t="shared" ca="1" si="36"/>
        <v>408</v>
      </c>
      <c r="AG41" s="300">
        <f t="shared" ca="1" si="37"/>
        <v>0</v>
      </c>
      <c r="AH41" s="300">
        <f t="shared" ca="1" si="38"/>
        <v>6</v>
      </c>
      <c r="AI41" s="300">
        <f t="shared" ca="1" si="39"/>
        <v>38</v>
      </c>
      <c r="AJ41" s="300">
        <f t="shared" ca="1" si="40"/>
        <v>2</v>
      </c>
      <c r="AK41" s="300">
        <f t="shared" ca="1" si="41"/>
        <v>46</v>
      </c>
      <c r="AL41" s="300">
        <f t="shared" ca="1" si="42"/>
        <v>0</v>
      </c>
      <c r="AM41" s="300">
        <f t="shared" ca="1" si="43"/>
        <v>3</v>
      </c>
      <c r="AN41" s="300">
        <f t="shared" ca="1" si="44"/>
        <v>0</v>
      </c>
      <c r="AO41" s="300">
        <f t="shared" ca="1" si="45"/>
        <v>0</v>
      </c>
      <c r="AP41" s="300">
        <f t="shared" ca="1" si="46"/>
        <v>3</v>
      </c>
    </row>
    <row r="42" spans="2:42" ht="21">
      <c r="B42" s="297">
        <f t="shared" ca="1" si="14"/>
        <v>41831</v>
      </c>
      <c r="C42" s="298">
        <f ca="1">COUNTIFS('Defect Dump'!$R$3:$R$10000,$B42,'Defect Dump'!$I$3:$I$10000,"Blocker")</f>
        <v>0</v>
      </c>
      <c r="D42" s="298">
        <f ca="1">COUNTIFS('Defect Dump'!$R$3:$R$10000,$B42,'Defect Dump'!$I$3:$I$10000,"Critical")</f>
        <v>0</v>
      </c>
      <c r="E42" s="298">
        <f ca="1">COUNTIFS('Defect Dump'!$R$3:$R$10000,$B42,'Defect Dump'!$I$3:$I$10000,"Major")</f>
        <v>0</v>
      </c>
      <c r="F42" s="298">
        <f ca="1">COUNTIFS('Defect Dump'!$R$3:$R$10000,$B42,'Defect Dump'!$I$3:$I$10000,"Minor")+COUNTIFS('Defect Dump'!$R$3:$R$10000,$B42,'Defect Dump'!$I$3:$I$10000,"Trivial")</f>
        <v>0</v>
      </c>
      <c r="G42" s="298">
        <f t="shared" ca="1" si="15"/>
        <v>0</v>
      </c>
      <c r="H42" s="299" t="b">
        <f t="shared" ca="1" si="16"/>
        <v>1</v>
      </c>
      <c r="I42" s="299" t="b">
        <f t="shared" ca="1" si="17"/>
        <v>1</v>
      </c>
      <c r="J42" s="299" t="b">
        <f t="shared" ca="1" si="18"/>
        <v>1</v>
      </c>
      <c r="K42" s="299" t="b">
        <f t="shared" ca="1" si="19"/>
        <v>1</v>
      </c>
      <c r="L42" s="299" t="b">
        <f t="shared" ca="1" si="20"/>
        <v>1</v>
      </c>
      <c r="M42" s="299" t="b">
        <f t="shared" ca="1" si="21"/>
        <v>1</v>
      </c>
      <c r="N42" s="299" t="b">
        <f t="shared" ca="1" si="22"/>
        <v>1</v>
      </c>
      <c r="O42" s="297">
        <f t="shared" ca="1" si="23"/>
        <v>41831</v>
      </c>
      <c r="P42" s="298">
        <f ca="1">COUNTIFS('Defect Dump'!$S$3:$S$10000,$B42,'Defect Dump'!$H$3:$H$10000,"Closed",'Defect Dump'!$I$3:$I$10000,"Blocker")</f>
        <v>0</v>
      </c>
      <c r="Q42" s="298">
        <f ca="1">COUNTIFS('Defect Dump'!$S$3:$S$10000,$B42,'Defect Dump'!$H$3:$H$10000,"Closed",'Defect Dump'!$I$3:$I$10000,"Critical")</f>
        <v>0</v>
      </c>
      <c r="R42" s="298">
        <f ca="1">COUNTIFS('Defect Dump'!$S$3:$S$10000,$B42,'Defect Dump'!$H$3:$H$10000,"Closed",'Defect Dump'!$I$3:$I$10000,"Major")</f>
        <v>0</v>
      </c>
      <c r="S42" s="298">
        <f ca="1">COUNTIFS('Defect Dump'!$S$3:$S$10000,$B42,'Defect Dump'!$H$3:$H$10000,"Closed",'Defect Dump'!$I$3:$I$10000,"Minor")+COUNTIFS('Defect Dump'!$S$3:$S$10000,$B42,'Defect Dump'!$H$3:$H$10000,"Closed",'Defect Dump'!$I$3:$I$10000,"Trivial")</f>
        <v>0</v>
      </c>
      <c r="T42" s="298">
        <f t="shared" ca="1" si="24"/>
        <v>0</v>
      </c>
      <c r="U42" s="299" t="b">
        <f t="shared" ca="1" si="25"/>
        <v>1</v>
      </c>
      <c r="V42" s="299" t="b">
        <f t="shared" ca="1" si="26"/>
        <v>1</v>
      </c>
      <c r="W42" s="299" t="b">
        <f t="shared" ca="1" si="27"/>
        <v>1</v>
      </c>
      <c r="X42" s="299" t="b">
        <f t="shared" ca="1" si="28"/>
        <v>1</v>
      </c>
      <c r="Y42" s="299" t="b">
        <f t="shared" ca="1" si="29"/>
        <v>1</v>
      </c>
      <c r="Z42" s="299" t="b">
        <f t="shared" ca="1" si="30"/>
        <v>1</v>
      </c>
      <c r="AA42" s="297">
        <f t="shared" ca="1" si="31"/>
        <v>41831</v>
      </c>
      <c r="AB42" s="300">
        <f t="shared" ca="1" si="32"/>
        <v>0</v>
      </c>
      <c r="AC42" s="300">
        <f t="shared" ca="1" si="33"/>
        <v>521</v>
      </c>
      <c r="AD42" s="300">
        <f t="shared" ca="1" si="34"/>
        <v>0</v>
      </c>
      <c r="AE42" s="300">
        <f t="shared" ca="1" si="35"/>
        <v>113</v>
      </c>
      <c r="AF42" s="300">
        <f t="shared" ca="1" si="36"/>
        <v>408</v>
      </c>
      <c r="AG42" s="300">
        <f t="shared" ca="1" si="37"/>
        <v>0</v>
      </c>
      <c r="AH42" s="300">
        <f t="shared" ca="1" si="38"/>
        <v>0</v>
      </c>
      <c r="AI42" s="300">
        <f t="shared" ca="1" si="39"/>
        <v>0</v>
      </c>
      <c r="AJ42" s="300">
        <f t="shared" ca="1" si="40"/>
        <v>0</v>
      </c>
      <c r="AK42" s="300">
        <f t="shared" ca="1" si="41"/>
        <v>0</v>
      </c>
      <c r="AL42" s="300">
        <f t="shared" ca="1" si="42"/>
        <v>0</v>
      </c>
      <c r="AM42" s="300">
        <f t="shared" ca="1" si="43"/>
        <v>0</v>
      </c>
      <c r="AN42" s="300">
        <f t="shared" ca="1" si="44"/>
        <v>0</v>
      </c>
      <c r="AO42" s="300">
        <f t="shared" ca="1" si="45"/>
        <v>0</v>
      </c>
      <c r="AP42" s="300">
        <f t="shared" ca="1" si="46"/>
        <v>0</v>
      </c>
    </row>
    <row r="43" spans="2:42" ht="21">
      <c r="B43" s="297">
        <f t="shared" ca="1" si="14"/>
        <v>41832</v>
      </c>
      <c r="C43" s="298">
        <f ca="1">COUNTIFS('Defect Dump'!$R$3:$R$10000,$B43,'Defect Dump'!$I$3:$I$10000,"Blocker")</f>
        <v>0</v>
      </c>
      <c r="D43" s="298">
        <f ca="1">COUNTIFS('Defect Dump'!$R$3:$R$10000,$B43,'Defect Dump'!$I$3:$I$10000,"Critical")</f>
        <v>0</v>
      </c>
      <c r="E43" s="298">
        <f ca="1">COUNTIFS('Defect Dump'!$R$3:$R$10000,$B43,'Defect Dump'!$I$3:$I$10000,"Major")</f>
        <v>0</v>
      </c>
      <c r="F43" s="298">
        <f ca="1">COUNTIFS('Defect Dump'!$R$3:$R$10000,$B43,'Defect Dump'!$I$3:$I$10000,"Minor")+COUNTIFS('Defect Dump'!$R$3:$R$10000,$B43,'Defect Dump'!$I$3:$I$10000,"Trivial")</f>
        <v>0</v>
      </c>
      <c r="G43" s="298">
        <f t="shared" ca="1" si="15"/>
        <v>0</v>
      </c>
      <c r="H43" s="299" t="b">
        <f t="shared" ca="1" si="16"/>
        <v>1</v>
      </c>
      <c r="I43" s="299" t="b">
        <f t="shared" ca="1" si="17"/>
        <v>1</v>
      </c>
      <c r="J43" s="299" t="b">
        <f t="shared" ca="1" si="18"/>
        <v>1</v>
      </c>
      <c r="K43" s="299" t="b">
        <f t="shared" ca="1" si="19"/>
        <v>1</v>
      </c>
      <c r="L43" s="299" t="b">
        <f t="shared" ca="1" si="20"/>
        <v>1</v>
      </c>
      <c r="M43" s="299" t="b">
        <f t="shared" ca="1" si="21"/>
        <v>1</v>
      </c>
      <c r="N43" s="299" t="b">
        <f t="shared" ca="1" si="22"/>
        <v>1</v>
      </c>
      <c r="O43" s="297">
        <f t="shared" ca="1" si="23"/>
        <v>41832</v>
      </c>
      <c r="P43" s="298">
        <f ca="1">COUNTIFS('Defect Dump'!$S$3:$S$10000,$B43,'Defect Dump'!$H$3:$H$10000,"Closed",'Defect Dump'!$I$3:$I$10000,"Blocker")</f>
        <v>0</v>
      </c>
      <c r="Q43" s="298">
        <f ca="1">COUNTIFS('Defect Dump'!$S$3:$S$10000,$B43,'Defect Dump'!$H$3:$H$10000,"Closed",'Defect Dump'!$I$3:$I$10000,"Critical")</f>
        <v>0</v>
      </c>
      <c r="R43" s="298">
        <f ca="1">COUNTIFS('Defect Dump'!$S$3:$S$10000,$B43,'Defect Dump'!$H$3:$H$10000,"Closed",'Defect Dump'!$I$3:$I$10000,"Major")</f>
        <v>0</v>
      </c>
      <c r="S43" s="298">
        <f ca="1">COUNTIFS('Defect Dump'!$S$3:$S$10000,$B43,'Defect Dump'!$H$3:$H$10000,"Closed",'Defect Dump'!$I$3:$I$10000,"Minor")+COUNTIFS('Defect Dump'!$S$3:$S$10000,$B43,'Defect Dump'!$H$3:$H$10000,"Closed",'Defect Dump'!$I$3:$I$10000,"Trivial")</f>
        <v>0</v>
      </c>
      <c r="T43" s="298">
        <f t="shared" ca="1" si="24"/>
        <v>0</v>
      </c>
      <c r="U43" s="299" t="b">
        <f t="shared" ca="1" si="25"/>
        <v>1</v>
      </c>
      <c r="V43" s="299" t="b">
        <f t="shared" ca="1" si="26"/>
        <v>1</v>
      </c>
      <c r="W43" s="299" t="b">
        <f t="shared" ca="1" si="27"/>
        <v>1</v>
      </c>
      <c r="X43" s="299" t="b">
        <f t="shared" ca="1" si="28"/>
        <v>1</v>
      </c>
      <c r="Y43" s="299" t="b">
        <f t="shared" ca="1" si="29"/>
        <v>1</v>
      </c>
      <c r="Z43" s="299" t="b">
        <f t="shared" ca="1" si="30"/>
        <v>1</v>
      </c>
      <c r="AA43" s="297">
        <f t="shared" ca="1" si="31"/>
        <v>41832</v>
      </c>
      <c r="AB43" s="300">
        <f t="shared" ca="1" si="32"/>
        <v>0</v>
      </c>
      <c r="AC43" s="300">
        <f t="shared" ca="1" si="33"/>
        <v>521</v>
      </c>
      <c r="AD43" s="300">
        <f t="shared" ca="1" si="34"/>
        <v>0</v>
      </c>
      <c r="AE43" s="300">
        <f t="shared" ca="1" si="35"/>
        <v>113</v>
      </c>
      <c r="AF43" s="300">
        <f t="shared" ca="1" si="36"/>
        <v>408</v>
      </c>
      <c r="AG43" s="300">
        <f t="shared" ca="1" si="37"/>
        <v>0</v>
      </c>
      <c r="AH43" s="300">
        <f t="shared" ca="1" si="38"/>
        <v>0</v>
      </c>
      <c r="AI43" s="300">
        <f t="shared" ca="1" si="39"/>
        <v>0</v>
      </c>
      <c r="AJ43" s="300">
        <f t="shared" ca="1" si="40"/>
        <v>0</v>
      </c>
      <c r="AK43" s="300">
        <f t="shared" ca="1" si="41"/>
        <v>0</v>
      </c>
      <c r="AL43" s="300">
        <f t="shared" ca="1" si="42"/>
        <v>0</v>
      </c>
      <c r="AM43" s="300">
        <f t="shared" ca="1" si="43"/>
        <v>0</v>
      </c>
      <c r="AN43" s="300">
        <f t="shared" ca="1" si="44"/>
        <v>0</v>
      </c>
      <c r="AO43" s="300">
        <f t="shared" ca="1" si="45"/>
        <v>0</v>
      </c>
      <c r="AP43" s="300">
        <f t="shared" ca="1" si="46"/>
        <v>0</v>
      </c>
    </row>
    <row r="44" spans="2:42" ht="21">
      <c r="B44" s="297">
        <f t="shared" ca="1" si="14"/>
        <v>41833</v>
      </c>
      <c r="C44" s="298">
        <f ca="1">COUNTIFS('Defect Dump'!$R$3:$R$10000,$B44,'Defect Dump'!$I$3:$I$10000,"Blocker")</f>
        <v>1</v>
      </c>
      <c r="D44" s="298">
        <f ca="1">COUNTIFS('Defect Dump'!$R$3:$R$10000,$B44,'Defect Dump'!$I$3:$I$10000,"Critical")</f>
        <v>2</v>
      </c>
      <c r="E44" s="298">
        <f ca="1">COUNTIFS('Defect Dump'!$R$3:$R$10000,$B44,'Defect Dump'!$I$3:$I$10000,"Major")</f>
        <v>16</v>
      </c>
      <c r="F44" s="298">
        <f ca="1">COUNTIFS('Defect Dump'!$R$3:$R$10000,$B44,'Defect Dump'!$I$3:$I$10000,"Minor")+COUNTIFS('Defect Dump'!$R$3:$R$10000,$B44,'Defect Dump'!$I$3:$I$10000,"Trivial")</f>
        <v>17</v>
      </c>
      <c r="G44" s="298">
        <f t="shared" ca="1" si="15"/>
        <v>36</v>
      </c>
      <c r="H44" s="299" t="b">
        <f t="shared" ca="1" si="16"/>
        <v>1</v>
      </c>
      <c r="I44" s="299" t="b">
        <f t="shared" ca="1" si="17"/>
        <v>1</v>
      </c>
      <c r="J44" s="299" t="b">
        <f t="shared" ca="1" si="18"/>
        <v>1</v>
      </c>
      <c r="K44" s="299" t="b">
        <f t="shared" ca="1" si="19"/>
        <v>1</v>
      </c>
      <c r="L44" s="299" t="b">
        <f t="shared" ca="1" si="20"/>
        <v>1</v>
      </c>
      <c r="M44" s="299" t="b">
        <f t="shared" ca="1" si="21"/>
        <v>1</v>
      </c>
      <c r="N44" s="299" t="b">
        <f t="shared" ca="1" si="22"/>
        <v>1</v>
      </c>
      <c r="O44" s="297">
        <f t="shared" ca="1" si="23"/>
        <v>41833</v>
      </c>
      <c r="P44" s="298">
        <f ca="1">COUNTIFS('Defect Dump'!$S$3:$S$10000,$B44,'Defect Dump'!$H$3:$H$10000,"Closed",'Defect Dump'!$I$3:$I$10000,"Blocker")</f>
        <v>0</v>
      </c>
      <c r="Q44" s="298">
        <f ca="1">COUNTIFS('Defect Dump'!$S$3:$S$10000,$B44,'Defect Dump'!$H$3:$H$10000,"Closed",'Defect Dump'!$I$3:$I$10000,"Critical")</f>
        <v>2</v>
      </c>
      <c r="R44" s="298">
        <f ca="1">COUNTIFS('Defect Dump'!$S$3:$S$10000,$B44,'Defect Dump'!$H$3:$H$10000,"Closed",'Defect Dump'!$I$3:$I$10000,"Major")</f>
        <v>0</v>
      </c>
      <c r="S44" s="298">
        <f ca="1">COUNTIFS('Defect Dump'!$S$3:$S$10000,$B44,'Defect Dump'!$H$3:$H$10000,"Closed",'Defect Dump'!$I$3:$I$10000,"Minor")+COUNTIFS('Defect Dump'!$S$3:$S$10000,$B44,'Defect Dump'!$H$3:$H$10000,"Closed",'Defect Dump'!$I$3:$I$10000,"Trivial")</f>
        <v>0</v>
      </c>
      <c r="T44" s="298">
        <f t="shared" ca="1" si="24"/>
        <v>2</v>
      </c>
      <c r="U44" s="299" t="b">
        <f t="shared" ca="1" si="25"/>
        <v>1</v>
      </c>
      <c r="V44" s="299" t="b">
        <f t="shared" ca="1" si="26"/>
        <v>1</v>
      </c>
      <c r="W44" s="299" t="b">
        <f t="shared" ca="1" si="27"/>
        <v>1</v>
      </c>
      <c r="X44" s="299" t="b">
        <f t="shared" ca="1" si="28"/>
        <v>1</v>
      </c>
      <c r="Y44" s="299" t="b">
        <f t="shared" ca="1" si="29"/>
        <v>1</v>
      </c>
      <c r="Z44" s="299" t="b">
        <f t="shared" ca="1" si="30"/>
        <v>1</v>
      </c>
      <c r="AA44" s="297">
        <f t="shared" ca="1" si="31"/>
        <v>41833</v>
      </c>
      <c r="AB44" s="300">
        <f t="shared" ca="1" si="32"/>
        <v>36</v>
      </c>
      <c r="AC44" s="300">
        <f t="shared" ca="1" si="33"/>
        <v>557</v>
      </c>
      <c r="AD44" s="300">
        <f t="shared" ca="1" si="34"/>
        <v>2</v>
      </c>
      <c r="AE44" s="300">
        <f t="shared" ca="1" si="35"/>
        <v>115</v>
      </c>
      <c r="AF44" s="300">
        <f t="shared" ca="1" si="36"/>
        <v>442</v>
      </c>
      <c r="AG44" s="300">
        <f t="shared" ca="1" si="37"/>
        <v>1</v>
      </c>
      <c r="AH44" s="300">
        <f t="shared" ca="1" si="38"/>
        <v>2</v>
      </c>
      <c r="AI44" s="300">
        <f t="shared" ca="1" si="39"/>
        <v>16</v>
      </c>
      <c r="AJ44" s="300">
        <f t="shared" ca="1" si="40"/>
        <v>17</v>
      </c>
      <c r="AK44" s="300">
        <f t="shared" ca="1" si="41"/>
        <v>36</v>
      </c>
      <c r="AL44" s="300">
        <f t="shared" ca="1" si="42"/>
        <v>0</v>
      </c>
      <c r="AM44" s="300">
        <f t="shared" ca="1" si="43"/>
        <v>2</v>
      </c>
      <c r="AN44" s="300">
        <f t="shared" ca="1" si="44"/>
        <v>0</v>
      </c>
      <c r="AO44" s="300">
        <f t="shared" ca="1" si="45"/>
        <v>0</v>
      </c>
      <c r="AP44" s="300">
        <f t="shared" ca="1" si="46"/>
        <v>2</v>
      </c>
    </row>
    <row r="45" spans="2:42" ht="21">
      <c r="B45" s="297">
        <f t="shared" ca="1" si="14"/>
        <v>41834</v>
      </c>
      <c r="C45" s="298">
        <f ca="1">COUNTIFS('Defect Dump'!$R$3:$R$10000,$B45,'Defect Dump'!$I$3:$I$10000,"Blocker")</f>
        <v>1</v>
      </c>
      <c r="D45" s="298">
        <f ca="1">COUNTIFS('Defect Dump'!$R$3:$R$10000,$B45,'Defect Dump'!$I$3:$I$10000,"Critical")</f>
        <v>4</v>
      </c>
      <c r="E45" s="298">
        <f ca="1">COUNTIFS('Defect Dump'!$R$3:$R$10000,$B45,'Defect Dump'!$I$3:$I$10000,"Major")</f>
        <v>11</v>
      </c>
      <c r="F45" s="298">
        <f ca="1">COUNTIFS('Defect Dump'!$R$3:$R$10000,$B45,'Defect Dump'!$I$3:$I$10000,"Minor")+COUNTIFS('Defect Dump'!$R$3:$R$10000,$B45,'Defect Dump'!$I$3:$I$10000,"Trivial")</f>
        <v>7</v>
      </c>
      <c r="G45" s="298">
        <f t="shared" ca="1" si="15"/>
        <v>23</v>
      </c>
      <c r="H45" s="299" t="b">
        <f t="shared" ca="1" si="16"/>
        <v>1</v>
      </c>
      <c r="I45" s="299" t="b">
        <f t="shared" ca="1" si="17"/>
        <v>1</v>
      </c>
      <c r="J45" s="299" t="b">
        <f t="shared" ca="1" si="18"/>
        <v>1</v>
      </c>
      <c r="K45" s="299" t="b">
        <f t="shared" ca="1" si="19"/>
        <v>1</v>
      </c>
      <c r="L45" s="299" t="b">
        <f t="shared" ca="1" si="20"/>
        <v>1</v>
      </c>
      <c r="M45" s="299" t="b">
        <f t="shared" ca="1" si="21"/>
        <v>1</v>
      </c>
      <c r="N45" s="299" t="b">
        <f t="shared" ca="1" si="22"/>
        <v>1</v>
      </c>
      <c r="O45" s="297">
        <f t="shared" ca="1" si="23"/>
        <v>41834</v>
      </c>
      <c r="P45" s="298">
        <f ca="1">COUNTIFS('Defect Dump'!$S$3:$S$10000,$B45,'Defect Dump'!$H$3:$H$10000,"Closed",'Defect Dump'!$I$3:$I$10000,"Blocker")</f>
        <v>0</v>
      </c>
      <c r="Q45" s="298">
        <f ca="1">COUNTIFS('Defect Dump'!$S$3:$S$10000,$B45,'Defect Dump'!$H$3:$H$10000,"Closed",'Defect Dump'!$I$3:$I$10000,"Critical")</f>
        <v>1</v>
      </c>
      <c r="R45" s="298">
        <f ca="1">COUNTIFS('Defect Dump'!$S$3:$S$10000,$B45,'Defect Dump'!$H$3:$H$10000,"Closed",'Defect Dump'!$I$3:$I$10000,"Major")</f>
        <v>0</v>
      </c>
      <c r="S45" s="298">
        <f ca="1">COUNTIFS('Defect Dump'!$S$3:$S$10000,$B45,'Defect Dump'!$H$3:$H$10000,"Closed",'Defect Dump'!$I$3:$I$10000,"Minor")+COUNTIFS('Defect Dump'!$S$3:$S$10000,$B45,'Defect Dump'!$H$3:$H$10000,"Closed",'Defect Dump'!$I$3:$I$10000,"Trivial")</f>
        <v>0</v>
      </c>
      <c r="T45" s="298">
        <f t="shared" ca="1" si="24"/>
        <v>1</v>
      </c>
      <c r="U45" s="299" t="b">
        <f t="shared" ca="1" si="25"/>
        <v>1</v>
      </c>
      <c r="V45" s="299" t="b">
        <f t="shared" ca="1" si="26"/>
        <v>1</v>
      </c>
      <c r="W45" s="299" t="b">
        <f t="shared" ca="1" si="27"/>
        <v>1</v>
      </c>
      <c r="X45" s="299" t="b">
        <f t="shared" ca="1" si="28"/>
        <v>1</v>
      </c>
      <c r="Y45" s="299" t="b">
        <f t="shared" ca="1" si="29"/>
        <v>1</v>
      </c>
      <c r="Z45" s="299" t="b">
        <f t="shared" ca="1" si="30"/>
        <v>1</v>
      </c>
      <c r="AA45" s="297">
        <f t="shared" ca="1" si="31"/>
        <v>41834</v>
      </c>
      <c r="AB45" s="300">
        <f t="shared" ca="1" si="32"/>
        <v>23</v>
      </c>
      <c r="AC45" s="300">
        <f t="shared" ca="1" si="33"/>
        <v>580</v>
      </c>
      <c r="AD45" s="300">
        <f t="shared" ca="1" si="34"/>
        <v>1</v>
      </c>
      <c r="AE45" s="300">
        <f t="shared" ca="1" si="35"/>
        <v>116</v>
      </c>
      <c r="AF45" s="300">
        <f t="shared" ca="1" si="36"/>
        <v>464</v>
      </c>
      <c r="AG45" s="300">
        <f t="shared" ca="1" si="37"/>
        <v>1</v>
      </c>
      <c r="AH45" s="300">
        <f t="shared" ca="1" si="38"/>
        <v>4</v>
      </c>
      <c r="AI45" s="300">
        <f t="shared" ca="1" si="39"/>
        <v>11</v>
      </c>
      <c r="AJ45" s="300">
        <f t="shared" ca="1" si="40"/>
        <v>7</v>
      </c>
      <c r="AK45" s="300">
        <f t="shared" ca="1" si="41"/>
        <v>23</v>
      </c>
      <c r="AL45" s="300">
        <f t="shared" ca="1" si="42"/>
        <v>0</v>
      </c>
      <c r="AM45" s="300">
        <f t="shared" ca="1" si="43"/>
        <v>1</v>
      </c>
      <c r="AN45" s="300">
        <f t="shared" ca="1" si="44"/>
        <v>0</v>
      </c>
      <c r="AO45" s="300">
        <f t="shared" ca="1" si="45"/>
        <v>0</v>
      </c>
      <c r="AP45" s="300">
        <f t="shared" ca="1" si="46"/>
        <v>1</v>
      </c>
    </row>
    <row r="46" spans="2:42" ht="21">
      <c r="B46" s="297">
        <f t="shared" ca="1" si="14"/>
        <v>41835</v>
      </c>
      <c r="C46" s="298">
        <f ca="1">COUNTIFS('Defect Dump'!$R$3:$R$10000,$B46,'Defect Dump'!$I$3:$I$10000,"Blocker")</f>
        <v>1</v>
      </c>
      <c r="D46" s="298">
        <f ca="1">COUNTIFS('Defect Dump'!$R$3:$R$10000,$B46,'Defect Dump'!$I$3:$I$10000,"Critical")</f>
        <v>4</v>
      </c>
      <c r="E46" s="298">
        <f ca="1">COUNTIFS('Defect Dump'!$R$3:$R$10000,$B46,'Defect Dump'!$I$3:$I$10000,"Major")</f>
        <v>33</v>
      </c>
      <c r="F46" s="298">
        <f ca="1">COUNTIFS('Defect Dump'!$R$3:$R$10000,$B46,'Defect Dump'!$I$3:$I$10000,"Minor")+COUNTIFS('Defect Dump'!$R$3:$R$10000,$B46,'Defect Dump'!$I$3:$I$10000,"Trivial")</f>
        <v>12</v>
      </c>
      <c r="G46" s="298">
        <f t="shared" ca="1" si="15"/>
        <v>50</v>
      </c>
      <c r="H46" s="299" t="b">
        <f t="shared" ca="1" si="16"/>
        <v>1</v>
      </c>
      <c r="I46" s="299" t="b">
        <f t="shared" ca="1" si="17"/>
        <v>1</v>
      </c>
      <c r="J46" s="299" t="b">
        <f t="shared" ca="1" si="18"/>
        <v>1</v>
      </c>
      <c r="K46" s="299" t="b">
        <f t="shared" ca="1" si="19"/>
        <v>1</v>
      </c>
      <c r="L46" s="299" t="b">
        <f t="shared" ca="1" si="20"/>
        <v>1</v>
      </c>
      <c r="M46" s="299" t="b">
        <f t="shared" ca="1" si="21"/>
        <v>1</v>
      </c>
      <c r="N46" s="299" t="b">
        <f t="shared" ca="1" si="22"/>
        <v>1</v>
      </c>
      <c r="O46" s="297">
        <f t="shared" ca="1" si="23"/>
        <v>41835</v>
      </c>
      <c r="P46" s="298">
        <f ca="1">COUNTIFS('Defect Dump'!$S$3:$S$10000,$B46,'Defect Dump'!$H$3:$H$10000,"Closed",'Defect Dump'!$I$3:$I$10000,"Blocker")</f>
        <v>0</v>
      </c>
      <c r="Q46" s="298">
        <f ca="1">COUNTIFS('Defect Dump'!$S$3:$S$10000,$B46,'Defect Dump'!$H$3:$H$10000,"Closed",'Defect Dump'!$I$3:$I$10000,"Critical")</f>
        <v>0</v>
      </c>
      <c r="R46" s="298">
        <f ca="1">COUNTIFS('Defect Dump'!$S$3:$S$10000,$B46,'Defect Dump'!$H$3:$H$10000,"Closed",'Defect Dump'!$I$3:$I$10000,"Major")</f>
        <v>2</v>
      </c>
      <c r="S46" s="298">
        <f ca="1">COUNTIFS('Defect Dump'!$S$3:$S$10000,$B46,'Defect Dump'!$H$3:$H$10000,"Closed",'Defect Dump'!$I$3:$I$10000,"Minor")+COUNTIFS('Defect Dump'!$S$3:$S$10000,$B46,'Defect Dump'!$H$3:$H$10000,"Closed",'Defect Dump'!$I$3:$I$10000,"Trivial")</f>
        <v>0</v>
      </c>
      <c r="T46" s="298">
        <f t="shared" ca="1" si="24"/>
        <v>2</v>
      </c>
      <c r="U46" s="299" t="b">
        <f t="shared" ca="1" si="25"/>
        <v>1</v>
      </c>
      <c r="V46" s="299" t="b">
        <f t="shared" ca="1" si="26"/>
        <v>1</v>
      </c>
      <c r="W46" s="299" t="b">
        <f t="shared" ca="1" si="27"/>
        <v>1</v>
      </c>
      <c r="X46" s="299" t="b">
        <f t="shared" ca="1" si="28"/>
        <v>1</v>
      </c>
      <c r="Y46" s="299" t="b">
        <f t="shared" ca="1" si="29"/>
        <v>1</v>
      </c>
      <c r="Z46" s="299" t="b">
        <f t="shared" ca="1" si="30"/>
        <v>1</v>
      </c>
      <c r="AA46" s="297">
        <f t="shared" ca="1" si="31"/>
        <v>41835</v>
      </c>
      <c r="AB46" s="300">
        <f t="shared" ca="1" si="32"/>
        <v>50</v>
      </c>
      <c r="AC46" s="300">
        <f t="shared" ca="1" si="33"/>
        <v>630</v>
      </c>
      <c r="AD46" s="300">
        <f t="shared" ca="1" si="34"/>
        <v>2</v>
      </c>
      <c r="AE46" s="300">
        <f t="shared" ca="1" si="35"/>
        <v>118</v>
      </c>
      <c r="AF46" s="300">
        <f t="shared" ca="1" si="36"/>
        <v>512</v>
      </c>
      <c r="AG46" s="300">
        <f t="shared" ca="1" si="37"/>
        <v>1</v>
      </c>
      <c r="AH46" s="300">
        <f t="shared" ca="1" si="38"/>
        <v>4</v>
      </c>
      <c r="AI46" s="300">
        <f t="shared" ca="1" si="39"/>
        <v>33</v>
      </c>
      <c r="AJ46" s="300">
        <f t="shared" ca="1" si="40"/>
        <v>12</v>
      </c>
      <c r="AK46" s="300">
        <f t="shared" ca="1" si="41"/>
        <v>50</v>
      </c>
      <c r="AL46" s="300">
        <f t="shared" ca="1" si="42"/>
        <v>0</v>
      </c>
      <c r="AM46" s="300">
        <f t="shared" ca="1" si="43"/>
        <v>0</v>
      </c>
      <c r="AN46" s="300">
        <f t="shared" ca="1" si="44"/>
        <v>2</v>
      </c>
      <c r="AO46" s="300">
        <f t="shared" ca="1" si="45"/>
        <v>0</v>
      </c>
      <c r="AP46" s="300">
        <f t="shared" ca="1" si="46"/>
        <v>2</v>
      </c>
    </row>
    <row r="47" spans="2:42" ht="21">
      <c r="B47" s="297">
        <f t="shared" ca="1" si="14"/>
        <v>41836</v>
      </c>
      <c r="C47" s="298">
        <f ca="1">COUNTIFS('Defect Dump'!$R$3:$R$10000,$B47,'Defect Dump'!$I$3:$I$10000,"Blocker")</f>
        <v>3</v>
      </c>
      <c r="D47" s="298">
        <f ca="1">COUNTIFS('Defect Dump'!$R$3:$R$10000,$B47,'Defect Dump'!$I$3:$I$10000,"Critical")</f>
        <v>5</v>
      </c>
      <c r="E47" s="298">
        <f ca="1">COUNTIFS('Defect Dump'!$R$3:$R$10000,$B47,'Defect Dump'!$I$3:$I$10000,"Major")</f>
        <v>25</v>
      </c>
      <c r="F47" s="298">
        <f ca="1">COUNTIFS('Defect Dump'!$R$3:$R$10000,$B47,'Defect Dump'!$I$3:$I$10000,"Minor")+COUNTIFS('Defect Dump'!$R$3:$R$10000,$B47,'Defect Dump'!$I$3:$I$10000,"Trivial")</f>
        <v>9</v>
      </c>
      <c r="G47" s="298">
        <f t="shared" ca="1" si="15"/>
        <v>42</v>
      </c>
      <c r="H47" s="299" t="b">
        <f t="shared" ca="1" si="16"/>
        <v>1</v>
      </c>
      <c r="I47" s="299" t="b">
        <f t="shared" ca="1" si="17"/>
        <v>1</v>
      </c>
      <c r="J47" s="299" t="b">
        <f t="shared" ca="1" si="18"/>
        <v>1</v>
      </c>
      <c r="K47" s="299" t="b">
        <f t="shared" ca="1" si="19"/>
        <v>1</v>
      </c>
      <c r="L47" s="299" t="b">
        <f t="shared" ca="1" si="20"/>
        <v>1</v>
      </c>
      <c r="M47" s="299" t="b">
        <f t="shared" ca="1" si="21"/>
        <v>1</v>
      </c>
      <c r="N47" s="299" t="b">
        <f t="shared" ca="1" si="22"/>
        <v>1</v>
      </c>
      <c r="O47" s="297">
        <f t="shared" ca="1" si="23"/>
        <v>41836</v>
      </c>
      <c r="P47" s="298">
        <f ca="1">COUNTIFS('Defect Dump'!$S$3:$S$10000,$B47,'Defect Dump'!$H$3:$H$10000,"Closed",'Defect Dump'!$I$3:$I$10000,"Blocker")</f>
        <v>0</v>
      </c>
      <c r="Q47" s="298">
        <f ca="1">COUNTIFS('Defect Dump'!$S$3:$S$10000,$B47,'Defect Dump'!$H$3:$H$10000,"Closed",'Defect Dump'!$I$3:$I$10000,"Critical")</f>
        <v>0</v>
      </c>
      <c r="R47" s="298">
        <f ca="1">COUNTIFS('Defect Dump'!$S$3:$S$10000,$B47,'Defect Dump'!$H$3:$H$10000,"Closed",'Defect Dump'!$I$3:$I$10000,"Major")</f>
        <v>2</v>
      </c>
      <c r="S47" s="298">
        <f ca="1">COUNTIFS('Defect Dump'!$S$3:$S$10000,$B47,'Defect Dump'!$H$3:$H$10000,"Closed",'Defect Dump'!$I$3:$I$10000,"Minor")+COUNTIFS('Defect Dump'!$S$3:$S$10000,$B47,'Defect Dump'!$H$3:$H$10000,"Closed",'Defect Dump'!$I$3:$I$10000,"Trivial")</f>
        <v>0</v>
      </c>
      <c r="T47" s="298">
        <f t="shared" ca="1" si="24"/>
        <v>2</v>
      </c>
      <c r="U47" s="299" t="b">
        <f t="shared" ca="1" si="25"/>
        <v>1</v>
      </c>
      <c r="V47" s="299" t="b">
        <f t="shared" ca="1" si="26"/>
        <v>1</v>
      </c>
      <c r="W47" s="299" t="b">
        <f t="shared" ca="1" si="27"/>
        <v>1</v>
      </c>
      <c r="X47" s="299" t="b">
        <f t="shared" ca="1" si="28"/>
        <v>1</v>
      </c>
      <c r="Y47" s="299" t="b">
        <f t="shared" ca="1" si="29"/>
        <v>1</v>
      </c>
      <c r="Z47" s="299" t="b">
        <f t="shared" ca="1" si="30"/>
        <v>1</v>
      </c>
      <c r="AA47" s="297">
        <f t="shared" ca="1" si="31"/>
        <v>41836</v>
      </c>
      <c r="AB47" s="300">
        <f t="shared" ca="1" si="32"/>
        <v>42</v>
      </c>
      <c r="AC47" s="300">
        <f t="shared" ca="1" si="33"/>
        <v>672</v>
      </c>
      <c r="AD47" s="300">
        <f t="shared" ca="1" si="34"/>
        <v>2</v>
      </c>
      <c r="AE47" s="300">
        <f t="shared" ca="1" si="35"/>
        <v>120</v>
      </c>
      <c r="AF47" s="300">
        <f t="shared" ca="1" si="36"/>
        <v>552</v>
      </c>
      <c r="AG47" s="300">
        <f t="shared" ca="1" si="37"/>
        <v>3</v>
      </c>
      <c r="AH47" s="300">
        <f t="shared" ca="1" si="38"/>
        <v>5</v>
      </c>
      <c r="AI47" s="300">
        <f t="shared" ca="1" si="39"/>
        <v>25</v>
      </c>
      <c r="AJ47" s="300">
        <f t="shared" ca="1" si="40"/>
        <v>9</v>
      </c>
      <c r="AK47" s="300">
        <f t="shared" ca="1" si="41"/>
        <v>42</v>
      </c>
      <c r="AL47" s="300">
        <f t="shared" ca="1" si="42"/>
        <v>0</v>
      </c>
      <c r="AM47" s="300">
        <f t="shared" ca="1" si="43"/>
        <v>0</v>
      </c>
      <c r="AN47" s="300">
        <f t="shared" ca="1" si="44"/>
        <v>2</v>
      </c>
      <c r="AO47" s="300">
        <f t="shared" ca="1" si="45"/>
        <v>0</v>
      </c>
      <c r="AP47" s="300">
        <f t="shared" ca="1" si="46"/>
        <v>2</v>
      </c>
    </row>
    <row r="48" spans="2:42" ht="21">
      <c r="B48" s="297">
        <f t="shared" ca="1" si="14"/>
        <v>41837</v>
      </c>
      <c r="C48" s="298">
        <f ca="1">COUNTIFS('Defect Dump'!$R$3:$R$10000,$B48,'Defect Dump'!$I$3:$I$10000,"Blocker")</f>
        <v>1</v>
      </c>
      <c r="D48" s="298">
        <f ca="1">COUNTIFS('Defect Dump'!$R$3:$R$10000,$B48,'Defect Dump'!$I$3:$I$10000,"Critical")</f>
        <v>5</v>
      </c>
      <c r="E48" s="298">
        <f ca="1">COUNTIFS('Defect Dump'!$R$3:$R$10000,$B48,'Defect Dump'!$I$3:$I$10000,"Major")</f>
        <v>39</v>
      </c>
      <c r="F48" s="298">
        <f ca="1">COUNTIFS('Defect Dump'!$R$3:$R$10000,$B48,'Defect Dump'!$I$3:$I$10000,"Minor")+COUNTIFS('Defect Dump'!$R$3:$R$10000,$B48,'Defect Dump'!$I$3:$I$10000,"Trivial")</f>
        <v>24</v>
      </c>
      <c r="G48" s="298">
        <f t="shared" ca="1" si="15"/>
        <v>69</v>
      </c>
      <c r="H48" s="299" t="b">
        <f t="shared" ca="1" si="16"/>
        <v>1</v>
      </c>
      <c r="I48" s="299" t="b">
        <f t="shared" ca="1" si="17"/>
        <v>1</v>
      </c>
      <c r="J48" s="299" t="b">
        <f t="shared" ca="1" si="18"/>
        <v>1</v>
      </c>
      <c r="K48" s="299" t="b">
        <f t="shared" ca="1" si="19"/>
        <v>1</v>
      </c>
      <c r="L48" s="299" t="b">
        <f t="shared" ca="1" si="20"/>
        <v>1</v>
      </c>
      <c r="M48" s="299" t="b">
        <f t="shared" ca="1" si="21"/>
        <v>1</v>
      </c>
      <c r="N48" s="299" t="b">
        <f t="shared" ca="1" si="22"/>
        <v>1</v>
      </c>
      <c r="O48" s="297">
        <f t="shared" ca="1" si="23"/>
        <v>41837</v>
      </c>
      <c r="P48" s="298">
        <f ca="1">COUNTIFS('Defect Dump'!$S$3:$S$10000,$B48,'Defect Dump'!$H$3:$H$10000,"Closed",'Defect Dump'!$I$3:$I$10000,"Blocker")</f>
        <v>0</v>
      </c>
      <c r="Q48" s="298">
        <f ca="1">COUNTIFS('Defect Dump'!$S$3:$S$10000,$B48,'Defect Dump'!$H$3:$H$10000,"Closed",'Defect Dump'!$I$3:$I$10000,"Critical")</f>
        <v>2</v>
      </c>
      <c r="R48" s="298">
        <f ca="1">COUNTIFS('Defect Dump'!$S$3:$S$10000,$B48,'Defect Dump'!$H$3:$H$10000,"Closed",'Defect Dump'!$I$3:$I$10000,"Major")</f>
        <v>4</v>
      </c>
      <c r="S48" s="298">
        <f ca="1">COUNTIFS('Defect Dump'!$S$3:$S$10000,$B48,'Defect Dump'!$H$3:$H$10000,"Closed",'Defect Dump'!$I$3:$I$10000,"Minor")+COUNTIFS('Defect Dump'!$S$3:$S$10000,$B48,'Defect Dump'!$H$3:$H$10000,"Closed",'Defect Dump'!$I$3:$I$10000,"Trivial")</f>
        <v>3</v>
      </c>
      <c r="T48" s="298">
        <f t="shared" ca="1" si="24"/>
        <v>9</v>
      </c>
      <c r="U48" s="299" t="b">
        <f t="shared" ca="1" si="25"/>
        <v>1</v>
      </c>
      <c r="V48" s="299" t="b">
        <f t="shared" ca="1" si="26"/>
        <v>1</v>
      </c>
      <c r="W48" s="299" t="b">
        <f t="shared" ca="1" si="27"/>
        <v>1</v>
      </c>
      <c r="X48" s="299" t="b">
        <f t="shared" ca="1" si="28"/>
        <v>1</v>
      </c>
      <c r="Y48" s="299" t="b">
        <f t="shared" ca="1" si="29"/>
        <v>1</v>
      </c>
      <c r="Z48" s="299" t="b">
        <f t="shared" ca="1" si="30"/>
        <v>1</v>
      </c>
      <c r="AA48" s="297">
        <f t="shared" ca="1" si="31"/>
        <v>41837</v>
      </c>
      <c r="AB48" s="300">
        <f t="shared" ca="1" si="32"/>
        <v>69</v>
      </c>
      <c r="AC48" s="300">
        <f t="shared" ca="1" si="33"/>
        <v>741</v>
      </c>
      <c r="AD48" s="300">
        <f t="shared" ca="1" si="34"/>
        <v>9</v>
      </c>
      <c r="AE48" s="300">
        <f t="shared" ca="1" si="35"/>
        <v>129</v>
      </c>
      <c r="AF48" s="300">
        <f t="shared" ca="1" si="36"/>
        <v>612</v>
      </c>
      <c r="AG48" s="300">
        <f t="shared" ca="1" si="37"/>
        <v>1</v>
      </c>
      <c r="AH48" s="300">
        <f t="shared" ca="1" si="38"/>
        <v>5</v>
      </c>
      <c r="AI48" s="300">
        <f t="shared" ca="1" si="39"/>
        <v>39</v>
      </c>
      <c r="AJ48" s="300">
        <f t="shared" ca="1" si="40"/>
        <v>24</v>
      </c>
      <c r="AK48" s="300">
        <f t="shared" ca="1" si="41"/>
        <v>69</v>
      </c>
      <c r="AL48" s="300">
        <f t="shared" ca="1" si="42"/>
        <v>0</v>
      </c>
      <c r="AM48" s="300">
        <f t="shared" ca="1" si="43"/>
        <v>2</v>
      </c>
      <c r="AN48" s="300">
        <f t="shared" ca="1" si="44"/>
        <v>4</v>
      </c>
      <c r="AO48" s="300">
        <f t="shared" ca="1" si="45"/>
        <v>3</v>
      </c>
      <c r="AP48" s="300">
        <f t="shared" ca="1" si="46"/>
        <v>9</v>
      </c>
    </row>
    <row r="49" spans="2:42" ht="21">
      <c r="B49" s="297">
        <f t="shared" ca="1" si="14"/>
        <v>41838</v>
      </c>
      <c r="C49" s="298">
        <f ca="1">COUNTIFS('Defect Dump'!$R$3:$R$10000,$B49,'Defect Dump'!$I$3:$I$10000,"Blocker")</f>
        <v>0</v>
      </c>
      <c r="D49" s="298">
        <f ca="1">COUNTIFS('Defect Dump'!$R$3:$R$10000,$B49,'Defect Dump'!$I$3:$I$10000,"Critical")</f>
        <v>0</v>
      </c>
      <c r="E49" s="298">
        <f ca="1">COUNTIFS('Defect Dump'!$R$3:$R$10000,$B49,'Defect Dump'!$I$3:$I$10000,"Major")</f>
        <v>0</v>
      </c>
      <c r="F49" s="298">
        <f ca="1">COUNTIFS('Defect Dump'!$R$3:$R$10000,$B49,'Defect Dump'!$I$3:$I$10000,"Minor")+COUNTIFS('Defect Dump'!$R$3:$R$10000,$B49,'Defect Dump'!$I$3:$I$10000,"Trivial")</f>
        <v>0</v>
      </c>
      <c r="G49" s="298">
        <f t="shared" ca="1" si="15"/>
        <v>0</v>
      </c>
      <c r="H49" s="299" t="b">
        <f t="shared" ca="1" si="16"/>
        <v>1</v>
      </c>
      <c r="I49" s="299" t="b">
        <f t="shared" ca="1" si="17"/>
        <v>1</v>
      </c>
      <c r="J49" s="299" t="b">
        <f t="shared" ca="1" si="18"/>
        <v>1</v>
      </c>
      <c r="K49" s="299" t="b">
        <f t="shared" ca="1" si="19"/>
        <v>1</v>
      </c>
      <c r="L49" s="299" t="b">
        <f t="shared" ca="1" si="20"/>
        <v>1</v>
      </c>
      <c r="M49" s="299" t="b">
        <f t="shared" ca="1" si="21"/>
        <v>1</v>
      </c>
      <c r="N49" s="299" t="b">
        <f t="shared" ca="1" si="22"/>
        <v>1</v>
      </c>
      <c r="O49" s="297">
        <f t="shared" ca="1" si="23"/>
        <v>41838</v>
      </c>
      <c r="P49" s="298">
        <f ca="1">COUNTIFS('Defect Dump'!$S$3:$S$10000,$B49,'Defect Dump'!$H$3:$H$10000,"Closed",'Defect Dump'!$I$3:$I$10000,"Blocker")</f>
        <v>0</v>
      </c>
      <c r="Q49" s="298">
        <f ca="1">COUNTIFS('Defect Dump'!$S$3:$S$10000,$B49,'Defect Dump'!$H$3:$H$10000,"Closed",'Defect Dump'!$I$3:$I$10000,"Critical")</f>
        <v>1</v>
      </c>
      <c r="R49" s="298">
        <f ca="1">COUNTIFS('Defect Dump'!$S$3:$S$10000,$B49,'Defect Dump'!$H$3:$H$10000,"Closed",'Defect Dump'!$I$3:$I$10000,"Major")</f>
        <v>5</v>
      </c>
      <c r="S49" s="298">
        <f ca="1">COUNTIFS('Defect Dump'!$S$3:$S$10000,$B49,'Defect Dump'!$H$3:$H$10000,"Closed",'Defect Dump'!$I$3:$I$10000,"Minor")+COUNTIFS('Defect Dump'!$S$3:$S$10000,$B49,'Defect Dump'!$H$3:$H$10000,"Closed",'Defect Dump'!$I$3:$I$10000,"Trivial")</f>
        <v>0</v>
      </c>
      <c r="T49" s="298">
        <f t="shared" ca="1" si="24"/>
        <v>6</v>
      </c>
      <c r="U49" s="299" t="b">
        <f t="shared" ca="1" si="25"/>
        <v>1</v>
      </c>
      <c r="V49" s="299" t="b">
        <f t="shared" ca="1" si="26"/>
        <v>1</v>
      </c>
      <c r="W49" s="299" t="b">
        <f t="shared" ca="1" si="27"/>
        <v>1</v>
      </c>
      <c r="X49" s="299" t="b">
        <f t="shared" ca="1" si="28"/>
        <v>1</v>
      </c>
      <c r="Y49" s="299" t="b">
        <f t="shared" ca="1" si="29"/>
        <v>1</v>
      </c>
      <c r="Z49" s="299" t="b">
        <f t="shared" ca="1" si="30"/>
        <v>1</v>
      </c>
      <c r="AA49" s="297">
        <f t="shared" ca="1" si="31"/>
        <v>41838</v>
      </c>
      <c r="AB49" s="300">
        <f t="shared" ca="1" si="32"/>
        <v>0</v>
      </c>
      <c r="AC49" s="300">
        <f t="shared" ca="1" si="33"/>
        <v>741</v>
      </c>
      <c r="AD49" s="300">
        <f t="shared" ca="1" si="34"/>
        <v>6</v>
      </c>
      <c r="AE49" s="300">
        <f t="shared" ca="1" si="35"/>
        <v>135</v>
      </c>
      <c r="AF49" s="300">
        <f t="shared" ca="1" si="36"/>
        <v>606</v>
      </c>
      <c r="AG49" s="300">
        <f t="shared" ca="1" si="37"/>
        <v>0</v>
      </c>
      <c r="AH49" s="300">
        <f t="shared" ca="1" si="38"/>
        <v>0</v>
      </c>
      <c r="AI49" s="300">
        <f t="shared" ca="1" si="39"/>
        <v>0</v>
      </c>
      <c r="AJ49" s="300">
        <f t="shared" ca="1" si="40"/>
        <v>0</v>
      </c>
      <c r="AK49" s="300">
        <f t="shared" ca="1" si="41"/>
        <v>0</v>
      </c>
      <c r="AL49" s="300">
        <f t="shared" ca="1" si="42"/>
        <v>0</v>
      </c>
      <c r="AM49" s="300">
        <f t="shared" ca="1" si="43"/>
        <v>1</v>
      </c>
      <c r="AN49" s="300">
        <f t="shared" ca="1" si="44"/>
        <v>5</v>
      </c>
      <c r="AO49" s="300">
        <f t="shared" ca="1" si="45"/>
        <v>0</v>
      </c>
      <c r="AP49" s="300">
        <f t="shared" ca="1" si="46"/>
        <v>6</v>
      </c>
    </row>
    <row r="50" spans="2:42" ht="21">
      <c r="B50" s="297">
        <f t="shared" ca="1" si="14"/>
        <v>41839</v>
      </c>
      <c r="C50" s="298">
        <f ca="1">COUNTIFS('Defect Dump'!$R$3:$R$10000,$B50,'Defect Dump'!$I$3:$I$10000,"Blocker")</f>
        <v>0</v>
      </c>
      <c r="D50" s="298">
        <f ca="1">COUNTIFS('Defect Dump'!$R$3:$R$10000,$B50,'Defect Dump'!$I$3:$I$10000,"Critical")</f>
        <v>0</v>
      </c>
      <c r="E50" s="298">
        <f ca="1">COUNTIFS('Defect Dump'!$R$3:$R$10000,$B50,'Defect Dump'!$I$3:$I$10000,"Major")</f>
        <v>0</v>
      </c>
      <c r="F50" s="298">
        <f ca="1">COUNTIFS('Defect Dump'!$R$3:$R$10000,$B50,'Defect Dump'!$I$3:$I$10000,"Minor")+COUNTIFS('Defect Dump'!$R$3:$R$10000,$B50,'Defect Dump'!$I$3:$I$10000,"Trivial")</f>
        <v>0</v>
      </c>
      <c r="G50" s="298">
        <f t="shared" ca="1" si="15"/>
        <v>0</v>
      </c>
      <c r="H50" s="299" t="b">
        <f t="shared" ca="1" si="16"/>
        <v>1</v>
      </c>
      <c r="I50" s="299" t="b">
        <f t="shared" ca="1" si="17"/>
        <v>1</v>
      </c>
      <c r="J50" s="299" t="b">
        <f t="shared" ca="1" si="18"/>
        <v>1</v>
      </c>
      <c r="K50" s="299" t="b">
        <f t="shared" ca="1" si="19"/>
        <v>1</v>
      </c>
      <c r="L50" s="299" t="b">
        <f t="shared" ca="1" si="20"/>
        <v>1</v>
      </c>
      <c r="M50" s="299" t="b">
        <f t="shared" ca="1" si="21"/>
        <v>1</v>
      </c>
      <c r="N50" s="299" t="b">
        <f t="shared" ca="1" si="22"/>
        <v>1</v>
      </c>
      <c r="O50" s="297">
        <f t="shared" ca="1" si="23"/>
        <v>41839</v>
      </c>
      <c r="P50" s="298">
        <f ca="1">COUNTIFS('Defect Dump'!$S$3:$S$10000,$B50,'Defect Dump'!$H$3:$H$10000,"Closed",'Defect Dump'!$I$3:$I$10000,"Blocker")</f>
        <v>0</v>
      </c>
      <c r="Q50" s="298">
        <f ca="1">COUNTIFS('Defect Dump'!$S$3:$S$10000,$B50,'Defect Dump'!$H$3:$H$10000,"Closed",'Defect Dump'!$I$3:$I$10000,"Critical")</f>
        <v>0</v>
      </c>
      <c r="R50" s="298">
        <f ca="1">COUNTIFS('Defect Dump'!$S$3:$S$10000,$B50,'Defect Dump'!$H$3:$H$10000,"Closed",'Defect Dump'!$I$3:$I$10000,"Major")</f>
        <v>3</v>
      </c>
      <c r="S50" s="298">
        <f ca="1">COUNTIFS('Defect Dump'!$S$3:$S$10000,$B50,'Defect Dump'!$H$3:$H$10000,"Closed",'Defect Dump'!$I$3:$I$10000,"Minor")+COUNTIFS('Defect Dump'!$S$3:$S$10000,$B50,'Defect Dump'!$H$3:$H$10000,"Closed",'Defect Dump'!$I$3:$I$10000,"Trivial")</f>
        <v>2</v>
      </c>
      <c r="T50" s="298">
        <f t="shared" ca="1" si="24"/>
        <v>5</v>
      </c>
      <c r="U50" s="299" t="b">
        <f t="shared" ca="1" si="25"/>
        <v>1</v>
      </c>
      <c r="V50" s="299" t="b">
        <f t="shared" ca="1" si="26"/>
        <v>1</v>
      </c>
      <c r="W50" s="299" t="b">
        <f t="shared" ca="1" si="27"/>
        <v>1</v>
      </c>
      <c r="X50" s="299" t="b">
        <f t="shared" ca="1" si="28"/>
        <v>1</v>
      </c>
      <c r="Y50" s="299" t="b">
        <f t="shared" ca="1" si="29"/>
        <v>1</v>
      </c>
      <c r="Z50" s="299" t="b">
        <f t="shared" ca="1" si="30"/>
        <v>1</v>
      </c>
      <c r="AA50" s="297">
        <f t="shared" ca="1" si="31"/>
        <v>41839</v>
      </c>
      <c r="AB50" s="300">
        <f t="shared" ca="1" si="32"/>
        <v>0</v>
      </c>
      <c r="AC50" s="300">
        <f t="shared" ca="1" si="33"/>
        <v>741</v>
      </c>
      <c r="AD50" s="300">
        <f t="shared" ca="1" si="34"/>
        <v>5</v>
      </c>
      <c r="AE50" s="300">
        <f t="shared" ca="1" si="35"/>
        <v>140</v>
      </c>
      <c r="AF50" s="300">
        <f t="shared" ca="1" si="36"/>
        <v>601</v>
      </c>
      <c r="AG50" s="300">
        <f t="shared" ca="1" si="37"/>
        <v>0</v>
      </c>
      <c r="AH50" s="300">
        <f t="shared" ca="1" si="38"/>
        <v>0</v>
      </c>
      <c r="AI50" s="300">
        <f t="shared" ca="1" si="39"/>
        <v>0</v>
      </c>
      <c r="AJ50" s="300">
        <f t="shared" ca="1" si="40"/>
        <v>0</v>
      </c>
      <c r="AK50" s="300">
        <f t="shared" ca="1" si="41"/>
        <v>0</v>
      </c>
      <c r="AL50" s="300">
        <f t="shared" ca="1" si="42"/>
        <v>0</v>
      </c>
      <c r="AM50" s="300">
        <f t="shared" ca="1" si="43"/>
        <v>0</v>
      </c>
      <c r="AN50" s="300">
        <f t="shared" ca="1" si="44"/>
        <v>3</v>
      </c>
      <c r="AO50" s="300">
        <f t="shared" ca="1" si="45"/>
        <v>2</v>
      </c>
      <c r="AP50" s="300">
        <f t="shared" ca="1" si="46"/>
        <v>5</v>
      </c>
    </row>
    <row r="51" spans="2:42" ht="21">
      <c r="B51" s="297">
        <f t="shared" ca="1" si="14"/>
        <v>41840</v>
      </c>
      <c r="C51" s="298">
        <f ca="1">COUNTIFS('Defect Dump'!$R$3:$R$10000,$B51,'Defect Dump'!$I$3:$I$10000,"Blocker")</f>
        <v>1</v>
      </c>
      <c r="D51" s="298">
        <f ca="1">COUNTIFS('Defect Dump'!$R$3:$R$10000,$B51,'Defect Dump'!$I$3:$I$10000,"Critical")</f>
        <v>2</v>
      </c>
      <c r="E51" s="298">
        <f ca="1">COUNTIFS('Defect Dump'!$R$3:$R$10000,$B51,'Defect Dump'!$I$3:$I$10000,"Major")</f>
        <v>2</v>
      </c>
      <c r="F51" s="298">
        <f ca="1">COUNTIFS('Defect Dump'!$R$3:$R$10000,$B51,'Defect Dump'!$I$3:$I$10000,"Minor")+COUNTIFS('Defect Dump'!$R$3:$R$10000,$B51,'Defect Dump'!$I$3:$I$10000,"Trivial")</f>
        <v>4</v>
      </c>
      <c r="G51" s="298">
        <f t="shared" ca="1" si="15"/>
        <v>9</v>
      </c>
      <c r="H51" s="299" t="b">
        <f t="shared" ca="1" si="16"/>
        <v>1</v>
      </c>
      <c r="I51" s="299" t="b">
        <f t="shared" ca="1" si="17"/>
        <v>1</v>
      </c>
      <c r="J51" s="299" t="b">
        <f t="shared" ca="1" si="18"/>
        <v>1</v>
      </c>
      <c r="K51" s="299" t="b">
        <f t="shared" ca="1" si="19"/>
        <v>1</v>
      </c>
      <c r="L51" s="299" t="b">
        <f t="shared" ca="1" si="20"/>
        <v>1</v>
      </c>
      <c r="M51" s="299" t="b">
        <f t="shared" ca="1" si="21"/>
        <v>1</v>
      </c>
      <c r="N51" s="299" t="b">
        <f t="shared" ca="1" si="22"/>
        <v>1</v>
      </c>
      <c r="O51" s="297">
        <f t="shared" ca="1" si="23"/>
        <v>41840</v>
      </c>
      <c r="P51" s="298">
        <f ca="1">COUNTIFS('Defect Dump'!$S$3:$S$10000,$B51,'Defect Dump'!$H$3:$H$10000,"Closed",'Defect Dump'!$I$3:$I$10000,"Blocker")</f>
        <v>0</v>
      </c>
      <c r="Q51" s="298">
        <f ca="1">COUNTIFS('Defect Dump'!$S$3:$S$10000,$B51,'Defect Dump'!$H$3:$H$10000,"Closed",'Defect Dump'!$I$3:$I$10000,"Critical")</f>
        <v>2</v>
      </c>
      <c r="R51" s="298">
        <f ca="1">COUNTIFS('Defect Dump'!$S$3:$S$10000,$B51,'Defect Dump'!$H$3:$H$10000,"Closed",'Defect Dump'!$I$3:$I$10000,"Major")</f>
        <v>3</v>
      </c>
      <c r="S51" s="298">
        <f ca="1">COUNTIFS('Defect Dump'!$S$3:$S$10000,$B51,'Defect Dump'!$H$3:$H$10000,"Closed",'Defect Dump'!$I$3:$I$10000,"Minor")+COUNTIFS('Defect Dump'!$S$3:$S$10000,$B51,'Defect Dump'!$H$3:$H$10000,"Closed",'Defect Dump'!$I$3:$I$10000,"Trivial")</f>
        <v>4</v>
      </c>
      <c r="T51" s="298">
        <f t="shared" ca="1" si="24"/>
        <v>9</v>
      </c>
      <c r="U51" s="299" t="b">
        <f t="shared" ca="1" si="25"/>
        <v>1</v>
      </c>
      <c r="V51" s="299" t="b">
        <f t="shared" ca="1" si="26"/>
        <v>1</v>
      </c>
      <c r="W51" s="299" t="b">
        <f t="shared" ca="1" si="27"/>
        <v>1</v>
      </c>
      <c r="X51" s="299" t="b">
        <f t="shared" ca="1" si="28"/>
        <v>1</v>
      </c>
      <c r="Y51" s="299" t="b">
        <f t="shared" ca="1" si="29"/>
        <v>1</v>
      </c>
      <c r="Z51" s="299" t="b">
        <f t="shared" ca="1" si="30"/>
        <v>1</v>
      </c>
      <c r="AA51" s="297">
        <f t="shared" ca="1" si="31"/>
        <v>41840</v>
      </c>
      <c r="AB51" s="300">
        <f t="shared" ca="1" si="32"/>
        <v>9</v>
      </c>
      <c r="AC51" s="300">
        <f t="shared" ca="1" si="33"/>
        <v>750</v>
      </c>
      <c r="AD51" s="300">
        <f t="shared" ca="1" si="34"/>
        <v>9</v>
      </c>
      <c r="AE51" s="300">
        <f t="shared" ca="1" si="35"/>
        <v>149</v>
      </c>
      <c r="AF51" s="300">
        <f t="shared" ca="1" si="36"/>
        <v>601</v>
      </c>
      <c r="AG51" s="300">
        <f t="shared" ca="1" si="37"/>
        <v>1</v>
      </c>
      <c r="AH51" s="300">
        <f t="shared" ca="1" si="38"/>
        <v>2</v>
      </c>
      <c r="AI51" s="300">
        <f t="shared" ca="1" si="39"/>
        <v>2</v>
      </c>
      <c r="AJ51" s="300">
        <f t="shared" ca="1" si="40"/>
        <v>4</v>
      </c>
      <c r="AK51" s="300">
        <f t="shared" ca="1" si="41"/>
        <v>9</v>
      </c>
      <c r="AL51" s="300">
        <f t="shared" ca="1" si="42"/>
        <v>0</v>
      </c>
      <c r="AM51" s="300">
        <f t="shared" ca="1" si="43"/>
        <v>2</v>
      </c>
      <c r="AN51" s="300">
        <f t="shared" ca="1" si="44"/>
        <v>3</v>
      </c>
      <c r="AO51" s="300">
        <f t="shared" ca="1" si="45"/>
        <v>4</v>
      </c>
      <c r="AP51" s="300">
        <f t="shared" ca="1" si="46"/>
        <v>9</v>
      </c>
    </row>
    <row r="52" spans="2:42" ht="21">
      <c r="B52" s="297">
        <f t="shared" ca="1" si="14"/>
        <v>41841</v>
      </c>
      <c r="C52" s="298">
        <f ca="1">COUNTIFS('Defect Dump'!$R$3:$R$10000,$B52,'Defect Dump'!$I$3:$I$10000,"Blocker")</f>
        <v>0</v>
      </c>
      <c r="D52" s="298">
        <f ca="1">COUNTIFS('Defect Dump'!$R$3:$R$10000,$B52,'Defect Dump'!$I$3:$I$10000,"Critical")</f>
        <v>0</v>
      </c>
      <c r="E52" s="298">
        <f ca="1">COUNTIFS('Defect Dump'!$R$3:$R$10000,$B52,'Defect Dump'!$I$3:$I$10000,"Major")</f>
        <v>0</v>
      </c>
      <c r="F52" s="298">
        <f ca="1">COUNTIFS('Defect Dump'!$R$3:$R$10000,$B52,'Defect Dump'!$I$3:$I$10000,"Minor")+COUNTIFS('Defect Dump'!$R$3:$R$10000,$B52,'Defect Dump'!$I$3:$I$10000,"Trivial")</f>
        <v>0</v>
      </c>
      <c r="G52" s="298">
        <f t="shared" ca="1" si="15"/>
        <v>0</v>
      </c>
      <c r="H52" s="299" t="b">
        <f t="shared" ca="1" si="16"/>
        <v>1</v>
      </c>
      <c r="I52" s="299" t="b">
        <f t="shared" ca="1" si="17"/>
        <v>1</v>
      </c>
      <c r="J52" s="299" t="b">
        <f t="shared" ca="1" si="18"/>
        <v>1</v>
      </c>
      <c r="K52" s="299" t="b">
        <f t="shared" ca="1" si="19"/>
        <v>1</v>
      </c>
      <c r="L52" s="299" t="b">
        <f t="shared" ca="1" si="20"/>
        <v>1</v>
      </c>
      <c r="M52" s="299" t="b">
        <f t="shared" ca="1" si="21"/>
        <v>1</v>
      </c>
      <c r="N52" s="299" t="b">
        <f t="shared" ca="1" si="22"/>
        <v>1</v>
      </c>
      <c r="O52" s="297">
        <f t="shared" ca="1" si="23"/>
        <v>41841</v>
      </c>
      <c r="P52" s="298">
        <f ca="1">COUNTIFS('Defect Dump'!$S$3:$S$10000,$B52,'Defect Dump'!$H$3:$H$10000,"Closed",'Defect Dump'!$I$3:$I$10000,"Blocker")</f>
        <v>0</v>
      </c>
      <c r="Q52" s="298">
        <f ca="1">COUNTIFS('Defect Dump'!$S$3:$S$10000,$B52,'Defect Dump'!$H$3:$H$10000,"Closed",'Defect Dump'!$I$3:$I$10000,"Critical")</f>
        <v>0</v>
      </c>
      <c r="R52" s="298">
        <f ca="1">COUNTIFS('Defect Dump'!$S$3:$S$10000,$B52,'Defect Dump'!$H$3:$H$10000,"Closed",'Defect Dump'!$I$3:$I$10000,"Major")</f>
        <v>0</v>
      </c>
      <c r="S52" s="298">
        <f ca="1">COUNTIFS('Defect Dump'!$S$3:$S$10000,$B52,'Defect Dump'!$H$3:$H$10000,"Closed",'Defect Dump'!$I$3:$I$10000,"Minor")+COUNTIFS('Defect Dump'!$S$3:$S$10000,$B52,'Defect Dump'!$H$3:$H$10000,"Closed",'Defect Dump'!$I$3:$I$10000,"Trivial")</f>
        <v>0</v>
      </c>
      <c r="T52" s="298">
        <f t="shared" ca="1" si="24"/>
        <v>0</v>
      </c>
      <c r="U52" s="299" t="b">
        <f t="shared" ca="1" si="25"/>
        <v>1</v>
      </c>
      <c r="V52" s="299" t="b">
        <f t="shared" ca="1" si="26"/>
        <v>1</v>
      </c>
      <c r="W52" s="299" t="b">
        <f t="shared" ca="1" si="27"/>
        <v>1</v>
      </c>
      <c r="X52" s="299" t="b">
        <f t="shared" ca="1" si="28"/>
        <v>1</v>
      </c>
      <c r="Y52" s="299" t="b">
        <f t="shared" ca="1" si="29"/>
        <v>1</v>
      </c>
      <c r="Z52" s="299" t="b">
        <f t="shared" ca="1" si="30"/>
        <v>1</v>
      </c>
      <c r="AA52" s="297">
        <f t="shared" ca="1" si="31"/>
        <v>41841</v>
      </c>
      <c r="AB52" s="300">
        <f t="shared" ca="1" si="32"/>
        <v>0</v>
      </c>
      <c r="AC52" s="300">
        <f t="shared" ca="1" si="33"/>
        <v>750</v>
      </c>
      <c r="AD52" s="300">
        <f t="shared" ca="1" si="34"/>
        <v>0</v>
      </c>
      <c r="AE52" s="300">
        <f t="shared" ca="1" si="35"/>
        <v>149</v>
      </c>
      <c r="AF52" s="300">
        <f t="shared" ca="1" si="36"/>
        <v>601</v>
      </c>
      <c r="AG52" s="300">
        <f t="shared" ca="1" si="37"/>
        <v>0</v>
      </c>
      <c r="AH52" s="300">
        <f t="shared" ca="1" si="38"/>
        <v>0</v>
      </c>
      <c r="AI52" s="300">
        <f t="shared" ca="1" si="39"/>
        <v>0</v>
      </c>
      <c r="AJ52" s="300">
        <f t="shared" ca="1" si="40"/>
        <v>0</v>
      </c>
      <c r="AK52" s="300">
        <f t="shared" ca="1" si="41"/>
        <v>0</v>
      </c>
      <c r="AL52" s="300">
        <f t="shared" ca="1" si="42"/>
        <v>0</v>
      </c>
      <c r="AM52" s="300">
        <f t="shared" ca="1" si="43"/>
        <v>0</v>
      </c>
      <c r="AN52" s="300">
        <f t="shared" ca="1" si="44"/>
        <v>0</v>
      </c>
      <c r="AO52" s="300">
        <f t="shared" ca="1" si="45"/>
        <v>0</v>
      </c>
      <c r="AP52" s="300">
        <f t="shared" ca="1" si="46"/>
        <v>0</v>
      </c>
    </row>
    <row r="53" spans="2:42" ht="21">
      <c r="B53" s="297">
        <f t="shared" ca="1" si="14"/>
        <v>41842</v>
      </c>
      <c r="C53" s="298">
        <f ca="1">COUNTIFS('Defect Dump'!$R$3:$R$10000,$B53,'Defect Dump'!$I$3:$I$10000,"Blocker")</f>
        <v>0</v>
      </c>
      <c r="D53" s="298">
        <f ca="1">COUNTIFS('Defect Dump'!$R$3:$R$10000,$B53,'Defect Dump'!$I$3:$I$10000,"Critical")</f>
        <v>0</v>
      </c>
      <c r="E53" s="298">
        <f ca="1">COUNTIFS('Defect Dump'!$R$3:$R$10000,$B53,'Defect Dump'!$I$3:$I$10000,"Major")</f>
        <v>0</v>
      </c>
      <c r="F53" s="298">
        <f ca="1">COUNTIFS('Defect Dump'!$R$3:$R$10000,$B53,'Defect Dump'!$I$3:$I$10000,"Minor")+COUNTIFS('Defect Dump'!$R$3:$R$10000,$B53,'Defect Dump'!$I$3:$I$10000,"Trivial")</f>
        <v>0</v>
      </c>
      <c r="G53" s="298">
        <f t="shared" ca="1" si="15"/>
        <v>0</v>
      </c>
      <c r="H53" s="299" t="b">
        <f t="shared" ca="1" si="16"/>
        <v>1</v>
      </c>
      <c r="I53" s="299" t="b">
        <f t="shared" ca="1" si="17"/>
        <v>1</v>
      </c>
      <c r="J53" s="299" t="b">
        <f t="shared" ca="1" si="18"/>
        <v>1</v>
      </c>
      <c r="K53" s="299" t="b">
        <f t="shared" ca="1" si="19"/>
        <v>1</v>
      </c>
      <c r="L53" s="299" t="b">
        <f t="shared" ca="1" si="20"/>
        <v>1</v>
      </c>
      <c r="M53" s="299" t="b">
        <f t="shared" ca="1" si="21"/>
        <v>1</v>
      </c>
      <c r="N53" s="299" t="b">
        <f t="shared" ca="1" si="22"/>
        <v>1</v>
      </c>
      <c r="O53" s="297">
        <f t="shared" ca="1" si="23"/>
        <v>41842</v>
      </c>
      <c r="P53" s="298">
        <f ca="1">COUNTIFS('Defect Dump'!$S$3:$S$10000,$B53,'Defect Dump'!$H$3:$H$10000,"Closed",'Defect Dump'!$I$3:$I$10000,"Blocker")</f>
        <v>0</v>
      </c>
      <c r="Q53" s="298">
        <f ca="1">COUNTIFS('Defect Dump'!$S$3:$S$10000,$B53,'Defect Dump'!$H$3:$H$10000,"Closed",'Defect Dump'!$I$3:$I$10000,"Critical")</f>
        <v>0</v>
      </c>
      <c r="R53" s="298">
        <f ca="1">COUNTIFS('Defect Dump'!$S$3:$S$10000,$B53,'Defect Dump'!$H$3:$H$10000,"Closed",'Defect Dump'!$I$3:$I$10000,"Major")</f>
        <v>0</v>
      </c>
      <c r="S53" s="298">
        <f ca="1">COUNTIFS('Defect Dump'!$S$3:$S$10000,$B53,'Defect Dump'!$H$3:$H$10000,"Closed",'Defect Dump'!$I$3:$I$10000,"Minor")+COUNTIFS('Defect Dump'!$S$3:$S$10000,$B53,'Defect Dump'!$H$3:$H$10000,"Closed",'Defect Dump'!$I$3:$I$10000,"Trivial")</f>
        <v>0</v>
      </c>
      <c r="T53" s="298">
        <f t="shared" ca="1" si="24"/>
        <v>0</v>
      </c>
      <c r="U53" s="299" t="b">
        <f t="shared" ca="1" si="25"/>
        <v>1</v>
      </c>
      <c r="V53" s="299" t="b">
        <f t="shared" ca="1" si="26"/>
        <v>1</v>
      </c>
      <c r="W53" s="299" t="b">
        <f t="shared" ca="1" si="27"/>
        <v>1</v>
      </c>
      <c r="X53" s="299" t="b">
        <f t="shared" ca="1" si="28"/>
        <v>1</v>
      </c>
      <c r="Y53" s="299" t="b">
        <f t="shared" ca="1" si="29"/>
        <v>1</v>
      </c>
      <c r="Z53" s="299" t="b">
        <f t="shared" ca="1" si="30"/>
        <v>1</v>
      </c>
      <c r="AA53" s="297">
        <f t="shared" ca="1" si="31"/>
        <v>41842</v>
      </c>
      <c r="AB53" s="300">
        <f t="shared" ca="1" si="32"/>
        <v>0</v>
      </c>
      <c r="AC53" s="300">
        <f t="shared" ca="1" si="33"/>
        <v>750</v>
      </c>
      <c r="AD53" s="300">
        <f t="shared" ca="1" si="34"/>
        <v>0</v>
      </c>
      <c r="AE53" s="300">
        <f t="shared" ca="1" si="35"/>
        <v>149</v>
      </c>
      <c r="AF53" s="300">
        <f t="shared" ca="1" si="36"/>
        <v>601</v>
      </c>
      <c r="AG53" s="300">
        <f t="shared" ca="1" si="37"/>
        <v>0</v>
      </c>
      <c r="AH53" s="300">
        <f t="shared" ca="1" si="38"/>
        <v>0</v>
      </c>
      <c r="AI53" s="300">
        <f t="shared" ca="1" si="39"/>
        <v>0</v>
      </c>
      <c r="AJ53" s="300">
        <f t="shared" ca="1" si="40"/>
        <v>0</v>
      </c>
      <c r="AK53" s="300">
        <f t="shared" ca="1" si="41"/>
        <v>0</v>
      </c>
      <c r="AL53" s="300">
        <f t="shared" ca="1" si="42"/>
        <v>0</v>
      </c>
      <c r="AM53" s="300">
        <f t="shared" ca="1" si="43"/>
        <v>0</v>
      </c>
      <c r="AN53" s="300">
        <f t="shared" ca="1" si="44"/>
        <v>0</v>
      </c>
      <c r="AO53" s="300">
        <f t="shared" ca="1" si="45"/>
        <v>0</v>
      </c>
      <c r="AP53" s="300">
        <f t="shared" ca="1" si="46"/>
        <v>0</v>
      </c>
    </row>
    <row r="54" spans="2:42" ht="21">
      <c r="B54" s="297">
        <f t="shared" ca="1" si="14"/>
        <v>41843</v>
      </c>
      <c r="C54" s="298">
        <f ca="1">COUNTIFS('Defect Dump'!$R$3:$R$10000,$B54,'Defect Dump'!$I$3:$I$10000,"Blocker")</f>
        <v>0</v>
      </c>
      <c r="D54" s="298">
        <f ca="1">COUNTIFS('Defect Dump'!$R$3:$R$10000,$B54,'Defect Dump'!$I$3:$I$10000,"Critical")</f>
        <v>3</v>
      </c>
      <c r="E54" s="298">
        <f ca="1">COUNTIFS('Defect Dump'!$R$3:$R$10000,$B54,'Defect Dump'!$I$3:$I$10000,"Major")</f>
        <v>9</v>
      </c>
      <c r="F54" s="298">
        <f ca="1">COUNTIFS('Defect Dump'!$R$3:$R$10000,$B54,'Defect Dump'!$I$3:$I$10000,"Minor")+COUNTIFS('Defect Dump'!$R$3:$R$10000,$B54,'Defect Dump'!$I$3:$I$10000,"Trivial")</f>
        <v>7</v>
      </c>
      <c r="G54" s="298">
        <f t="shared" ca="1" si="15"/>
        <v>19</v>
      </c>
      <c r="H54" s="299" t="b">
        <f t="shared" ca="1" si="16"/>
        <v>1</v>
      </c>
      <c r="I54" s="299" t="b">
        <f t="shared" ca="1" si="17"/>
        <v>1</v>
      </c>
      <c r="J54" s="299" t="b">
        <f t="shared" ca="1" si="18"/>
        <v>1</v>
      </c>
      <c r="K54" s="299" t="b">
        <f t="shared" ca="1" si="19"/>
        <v>1</v>
      </c>
      <c r="L54" s="299" t="b">
        <f t="shared" ca="1" si="20"/>
        <v>1</v>
      </c>
      <c r="M54" s="299" t="b">
        <f t="shared" ca="1" si="21"/>
        <v>1</v>
      </c>
      <c r="N54" s="299" t="b">
        <f t="shared" ca="1" si="22"/>
        <v>1</v>
      </c>
      <c r="O54" s="297">
        <f t="shared" ca="1" si="23"/>
        <v>41843</v>
      </c>
      <c r="P54" s="298">
        <f ca="1">COUNTIFS('Defect Dump'!$S$3:$S$10000,$B54,'Defect Dump'!$H$3:$H$10000,"Closed",'Defect Dump'!$I$3:$I$10000,"Blocker")</f>
        <v>1</v>
      </c>
      <c r="Q54" s="298">
        <f ca="1">COUNTIFS('Defect Dump'!$S$3:$S$10000,$B54,'Defect Dump'!$H$3:$H$10000,"Closed",'Defect Dump'!$I$3:$I$10000,"Critical")</f>
        <v>2</v>
      </c>
      <c r="R54" s="298">
        <f ca="1">COUNTIFS('Defect Dump'!$S$3:$S$10000,$B54,'Defect Dump'!$H$3:$H$10000,"Closed",'Defect Dump'!$I$3:$I$10000,"Major")</f>
        <v>4</v>
      </c>
      <c r="S54" s="298">
        <f ca="1">COUNTIFS('Defect Dump'!$S$3:$S$10000,$B54,'Defect Dump'!$H$3:$H$10000,"Closed",'Defect Dump'!$I$3:$I$10000,"Minor")+COUNTIFS('Defect Dump'!$S$3:$S$10000,$B54,'Defect Dump'!$H$3:$H$10000,"Closed",'Defect Dump'!$I$3:$I$10000,"Trivial")</f>
        <v>2</v>
      </c>
      <c r="T54" s="298">
        <f t="shared" ca="1" si="24"/>
        <v>9</v>
      </c>
      <c r="U54" s="299" t="b">
        <f t="shared" ca="1" si="25"/>
        <v>1</v>
      </c>
      <c r="V54" s="299" t="b">
        <f t="shared" ca="1" si="26"/>
        <v>1</v>
      </c>
      <c r="W54" s="299" t="b">
        <f t="shared" ca="1" si="27"/>
        <v>1</v>
      </c>
      <c r="X54" s="299" t="b">
        <f t="shared" ca="1" si="28"/>
        <v>1</v>
      </c>
      <c r="Y54" s="299" t="b">
        <f t="shared" ca="1" si="29"/>
        <v>1</v>
      </c>
      <c r="Z54" s="299" t="b">
        <f t="shared" ca="1" si="30"/>
        <v>1</v>
      </c>
      <c r="AA54" s="297">
        <f t="shared" ca="1" si="31"/>
        <v>41843</v>
      </c>
      <c r="AB54" s="300">
        <f t="shared" ca="1" si="32"/>
        <v>19</v>
      </c>
      <c r="AC54" s="300">
        <f t="shared" ca="1" si="33"/>
        <v>769</v>
      </c>
      <c r="AD54" s="300">
        <f t="shared" ca="1" si="34"/>
        <v>9</v>
      </c>
      <c r="AE54" s="300">
        <f t="shared" ca="1" si="35"/>
        <v>158</v>
      </c>
      <c r="AF54" s="300">
        <f t="shared" ca="1" si="36"/>
        <v>611</v>
      </c>
      <c r="AG54" s="300">
        <f t="shared" ca="1" si="37"/>
        <v>0</v>
      </c>
      <c r="AH54" s="300">
        <f t="shared" ca="1" si="38"/>
        <v>3</v>
      </c>
      <c r="AI54" s="300">
        <f t="shared" ca="1" si="39"/>
        <v>9</v>
      </c>
      <c r="AJ54" s="300">
        <f t="shared" ca="1" si="40"/>
        <v>7</v>
      </c>
      <c r="AK54" s="300">
        <f t="shared" ca="1" si="41"/>
        <v>19</v>
      </c>
      <c r="AL54" s="300">
        <f t="shared" ca="1" si="42"/>
        <v>1</v>
      </c>
      <c r="AM54" s="300">
        <f t="shared" ca="1" si="43"/>
        <v>2</v>
      </c>
      <c r="AN54" s="300">
        <f t="shared" ca="1" si="44"/>
        <v>4</v>
      </c>
      <c r="AO54" s="300">
        <f t="shared" ca="1" si="45"/>
        <v>2</v>
      </c>
      <c r="AP54" s="300">
        <f t="shared" ca="1" si="46"/>
        <v>9</v>
      </c>
    </row>
    <row r="55" spans="2:42" ht="21">
      <c r="B55" s="297">
        <f t="shared" ca="1" si="14"/>
        <v>41844</v>
      </c>
      <c r="C55" s="298">
        <f ca="1">COUNTIFS('Defect Dump'!$R$3:$R$10000,$B55,'Defect Dump'!$I$3:$I$10000,"Blocker")</f>
        <v>1</v>
      </c>
      <c r="D55" s="298">
        <f ca="1">COUNTIFS('Defect Dump'!$R$3:$R$10000,$B55,'Defect Dump'!$I$3:$I$10000,"Critical")</f>
        <v>1</v>
      </c>
      <c r="E55" s="298">
        <f ca="1">COUNTIFS('Defect Dump'!$R$3:$R$10000,$B55,'Defect Dump'!$I$3:$I$10000,"Major")</f>
        <v>4</v>
      </c>
      <c r="F55" s="298">
        <f ca="1">COUNTIFS('Defect Dump'!$R$3:$R$10000,$B55,'Defect Dump'!$I$3:$I$10000,"Minor")+COUNTIFS('Defect Dump'!$R$3:$R$10000,$B55,'Defect Dump'!$I$3:$I$10000,"Trivial")</f>
        <v>0</v>
      </c>
      <c r="G55" s="298">
        <f t="shared" ca="1" si="15"/>
        <v>6</v>
      </c>
      <c r="H55" s="299" t="b">
        <f t="shared" ca="1" si="16"/>
        <v>1</v>
      </c>
      <c r="I55" s="299" t="b">
        <f t="shared" ca="1" si="17"/>
        <v>1</v>
      </c>
      <c r="J55" s="299" t="b">
        <f t="shared" ca="1" si="18"/>
        <v>1</v>
      </c>
      <c r="K55" s="299" t="b">
        <f t="shared" ca="1" si="19"/>
        <v>1</v>
      </c>
      <c r="L55" s="299" t="b">
        <f t="shared" ca="1" si="20"/>
        <v>1</v>
      </c>
      <c r="M55" s="299" t="b">
        <f t="shared" ca="1" si="21"/>
        <v>1</v>
      </c>
      <c r="N55" s="299" t="b">
        <f t="shared" ca="1" si="22"/>
        <v>1</v>
      </c>
      <c r="O55" s="297">
        <f t="shared" ca="1" si="23"/>
        <v>41844</v>
      </c>
      <c r="P55" s="298">
        <f ca="1">COUNTIFS('Defect Dump'!$S$3:$S$10000,$B55,'Defect Dump'!$H$3:$H$10000,"Closed",'Defect Dump'!$I$3:$I$10000,"Blocker")</f>
        <v>1</v>
      </c>
      <c r="Q55" s="298">
        <f ca="1">COUNTIFS('Defect Dump'!$S$3:$S$10000,$B55,'Defect Dump'!$H$3:$H$10000,"Closed",'Defect Dump'!$I$3:$I$10000,"Critical")</f>
        <v>0</v>
      </c>
      <c r="R55" s="298">
        <f ca="1">COUNTIFS('Defect Dump'!$S$3:$S$10000,$B55,'Defect Dump'!$H$3:$H$10000,"Closed",'Defect Dump'!$I$3:$I$10000,"Major")</f>
        <v>8</v>
      </c>
      <c r="S55" s="298">
        <f ca="1">COUNTIFS('Defect Dump'!$S$3:$S$10000,$B55,'Defect Dump'!$H$3:$H$10000,"Closed",'Defect Dump'!$I$3:$I$10000,"Minor")+COUNTIFS('Defect Dump'!$S$3:$S$10000,$B55,'Defect Dump'!$H$3:$H$10000,"Closed",'Defect Dump'!$I$3:$I$10000,"Trivial")</f>
        <v>2</v>
      </c>
      <c r="T55" s="298">
        <f t="shared" ca="1" si="24"/>
        <v>11</v>
      </c>
      <c r="U55" s="299" t="b">
        <f t="shared" ca="1" si="25"/>
        <v>1</v>
      </c>
      <c r="V55" s="299" t="b">
        <f t="shared" ca="1" si="26"/>
        <v>1</v>
      </c>
      <c r="W55" s="299" t="b">
        <f t="shared" ca="1" si="27"/>
        <v>1</v>
      </c>
      <c r="X55" s="299" t="b">
        <f t="shared" ca="1" si="28"/>
        <v>1</v>
      </c>
      <c r="Y55" s="299" t="b">
        <f t="shared" ca="1" si="29"/>
        <v>1</v>
      </c>
      <c r="Z55" s="299" t="b">
        <f t="shared" ca="1" si="30"/>
        <v>1</v>
      </c>
      <c r="AA55" s="297">
        <f t="shared" ca="1" si="31"/>
        <v>41844</v>
      </c>
      <c r="AB55" s="300">
        <f t="shared" ca="1" si="32"/>
        <v>6</v>
      </c>
      <c r="AC55" s="300">
        <f t="shared" ca="1" si="33"/>
        <v>775</v>
      </c>
      <c r="AD55" s="300">
        <f t="shared" ca="1" si="34"/>
        <v>11</v>
      </c>
      <c r="AE55" s="300">
        <f t="shared" ca="1" si="35"/>
        <v>169</v>
      </c>
      <c r="AF55" s="300">
        <f t="shared" ca="1" si="36"/>
        <v>606</v>
      </c>
      <c r="AG55" s="300">
        <f t="shared" ca="1" si="37"/>
        <v>1</v>
      </c>
      <c r="AH55" s="300">
        <f t="shared" ca="1" si="38"/>
        <v>1</v>
      </c>
      <c r="AI55" s="300">
        <f t="shared" ca="1" si="39"/>
        <v>4</v>
      </c>
      <c r="AJ55" s="300">
        <f t="shared" ca="1" si="40"/>
        <v>0</v>
      </c>
      <c r="AK55" s="300">
        <f t="shared" ca="1" si="41"/>
        <v>6</v>
      </c>
      <c r="AL55" s="300">
        <f t="shared" ca="1" si="42"/>
        <v>1</v>
      </c>
      <c r="AM55" s="300">
        <f t="shared" ca="1" si="43"/>
        <v>0</v>
      </c>
      <c r="AN55" s="300">
        <f t="shared" ca="1" si="44"/>
        <v>8</v>
      </c>
      <c r="AO55" s="300">
        <f t="shared" ca="1" si="45"/>
        <v>2</v>
      </c>
      <c r="AP55" s="300">
        <f t="shared" ca="1" si="46"/>
        <v>11</v>
      </c>
    </row>
    <row r="56" spans="2:42" ht="21">
      <c r="B56" s="297">
        <f t="shared" ca="1" si="14"/>
        <v>41845</v>
      </c>
      <c r="C56" s="298">
        <f ca="1">COUNTIFS('Defect Dump'!$R$3:$R$10000,$B56,'Defect Dump'!$I$3:$I$10000,"Blocker")</f>
        <v>0</v>
      </c>
      <c r="D56" s="298">
        <f ca="1">COUNTIFS('Defect Dump'!$R$3:$R$10000,$B56,'Defect Dump'!$I$3:$I$10000,"Critical")</f>
        <v>0</v>
      </c>
      <c r="E56" s="298">
        <f ca="1">COUNTIFS('Defect Dump'!$R$3:$R$10000,$B56,'Defect Dump'!$I$3:$I$10000,"Major")</f>
        <v>0</v>
      </c>
      <c r="F56" s="298">
        <f ca="1">COUNTIFS('Defect Dump'!$R$3:$R$10000,$B56,'Defect Dump'!$I$3:$I$10000,"Minor")+COUNTIFS('Defect Dump'!$R$3:$R$10000,$B56,'Defect Dump'!$I$3:$I$10000,"Trivial")</f>
        <v>0</v>
      </c>
      <c r="G56" s="298">
        <f t="shared" ca="1" si="15"/>
        <v>0</v>
      </c>
      <c r="H56" s="299" t="b">
        <f t="shared" ca="1" si="16"/>
        <v>1</v>
      </c>
      <c r="I56" s="299" t="b">
        <f t="shared" ca="1" si="17"/>
        <v>1</v>
      </c>
      <c r="J56" s="299" t="b">
        <f t="shared" ca="1" si="18"/>
        <v>1</v>
      </c>
      <c r="K56" s="299" t="b">
        <f t="shared" ca="1" si="19"/>
        <v>1</v>
      </c>
      <c r="L56" s="299" t="b">
        <f t="shared" ca="1" si="20"/>
        <v>1</v>
      </c>
      <c r="M56" s="299" t="b">
        <f t="shared" ca="1" si="21"/>
        <v>1</v>
      </c>
      <c r="N56" s="299" t="b">
        <f t="shared" ca="1" si="22"/>
        <v>1</v>
      </c>
      <c r="O56" s="297">
        <f t="shared" ca="1" si="23"/>
        <v>41845</v>
      </c>
      <c r="P56" s="298">
        <f ca="1">COUNTIFS('Defect Dump'!$S$3:$S$10000,$B56,'Defect Dump'!$H$3:$H$10000,"Closed",'Defect Dump'!$I$3:$I$10000,"Blocker")</f>
        <v>0</v>
      </c>
      <c r="Q56" s="298">
        <f ca="1">COUNTIFS('Defect Dump'!$S$3:$S$10000,$B56,'Defect Dump'!$H$3:$H$10000,"Closed",'Defect Dump'!$I$3:$I$10000,"Critical")</f>
        <v>3</v>
      </c>
      <c r="R56" s="298">
        <f ca="1">COUNTIFS('Defect Dump'!$S$3:$S$10000,$B56,'Defect Dump'!$H$3:$H$10000,"Closed",'Defect Dump'!$I$3:$I$10000,"Major")</f>
        <v>3</v>
      </c>
      <c r="S56" s="298">
        <f ca="1">COUNTIFS('Defect Dump'!$S$3:$S$10000,$B56,'Defect Dump'!$H$3:$H$10000,"Closed",'Defect Dump'!$I$3:$I$10000,"Minor")+COUNTIFS('Defect Dump'!$S$3:$S$10000,$B56,'Defect Dump'!$H$3:$H$10000,"Closed",'Defect Dump'!$I$3:$I$10000,"Trivial")</f>
        <v>3</v>
      </c>
      <c r="T56" s="298">
        <f t="shared" ca="1" si="24"/>
        <v>9</v>
      </c>
      <c r="U56" s="299" t="b">
        <f t="shared" ca="1" si="25"/>
        <v>1</v>
      </c>
      <c r="V56" s="299" t="b">
        <f t="shared" ca="1" si="26"/>
        <v>1</v>
      </c>
      <c r="W56" s="299" t="b">
        <f t="shared" ca="1" si="27"/>
        <v>1</v>
      </c>
      <c r="X56" s="299" t="b">
        <f t="shared" ca="1" si="28"/>
        <v>1</v>
      </c>
      <c r="Y56" s="299" t="b">
        <f t="shared" ca="1" si="29"/>
        <v>1</v>
      </c>
      <c r="Z56" s="299" t="b">
        <f t="shared" ca="1" si="30"/>
        <v>1</v>
      </c>
      <c r="AA56" s="297">
        <f t="shared" ca="1" si="31"/>
        <v>41845</v>
      </c>
      <c r="AB56" s="300">
        <f t="shared" ca="1" si="32"/>
        <v>0</v>
      </c>
      <c r="AC56" s="300">
        <f t="shared" ca="1" si="33"/>
        <v>775</v>
      </c>
      <c r="AD56" s="300">
        <f t="shared" ca="1" si="34"/>
        <v>9</v>
      </c>
      <c r="AE56" s="300">
        <f t="shared" ca="1" si="35"/>
        <v>178</v>
      </c>
      <c r="AF56" s="300">
        <f t="shared" ca="1" si="36"/>
        <v>597</v>
      </c>
      <c r="AG56" s="300">
        <f t="shared" ca="1" si="37"/>
        <v>0</v>
      </c>
      <c r="AH56" s="300">
        <f t="shared" ca="1" si="38"/>
        <v>0</v>
      </c>
      <c r="AI56" s="300">
        <f t="shared" ca="1" si="39"/>
        <v>0</v>
      </c>
      <c r="AJ56" s="300">
        <f t="shared" ca="1" si="40"/>
        <v>0</v>
      </c>
      <c r="AK56" s="300">
        <f t="shared" ca="1" si="41"/>
        <v>0</v>
      </c>
      <c r="AL56" s="300">
        <f t="shared" ca="1" si="42"/>
        <v>0</v>
      </c>
      <c r="AM56" s="300">
        <f t="shared" ca="1" si="43"/>
        <v>3</v>
      </c>
      <c r="AN56" s="300">
        <f t="shared" ca="1" si="44"/>
        <v>3</v>
      </c>
      <c r="AO56" s="300">
        <f t="shared" ca="1" si="45"/>
        <v>3</v>
      </c>
      <c r="AP56" s="300">
        <f t="shared" ca="1" si="46"/>
        <v>9</v>
      </c>
    </row>
    <row r="57" spans="2:42" ht="21">
      <c r="B57" s="297">
        <f t="shared" ca="1" si="14"/>
        <v>41846</v>
      </c>
      <c r="C57" s="298">
        <f ca="1">COUNTIFS('Defect Dump'!$R$3:$R$10000,$B57,'Defect Dump'!$I$3:$I$10000,"Blocker")</f>
        <v>0</v>
      </c>
      <c r="D57" s="298">
        <f ca="1">COUNTIFS('Defect Dump'!$R$3:$R$10000,$B57,'Defect Dump'!$I$3:$I$10000,"Critical")</f>
        <v>0</v>
      </c>
      <c r="E57" s="298">
        <f ca="1">COUNTIFS('Defect Dump'!$R$3:$R$10000,$B57,'Defect Dump'!$I$3:$I$10000,"Major")</f>
        <v>0</v>
      </c>
      <c r="F57" s="298">
        <f ca="1">COUNTIFS('Defect Dump'!$R$3:$R$10000,$B57,'Defect Dump'!$I$3:$I$10000,"Minor")+COUNTIFS('Defect Dump'!$R$3:$R$10000,$B57,'Defect Dump'!$I$3:$I$10000,"Trivial")</f>
        <v>0</v>
      </c>
      <c r="G57" s="298">
        <f t="shared" ca="1" si="15"/>
        <v>0</v>
      </c>
      <c r="H57" s="299" t="b">
        <f t="shared" ca="1" si="16"/>
        <v>1</v>
      </c>
      <c r="I57" s="299" t="b">
        <f t="shared" ca="1" si="17"/>
        <v>1</v>
      </c>
      <c r="J57" s="299" t="b">
        <f t="shared" ca="1" si="18"/>
        <v>1</v>
      </c>
      <c r="K57" s="299" t="b">
        <f t="shared" ca="1" si="19"/>
        <v>1</v>
      </c>
      <c r="L57" s="299" t="b">
        <f t="shared" ca="1" si="20"/>
        <v>1</v>
      </c>
      <c r="M57" s="299" t="b">
        <f t="shared" ca="1" si="21"/>
        <v>1</v>
      </c>
      <c r="N57" s="299" t="b">
        <f t="shared" ca="1" si="22"/>
        <v>1</v>
      </c>
      <c r="O57" s="297">
        <f t="shared" ca="1" si="23"/>
        <v>41846</v>
      </c>
      <c r="P57" s="298">
        <f ca="1">COUNTIFS('Defect Dump'!$S$3:$S$10000,$B57,'Defect Dump'!$H$3:$H$10000,"Closed",'Defect Dump'!$I$3:$I$10000,"Blocker")</f>
        <v>2</v>
      </c>
      <c r="Q57" s="298">
        <f ca="1">COUNTIFS('Defect Dump'!$S$3:$S$10000,$B57,'Defect Dump'!$H$3:$H$10000,"Closed",'Defect Dump'!$I$3:$I$10000,"Critical")</f>
        <v>0</v>
      </c>
      <c r="R57" s="298">
        <f ca="1">COUNTIFS('Defect Dump'!$S$3:$S$10000,$B57,'Defect Dump'!$H$3:$H$10000,"Closed",'Defect Dump'!$I$3:$I$10000,"Major")</f>
        <v>1</v>
      </c>
      <c r="S57" s="298">
        <f ca="1">COUNTIFS('Defect Dump'!$S$3:$S$10000,$B57,'Defect Dump'!$H$3:$H$10000,"Closed",'Defect Dump'!$I$3:$I$10000,"Minor")+COUNTIFS('Defect Dump'!$S$3:$S$10000,$B57,'Defect Dump'!$H$3:$H$10000,"Closed",'Defect Dump'!$I$3:$I$10000,"Trivial")</f>
        <v>1</v>
      </c>
      <c r="T57" s="298">
        <f t="shared" ca="1" si="24"/>
        <v>4</v>
      </c>
      <c r="U57" s="299" t="b">
        <f t="shared" ca="1" si="25"/>
        <v>1</v>
      </c>
      <c r="V57" s="299" t="b">
        <f t="shared" ca="1" si="26"/>
        <v>1</v>
      </c>
      <c r="W57" s="299" t="b">
        <f t="shared" ca="1" si="27"/>
        <v>1</v>
      </c>
      <c r="X57" s="299" t="b">
        <f t="shared" ca="1" si="28"/>
        <v>1</v>
      </c>
      <c r="Y57" s="299" t="b">
        <f t="shared" ca="1" si="29"/>
        <v>1</v>
      </c>
      <c r="Z57" s="299" t="b">
        <f t="shared" ca="1" si="30"/>
        <v>1</v>
      </c>
      <c r="AA57" s="297">
        <f t="shared" ca="1" si="31"/>
        <v>41846</v>
      </c>
      <c r="AB57" s="300">
        <f t="shared" ca="1" si="32"/>
        <v>0</v>
      </c>
      <c r="AC57" s="300">
        <f t="shared" ca="1" si="33"/>
        <v>775</v>
      </c>
      <c r="AD57" s="300">
        <f t="shared" ca="1" si="34"/>
        <v>4</v>
      </c>
      <c r="AE57" s="300">
        <f t="shared" ca="1" si="35"/>
        <v>182</v>
      </c>
      <c r="AF57" s="300">
        <f t="shared" ca="1" si="36"/>
        <v>593</v>
      </c>
      <c r="AG57" s="300">
        <f t="shared" ca="1" si="37"/>
        <v>0</v>
      </c>
      <c r="AH57" s="300">
        <f t="shared" ca="1" si="38"/>
        <v>0</v>
      </c>
      <c r="AI57" s="300">
        <f t="shared" ca="1" si="39"/>
        <v>0</v>
      </c>
      <c r="AJ57" s="300">
        <f t="shared" ca="1" si="40"/>
        <v>0</v>
      </c>
      <c r="AK57" s="300">
        <f t="shared" ca="1" si="41"/>
        <v>0</v>
      </c>
      <c r="AL57" s="300">
        <f t="shared" ca="1" si="42"/>
        <v>2</v>
      </c>
      <c r="AM57" s="300">
        <f t="shared" ca="1" si="43"/>
        <v>0</v>
      </c>
      <c r="AN57" s="300">
        <f t="shared" ca="1" si="44"/>
        <v>1</v>
      </c>
      <c r="AO57" s="300">
        <f t="shared" ca="1" si="45"/>
        <v>1</v>
      </c>
      <c r="AP57" s="300">
        <f t="shared" ca="1" si="46"/>
        <v>4</v>
      </c>
    </row>
    <row r="58" spans="2:42" ht="21">
      <c r="B58" s="297">
        <f t="shared" ca="1" si="14"/>
        <v>41847</v>
      </c>
      <c r="C58" s="298">
        <f ca="1">COUNTIFS('Defect Dump'!$R$3:$R$10000,$B58,'Defect Dump'!$I$3:$I$10000,"Blocker")</f>
        <v>6</v>
      </c>
      <c r="D58" s="298">
        <f ca="1">COUNTIFS('Defect Dump'!$R$3:$R$10000,$B58,'Defect Dump'!$I$3:$I$10000,"Critical")</f>
        <v>11</v>
      </c>
      <c r="E58" s="298">
        <f ca="1">COUNTIFS('Defect Dump'!$R$3:$R$10000,$B58,'Defect Dump'!$I$3:$I$10000,"Major")</f>
        <v>13</v>
      </c>
      <c r="F58" s="298">
        <f ca="1">COUNTIFS('Defect Dump'!$R$3:$R$10000,$B58,'Defect Dump'!$I$3:$I$10000,"Minor")+COUNTIFS('Defect Dump'!$R$3:$R$10000,$B58,'Defect Dump'!$I$3:$I$10000,"Trivial")</f>
        <v>4</v>
      </c>
      <c r="G58" s="298">
        <f t="shared" ca="1" si="15"/>
        <v>34</v>
      </c>
      <c r="H58" s="299" t="b">
        <f t="shared" ca="1" si="16"/>
        <v>1</v>
      </c>
      <c r="I58" s="299" t="b">
        <f t="shared" ca="1" si="17"/>
        <v>1</v>
      </c>
      <c r="J58" s="299" t="b">
        <f t="shared" ca="1" si="18"/>
        <v>1</v>
      </c>
      <c r="K58" s="299" t="b">
        <f t="shared" ca="1" si="19"/>
        <v>1</v>
      </c>
      <c r="L58" s="299" t="b">
        <f t="shared" ca="1" si="20"/>
        <v>1</v>
      </c>
      <c r="M58" s="299" t="b">
        <f t="shared" ca="1" si="21"/>
        <v>1</v>
      </c>
      <c r="N58" s="299" t="b">
        <f t="shared" ca="1" si="22"/>
        <v>1</v>
      </c>
      <c r="O58" s="297">
        <f t="shared" ca="1" si="23"/>
        <v>41847</v>
      </c>
      <c r="P58" s="298">
        <f ca="1">COUNTIFS('Defect Dump'!$S$3:$S$10000,$B58,'Defect Dump'!$H$3:$H$10000,"Closed",'Defect Dump'!$I$3:$I$10000,"Blocker")</f>
        <v>0</v>
      </c>
      <c r="Q58" s="298">
        <f ca="1">COUNTIFS('Defect Dump'!$S$3:$S$10000,$B58,'Defect Dump'!$H$3:$H$10000,"Closed",'Defect Dump'!$I$3:$I$10000,"Critical")</f>
        <v>1</v>
      </c>
      <c r="R58" s="298">
        <f ca="1">COUNTIFS('Defect Dump'!$S$3:$S$10000,$B58,'Defect Dump'!$H$3:$H$10000,"Closed",'Defect Dump'!$I$3:$I$10000,"Major")</f>
        <v>12</v>
      </c>
      <c r="S58" s="298">
        <f ca="1">COUNTIFS('Defect Dump'!$S$3:$S$10000,$B58,'Defect Dump'!$H$3:$H$10000,"Closed",'Defect Dump'!$I$3:$I$10000,"Minor")+COUNTIFS('Defect Dump'!$S$3:$S$10000,$B58,'Defect Dump'!$H$3:$H$10000,"Closed",'Defect Dump'!$I$3:$I$10000,"Trivial")</f>
        <v>8</v>
      </c>
      <c r="T58" s="298">
        <f t="shared" ca="1" si="24"/>
        <v>21</v>
      </c>
      <c r="U58" s="299" t="b">
        <f t="shared" ca="1" si="25"/>
        <v>1</v>
      </c>
      <c r="V58" s="299" t="b">
        <f t="shared" ca="1" si="26"/>
        <v>1</v>
      </c>
      <c r="W58" s="299" t="b">
        <f t="shared" ca="1" si="27"/>
        <v>1</v>
      </c>
      <c r="X58" s="299" t="b">
        <f t="shared" ca="1" si="28"/>
        <v>1</v>
      </c>
      <c r="Y58" s="299" t="b">
        <f t="shared" ca="1" si="29"/>
        <v>1</v>
      </c>
      <c r="Z58" s="299" t="b">
        <f t="shared" ca="1" si="30"/>
        <v>1</v>
      </c>
      <c r="AA58" s="297">
        <f t="shared" ca="1" si="31"/>
        <v>41847</v>
      </c>
      <c r="AB58" s="300">
        <f t="shared" ca="1" si="32"/>
        <v>34</v>
      </c>
      <c r="AC58" s="300">
        <f t="shared" ca="1" si="33"/>
        <v>809</v>
      </c>
      <c r="AD58" s="300">
        <f t="shared" ca="1" si="34"/>
        <v>21</v>
      </c>
      <c r="AE58" s="300">
        <f t="shared" ca="1" si="35"/>
        <v>203</v>
      </c>
      <c r="AF58" s="300">
        <f t="shared" ca="1" si="36"/>
        <v>606</v>
      </c>
      <c r="AG58" s="300">
        <f t="shared" ca="1" si="37"/>
        <v>6</v>
      </c>
      <c r="AH58" s="300">
        <f t="shared" ca="1" si="38"/>
        <v>11</v>
      </c>
      <c r="AI58" s="300">
        <f t="shared" ca="1" si="39"/>
        <v>13</v>
      </c>
      <c r="AJ58" s="300">
        <f t="shared" ca="1" si="40"/>
        <v>4</v>
      </c>
      <c r="AK58" s="300">
        <f t="shared" ca="1" si="41"/>
        <v>34</v>
      </c>
      <c r="AL58" s="300">
        <f t="shared" ca="1" si="42"/>
        <v>0</v>
      </c>
      <c r="AM58" s="300">
        <f t="shared" ca="1" si="43"/>
        <v>1</v>
      </c>
      <c r="AN58" s="300">
        <f t="shared" ca="1" si="44"/>
        <v>12</v>
      </c>
      <c r="AO58" s="300">
        <f t="shared" ca="1" si="45"/>
        <v>8</v>
      </c>
      <c r="AP58" s="300">
        <f t="shared" ca="1" si="46"/>
        <v>21</v>
      </c>
    </row>
    <row r="59" spans="2:42" ht="21">
      <c r="B59" s="297">
        <f t="shared" ca="1" si="14"/>
        <v>41848</v>
      </c>
      <c r="C59" s="298">
        <f ca="1">COUNTIFS('Defect Dump'!$R$3:$R$10000,$B59,'Defect Dump'!$I$3:$I$10000,"Blocker")</f>
        <v>10</v>
      </c>
      <c r="D59" s="298">
        <f ca="1">COUNTIFS('Defect Dump'!$R$3:$R$10000,$B59,'Defect Dump'!$I$3:$I$10000,"Critical")</f>
        <v>17</v>
      </c>
      <c r="E59" s="298">
        <f ca="1">COUNTIFS('Defect Dump'!$R$3:$R$10000,$B59,'Defect Dump'!$I$3:$I$10000,"Major")</f>
        <v>10</v>
      </c>
      <c r="F59" s="298">
        <f ca="1">COUNTIFS('Defect Dump'!$R$3:$R$10000,$B59,'Defect Dump'!$I$3:$I$10000,"Minor")+COUNTIFS('Defect Dump'!$R$3:$R$10000,$B59,'Defect Dump'!$I$3:$I$10000,"Trivial")</f>
        <v>2</v>
      </c>
      <c r="G59" s="298">
        <f t="shared" ca="1" si="15"/>
        <v>39</v>
      </c>
      <c r="H59" s="299" t="b">
        <f t="shared" ca="1" si="16"/>
        <v>1</v>
      </c>
      <c r="I59" s="299" t="b">
        <f t="shared" ca="1" si="17"/>
        <v>1</v>
      </c>
      <c r="J59" s="299" t="b">
        <f t="shared" ca="1" si="18"/>
        <v>1</v>
      </c>
      <c r="K59" s="299" t="b">
        <f t="shared" ca="1" si="19"/>
        <v>1</v>
      </c>
      <c r="L59" s="299" t="b">
        <f t="shared" ca="1" si="20"/>
        <v>1</v>
      </c>
      <c r="M59" s="299" t="b">
        <f t="shared" ca="1" si="21"/>
        <v>1</v>
      </c>
      <c r="N59" s="299" t="b">
        <f t="shared" ca="1" si="22"/>
        <v>1</v>
      </c>
      <c r="O59" s="297">
        <f t="shared" ca="1" si="23"/>
        <v>41848</v>
      </c>
      <c r="P59" s="298">
        <f ca="1">COUNTIFS('Defect Dump'!$S$3:$S$10000,$B59,'Defect Dump'!$H$3:$H$10000,"Closed",'Defect Dump'!$I$3:$I$10000,"Blocker")</f>
        <v>0</v>
      </c>
      <c r="Q59" s="298">
        <f ca="1">COUNTIFS('Defect Dump'!$S$3:$S$10000,$B59,'Defect Dump'!$H$3:$H$10000,"Closed",'Defect Dump'!$I$3:$I$10000,"Critical")</f>
        <v>1</v>
      </c>
      <c r="R59" s="298">
        <f ca="1">COUNTIFS('Defect Dump'!$S$3:$S$10000,$B59,'Defect Dump'!$H$3:$H$10000,"Closed",'Defect Dump'!$I$3:$I$10000,"Major")</f>
        <v>4</v>
      </c>
      <c r="S59" s="298">
        <f ca="1">COUNTIFS('Defect Dump'!$S$3:$S$10000,$B59,'Defect Dump'!$H$3:$H$10000,"Closed",'Defect Dump'!$I$3:$I$10000,"Minor")+COUNTIFS('Defect Dump'!$S$3:$S$10000,$B59,'Defect Dump'!$H$3:$H$10000,"Closed",'Defect Dump'!$I$3:$I$10000,"Trivial")</f>
        <v>0</v>
      </c>
      <c r="T59" s="298">
        <f t="shared" ca="1" si="24"/>
        <v>5</v>
      </c>
      <c r="U59" s="299" t="b">
        <f t="shared" ca="1" si="25"/>
        <v>1</v>
      </c>
      <c r="V59" s="299" t="b">
        <f t="shared" ca="1" si="26"/>
        <v>1</v>
      </c>
      <c r="W59" s="299" t="b">
        <f t="shared" ca="1" si="27"/>
        <v>1</v>
      </c>
      <c r="X59" s="299" t="b">
        <f t="shared" ca="1" si="28"/>
        <v>1</v>
      </c>
      <c r="Y59" s="299" t="b">
        <f t="shared" ca="1" si="29"/>
        <v>1</v>
      </c>
      <c r="Z59" s="299" t="b">
        <f t="shared" ca="1" si="30"/>
        <v>1</v>
      </c>
      <c r="AA59" s="297">
        <f t="shared" ca="1" si="31"/>
        <v>41848</v>
      </c>
      <c r="AB59" s="300">
        <f t="shared" ca="1" si="32"/>
        <v>39</v>
      </c>
      <c r="AC59" s="300">
        <f t="shared" ca="1" si="33"/>
        <v>848</v>
      </c>
      <c r="AD59" s="300">
        <f t="shared" ca="1" si="34"/>
        <v>5</v>
      </c>
      <c r="AE59" s="300">
        <f t="shared" ca="1" si="35"/>
        <v>208</v>
      </c>
      <c r="AF59" s="300">
        <f t="shared" ca="1" si="36"/>
        <v>640</v>
      </c>
      <c r="AG59" s="300">
        <f t="shared" ca="1" si="37"/>
        <v>10</v>
      </c>
      <c r="AH59" s="300">
        <f t="shared" ca="1" si="38"/>
        <v>17</v>
      </c>
      <c r="AI59" s="300">
        <f t="shared" ca="1" si="39"/>
        <v>10</v>
      </c>
      <c r="AJ59" s="300">
        <f t="shared" ca="1" si="40"/>
        <v>2</v>
      </c>
      <c r="AK59" s="300">
        <f t="shared" ca="1" si="41"/>
        <v>39</v>
      </c>
      <c r="AL59" s="300">
        <f t="shared" ca="1" si="42"/>
        <v>0</v>
      </c>
      <c r="AM59" s="300">
        <f t="shared" ca="1" si="43"/>
        <v>1</v>
      </c>
      <c r="AN59" s="300">
        <f t="shared" ca="1" si="44"/>
        <v>4</v>
      </c>
      <c r="AO59" s="300">
        <f t="shared" ca="1" si="45"/>
        <v>0</v>
      </c>
      <c r="AP59" s="300">
        <f t="shared" ca="1" si="46"/>
        <v>5</v>
      </c>
    </row>
    <row r="60" spans="2:42" ht="21">
      <c r="B60" s="297">
        <f t="shared" ca="1" si="14"/>
        <v>41849</v>
      </c>
      <c r="C60" s="298">
        <f ca="1">COUNTIFS('Defect Dump'!$R$3:$R$10000,$B60,'Defect Dump'!$I$3:$I$10000,"Blocker")</f>
        <v>5</v>
      </c>
      <c r="D60" s="298">
        <f ca="1">COUNTIFS('Defect Dump'!$R$3:$R$10000,$B60,'Defect Dump'!$I$3:$I$10000,"Critical")</f>
        <v>6</v>
      </c>
      <c r="E60" s="298">
        <f ca="1">COUNTIFS('Defect Dump'!$R$3:$R$10000,$B60,'Defect Dump'!$I$3:$I$10000,"Major")</f>
        <v>8</v>
      </c>
      <c r="F60" s="298">
        <f ca="1">COUNTIFS('Defect Dump'!$R$3:$R$10000,$B60,'Defect Dump'!$I$3:$I$10000,"Minor")+COUNTIFS('Defect Dump'!$R$3:$R$10000,$B60,'Defect Dump'!$I$3:$I$10000,"Trivial")</f>
        <v>1</v>
      </c>
      <c r="G60" s="298">
        <f t="shared" ca="1" si="15"/>
        <v>20</v>
      </c>
      <c r="H60" s="299" t="b">
        <f t="shared" ca="1" si="16"/>
        <v>1</v>
      </c>
      <c r="I60" s="299" t="b">
        <f t="shared" ca="1" si="17"/>
        <v>1</v>
      </c>
      <c r="J60" s="299" t="b">
        <f t="shared" ca="1" si="18"/>
        <v>1</v>
      </c>
      <c r="K60" s="299" t="b">
        <f t="shared" ca="1" si="19"/>
        <v>1</v>
      </c>
      <c r="L60" s="299" t="b">
        <f t="shared" ca="1" si="20"/>
        <v>1</v>
      </c>
      <c r="M60" s="299" t="b">
        <f t="shared" ca="1" si="21"/>
        <v>1</v>
      </c>
      <c r="N60" s="299" t="b">
        <f t="shared" ca="1" si="22"/>
        <v>1</v>
      </c>
      <c r="O60" s="297">
        <f t="shared" ca="1" si="23"/>
        <v>41849</v>
      </c>
      <c r="P60" s="298">
        <f ca="1">COUNTIFS('Defect Dump'!$S$3:$S$10000,$B60,'Defect Dump'!$H$3:$H$10000,"Closed",'Defect Dump'!$I$3:$I$10000,"Blocker")</f>
        <v>0</v>
      </c>
      <c r="Q60" s="298">
        <f ca="1">COUNTIFS('Defect Dump'!$S$3:$S$10000,$B60,'Defect Dump'!$H$3:$H$10000,"Closed",'Defect Dump'!$I$3:$I$10000,"Critical")</f>
        <v>2</v>
      </c>
      <c r="R60" s="298">
        <f ca="1">COUNTIFS('Defect Dump'!$S$3:$S$10000,$B60,'Defect Dump'!$H$3:$H$10000,"Closed",'Defect Dump'!$I$3:$I$10000,"Major")</f>
        <v>4</v>
      </c>
      <c r="S60" s="298">
        <f ca="1">COUNTIFS('Defect Dump'!$S$3:$S$10000,$B60,'Defect Dump'!$H$3:$H$10000,"Closed",'Defect Dump'!$I$3:$I$10000,"Minor")+COUNTIFS('Defect Dump'!$S$3:$S$10000,$B60,'Defect Dump'!$H$3:$H$10000,"Closed",'Defect Dump'!$I$3:$I$10000,"Trivial")</f>
        <v>1</v>
      </c>
      <c r="T60" s="298">
        <f t="shared" ca="1" si="24"/>
        <v>7</v>
      </c>
      <c r="U60" s="299" t="b">
        <f t="shared" ca="1" si="25"/>
        <v>1</v>
      </c>
      <c r="V60" s="299" t="b">
        <f t="shared" ca="1" si="26"/>
        <v>1</v>
      </c>
      <c r="W60" s="299" t="b">
        <f t="shared" ca="1" si="27"/>
        <v>1</v>
      </c>
      <c r="X60" s="299" t="b">
        <f t="shared" ca="1" si="28"/>
        <v>1</v>
      </c>
      <c r="Y60" s="299" t="b">
        <f t="shared" ca="1" si="29"/>
        <v>1</v>
      </c>
      <c r="Z60" s="299" t="b">
        <f t="shared" ca="1" si="30"/>
        <v>1</v>
      </c>
      <c r="AA60" s="297">
        <f t="shared" ca="1" si="31"/>
        <v>41849</v>
      </c>
      <c r="AB60" s="300">
        <f t="shared" ca="1" si="32"/>
        <v>20</v>
      </c>
      <c r="AC60" s="300">
        <f t="shared" ca="1" si="33"/>
        <v>868</v>
      </c>
      <c r="AD60" s="300">
        <f t="shared" ca="1" si="34"/>
        <v>7</v>
      </c>
      <c r="AE60" s="300">
        <f t="shared" ca="1" si="35"/>
        <v>215</v>
      </c>
      <c r="AF60" s="300">
        <f t="shared" ca="1" si="36"/>
        <v>653</v>
      </c>
      <c r="AG60" s="300">
        <f t="shared" ca="1" si="37"/>
        <v>5</v>
      </c>
      <c r="AH60" s="300">
        <f t="shared" ca="1" si="38"/>
        <v>6</v>
      </c>
      <c r="AI60" s="300">
        <f t="shared" ca="1" si="39"/>
        <v>8</v>
      </c>
      <c r="AJ60" s="300">
        <f t="shared" ca="1" si="40"/>
        <v>1</v>
      </c>
      <c r="AK60" s="300">
        <f t="shared" ca="1" si="41"/>
        <v>20</v>
      </c>
      <c r="AL60" s="300">
        <f t="shared" ca="1" si="42"/>
        <v>0</v>
      </c>
      <c r="AM60" s="300">
        <f t="shared" ca="1" si="43"/>
        <v>2</v>
      </c>
      <c r="AN60" s="300">
        <f t="shared" ca="1" si="44"/>
        <v>4</v>
      </c>
      <c r="AO60" s="300">
        <f t="shared" ca="1" si="45"/>
        <v>1</v>
      </c>
      <c r="AP60" s="300">
        <f t="shared" ca="1" si="46"/>
        <v>7</v>
      </c>
    </row>
    <row r="61" spans="2:42" ht="21">
      <c r="B61" s="297">
        <f t="shared" ca="1" si="14"/>
        <v>41850</v>
      </c>
      <c r="C61" s="298">
        <f ca="1">COUNTIFS('Defect Dump'!$R$3:$R$10000,$B61,'Defect Dump'!$I$3:$I$10000,"Blocker")</f>
        <v>3</v>
      </c>
      <c r="D61" s="298">
        <f ca="1">COUNTIFS('Defect Dump'!$R$3:$R$10000,$B61,'Defect Dump'!$I$3:$I$10000,"Critical")</f>
        <v>12</v>
      </c>
      <c r="E61" s="298">
        <f ca="1">COUNTIFS('Defect Dump'!$R$3:$R$10000,$B61,'Defect Dump'!$I$3:$I$10000,"Major")</f>
        <v>15</v>
      </c>
      <c r="F61" s="298">
        <f ca="1">COUNTIFS('Defect Dump'!$R$3:$R$10000,$B61,'Defect Dump'!$I$3:$I$10000,"Minor")+COUNTIFS('Defect Dump'!$R$3:$R$10000,$B61,'Defect Dump'!$I$3:$I$10000,"Trivial")</f>
        <v>2</v>
      </c>
      <c r="G61" s="298">
        <f t="shared" ca="1" si="15"/>
        <v>32</v>
      </c>
      <c r="H61" s="299" t="b">
        <f t="shared" ca="1" si="16"/>
        <v>1</v>
      </c>
      <c r="I61" s="299" t="b">
        <f t="shared" ca="1" si="17"/>
        <v>1</v>
      </c>
      <c r="J61" s="299" t="b">
        <f t="shared" ca="1" si="18"/>
        <v>1</v>
      </c>
      <c r="K61" s="299" t="b">
        <f t="shared" ca="1" si="19"/>
        <v>1</v>
      </c>
      <c r="L61" s="299" t="b">
        <f t="shared" ca="1" si="20"/>
        <v>1</v>
      </c>
      <c r="M61" s="299" t="b">
        <f t="shared" ca="1" si="21"/>
        <v>1</v>
      </c>
      <c r="N61" s="299" t="b">
        <f t="shared" ca="1" si="22"/>
        <v>1</v>
      </c>
      <c r="O61" s="297">
        <f t="shared" ca="1" si="23"/>
        <v>41850</v>
      </c>
      <c r="P61" s="298">
        <f ca="1">COUNTIFS('Defect Dump'!$S$3:$S$10000,$B61,'Defect Dump'!$H$3:$H$10000,"Closed",'Defect Dump'!$I$3:$I$10000,"Blocker")</f>
        <v>1</v>
      </c>
      <c r="Q61" s="298">
        <f ca="1">COUNTIFS('Defect Dump'!$S$3:$S$10000,$B61,'Defect Dump'!$H$3:$H$10000,"Closed",'Defect Dump'!$I$3:$I$10000,"Critical")</f>
        <v>2</v>
      </c>
      <c r="R61" s="298">
        <f ca="1">COUNTIFS('Defect Dump'!$S$3:$S$10000,$B61,'Defect Dump'!$H$3:$H$10000,"Closed",'Defect Dump'!$I$3:$I$10000,"Major")</f>
        <v>1</v>
      </c>
      <c r="S61" s="298">
        <f ca="1">COUNTIFS('Defect Dump'!$S$3:$S$10000,$B61,'Defect Dump'!$H$3:$H$10000,"Closed",'Defect Dump'!$I$3:$I$10000,"Minor")+COUNTIFS('Defect Dump'!$S$3:$S$10000,$B61,'Defect Dump'!$H$3:$H$10000,"Closed",'Defect Dump'!$I$3:$I$10000,"Trivial")</f>
        <v>0</v>
      </c>
      <c r="T61" s="298">
        <f t="shared" ca="1" si="24"/>
        <v>4</v>
      </c>
      <c r="U61" s="299" t="b">
        <f t="shared" ca="1" si="25"/>
        <v>1</v>
      </c>
      <c r="V61" s="299" t="b">
        <f t="shared" ca="1" si="26"/>
        <v>1</v>
      </c>
      <c r="W61" s="299" t="b">
        <f t="shared" ca="1" si="27"/>
        <v>1</v>
      </c>
      <c r="X61" s="299" t="b">
        <f t="shared" ca="1" si="28"/>
        <v>1</v>
      </c>
      <c r="Y61" s="299" t="b">
        <f t="shared" ca="1" si="29"/>
        <v>1</v>
      </c>
      <c r="Z61" s="299" t="b">
        <f t="shared" ca="1" si="30"/>
        <v>1</v>
      </c>
      <c r="AA61" s="297">
        <f t="shared" ca="1" si="31"/>
        <v>41850</v>
      </c>
      <c r="AB61" s="300">
        <f t="shared" ca="1" si="32"/>
        <v>32</v>
      </c>
      <c r="AC61" s="300">
        <f t="shared" ca="1" si="33"/>
        <v>900</v>
      </c>
      <c r="AD61" s="300">
        <f t="shared" ca="1" si="34"/>
        <v>4</v>
      </c>
      <c r="AE61" s="300">
        <f t="shared" ca="1" si="35"/>
        <v>219</v>
      </c>
      <c r="AF61" s="300">
        <f t="shared" ca="1" si="36"/>
        <v>681</v>
      </c>
      <c r="AG61" s="300">
        <f t="shared" ca="1" si="37"/>
        <v>3</v>
      </c>
      <c r="AH61" s="300">
        <f t="shared" ca="1" si="38"/>
        <v>12</v>
      </c>
      <c r="AI61" s="300">
        <f t="shared" ca="1" si="39"/>
        <v>15</v>
      </c>
      <c r="AJ61" s="300">
        <f t="shared" ca="1" si="40"/>
        <v>2</v>
      </c>
      <c r="AK61" s="300">
        <f t="shared" ca="1" si="41"/>
        <v>32</v>
      </c>
      <c r="AL61" s="300">
        <f t="shared" ca="1" si="42"/>
        <v>1</v>
      </c>
      <c r="AM61" s="300">
        <f t="shared" ca="1" si="43"/>
        <v>2</v>
      </c>
      <c r="AN61" s="300">
        <f t="shared" ca="1" si="44"/>
        <v>1</v>
      </c>
      <c r="AO61" s="300">
        <f t="shared" ca="1" si="45"/>
        <v>0</v>
      </c>
      <c r="AP61" s="300">
        <f t="shared" ca="1" si="46"/>
        <v>4</v>
      </c>
    </row>
    <row r="62" spans="2:42" ht="21">
      <c r="B62" s="297">
        <f t="shared" ca="1" si="14"/>
        <v>41851</v>
      </c>
      <c r="C62" s="298">
        <f ca="1">COUNTIFS('Defect Dump'!$R$3:$R$10000,$B62,'Defect Dump'!$I$3:$I$10000,"Blocker")</f>
        <v>2</v>
      </c>
      <c r="D62" s="298">
        <f ca="1">COUNTIFS('Defect Dump'!$R$3:$R$10000,$B62,'Defect Dump'!$I$3:$I$10000,"Critical")</f>
        <v>7</v>
      </c>
      <c r="E62" s="298">
        <f ca="1">COUNTIFS('Defect Dump'!$R$3:$R$10000,$B62,'Defect Dump'!$I$3:$I$10000,"Major")</f>
        <v>9</v>
      </c>
      <c r="F62" s="298">
        <f ca="1">COUNTIFS('Defect Dump'!$R$3:$R$10000,$B62,'Defect Dump'!$I$3:$I$10000,"Minor")+COUNTIFS('Defect Dump'!$R$3:$R$10000,$B62,'Defect Dump'!$I$3:$I$10000,"Trivial")</f>
        <v>0</v>
      </c>
      <c r="G62" s="298">
        <f t="shared" ca="1" si="15"/>
        <v>18</v>
      </c>
      <c r="H62" s="299" t="b">
        <f t="shared" ca="1" si="16"/>
        <v>1</v>
      </c>
      <c r="I62" s="299" t="b">
        <f t="shared" ca="1" si="17"/>
        <v>1</v>
      </c>
      <c r="J62" s="299" t="b">
        <f t="shared" ca="1" si="18"/>
        <v>1</v>
      </c>
      <c r="K62" s="299" t="b">
        <f t="shared" ca="1" si="19"/>
        <v>1</v>
      </c>
      <c r="L62" s="299" t="b">
        <f t="shared" ca="1" si="20"/>
        <v>1</v>
      </c>
      <c r="M62" s="299" t="b">
        <f t="shared" ca="1" si="21"/>
        <v>1</v>
      </c>
      <c r="N62" s="299" t="b">
        <f t="shared" ca="1" si="22"/>
        <v>1</v>
      </c>
      <c r="O62" s="297">
        <f t="shared" ca="1" si="23"/>
        <v>41851</v>
      </c>
      <c r="P62" s="298">
        <f ca="1">COUNTIFS('Defect Dump'!$S$3:$S$10000,$B62,'Defect Dump'!$H$3:$H$10000,"Closed",'Defect Dump'!$I$3:$I$10000,"Blocker")</f>
        <v>0</v>
      </c>
      <c r="Q62" s="298">
        <f ca="1">COUNTIFS('Defect Dump'!$S$3:$S$10000,$B62,'Defect Dump'!$H$3:$H$10000,"Closed",'Defect Dump'!$I$3:$I$10000,"Critical")</f>
        <v>1</v>
      </c>
      <c r="R62" s="298">
        <f ca="1">COUNTIFS('Defect Dump'!$S$3:$S$10000,$B62,'Defect Dump'!$H$3:$H$10000,"Closed",'Defect Dump'!$I$3:$I$10000,"Major")</f>
        <v>2</v>
      </c>
      <c r="S62" s="298">
        <f ca="1">COUNTIFS('Defect Dump'!$S$3:$S$10000,$B62,'Defect Dump'!$H$3:$H$10000,"Closed",'Defect Dump'!$I$3:$I$10000,"Minor")+COUNTIFS('Defect Dump'!$S$3:$S$10000,$B62,'Defect Dump'!$H$3:$H$10000,"Closed",'Defect Dump'!$I$3:$I$10000,"Trivial")</f>
        <v>0</v>
      </c>
      <c r="T62" s="298">
        <f t="shared" ca="1" si="24"/>
        <v>3</v>
      </c>
      <c r="U62" s="299" t="b">
        <f t="shared" ca="1" si="25"/>
        <v>1</v>
      </c>
      <c r="V62" s="299" t="b">
        <f t="shared" ca="1" si="26"/>
        <v>1</v>
      </c>
      <c r="W62" s="299" t="b">
        <f t="shared" ca="1" si="27"/>
        <v>1</v>
      </c>
      <c r="X62" s="299" t="b">
        <f t="shared" ca="1" si="28"/>
        <v>1</v>
      </c>
      <c r="Y62" s="299" t="b">
        <f t="shared" ca="1" si="29"/>
        <v>1</v>
      </c>
      <c r="Z62" s="299" t="b">
        <f t="shared" ca="1" si="30"/>
        <v>1</v>
      </c>
      <c r="AA62" s="297">
        <f t="shared" ca="1" si="31"/>
        <v>41851</v>
      </c>
      <c r="AB62" s="300">
        <f t="shared" ca="1" si="32"/>
        <v>18</v>
      </c>
      <c r="AC62" s="300">
        <f t="shared" ca="1" si="33"/>
        <v>918</v>
      </c>
      <c r="AD62" s="300">
        <f t="shared" ca="1" si="34"/>
        <v>3</v>
      </c>
      <c r="AE62" s="300">
        <f t="shared" ca="1" si="35"/>
        <v>222</v>
      </c>
      <c r="AF62" s="300">
        <f t="shared" ca="1" si="36"/>
        <v>696</v>
      </c>
      <c r="AG62" s="300">
        <f t="shared" ca="1" si="37"/>
        <v>2</v>
      </c>
      <c r="AH62" s="300">
        <f t="shared" ca="1" si="38"/>
        <v>7</v>
      </c>
      <c r="AI62" s="300">
        <f t="shared" ca="1" si="39"/>
        <v>9</v>
      </c>
      <c r="AJ62" s="300">
        <f t="shared" ca="1" si="40"/>
        <v>0</v>
      </c>
      <c r="AK62" s="300">
        <f t="shared" ca="1" si="41"/>
        <v>18</v>
      </c>
      <c r="AL62" s="300">
        <f t="shared" ca="1" si="42"/>
        <v>0</v>
      </c>
      <c r="AM62" s="300">
        <f t="shared" ca="1" si="43"/>
        <v>1</v>
      </c>
      <c r="AN62" s="300">
        <f t="shared" ca="1" si="44"/>
        <v>2</v>
      </c>
      <c r="AO62" s="300">
        <f t="shared" ca="1" si="45"/>
        <v>0</v>
      </c>
      <c r="AP62" s="300">
        <f t="shared" ca="1" si="46"/>
        <v>3</v>
      </c>
    </row>
    <row r="63" spans="2:42" ht="21">
      <c r="B63" s="297">
        <f t="shared" ca="1" si="14"/>
        <v>41852</v>
      </c>
      <c r="C63" s="298">
        <f ca="1">COUNTIFS('Defect Dump'!$R$3:$R$10000,$B63,'Defect Dump'!$I$3:$I$10000,"Blocker")</f>
        <v>0</v>
      </c>
      <c r="D63" s="298">
        <f ca="1">COUNTIFS('Defect Dump'!$R$3:$R$10000,$B63,'Defect Dump'!$I$3:$I$10000,"Critical")</f>
        <v>0</v>
      </c>
      <c r="E63" s="298">
        <f ca="1">COUNTIFS('Defect Dump'!$R$3:$R$10000,$B63,'Defect Dump'!$I$3:$I$10000,"Major")</f>
        <v>0</v>
      </c>
      <c r="F63" s="298">
        <f ca="1">COUNTIFS('Defect Dump'!$R$3:$R$10000,$B63,'Defect Dump'!$I$3:$I$10000,"Minor")+COUNTIFS('Defect Dump'!$R$3:$R$10000,$B63,'Defect Dump'!$I$3:$I$10000,"Trivial")</f>
        <v>0</v>
      </c>
      <c r="G63" s="298">
        <f t="shared" ca="1" si="15"/>
        <v>0</v>
      </c>
      <c r="H63" s="299" t="b">
        <f t="shared" ca="1" si="16"/>
        <v>1</v>
      </c>
      <c r="I63" s="299" t="b">
        <f t="shared" ca="1" si="17"/>
        <v>1</v>
      </c>
      <c r="J63" s="299" t="b">
        <f t="shared" ca="1" si="18"/>
        <v>1</v>
      </c>
      <c r="K63" s="299" t="b">
        <f t="shared" ca="1" si="19"/>
        <v>1</v>
      </c>
      <c r="L63" s="299" t="b">
        <f t="shared" ca="1" si="20"/>
        <v>1</v>
      </c>
      <c r="M63" s="299" t="b">
        <f t="shared" ca="1" si="21"/>
        <v>1</v>
      </c>
      <c r="N63" s="299" t="b">
        <f t="shared" ca="1" si="22"/>
        <v>1</v>
      </c>
      <c r="O63" s="297">
        <f t="shared" ca="1" si="23"/>
        <v>41852</v>
      </c>
      <c r="P63" s="298">
        <f ca="1">COUNTIFS('Defect Dump'!$S$3:$S$10000,$B63,'Defect Dump'!$H$3:$H$10000,"Closed",'Defect Dump'!$I$3:$I$10000,"Blocker")</f>
        <v>0</v>
      </c>
      <c r="Q63" s="298">
        <f ca="1">COUNTIFS('Defect Dump'!$S$3:$S$10000,$B63,'Defect Dump'!$H$3:$H$10000,"Closed",'Defect Dump'!$I$3:$I$10000,"Critical")</f>
        <v>0</v>
      </c>
      <c r="R63" s="298">
        <f ca="1">COUNTIFS('Defect Dump'!$S$3:$S$10000,$B63,'Defect Dump'!$H$3:$H$10000,"Closed",'Defect Dump'!$I$3:$I$10000,"Major")</f>
        <v>0</v>
      </c>
      <c r="S63" s="298">
        <f ca="1">COUNTIFS('Defect Dump'!$S$3:$S$10000,$B63,'Defect Dump'!$H$3:$H$10000,"Closed",'Defect Dump'!$I$3:$I$10000,"Minor")+COUNTIFS('Defect Dump'!$S$3:$S$10000,$B63,'Defect Dump'!$H$3:$H$10000,"Closed",'Defect Dump'!$I$3:$I$10000,"Trivial")</f>
        <v>0</v>
      </c>
      <c r="T63" s="298">
        <f t="shared" ca="1" si="24"/>
        <v>0</v>
      </c>
      <c r="U63" s="299" t="b">
        <f t="shared" ca="1" si="25"/>
        <v>1</v>
      </c>
      <c r="V63" s="299" t="b">
        <f t="shared" ca="1" si="26"/>
        <v>1</v>
      </c>
      <c r="W63" s="299" t="b">
        <f t="shared" ca="1" si="27"/>
        <v>1</v>
      </c>
      <c r="X63" s="299" t="b">
        <f t="shared" ca="1" si="28"/>
        <v>1</v>
      </c>
      <c r="Y63" s="299" t="b">
        <f t="shared" ca="1" si="29"/>
        <v>1</v>
      </c>
      <c r="Z63" s="299" t="b">
        <f t="shared" ca="1" si="30"/>
        <v>1</v>
      </c>
      <c r="AA63" s="297">
        <f t="shared" ca="1" si="31"/>
        <v>41852</v>
      </c>
      <c r="AB63" s="300">
        <f t="shared" ca="1" si="32"/>
        <v>0</v>
      </c>
      <c r="AC63" s="300">
        <f t="shared" ca="1" si="33"/>
        <v>918</v>
      </c>
      <c r="AD63" s="300">
        <f t="shared" ca="1" si="34"/>
        <v>0</v>
      </c>
      <c r="AE63" s="300">
        <f t="shared" ca="1" si="35"/>
        <v>222</v>
      </c>
      <c r="AF63" s="300">
        <f t="shared" ca="1" si="36"/>
        <v>696</v>
      </c>
      <c r="AG63" s="300">
        <f t="shared" ca="1" si="37"/>
        <v>0</v>
      </c>
      <c r="AH63" s="300">
        <f t="shared" ca="1" si="38"/>
        <v>0</v>
      </c>
      <c r="AI63" s="300">
        <f t="shared" ca="1" si="39"/>
        <v>0</v>
      </c>
      <c r="AJ63" s="300">
        <f t="shared" ca="1" si="40"/>
        <v>0</v>
      </c>
      <c r="AK63" s="300">
        <f t="shared" ca="1" si="41"/>
        <v>0</v>
      </c>
      <c r="AL63" s="300">
        <f t="shared" ca="1" si="42"/>
        <v>0</v>
      </c>
      <c r="AM63" s="300">
        <f t="shared" ca="1" si="43"/>
        <v>0</v>
      </c>
      <c r="AN63" s="300">
        <f t="shared" ca="1" si="44"/>
        <v>0</v>
      </c>
      <c r="AO63" s="300">
        <f t="shared" ca="1" si="45"/>
        <v>0</v>
      </c>
      <c r="AP63" s="300">
        <f t="shared" ca="1" si="46"/>
        <v>0</v>
      </c>
    </row>
    <row r="64" spans="2:42" ht="21">
      <c r="B64" s="297">
        <f t="shared" ca="1" si="14"/>
        <v>41853</v>
      </c>
      <c r="C64" s="298">
        <f ca="1">COUNTIFS('Defect Dump'!$R$3:$R$10000,$B64,'Defect Dump'!$I$3:$I$10000,"Blocker")</f>
        <v>0</v>
      </c>
      <c r="D64" s="298">
        <f ca="1">COUNTIFS('Defect Dump'!$R$3:$R$10000,$B64,'Defect Dump'!$I$3:$I$10000,"Critical")</f>
        <v>0</v>
      </c>
      <c r="E64" s="298">
        <f ca="1">COUNTIFS('Defect Dump'!$R$3:$R$10000,$B64,'Defect Dump'!$I$3:$I$10000,"Major")</f>
        <v>0</v>
      </c>
      <c r="F64" s="298">
        <f ca="1">COUNTIFS('Defect Dump'!$R$3:$R$10000,$B64,'Defect Dump'!$I$3:$I$10000,"Minor")+COUNTIFS('Defect Dump'!$R$3:$R$10000,$B64,'Defect Dump'!$I$3:$I$10000,"Trivial")</f>
        <v>0</v>
      </c>
      <c r="G64" s="298">
        <f t="shared" ca="1" si="15"/>
        <v>0</v>
      </c>
      <c r="H64" s="299" t="b">
        <f t="shared" ca="1" si="16"/>
        <v>1</v>
      </c>
      <c r="I64" s="299" t="b">
        <f t="shared" ca="1" si="17"/>
        <v>1</v>
      </c>
      <c r="J64" s="299" t="b">
        <f t="shared" ca="1" si="18"/>
        <v>1</v>
      </c>
      <c r="K64" s="299" t="b">
        <f t="shared" ca="1" si="19"/>
        <v>1</v>
      </c>
      <c r="L64" s="299" t="b">
        <f t="shared" ca="1" si="20"/>
        <v>1</v>
      </c>
      <c r="M64" s="299" t="b">
        <f t="shared" ca="1" si="21"/>
        <v>1</v>
      </c>
      <c r="N64" s="299" t="b">
        <f t="shared" ca="1" si="22"/>
        <v>1</v>
      </c>
      <c r="O64" s="297">
        <f t="shared" ca="1" si="23"/>
        <v>41853</v>
      </c>
      <c r="P64" s="298">
        <f ca="1">COUNTIFS('Defect Dump'!$S$3:$S$10000,$B64,'Defect Dump'!$H$3:$H$10000,"Closed",'Defect Dump'!$I$3:$I$10000,"Blocker")</f>
        <v>0</v>
      </c>
      <c r="Q64" s="298">
        <f ca="1">COUNTIFS('Defect Dump'!$S$3:$S$10000,$B64,'Defect Dump'!$H$3:$H$10000,"Closed",'Defect Dump'!$I$3:$I$10000,"Critical")</f>
        <v>0</v>
      </c>
      <c r="R64" s="298">
        <f ca="1">COUNTIFS('Defect Dump'!$S$3:$S$10000,$B64,'Defect Dump'!$H$3:$H$10000,"Closed",'Defect Dump'!$I$3:$I$10000,"Major")</f>
        <v>0</v>
      </c>
      <c r="S64" s="298">
        <f ca="1">COUNTIFS('Defect Dump'!$S$3:$S$10000,$B64,'Defect Dump'!$H$3:$H$10000,"Closed",'Defect Dump'!$I$3:$I$10000,"Minor")+COUNTIFS('Defect Dump'!$S$3:$S$10000,$B64,'Defect Dump'!$H$3:$H$10000,"Closed",'Defect Dump'!$I$3:$I$10000,"Trivial")</f>
        <v>0</v>
      </c>
      <c r="T64" s="298">
        <f t="shared" ca="1" si="24"/>
        <v>0</v>
      </c>
      <c r="U64" s="299" t="b">
        <f t="shared" ca="1" si="25"/>
        <v>1</v>
      </c>
      <c r="V64" s="299" t="b">
        <f t="shared" ca="1" si="26"/>
        <v>1</v>
      </c>
      <c r="W64" s="299" t="b">
        <f t="shared" ca="1" si="27"/>
        <v>1</v>
      </c>
      <c r="X64" s="299" t="b">
        <f t="shared" ca="1" si="28"/>
        <v>1</v>
      </c>
      <c r="Y64" s="299" t="b">
        <f t="shared" ca="1" si="29"/>
        <v>1</v>
      </c>
      <c r="Z64" s="299" t="b">
        <f t="shared" ca="1" si="30"/>
        <v>1</v>
      </c>
      <c r="AA64" s="297">
        <f t="shared" ca="1" si="31"/>
        <v>41853</v>
      </c>
      <c r="AB64" s="300">
        <f t="shared" ca="1" si="32"/>
        <v>0</v>
      </c>
      <c r="AC64" s="300">
        <f t="shared" ca="1" si="33"/>
        <v>918</v>
      </c>
      <c r="AD64" s="300">
        <f t="shared" ca="1" si="34"/>
        <v>0</v>
      </c>
      <c r="AE64" s="300">
        <f t="shared" ca="1" si="35"/>
        <v>222</v>
      </c>
      <c r="AF64" s="300">
        <f t="shared" ca="1" si="36"/>
        <v>696</v>
      </c>
      <c r="AG64" s="300">
        <f t="shared" ca="1" si="37"/>
        <v>0</v>
      </c>
      <c r="AH64" s="300">
        <f t="shared" ca="1" si="38"/>
        <v>0</v>
      </c>
      <c r="AI64" s="300">
        <f t="shared" ca="1" si="39"/>
        <v>0</v>
      </c>
      <c r="AJ64" s="300">
        <f t="shared" ca="1" si="40"/>
        <v>0</v>
      </c>
      <c r="AK64" s="300">
        <f t="shared" ca="1" si="41"/>
        <v>0</v>
      </c>
      <c r="AL64" s="300">
        <f t="shared" ca="1" si="42"/>
        <v>0</v>
      </c>
      <c r="AM64" s="300">
        <f t="shared" ca="1" si="43"/>
        <v>0</v>
      </c>
      <c r="AN64" s="300">
        <f t="shared" ca="1" si="44"/>
        <v>0</v>
      </c>
      <c r="AO64" s="300">
        <f t="shared" ca="1" si="45"/>
        <v>0</v>
      </c>
      <c r="AP64" s="300">
        <f t="shared" ca="1" si="46"/>
        <v>0</v>
      </c>
    </row>
    <row r="65" spans="2:42" ht="21">
      <c r="B65" s="297">
        <f t="shared" ca="1" si="14"/>
        <v>41854</v>
      </c>
      <c r="C65" s="298">
        <f ca="1">COUNTIFS('Defect Dump'!$R$3:$R$10000,$B65,'Defect Dump'!$I$3:$I$10000,"Blocker")</f>
        <v>3</v>
      </c>
      <c r="D65" s="298">
        <f ca="1">COUNTIFS('Defect Dump'!$R$3:$R$10000,$B65,'Defect Dump'!$I$3:$I$10000,"Critical")</f>
        <v>10</v>
      </c>
      <c r="E65" s="298">
        <f ca="1">COUNTIFS('Defect Dump'!$R$3:$R$10000,$B65,'Defect Dump'!$I$3:$I$10000,"Major")</f>
        <v>5</v>
      </c>
      <c r="F65" s="298">
        <f ca="1">COUNTIFS('Defect Dump'!$R$3:$R$10000,$B65,'Defect Dump'!$I$3:$I$10000,"Minor")+COUNTIFS('Defect Dump'!$R$3:$R$10000,$B65,'Defect Dump'!$I$3:$I$10000,"Trivial")</f>
        <v>2</v>
      </c>
      <c r="G65" s="298">
        <f t="shared" ca="1" si="15"/>
        <v>20</v>
      </c>
      <c r="H65" s="299" t="b">
        <f t="shared" ca="1" si="16"/>
        <v>1</v>
      </c>
      <c r="I65" s="299" t="b">
        <f t="shared" ca="1" si="17"/>
        <v>1</v>
      </c>
      <c r="J65" s="299" t="b">
        <f t="shared" ca="1" si="18"/>
        <v>1</v>
      </c>
      <c r="K65" s="299" t="b">
        <f t="shared" ca="1" si="19"/>
        <v>1</v>
      </c>
      <c r="L65" s="299" t="b">
        <f t="shared" ca="1" si="20"/>
        <v>1</v>
      </c>
      <c r="M65" s="299" t="b">
        <f t="shared" ca="1" si="21"/>
        <v>1</v>
      </c>
      <c r="N65" s="299" t="b">
        <f t="shared" ca="1" si="22"/>
        <v>1</v>
      </c>
      <c r="O65" s="297">
        <f t="shared" ca="1" si="23"/>
        <v>41854</v>
      </c>
      <c r="P65" s="298">
        <f ca="1">COUNTIFS('Defect Dump'!$S$3:$S$10000,$B65,'Defect Dump'!$H$3:$H$10000,"Closed",'Defect Dump'!$I$3:$I$10000,"Blocker")</f>
        <v>2</v>
      </c>
      <c r="Q65" s="298">
        <f ca="1">COUNTIFS('Defect Dump'!$S$3:$S$10000,$B65,'Defect Dump'!$H$3:$H$10000,"Closed",'Defect Dump'!$I$3:$I$10000,"Critical")</f>
        <v>3</v>
      </c>
      <c r="R65" s="298">
        <f ca="1">COUNTIFS('Defect Dump'!$S$3:$S$10000,$B65,'Defect Dump'!$H$3:$H$10000,"Closed",'Defect Dump'!$I$3:$I$10000,"Major")</f>
        <v>1</v>
      </c>
      <c r="S65" s="298">
        <f ca="1">COUNTIFS('Defect Dump'!$S$3:$S$10000,$B65,'Defect Dump'!$H$3:$H$10000,"Closed",'Defect Dump'!$I$3:$I$10000,"Minor")+COUNTIFS('Defect Dump'!$S$3:$S$10000,$B65,'Defect Dump'!$H$3:$H$10000,"Closed",'Defect Dump'!$I$3:$I$10000,"Trivial")</f>
        <v>0</v>
      </c>
      <c r="T65" s="298">
        <f t="shared" ca="1" si="24"/>
        <v>6</v>
      </c>
      <c r="U65" s="299" t="b">
        <f t="shared" ca="1" si="25"/>
        <v>1</v>
      </c>
      <c r="V65" s="299" t="b">
        <f t="shared" ca="1" si="26"/>
        <v>1</v>
      </c>
      <c r="W65" s="299" t="b">
        <f t="shared" ca="1" si="27"/>
        <v>1</v>
      </c>
      <c r="X65" s="299" t="b">
        <f t="shared" ca="1" si="28"/>
        <v>1</v>
      </c>
      <c r="Y65" s="299" t="b">
        <f t="shared" ca="1" si="29"/>
        <v>1</v>
      </c>
      <c r="Z65" s="299" t="b">
        <f t="shared" ca="1" si="30"/>
        <v>1</v>
      </c>
      <c r="AA65" s="297">
        <f t="shared" ca="1" si="31"/>
        <v>41854</v>
      </c>
      <c r="AB65" s="300">
        <f t="shared" ca="1" si="32"/>
        <v>20</v>
      </c>
      <c r="AC65" s="300">
        <f t="shared" ca="1" si="33"/>
        <v>938</v>
      </c>
      <c r="AD65" s="300">
        <f t="shared" ca="1" si="34"/>
        <v>6</v>
      </c>
      <c r="AE65" s="300">
        <f t="shared" ca="1" si="35"/>
        <v>228</v>
      </c>
      <c r="AF65" s="300">
        <f t="shared" ca="1" si="36"/>
        <v>710</v>
      </c>
      <c r="AG65" s="300">
        <f t="shared" ca="1" si="37"/>
        <v>3</v>
      </c>
      <c r="AH65" s="300">
        <f t="shared" ca="1" si="38"/>
        <v>10</v>
      </c>
      <c r="AI65" s="300">
        <f t="shared" ca="1" si="39"/>
        <v>5</v>
      </c>
      <c r="AJ65" s="300">
        <f t="shared" ca="1" si="40"/>
        <v>2</v>
      </c>
      <c r="AK65" s="300">
        <f t="shared" ca="1" si="41"/>
        <v>20</v>
      </c>
      <c r="AL65" s="300">
        <f t="shared" ca="1" si="42"/>
        <v>2</v>
      </c>
      <c r="AM65" s="300">
        <f t="shared" ca="1" si="43"/>
        <v>3</v>
      </c>
      <c r="AN65" s="300">
        <f t="shared" ca="1" si="44"/>
        <v>1</v>
      </c>
      <c r="AO65" s="300">
        <f t="shared" ca="1" si="45"/>
        <v>0</v>
      </c>
      <c r="AP65" s="300">
        <f t="shared" ca="1" si="46"/>
        <v>6</v>
      </c>
    </row>
    <row r="66" spans="2:42" ht="21">
      <c r="B66" s="297">
        <f t="shared" ca="1" si="14"/>
        <v>41855</v>
      </c>
      <c r="C66" s="298">
        <f ca="1">COUNTIFS('Defect Dump'!$R$3:$R$10000,$B66,'Defect Dump'!$I$3:$I$10000,"Blocker")</f>
        <v>4</v>
      </c>
      <c r="D66" s="298">
        <f ca="1">COUNTIFS('Defect Dump'!$R$3:$R$10000,$B66,'Defect Dump'!$I$3:$I$10000,"Critical")</f>
        <v>15</v>
      </c>
      <c r="E66" s="298">
        <f ca="1">COUNTIFS('Defect Dump'!$R$3:$R$10000,$B66,'Defect Dump'!$I$3:$I$10000,"Major")</f>
        <v>6</v>
      </c>
      <c r="F66" s="298">
        <f ca="1">COUNTIFS('Defect Dump'!$R$3:$R$10000,$B66,'Defect Dump'!$I$3:$I$10000,"Minor")+COUNTIFS('Defect Dump'!$R$3:$R$10000,$B66,'Defect Dump'!$I$3:$I$10000,"Trivial")</f>
        <v>1</v>
      </c>
      <c r="G66" s="298">
        <f t="shared" ca="1" si="15"/>
        <v>26</v>
      </c>
      <c r="H66" s="299" t="b">
        <f t="shared" ca="1" si="16"/>
        <v>1</v>
      </c>
      <c r="I66" s="299" t="b">
        <f t="shared" ca="1" si="17"/>
        <v>1</v>
      </c>
      <c r="J66" s="299" t="b">
        <f t="shared" ca="1" si="18"/>
        <v>1</v>
      </c>
      <c r="K66" s="299" t="b">
        <f t="shared" ca="1" si="19"/>
        <v>1</v>
      </c>
      <c r="L66" s="299" t="b">
        <f t="shared" ca="1" si="20"/>
        <v>1</v>
      </c>
      <c r="M66" s="299" t="b">
        <f t="shared" ca="1" si="21"/>
        <v>1</v>
      </c>
      <c r="N66" s="299" t="b">
        <f t="shared" ca="1" si="22"/>
        <v>1</v>
      </c>
      <c r="O66" s="297">
        <f t="shared" ca="1" si="23"/>
        <v>41855</v>
      </c>
      <c r="P66" s="298">
        <f ca="1">COUNTIFS('Defect Dump'!$S$3:$S$10000,$B66,'Defect Dump'!$H$3:$H$10000,"Closed",'Defect Dump'!$I$3:$I$10000,"Blocker")</f>
        <v>1</v>
      </c>
      <c r="Q66" s="298">
        <f ca="1">COUNTIFS('Defect Dump'!$S$3:$S$10000,$B66,'Defect Dump'!$H$3:$H$10000,"Closed",'Defect Dump'!$I$3:$I$10000,"Critical")</f>
        <v>0</v>
      </c>
      <c r="R66" s="298">
        <f ca="1">COUNTIFS('Defect Dump'!$S$3:$S$10000,$B66,'Defect Dump'!$H$3:$H$10000,"Closed",'Defect Dump'!$I$3:$I$10000,"Major")</f>
        <v>2</v>
      </c>
      <c r="S66" s="298">
        <f ca="1">COUNTIFS('Defect Dump'!$S$3:$S$10000,$B66,'Defect Dump'!$H$3:$H$10000,"Closed",'Defect Dump'!$I$3:$I$10000,"Minor")+COUNTIFS('Defect Dump'!$S$3:$S$10000,$B66,'Defect Dump'!$H$3:$H$10000,"Closed",'Defect Dump'!$I$3:$I$10000,"Trivial")</f>
        <v>0</v>
      </c>
      <c r="T66" s="298">
        <f t="shared" ca="1" si="24"/>
        <v>3</v>
      </c>
      <c r="U66" s="299" t="b">
        <f t="shared" ca="1" si="25"/>
        <v>1</v>
      </c>
      <c r="V66" s="299" t="b">
        <f t="shared" ca="1" si="26"/>
        <v>1</v>
      </c>
      <c r="W66" s="299" t="b">
        <f t="shared" ca="1" si="27"/>
        <v>1</v>
      </c>
      <c r="X66" s="299" t="b">
        <f t="shared" ca="1" si="28"/>
        <v>1</v>
      </c>
      <c r="Y66" s="299" t="b">
        <f t="shared" ca="1" si="29"/>
        <v>1</v>
      </c>
      <c r="Z66" s="299" t="b">
        <f t="shared" ca="1" si="30"/>
        <v>1</v>
      </c>
      <c r="AA66" s="297">
        <f t="shared" ca="1" si="31"/>
        <v>41855</v>
      </c>
      <c r="AB66" s="300">
        <f t="shared" ca="1" si="32"/>
        <v>26</v>
      </c>
      <c r="AC66" s="300">
        <f t="shared" ca="1" si="33"/>
        <v>964</v>
      </c>
      <c r="AD66" s="300">
        <f t="shared" ca="1" si="34"/>
        <v>3</v>
      </c>
      <c r="AE66" s="300">
        <f t="shared" ca="1" si="35"/>
        <v>231</v>
      </c>
      <c r="AF66" s="300">
        <f t="shared" ca="1" si="36"/>
        <v>733</v>
      </c>
      <c r="AG66" s="300">
        <f t="shared" ca="1" si="37"/>
        <v>4</v>
      </c>
      <c r="AH66" s="300">
        <f t="shared" ca="1" si="38"/>
        <v>15</v>
      </c>
      <c r="AI66" s="300">
        <f t="shared" ca="1" si="39"/>
        <v>6</v>
      </c>
      <c r="AJ66" s="300">
        <f t="shared" ca="1" si="40"/>
        <v>1</v>
      </c>
      <c r="AK66" s="300">
        <f t="shared" ca="1" si="41"/>
        <v>26</v>
      </c>
      <c r="AL66" s="300">
        <f t="shared" ca="1" si="42"/>
        <v>1</v>
      </c>
      <c r="AM66" s="300">
        <f t="shared" ca="1" si="43"/>
        <v>0</v>
      </c>
      <c r="AN66" s="300">
        <f t="shared" ca="1" si="44"/>
        <v>2</v>
      </c>
      <c r="AO66" s="300">
        <f t="shared" ca="1" si="45"/>
        <v>0</v>
      </c>
      <c r="AP66" s="300">
        <f t="shared" ca="1" si="46"/>
        <v>3</v>
      </c>
    </row>
    <row r="67" spans="2:42" ht="21">
      <c r="B67" s="297">
        <f t="shared" ca="1" si="14"/>
        <v>41856</v>
      </c>
      <c r="C67" s="298">
        <f ca="1">COUNTIFS('Defect Dump'!$R$3:$R$10000,$B67,'Defect Dump'!$I$3:$I$10000,"Blocker")</f>
        <v>13</v>
      </c>
      <c r="D67" s="298">
        <f ca="1">COUNTIFS('Defect Dump'!$R$3:$R$10000,$B67,'Defect Dump'!$I$3:$I$10000,"Critical")</f>
        <v>13</v>
      </c>
      <c r="E67" s="298">
        <f ca="1">COUNTIFS('Defect Dump'!$R$3:$R$10000,$B67,'Defect Dump'!$I$3:$I$10000,"Major")</f>
        <v>6</v>
      </c>
      <c r="F67" s="298">
        <f ca="1">COUNTIFS('Defect Dump'!$R$3:$R$10000,$B67,'Defect Dump'!$I$3:$I$10000,"Minor")+COUNTIFS('Defect Dump'!$R$3:$R$10000,$B67,'Defect Dump'!$I$3:$I$10000,"Trivial")</f>
        <v>2</v>
      </c>
      <c r="G67" s="298">
        <f t="shared" ca="1" si="15"/>
        <v>34</v>
      </c>
      <c r="H67" s="299" t="b">
        <f t="shared" ca="1" si="16"/>
        <v>1</v>
      </c>
      <c r="I67" s="299" t="b">
        <f t="shared" ca="1" si="17"/>
        <v>1</v>
      </c>
      <c r="J67" s="299" t="b">
        <f t="shared" ca="1" si="18"/>
        <v>1</v>
      </c>
      <c r="K67" s="299" t="b">
        <f t="shared" ca="1" si="19"/>
        <v>1</v>
      </c>
      <c r="L67" s="299" t="b">
        <f t="shared" ca="1" si="20"/>
        <v>1</v>
      </c>
      <c r="M67" s="299" t="b">
        <f t="shared" ca="1" si="21"/>
        <v>1</v>
      </c>
      <c r="N67" s="299" t="b">
        <f t="shared" ca="1" si="22"/>
        <v>1</v>
      </c>
      <c r="O67" s="297">
        <f t="shared" ca="1" si="23"/>
        <v>41856</v>
      </c>
      <c r="P67" s="298">
        <f ca="1">COUNTIFS('Defect Dump'!$S$3:$S$10000,$B67,'Defect Dump'!$H$3:$H$10000,"Closed",'Defect Dump'!$I$3:$I$10000,"Blocker")</f>
        <v>0</v>
      </c>
      <c r="Q67" s="298">
        <f ca="1">COUNTIFS('Defect Dump'!$S$3:$S$10000,$B67,'Defect Dump'!$H$3:$H$10000,"Closed",'Defect Dump'!$I$3:$I$10000,"Critical")</f>
        <v>2</v>
      </c>
      <c r="R67" s="298">
        <f ca="1">COUNTIFS('Defect Dump'!$S$3:$S$10000,$B67,'Defect Dump'!$H$3:$H$10000,"Closed",'Defect Dump'!$I$3:$I$10000,"Major")</f>
        <v>4</v>
      </c>
      <c r="S67" s="298">
        <f ca="1">COUNTIFS('Defect Dump'!$S$3:$S$10000,$B67,'Defect Dump'!$H$3:$H$10000,"Closed",'Defect Dump'!$I$3:$I$10000,"Minor")+COUNTIFS('Defect Dump'!$S$3:$S$10000,$B67,'Defect Dump'!$H$3:$H$10000,"Closed",'Defect Dump'!$I$3:$I$10000,"Trivial")</f>
        <v>0</v>
      </c>
      <c r="T67" s="298">
        <f t="shared" ca="1" si="24"/>
        <v>6</v>
      </c>
      <c r="U67" s="299" t="b">
        <f t="shared" ca="1" si="25"/>
        <v>1</v>
      </c>
      <c r="V67" s="299" t="b">
        <f t="shared" ca="1" si="26"/>
        <v>1</v>
      </c>
      <c r="W67" s="299" t="b">
        <f t="shared" ca="1" si="27"/>
        <v>1</v>
      </c>
      <c r="X67" s="299" t="b">
        <f t="shared" ca="1" si="28"/>
        <v>1</v>
      </c>
      <c r="Y67" s="299" t="b">
        <f t="shared" ca="1" si="29"/>
        <v>1</v>
      </c>
      <c r="Z67" s="299" t="b">
        <f t="shared" ca="1" si="30"/>
        <v>1</v>
      </c>
      <c r="AA67" s="297">
        <f t="shared" ca="1" si="31"/>
        <v>41856</v>
      </c>
      <c r="AB67" s="300">
        <f t="shared" ca="1" si="32"/>
        <v>34</v>
      </c>
      <c r="AC67" s="300">
        <f t="shared" ca="1" si="33"/>
        <v>998</v>
      </c>
      <c r="AD67" s="300">
        <f t="shared" ca="1" si="34"/>
        <v>6</v>
      </c>
      <c r="AE67" s="300">
        <f t="shared" ca="1" si="35"/>
        <v>237</v>
      </c>
      <c r="AF67" s="300">
        <f t="shared" ca="1" si="36"/>
        <v>761</v>
      </c>
      <c r="AG67" s="300">
        <f t="shared" ca="1" si="37"/>
        <v>13</v>
      </c>
      <c r="AH67" s="300">
        <f t="shared" ca="1" si="38"/>
        <v>13</v>
      </c>
      <c r="AI67" s="300">
        <f t="shared" ca="1" si="39"/>
        <v>6</v>
      </c>
      <c r="AJ67" s="300">
        <f t="shared" ca="1" si="40"/>
        <v>2</v>
      </c>
      <c r="AK67" s="300">
        <f t="shared" ca="1" si="41"/>
        <v>34</v>
      </c>
      <c r="AL67" s="300">
        <f t="shared" ca="1" si="42"/>
        <v>0</v>
      </c>
      <c r="AM67" s="300">
        <f t="shared" ca="1" si="43"/>
        <v>2</v>
      </c>
      <c r="AN67" s="300">
        <f t="shared" ca="1" si="44"/>
        <v>4</v>
      </c>
      <c r="AO67" s="300">
        <f t="shared" ca="1" si="45"/>
        <v>0</v>
      </c>
      <c r="AP67" s="300">
        <f t="shared" ca="1" si="46"/>
        <v>6</v>
      </c>
    </row>
    <row r="68" spans="2:42" ht="21">
      <c r="B68" s="297">
        <f t="shared" ca="1" si="14"/>
        <v>41857</v>
      </c>
      <c r="C68" s="298">
        <f ca="1">COUNTIFS('Defect Dump'!$R$3:$R$10000,$B68,'Defect Dump'!$I$3:$I$10000,"Blocker")</f>
        <v>2</v>
      </c>
      <c r="D68" s="298">
        <f ca="1">COUNTIFS('Defect Dump'!$R$3:$R$10000,$B68,'Defect Dump'!$I$3:$I$10000,"Critical")</f>
        <v>6</v>
      </c>
      <c r="E68" s="298">
        <f ca="1">COUNTIFS('Defect Dump'!$R$3:$R$10000,$B68,'Defect Dump'!$I$3:$I$10000,"Major")</f>
        <v>6</v>
      </c>
      <c r="F68" s="298">
        <f ca="1">COUNTIFS('Defect Dump'!$R$3:$R$10000,$B68,'Defect Dump'!$I$3:$I$10000,"Minor")+COUNTIFS('Defect Dump'!$R$3:$R$10000,$B68,'Defect Dump'!$I$3:$I$10000,"Trivial")</f>
        <v>2</v>
      </c>
      <c r="G68" s="298">
        <f t="shared" ca="1" si="15"/>
        <v>16</v>
      </c>
      <c r="H68" s="299" t="b">
        <f t="shared" ca="1" si="16"/>
        <v>1</v>
      </c>
      <c r="I68" s="299" t="b">
        <f t="shared" ca="1" si="17"/>
        <v>1</v>
      </c>
      <c r="J68" s="299" t="b">
        <f t="shared" ca="1" si="18"/>
        <v>1</v>
      </c>
      <c r="K68" s="299" t="b">
        <f t="shared" ca="1" si="19"/>
        <v>1</v>
      </c>
      <c r="L68" s="299" t="b">
        <f t="shared" ca="1" si="20"/>
        <v>1</v>
      </c>
      <c r="M68" s="299" t="b">
        <f t="shared" ca="1" si="21"/>
        <v>1</v>
      </c>
      <c r="N68" s="299" t="b">
        <f t="shared" ca="1" si="22"/>
        <v>1</v>
      </c>
      <c r="O68" s="297">
        <f t="shared" ca="1" si="23"/>
        <v>41857</v>
      </c>
      <c r="P68" s="298">
        <f ca="1">COUNTIFS('Defect Dump'!$S$3:$S$10000,$B68,'Defect Dump'!$H$3:$H$10000,"Closed",'Defect Dump'!$I$3:$I$10000,"Blocker")</f>
        <v>2</v>
      </c>
      <c r="Q68" s="298">
        <f ca="1">COUNTIFS('Defect Dump'!$S$3:$S$10000,$B68,'Defect Dump'!$H$3:$H$10000,"Closed",'Defect Dump'!$I$3:$I$10000,"Critical")</f>
        <v>8</v>
      </c>
      <c r="R68" s="298">
        <f ca="1">COUNTIFS('Defect Dump'!$S$3:$S$10000,$B68,'Defect Dump'!$H$3:$H$10000,"Closed",'Defect Dump'!$I$3:$I$10000,"Major")</f>
        <v>5</v>
      </c>
      <c r="S68" s="298">
        <f ca="1">COUNTIFS('Defect Dump'!$S$3:$S$10000,$B68,'Defect Dump'!$H$3:$H$10000,"Closed",'Defect Dump'!$I$3:$I$10000,"Minor")+COUNTIFS('Defect Dump'!$S$3:$S$10000,$B68,'Defect Dump'!$H$3:$H$10000,"Closed",'Defect Dump'!$I$3:$I$10000,"Trivial")</f>
        <v>1</v>
      </c>
      <c r="T68" s="298">
        <f t="shared" ca="1" si="24"/>
        <v>16</v>
      </c>
      <c r="U68" s="299" t="b">
        <f t="shared" ca="1" si="25"/>
        <v>1</v>
      </c>
      <c r="V68" s="299" t="b">
        <f t="shared" ca="1" si="26"/>
        <v>1</v>
      </c>
      <c r="W68" s="299" t="b">
        <f t="shared" ca="1" si="27"/>
        <v>1</v>
      </c>
      <c r="X68" s="299" t="b">
        <f t="shared" ca="1" si="28"/>
        <v>1</v>
      </c>
      <c r="Y68" s="299" t="b">
        <f t="shared" ca="1" si="29"/>
        <v>1</v>
      </c>
      <c r="Z68" s="299" t="b">
        <f t="shared" ca="1" si="30"/>
        <v>1</v>
      </c>
      <c r="AA68" s="297">
        <f t="shared" ca="1" si="31"/>
        <v>41857</v>
      </c>
      <c r="AB68" s="300">
        <f t="shared" ca="1" si="32"/>
        <v>16</v>
      </c>
      <c r="AC68" s="300">
        <f t="shared" ca="1" si="33"/>
        <v>1014</v>
      </c>
      <c r="AD68" s="300">
        <f t="shared" ca="1" si="34"/>
        <v>16</v>
      </c>
      <c r="AE68" s="300">
        <f t="shared" ca="1" si="35"/>
        <v>253</v>
      </c>
      <c r="AF68" s="300">
        <f t="shared" ca="1" si="36"/>
        <v>761</v>
      </c>
      <c r="AG68" s="300">
        <f t="shared" ca="1" si="37"/>
        <v>2</v>
      </c>
      <c r="AH68" s="300">
        <f t="shared" ca="1" si="38"/>
        <v>6</v>
      </c>
      <c r="AI68" s="300">
        <f t="shared" ca="1" si="39"/>
        <v>6</v>
      </c>
      <c r="AJ68" s="300">
        <f t="shared" ca="1" si="40"/>
        <v>2</v>
      </c>
      <c r="AK68" s="300">
        <f t="shared" ca="1" si="41"/>
        <v>16</v>
      </c>
      <c r="AL68" s="300">
        <f t="shared" ca="1" si="42"/>
        <v>2</v>
      </c>
      <c r="AM68" s="300">
        <f t="shared" ca="1" si="43"/>
        <v>8</v>
      </c>
      <c r="AN68" s="300">
        <f t="shared" ca="1" si="44"/>
        <v>5</v>
      </c>
      <c r="AO68" s="300">
        <f t="shared" ca="1" si="45"/>
        <v>1</v>
      </c>
      <c r="AP68" s="300">
        <f t="shared" ca="1" si="46"/>
        <v>16</v>
      </c>
    </row>
    <row r="69" spans="2:42" ht="21">
      <c r="B69" s="297">
        <f t="shared" ca="1" si="14"/>
        <v>41858</v>
      </c>
      <c r="C69" s="298">
        <f ca="1">COUNTIFS('Defect Dump'!$R$3:$R$10000,$B69,'Defect Dump'!$I$3:$I$10000,"Blocker")</f>
        <v>0</v>
      </c>
      <c r="D69" s="298">
        <f ca="1">COUNTIFS('Defect Dump'!$R$3:$R$10000,$B69,'Defect Dump'!$I$3:$I$10000,"Critical")</f>
        <v>0</v>
      </c>
      <c r="E69" s="298">
        <f ca="1">COUNTIFS('Defect Dump'!$R$3:$R$10000,$B69,'Defect Dump'!$I$3:$I$10000,"Major")</f>
        <v>0</v>
      </c>
      <c r="F69" s="298">
        <f ca="1">COUNTIFS('Defect Dump'!$R$3:$R$10000,$B69,'Defect Dump'!$I$3:$I$10000,"Minor")+COUNTIFS('Defect Dump'!$R$3:$R$10000,$B69,'Defect Dump'!$I$3:$I$10000,"Trivial")</f>
        <v>0</v>
      </c>
      <c r="G69" s="298">
        <f t="shared" ca="1" si="15"/>
        <v>0</v>
      </c>
      <c r="H69" s="299" t="b">
        <f t="shared" ca="1" si="16"/>
        <v>1</v>
      </c>
      <c r="I69" s="299" t="b">
        <f t="shared" ca="1" si="17"/>
        <v>1</v>
      </c>
      <c r="J69" s="299" t="b">
        <f t="shared" ca="1" si="18"/>
        <v>1</v>
      </c>
      <c r="K69" s="299" t="b">
        <f t="shared" ca="1" si="19"/>
        <v>1</v>
      </c>
      <c r="L69" s="299" t="b">
        <f t="shared" ca="1" si="20"/>
        <v>1</v>
      </c>
      <c r="M69" s="299" t="b">
        <f t="shared" ca="1" si="21"/>
        <v>1</v>
      </c>
      <c r="N69" s="299" t="b">
        <f t="shared" ca="1" si="22"/>
        <v>1</v>
      </c>
      <c r="O69" s="297">
        <f t="shared" ca="1" si="23"/>
        <v>41858</v>
      </c>
      <c r="P69" s="298">
        <f ca="1">COUNTIFS('Defect Dump'!$S$3:$S$10000,$B69,'Defect Dump'!$H$3:$H$10000,"Closed",'Defect Dump'!$I$3:$I$10000,"Blocker")</f>
        <v>3</v>
      </c>
      <c r="Q69" s="298">
        <f ca="1">COUNTIFS('Defect Dump'!$S$3:$S$10000,$B69,'Defect Dump'!$H$3:$H$10000,"Closed",'Defect Dump'!$I$3:$I$10000,"Critical")</f>
        <v>10</v>
      </c>
      <c r="R69" s="298">
        <f ca="1">COUNTIFS('Defect Dump'!$S$3:$S$10000,$B69,'Defect Dump'!$H$3:$H$10000,"Closed",'Defect Dump'!$I$3:$I$10000,"Major")</f>
        <v>6</v>
      </c>
      <c r="S69" s="298">
        <f ca="1">COUNTIFS('Defect Dump'!$S$3:$S$10000,$B69,'Defect Dump'!$H$3:$H$10000,"Closed",'Defect Dump'!$I$3:$I$10000,"Minor")+COUNTIFS('Defect Dump'!$S$3:$S$10000,$B69,'Defect Dump'!$H$3:$H$10000,"Closed",'Defect Dump'!$I$3:$I$10000,"Trivial")</f>
        <v>3</v>
      </c>
      <c r="T69" s="298">
        <f t="shared" ca="1" si="24"/>
        <v>22</v>
      </c>
      <c r="U69" s="299" t="b">
        <f t="shared" ca="1" si="25"/>
        <v>1</v>
      </c>
      <c r="V69" s="299" t="b">
        <f t="shared" ca="1" si="26"/>
        <v>1</v>
      </c>
      <c r="W69" s="299" t="b">
        <f t="shared" ca="1" si="27"/>
        <v>1</v>
      </c>
      <c r="X69" s="299" t="b">
        <f t="shared" ca="1" si="28"/>
        <v>1</v>
      </c>
      <c r="Y69" s="299" t="b">
        <f t="shared" ca="1" si="29"/>
        <v>1</v>
      </c>
      <c r="Z69" s="299" t="b">
        <f t="shared" ca="1" si="30"/>
        <v>1</v>
      </c>
      <c r="AA69" s="297">
        <f t="shared" ca="1" si="31"/>
        <v>41858</v>
      </c>
      <c r="AB69" s="300">
        <f t="shared" ca="1" si="32"/>
        <v>0</v>
      </c>
      <c r="AC69" s="300">
        <f t="shared" ca="1" si="33"/>
        <v>1014</v>
      </c>
      <c r="AD69" s="300">
        <f t="shared" ca="1" si="34"/>
        <v>22</v>
      </c>
      <c r="AE69" s="300">
        <f t="shared" ca="1" si="35"/>
        <v>275</v>
      </c>
      <c r="AF69" s="300">
        <f t="shared" ca="1" si="36"/>
        <v>739</v>
      </c>
      <c r="AG69" s="300">
        <f t="shared" ca="1" si="37"/>
        <v>0</v>
      </c>
      <c r="AH69" s="300">
        <f t="shared" ca="1" si="38"/>
        <v>0</v>
      </c>
      <c r="AI69" s="300">
        <f t="shared" ca="1" si="39"/>
        <v>0</v>
      </c>
      <c r="AJ69" s="300">
        <f t="shared" ca="1" si="40"/>
        <v>0</v>
      </c>
      <c r="AK69" s="300">
        <f t="shared" ca="1" si="41"/>
        <v>0</v>
      </c>
      <c r="AL69" s="300">
        <f t="shared" ca="1" si="42"/>
        <v>3</v>
      </c>
      <c r="AM69" s="300">
        <f t="shared" ca="1" si="43"/>
        <v>10</v>
      </c>
      <c r="AN69" s="300">
        <f t="shared" ca="1" si="44"/>
        <v>6</v>
      </c>
      <c r="AO69" s="300">
        <f t="shared" ca="1" si="45"/>
        <v>3</v>
      </c>
      <c r="AP69" s="300">
        <f t="shared" ca="1" si="46"/>
        <v>22</v>
      </c>
    </row>
    <row r="70" spans="2:42" ht="21">
      <c r="B70" s="297">
        <f t="shared" ca="1" si="14"/>
        <v>41859</v>
      </c>
      <c r="C70" s="298">
        <f ca="1">COUNTIFS('Defect Dump'!$R$3:$R$10000,$B70,'Defect Dump'!$I$3:$I$10000,"Blocker")</f>
        <v>3</v>
      </c>
      <c r="D70" s="298">
        <f ca="1">COUNTIFS('Defect Dump'!$R$3:$R$10000,$B70,'Defect Dump'!$I$3:$I$10000,"Critical")</f>
        <v>14</v>
      </c>
      <c r="E70" s="298">
        <f ca="1">COUNTIFS('Defect Dump'!$R$3:$R$10000,$B70,'Defect Dump'!$I$3:$I$10000,"Major")</f>
        <v>20</v>
      </c>
      <c r="F70" s="298">
        <f ca="1">COUNTIFS('Defect Dump'!$R$3:$R$10000,$B70,'Defect Dump'!$I$3:$I$10000,"Minor")+COUNTIFS('Defect Dump'!$R$3:$R$10000,$B70,'Defect Dump'!$I$3:$I$10000,"Trivial")</f>
        <v>1</v>
      </c>
      <c r="G70" s="298">
        <f t="shared" ca="1" si="15"/>
        <v>38</v>
      </c>
      <c r="H70" s="299" t="b">
        <f t="shared" ca="1" si="16"/>
        <v>1</v>
      </c>
      <c r="I70" s="299" t="b">
        <f t="shared" ca="1" si="17"/>
        <v>1</v>
      </c>
      <c r="J70" s="299" t="b">
        <f t="shared" ca="1" si="18"/>
        <v>1</v>
      </c>
      <c r="K70" s="299" t="b">
        <f t="shared" ca="1" si="19"/>
        <v>1</v>
      </c>
      <c r="L70" s="299" t="b">
        <f t="shared" ca="1" si="20"/>
        <v>1</v>
      </c>
      <c r="M70" s="299" t="b">
        <f t="shared" ca="1" si="21"/>
        <v>1</v>
      </c>
      <c r="N70" s="299" t="b">
        <f t="shared" ca="1" si="22"/>
        <v>1</v>
      </c>
      <c r="O70" s="297">
        <f t="shared" ca="1" si="23"/>
        <v>41859</v>
      </c>
      <c r="P70" s="298">
        <f ca="1">COUNTIFS('Defect Dump'!$S$3:$S$10000,$B70,'Defect Dump'!$H$3:$H$10000,"Closed",'Defect Dump'!$I$3:$I$10000,"Blocker")</f>
        <v>1</v>
      </c>
      <c r="Q70" s="298">
        <f ca="1">COUNTIFS('Defect Dump'!$S$3:$S$10000,$B70,'Defect Dump'!$H$3:$H$10000,"Closed",'Defect Dump'!$I$3:$I$10000,"Critical")</f>
        <v>6</v>
      </c>
      <c r="R70" s="298">
        <f ca="1">COUNTIFS('Defect Dump'!$S$3:$S$10000,$B70,'Defect Dump'!$H$3:$H$10000,"Closed",'Defect Dump'!$I$3:$I$10000,"Major")</f>
        <v>6</v>
      </c>
      <c r="S70" s="298">
        <f ca="1">COUNTIFS('Defect Dump'!$S$3:$S$10000,$B70,'Defect Dump'!$H$3:$H$10000,"Closed",'Defect Dump'!$I$3:$I$10000,"Minor")+COUNTIFS('Defect Dump'!$S$3:$S$10000,$B70,'Defect Dump'!$H$3:$H$10000,"Closed",'Defect Dump'!$I$3:$I$10000,"Trivial")</f>
        <v>0</v>
      </c>
      <c r="T70" s="298">
        <f t="shared" ca="1" si="24"/>
        <v>13</v>
      </c>
      <c r="U70" s="299" t="b">
        <f t="shared" ca="1" si="25"/>
        <v>1</v>
      </c>
      <c r="V70" s="299" t="b">
        <f t="shared" ca="1" si="26"/>
        <v>1</v>
      </c>
      <c r="W70" s="299" t="b">
        <f t="shared" ca="1" si="27"/>
        <v>1</v>
      </c>
      <c r="X70" s="299" t="b">
        <f t="shared" ca="1" si="28"/>
        <v>1</v>
      </c>
      <c r="Y70" s="299" t="b">
        <f t="shared" ca="1" si="29"/>
        <v>1</v>
      </c>
      <c r="Z70" s="299" t="b">
        <f t="shared" ca="1" si="30"/>
        <v>1</v>
      </c>
      <c r="AA70" s="297">
        <f t="shared" ca="1" si="31"/>
        <v>41859</v>
      </c>
      <c r="AB70" s="300">
        <f t="shared" ca="1" si="32"/>
        <v>38</v>
      </c>
      <c r="AC70" s="300">
        <f t="shared" ca="1" si="33"/>
        <v>1052</v>
      </c>
      <c r="AD70" s="300">
        <f t="shared" ca="1" si="34"/>
        <v>13</v>
      </c>
      <c r="AE70" s="300">
        <f t="shared" ca="1" si="35"/>
        <v>288</v>
      </c>
      <c r="AF70" s="300">
        <f t="shared" ca="1" si="36"/>
        <v>764</v>
      </c>
      <c r="AG70" s="300">
        <f t="shared" ca="1" si="37"/>
        <v>3</v>
      </c>
      <c r="AH70" s="300">
        <f t="shared" ca="1" si="38"/>
        <v>14</v>
      </c>
      <c r="AI70" s="300">
        <f t="shared" ca="1" si="39"/>
        <v>20</v>
      </c>
      <c r="AJ70" s="300">
        <f t="shared" ca="1" si="40"/>
        <v>1</v>
      </c>
      <c r="AK70" s="300">
        <f t="shared" ca="1" si="41"/>
        <v>38</v>
      </c>
      <c r="AL70" s="300">
        <f t="shared" ca="1" si="42"/>
        <v>1</v>
      </c>
      <c r="AM70" s="300">
        <f t="shared" ca="1" si="43"/>
        <v>6</v>
      </c>
      <c r="AN70" s="300">
        <f t="shared" ca="1" si="44"/>
        <v>6</v>
      </c>
      <c r="AO70" s="300">
        <f t="shared" ca="1" si="45"/>
        <v>0</v>
      </c>
      <c r="AP70" s="300">
        <f t="shared" ca="1" si="46"/>
        <v>13</v>
      </c>
    </row>
    <row r="71" spans="2:42" ht="21">
      <c r="B71" s="297">
        <f t="shared" ca="1" si="14"/>
        <v>41860</v>
      </c>
      <c r="C71" s="298">
        <f ca="1">COUNTIFS('Defect Dump'!$R$3:$R$10000,$B71,'Defect Dump'!$I$3:$I$10000,"Blocker")</f>
        <v>0</v>
      </c>
      <c r="D71" s="298">
        <f ca="1">COUNTIFS('Defect Dump'!$R$3:$R$10000,$B71,'Defect Dump'!$I$3:$I$10000,"Critical")</f>
        <v>8</v>
      </c>
      <c r="E71" s="298">
        <f ca="1">COUNTIFS('Defect Dump'!$R$3:$R$10000,$B71,'Defect Dump'!$I$3:$I$10000,"Major")</f>
        <v>7</v>
      </c>
      <c r="F71" s="298">
        <f ca="1">COUNTIFS('Defect Dump'!$R$3:$R$10000,$B71,'Defect Dump'!$I$3:$I$10000,"Minor")+COUNTIFS('Defect Dump'!$R$3:$R$10000,$B71,'Defect Dump'!$I$3:$I$10000,"Trivial")</f>
        <v>2</v>
      </c>
      <c r="G71" s="298">
        <f t="shared" ca="1" si="15"/>
        <v>17</v>
      </c>
      <c r="H71" s="299" t="b">
        <f t="shared" ca="1" si="16"/>
        <v>1</v>
      </c>
      <c r="I71" s="299" t="b">
        <f t="shared" ca="1" si="17"/>
        <v>1</v>
      </c>
      <c r="J71" s="299" t="b">
        <f t="shared" ca="1" si="18"/>
        <v>1</v>
      </c>
      <c r="K71" s="299" t="b">
        <f t="shared" ca="1" si="19"/>
        <v>1</v>
      </c>
      <c r="L71" s="299" t="b">
        <f t="shared" ca="1" si="20"/>
        <v>1</v>
      </c>
      <c r="M71" s="299" t="b">
        <f t="shared" ca="1" si="21"/>
        <v>1</v>
      </c>
      <c r="N71" s="299" t="b">
        <f t="shared" ca="1" si="22"/>
        <v>1</v>
      </c>
      <c r="O71" s="297">
        <f t="shared" ca="1" si="23"/>
        <v>41860</v>
      </c>
      <c r="P71" s="298">
        <f ca="1">COUNTIFS('Defect Dump'!$S$3:$S$10000,$B71,'Defect Dump'!$H$3:$H$10000,"Closed",'Defect Dump'!$I$3:$I$10000,"Blocker")</f>
        <v>1</v>
      </c>
      <c r="Q71" s="298">
        <f ca="1">COUNTIFS('Defect Dump'!$S$3:$S$10000,$B71,'Defect Dump'!$H$3:$H$10000,"Closed",'Defect Dump'!$I$3:$I$10000,"Critical")</f>
        <v>3</v>
      </c>
      <c r="R71" s="298">
        <f ca="1">COUNTIFS('Defect Dump'!$S$3:$S$10000,$B71,'Defect Dump'!$H$3:$H$10000,"Closed",'Defect Dump'!$I$3:$I$10000,"Major")</f>
        <v>4</v>
      </c>
      <c r="S71" s="298">
        <f ca="1">COUNTIFS('Defect Dump'!$S$3:$S$10000,$B71,'Defect Dump'!$H$3:$H$10000,"Closed",'Defect Dump'!$I$3:$I$10000,"Minor")+COUNTIFS('Defect Dump'!$S$3:$S$10000,$B71,'Defect Dump'!$H$3:$H$10000,"Closed",'Defect Dump'!$I$3:$I$10000,"Trivial")</f>
        <v>1</v>
      </c>
      <c r="T71" s="298">
        <f t="shared" ca="1" si="24"/>
        <v>9</v>
      </c>
      <c r="U71" s="299" t="b">
        <f t="shared" ca="1" si="25"/>
        <v>1</v>
      </c>
      <c r="V71" s="299" t="b">
        <f t="shared" ca="1" si="26"/>
        <v>1</v>
      </c>
      <c r="W71" s="299" t="b">
        <f t="shared" ca="1" si="27"/>
        <v>1</v>
      </c>
      <c r="X71" s="299" t="b">
        <f t="shared" ca="1" si="28"/>
        <v>1</v>
      </c>
      <c r="Y71" s="299" t="b">
        <f t="shared" ca="1" si="29"/>
        <v>1</v>
      </c>
      <c r="Z71" s="299" t="b">
        <f t="shared" ca="1" si="30"/>
        <v>1</v>
      </c>
      <c r="AA71" s="297">
        <f t="shared" ca="1" si="31"/>
        <v>41860</v>
      </c>
      <c r="AB71" s="300">
        <f t="shared" ca="1" si="32"/>
        <v>17</v>
      </c>
      <c r="AC71" s="300">
        <f t="shared" ca="1" si="33"/>
        <v>1069</v>
      </c>
      <c r="AD71" s="300">
        <f t="shared" ca="1" si="34"/>
        <v>9</v>
      </c>
      <c r="AE71" s="300">
        <f t="shared" ca="1" si="35"/>
        <v>297</v>
      </c>
      <c r="AF71" s="300">
        <f t="shared" ca="1" si="36"/>
        <v>772</v>
      </c>
      <c r="AG71" s="300">
        <f t="shared" ca="1" si="37"/>
        <v>0</v>
      </c>
      <c r="AH71" s="300">
        <f t="shared" ca="1" si="38"/>
        <v>8</v>
      </c>
      <c r="AI71" s="300">
        <f t="shared" ca="1" si="39"/>
        <v>7</v>
      </c>
      <c r="AJ71" s="300">
        <f t="shared" ca="1" si="40"/>
        <v>2</v>
      </c>
      <c r="AK71" s="300">
        <f t="shared" ca="1" si="41"/>
        <v>17</v>
      </c>
      <c r="AL71" s="300">
        <f t="shared" ca="1" si="42"/>
        <v>1</v>
      </c>
      <c r="AM71" s="300">
        <f t="shared" ca="1" si="43"/>
        <v>3</v>
      </c>
      <c r="AN71" s="300">
        <f t="shared" ca="1" si="44"/>
        <v>4</v>
      </c>
      <c r="AO71" s="300">
        <f t="shared" ca="1" si="45"/>
        <v>1</v>
      </c>
      <c r="AP71" s="300">
        <f t="shared" ca="1" si="46"/>
        <v>9</v>
      </c>
    </row>
    <row r="72" spans="2:42" ht="21">
      <c r="B72" s="297">
        <f t="shared" ca="1" si="14"/>
        <v>41861</v>
      </c>
      <c r="C72" s="298">
        <f ca="1">COUNTIFS('Defect Dump'!$R$3:$R$10000,$B72,'Defect Dump'!$I$3:$I$10000,"Blocker")</f>
        <v>3</v>
      </c>
      <c r="D72" s="298">
        <f ca="1">COUNTIFS('Defect Dump'!$R$3:$R$10000,$B72,'Defect Dump'!$I$3:$I$10000,"Critical")</f>
        <v>4</v>
      </c>
      <c r="E72" s="298">
        <f ca="1">COUNTIFS('Defect Dump'!$R$3:$R$10000,$B72,'Defect Dump'!$I$3:$I$10000,"Major")</f>
        <v>2</v>
      </c>
      <c r="F72" s="298">
        <f ca="1">COUNTIFS('Defect Dump'!$R$3:$R$10000,$B72,'Defect Dump'!$I$3:$I$10000,"Minor")+COUNTIFS('Defect Dump'!$R$3:$R$10000,$B72,'Defect Dump'!$I$3:$I$10000,"Trivial")</f>
        <v>0</v>
      </c>
      <c r="G72" s="298">
        <f t="shared" ca="1" si="15"/>
        <v>9</v>
      </c>
      <c r="H72" s="299" t="b">
        <f t="shared" ca="1" si="16"/>
        <v>1</v>
      </c>
      <c r="I72" s="299" t="b">
        <f t="shared" ca="1" si="17"/>
        <v>1</v>
      </c>
      <c r="J72" s="299" t="b">
        <f t="shared" ca="1" si="18"/>
        <v>1</v>
      </c>
      <c r="K72" s="299" t="b">
        <f t="shared" ca="1" si="19"/>
        <v>1</v>
      </c>
      <c r="L72" s="299" t="b">
        <f t="shared" ca="1" si="20"/>
        <v>1</v>
      </c>
      <c r="M72" s="299" t="b">
        <f t="shared" ca="1" si="21"/>
        <v>1</v>
      </c>
      <c r="N72" s="299" t="b">
        <f t="shared" ca="1" si="22"/>
        <v>1</v>
      </c>
      <c r="O72" s="297">
        <f t="shared" ca="1" si="23"/>
        <v>41861</v>
      </c>
      <c r="P72" s="298">
        <f ca="1">COUNTIFS('Defect Dump'!$S$3:$S$10000,$B72,'Defect Dump'!$H$3:$H$10000,"Closed",'Defect Dump'!$I$3:$I$10000,"Blocker")</f>
        <v>1</v>
      </c>
      <c r="Q72" s="298">
        <f ca="1">COUNTIFS('Defect Dump'!$S$3:$S$10000,$B72,'Defect Dump'!$H$3:$H$10000,"Closed",'Defect Dump'!$I$3:$I$10000,"Critical")</f>
        <v>1</v>
      </c>
      <c r="R72" s="298">
        <f ca="1">COUNTIFS('Defect Dump'!$S$3:$S$10000,$B72,'Defect Dump'!$H$3:$H$10000,"Closed",'Defect Dump'!$I$3:$I$10000,"Major")</f>
        <v>2</v>
      </c>
      <c r="S72" s="298">
        <f ca="1">COUNTIFS('Defect Dump'!$S$3:$S$10000,$B72,'Defect Dump'!$H$3:$H$10000,"Closed",'Defect Dump'!$I$3:$I$10000,"Minor")+COUNTIFS('Defect Dump'!$S$3:$S$10000,$B72,'Defect Dump'!$H$3:$H$10000,"Closed",'Defect Dump'!$I$3:$I$10000,"Trivial")</f>
        <v>0</v>
      </c>
      <c r="T72" s="298">
        <f t="shared" ca="1" si="24"/>
        <v>4</v>
      </c>
      <c r="U72" s="299" t="b">
        <f t="shared" ca="1" si="25"/>
        <v>1</v>
      </c>
      <c r="V72" s="299" t="b">
        <f t="shared" ca="1" si="26"/>
        <v>1</v>
      </c>
      <c r="W72" s="299" t="b">
        <f t="shared" ca="1" si="27"/>
        <v>1</v>
      </c>
      <c r="X72" s="299" t="b">
        <f t="shared" ca="1" si="28"/>
        <v>1</v>
      </c>
      <c r="Y72" s="299" t="b">
        <f t="shared" ca="1" si="29"/>
        <v>1</v>
      </c>
      <c r="Z72" s="299" t="b">
        <f t="shared" ca="1" si="30"/>
        <v>1</v>
      </c>
      <c r="AA72" s="297">
        <f t="shared" ca="1" si="31"/>
        <v>41861</v>
      </c>
      <c r="AB72" s="300">
        <f t="shared" ca="1" si="32"/>
        <v>9</v>
      </c>
      <c r="AC72" s="300">
        <f t="shared" ca="1" si="33"/>
        <v>1078</v>
      </c>
      <c r="AD72" s="300">
        <f t="shared" ca="1" si="34"/>
        <v>4</v>
      </c>
      <c r="AE72" s="300">
        <f t="shared" ca="1" si="35"/>
        <v>301</v>
      </c>
      <c r="AF72" s="300">
        <f t="shared" ca="1" si="36"/>
        <v>777</v>
      </c>
      <c r="AG72" s="300">
        <f t="shared" ca="1" si="37"/>
        <v>3</v>
      </c>
      <c r="AH72" s="300">
        <f t="shared" ca="1" si="38"/>
        <v>4</v>
      </c>
      <c r="AI72" s="300">
        <f t="shared" ca="1" si="39"/>
        <v>2</v>
      </c>
      <c r="AJ72" s="300">
        <f t="shared" ca="1" si="40"/>
        <v>0</v>
      </c>
      <c r="AK72" s="300">
        <f t="shared" ca="1" si="41"/>
        <v>9</v>
      </c>
      <c r="AL72" s="300">
        <f t="shared" ca="1" si="42"/>
        <v>1</v>
      </c>
      <c r="AM72" s="300">
        <f t="shared" ca="1" si="43"/>
        <v>1</v>
      </c>
      <c r="AN72" s="300">
        <f t="shared" ca="1" si="44"/>
        <v>2</v>
      </c>
      <c r="AO72" s="300">
        <f t="shared" ca="1" si="45"/>
        <v>0</v>
      </c>
      <c r="AP72" s="300">
        <f t="shared" ca="1" si="46"/>
        <v>4</v>
      </c>
    </row>
    <row r="73" spans="2:42" ht="21">
      <c r="B73" s="297">
        <f t="shared" ref="B73:B87" ca="1" si="47">INDIRECT("B"&amp;(ROW())-1)+1</f>
        <v>41862</v>
      </c>
      <c r="C73" s="298">
        <f ca="1">COUNTIFS('Defect Dump'!$R$3:$R$10000,$B73,'Defect Dump'!$I$3:$I$10000,"Blocker")</f>
        <v>0</v>
      </c>
      <c r="D73" s="298">
        <f ca="1">COUNTIFS('Defect Dump'!$R$3:$R$10000,$B73,'Defect Dump'!$I$3:$I$10000,"Critical")</f>
        <v>0</v>
      </c>
      <c r="E73" s="298">
        <f ca="1">COUNTIFS('Defect Dump'!$R$3:$R$10000,$B73,'Defect Dump'!$I$3:$I$10000,"Major")</f>
        <v>0</v>
      </c>
      <c r="F73" s="298">
        <f ca="1">COUNTIFS('Defect Dump'!$R$3:$R$10000,$B73,'Defect Dump'!$I$3:$I$10000,"Minor")+COUNTIFS('Defect Dump'!$R$3:$R$10000,$B73,'Defect Dump'!$I$3:$I$10000,"Trivial")</f>
        <v>0</v>
      </c>
      <c r="G73" s="298">
        <f t="shared" ref="G73:G87" ca="1" si="48">SUM(C73:F73)</f>
        <v>0</v>
      </c>
      <c r="H73" s="299" t="b">
        <f t="shared" ref="H73:H87" ca="1" si="49">B73=$AA73</f>
        <v>1</v>
      </c>
      <c r="I73" s="299" t="b">
        <f t="shared" ref="I73:I87" ca="1" si="50">G73=AB73</f>
        <v>1</v>
      </c>
      <c r="J73" s="299" t="b">
        <f t="shared" ref="J73:J87" ca="1" si="51">C73=AG73</f>
        <v>1</v>
      </c>
      <c r="K73" s="299" t="b">
        <f t="shared" ref="K73:K87" ca="1" si="52">D73=AH73</f>
        <v>1</v>
      </c>
      <c r="L73" s="299" t="b">
        <f t="shared" ref="L73:L87" ca="1" si="53">E73=AI73</f>
        <v>1</v>
      </c>
      <c r="M73" s="299" t="b">
        <f t="shared" ref="M73:M87" ca="1" si="54">F73=AJ73</f>
        <v>1</v>
      </c>
      <c r="N73" s="299" t="b">
        <f t="shared" ref="N73:N87" ca="1" si="55">G73=AK73</f>
        <v>1</v>
      </c>
      <c r="O73" s="297">
        <f t="shared" ref="O73:O87" ca="1" si="56">INDIRECT("O"&amp;(ROW())-1)+1</f>
        <v>41862</v>
      </c>
      <c r="P73" s="298">
        <f ca="1">COUNTIFS('Defect Dump'!$S$3:$S$10000,$B73,'Defect Dump'!$H$3:$H$10000,"Closed",'Defect Dump'!$I$3:$I$10000,"Blocker")</f>
        <v>0</v>
      </c>
      <c r="Q73" s="298">
        <f ca="1">COUNTIFS('Defect Dump'!$S$3:$S$10000,$B73,'Defect Dump'!$H$3:$H$10000,"Closed",'Defect Dump'!$I$3:$I$10000,"Critical")</f>
        <v>0</v>
      </c>
      <c r="R73" s="298">
        <f ca="1">COUNTIFS('Defect Dump'!$S$3:$S$10000,$B73,'Defect Dump'!$H$3:$H$10000,"Closed",'Defect Dump'!$I$3:$I$10000,"Major")</f>
        <v>0</v>
      </c>
      <c r="S73" s="298">
        <f ca="1">COUNTIFS('Defect Dump'!$S$3:$S$10000,$B73,'Defect Dump'!$H$3:$H$10000,"Closed",'Defect Dump'!$I$3:$I$10000,"Minor")+COUNTIFS('Defect Dump'!$S$3:$S$10000,$B73,'Defect Dump'!$H$3:$H$10000,"Closed",'Defect Dump'!$I$3:$I$10000,"Trivial")</f>
        <v>0</v>
      </c>
      <c r="T73" s="298">
        <f t="shared" ref="T73:T87" ca="1" si="57">SUM(P73:S73)</f>
        <v>0</v>
      </c>
      <c r="U73" s="299" t="b">
        <f t="shared" ref="U73:U87" ca="1" si="58">T73=AD73</f>
        <v>1</v>
      </c>
      <c r="V73" s="299" t="b">
        <f t="shared" ref="V73:V87" ca="1" si="59">P73=AL73</f>
        <v>1</v>
      </c>
      <c r="W73" s="299" t="b">
        <f t="shared" ref="W73:W87" ca="1" si="60">Q73=AM73</f>
        <v>1</v>
      </c>
      <c r="X73" s="299" t="b">
        <f t="shared" ref="X73:X87" ca="1" si="61">R73=AN73</f>
        <v>1</v>
      </c>
      <c r="Y73" s="299" t="b">
        <f t="shared" ref="Y73:Y87" ca="1" si="62">S73=AO73</f>
        <v>1</v>
      </c>
      <c r="Z73" s="299" t="b">
        <f t="shared" ref="Z73:Z87" ca="1" si="63">T73=AP73</f>
        <v>1</v>
      </c>
      <c r="AA73" s="297">
        <f t="shared" ref="AA73:AA87" ca="1" si="64">INDIRECT("AA"&amp;(ROW())-1)+1</f>
        <v>41862</v>
      </c>
      <c r="AB73" s="300">
        <f t="shared" ref="AB73:AB87" ca="1" si="65">G73</f>
        <v>0</v>
      </c>
      <c r="AC73" s="300">
        <f t="shared" ref="AC73:AC87" ca="1" si="66">AC72+AB73</f>
        <v>1078</v>
      </c>
      <c r="AD73" s="300">
        <f t="shared" ref="AD73:AD87" ca="1" si="67">T73</f>
        <v>0</v>
      </c>
      <c r="AE73" s="300">
        <f t="shared" ref="AE73:AE87" ca="1" si="68">AE72+AD73</f>
        <v>301</v>
      </c>
      <c r="AF73" s="300">
        <f t="shared" ref="AF73:AF87" ca="1" si="69">AC73-AE73</f>
        <v>777</v>
      </c>
      <c r="AG73" s="300">
        <f t="shared" ref="AG73:AG87" ca="1" si="70">C73</f>
        <v>0</v>
      </c>
      <c r="AH73" s="300">
        <f t="shared" ref="AH73:AH87" ca="1" si="71">D73</f>
        <v>0</v>
      </c>
      <c r="AI73" s="300">
        <f t="shared" ref="AI73:AI87" ca="1" si="72">E73</f>
        <v>0</v>
      </c>
      <c r="AJ73" s="300">
        <f t="shared" ref="AJ73:AJ87" ca="1" si="73">F73</f>
        <v>0</v>
      </c>
      <c r="AK73" s="300">
        <f t="shared" ref="AK73:AK87" ca="1" si="74">SUM(AG73:AJ73)</f>
        <v>0</v>
      </c>
      <c r="AL73" s="300">
        <f t="shared" ref="AL73:AL87" ca="1" si="75">P73</f>
        <v>0</v>
      </c>
      <c r="AM73" s="300">
        <f t="shared" ref="AM73:AM87" ca="1" si="76">Q73</f>
        <v>0</v>
      </c>
      <c r="AN73" s="300">
        <f t="shared" ref="AN73:AN87" ca="1" si="77">R73</f>
        <v>0</v>
      </c>
      <c r="AO73" s="300">
        <f t="shared" ref="AO73:AO87" ca="1" si="78">S73</f>
        <v>0</v>
      </c>
      <c r="AP73" s="300">
        <f t="shared" ref="AP73:AP87" ca="1" si="79">SUM(AL73:AO73)</f>
        <v>0</v>
      </c>
    </row>
    <row r="74" spans="2:42" ht="21">
      <c r="B74" s="297">
        <f t="shared" ca="1" si="47"/>
        <v>41863</v>
      </c>
      <c r="C74" s="298">
        <f ca="1">COUNTIFS('Defect Dump'!$R$3:$R$10000,$B74,'Defect Dump'!$I$3:$I$10000,"Blocker")</f>
        <v>0</v>
      </c>
      <c r="D74" s="298">
        <f ca="1">COUNTIFS('Defect Dump'!$R$3:$R$10000,$B74,'Defect Dump'!$I$3:$I$10000,"Critical")</f>
        <v>0</v>
      </c>
      <c r="E74" s="298">
        <f ca="1">COUNTIFS('Defect Dump'!$R$3:$R$10000,$B74,'Defect Dump'!$I$3:$I$10000,"Major")</f>
        <v>0</v>
      </c>
      <c r="F74" s="298">
        <f ca="1">COUNTIFS('Defect Dump'!$R$3:$R$10000,$B74,'Defect Dump'!$I$3:$I$10000,"Minor")+COUNTIFS('Defect Dump'!$R$3:$R$10000,$B74,'Defect Dump'!$I$3:$I$10000,"Trivial")</f>
        <v>0</v>
      </c>
      <c r="G74" s="298">
        <f t="shared" ca="1" si="48"/>
        <v>0</v>
      </c>
      <c r="H74" s="299" t="b">
        <f t="shared" ca="1" si="49"/>
        <v>1</v>
      </c>
      <c r="I74" s="299" t="b">
        <f t="shared" ca="1" si="50"/>
        <v>1</v>
      </c>
      <c r="J74" s="299" t="b">
        <f t="shared" ca="1" si="51"/>
        <v>1</v>
      </c>
      <c r="K74" s="299" t="b">
        <f t="shared" ca="1" si="52"/>
        <v>1</v>
      </c>
      <c r="L74" s="299" t="b">
        <f t="shared" ca="1" si="53"/>
        <v>1</v>
      </c>
      <c r="M74" s="299" t="b">
        <f t="shared" ca="1" si="54"/>
        <v>1</v>
      </c>
      <c r="N74" s="299" t="b">
        <f t="shared" ca="1" si="55"/>
        <v>1</v>
      </c>
      <c r="O74" s="297">
        <f t="shared" ca="1" si="56"/>
        <v>41863</v>
      </c>
      <c r="P74" s="298">
        <f ca="1">COUNTIFS('Defect Dump'!$S$3:$S$10000,$B74,'Defect Dump'!$H$3:$H$10000,"Closed",'Defect Dump'!$I$3:$I$10000,"Blocker")</f>
        <v>0</v>
      </c>
      <c r="Q74" s="298">
        <f ca="1">COUNTIFS('Defect Dump'!$S$3:$S$10000,$B74,'Defect Dump'!$H$3:$H$10000,"Closed",'Defect Dump'!$I$3:$I$10000,"Critical")</f>
        <v>0</v>
      </c>
      <c r="R74" s="298">
        <f ca="1">COUNTIFS('Defect Dump'!$S$3:$S$10000,$B74,'Defect Dump'!$H$3:$H$10000,"Closed",'Defect Dump'!$I$3:$I$10000,"Major")</f>
        <v>0</v>
      </c>
      <c r="S74" s="298">
        <f ca="1">COUNTIFS('Defect Dump'!$S$3:$S$10000,$B74,'Defect Dump'!$H$3:$H$10000,"Closed",'Defect Dump'!$I$3:$I$10000,"Minor")+COUNTIFS('Defect Dump'!$S$3:$S$10000,$B74,'Defect Dump'!$H$3:$H$10000,"Closed",'Defect Dump'!$I$3:$I$10000,"Trivial")</f>
        <v>0</v>
      </c>
      <c r="T74" s="298">
        <f t="shared" ca="1" si="57"/>
        <v>0</v>
      </c>
      <c r="U74" s="299" t="b">
        <f t="shared" ca="1" si="58"/>
        <v>1</v>
      </c>
      <c r="V74" s="299" t="b">
        <f t="shared" ca="1" si="59"/>
        <v>1</v>
      </c>
      <c r="W74" s="299" t="b">
        <f t="shared" ca="1" si="60"/>
        <v>1</v>
      </c>
      <c r="X74" s="299" t="b">
        <f t="shared" ca="1" si="61"/>
        <v>1</v>
      </c>
      <c r="Y74" s="299" t="b">
        <f t="shared" ca="1" si="62"/>
        <v>1</v>
      </c>
      <c r="Z74" s="299" t="b">
        <f t="shared" ca="1" si="63"/>
        <v>1</v>
      </c>
      <c r="AA74" s="297">
        <f t="shared" ca="1" si="64"/>
        <v>41863</v>
      </c>
      <c r="AB74" s="300">
        <f t="shared" ca="1" si="65"/>
        <v>0</v>
      </c>
      <c r="AC74" s="300">
        <f t="shared" ca="1" si="66"/>
        <v>1078</v>
      </c>
      <c r="AD74" s="300">
        <f t="shared" ca="1" si="67"/>
        <v>0</v>
      </c>
      <c r="AE74" s="300">
        <f t="shared" ca="1" si="68"/>
        <v>301</v>
      </c>
      <c r="AF74" s="300">
        <f t="shared" ca="1" si="69"/>
        <v>777</v>
      </c>
      <c r="AG74" s="300">
        <f t="shared" ca="1" si="70"/>
        <v>0</v>
      </c>
      <c r="AH74" s="300">
        <f t="shared" ca="1" si="71"/>
        <v>0</v>
      </c>
      <c r="AI74" s="300">
        <f t="shared" ca="1" si="72"/>
        <v>0</v>
      </c>
      <c r="AJ74" s="300">
        <f t="shared" ca="1" si="73"/>
        <v>0</v>
      </c>
      <c r="AK74" s="300">
        <f t="shared" ca="1" si="74"/>
        <v>0</v>
      </c>
      <c r="AL74" s="300">
        <f t="shared" ca="1" si="75"/>
        <v>0</v>
      </c>
      <c r="AM74" s="300">
        <f t="shared" ca="1" si="76"/>
        <v>0</v>
      </c>
      <c r="AN74" s="300">
        <f t="shared" ca="1" si="77"/>
        <v>0</v>
      </c>
      <c r="AO74" s="300">
        <f t="shared" ca="1" si="78"/>
        <v>0</v>
      </c>
      <c r="AP74" s="300">
        <f t="shared" ca="1" si="79"/>
        <v>0</v>
      </c>
    </row>
    <row r="75" spans="2:42" ht="21">
      <c r="B75" s="297">
        <f t="shared" ca="1" si="47"/>
        <v>41864</v>
      </c>
      <c r="C75" s="298">
        <f ca="1">COUNTIFS('Defect Dump'!$R$3:$R$10000,$B75,'Defect Dump'!$I$3:$I$10000,"Blocker")</f>
        <v>0</v>
      </c>
      <c r="D75" s="298">
        <f ca="1">COUNTIFS('Defect Dump'!$R$3:$R$10000,$B75,'Defect Dump'!$I$3:$I$10000,"Critical")</f>
        <v>0</v>
      </c>
      <c r="E75" s="298">
        <f ca="1">COUNTIFS('Defect Dump'!$R$3:$R$10000,$B75,'Defect Dump'!$I$3:$I$10000,"Major")</f>
        <v>0</v>
      </c>
      <c r="F75" s="298">
        <f ca="1">COUNTIFS('Defect Dump'!$R$3:$R$10000,$B75,'Defect Dump'!$I$3:$I$10000,"Minor")+COUNTIFS('Defect Dump'!$R$3:$R$10000,$B75,'Defect Dump'!$I$3:$I$10000,"Trivial")</f>
        <v>0</v>
      </c>
      <c r="G75" s="298">
        <f t="shared" ca="1" si="48"/>
        <v>0</v>
      </c>
      <c r="H75" s="299" t="b">
        <f t="shared" ca="1" si="49"/>
        <v>1</v>
      </c>
      <c r="I75" s="299" t="b">
        <f t="shared" ca="1" si="50"/>
        <v>1</v>
      </c>
      <c r="J75" s="299" t="b">
        <f t="shared" ca="1" si="51"/>
        <v>1</v>
      </c>
      <c r="K75" s="299" t="b">
        <f t="shared" ca="1" si="52"/>
        <v>1</v>
      </c>
      <c r="L75" s="299" t="b">
        <f t="shared" ca="1" si="53"/>
        <v>1</v>
      </c>
      <c r="M75" s="299" t="b">
        <f t="shared" ca="1" si="54"/>
        <v>1</v>
      </c>
      <c r="N75" s="299" t="b">
        <f t="shared" ca="1" si="55"/>
        <v>1</v>
      </c>
      <c r="O75" s="297">
        <f t="shared" ca="1" si="56"/>
        <v>41864</v>
      </c>
      <c r="P75" s="298">
        <f ca="1">COUNTIFS('Defect Dump'!$S$3:$S$10000,$B75,'Defect Dump'!$H$3:$H$10000,"Closed",'Defect Dump'!$I$3:$I$10000,"Blocker")</f>
        <v>1</v>
      </c>
      <c r="Q75" s="298">
        <f ca="1">COUNTIFS('Defect Dump'!$S$3:$S$10000,$B75,'Defect Dump'!$H$3:$H$10000,"Closed",'Defect Dump'!$I$3:$I$10000,"Critical")</f>
        <v>4</v>
      </c>
      <c r="R75" s="298">
        <f ca="1">COUNTIFS('Defect Dump'!$S$3:$S$10000,$B75,'Defect Dump'!$H$3:$H$10000,"Closed",'Defect Dump'!$I$3:$I$10000,"Major")</f>
        <v>3</v>
      </c>
      <c r="S75" s="298">
        <f ca="1">COUNTIFS('Defect Dump'!$S$3:$S$10000,$B75,'Defect Dump'!$H$3:$H$10000,"Closed",'Defect Dump'!$I$3:$I$10000,"Minor")+COUNTIFS('Defect Dump'!$S$3:$S$10000,$B75,'Defect Dump'!$H$3:$H$10000,"Closed",'Defect Dump'!$I$3:$I$10000,"Trivial")</f>
        <v>1</v>
      </c>
      <c r="T75" s="298">
        <f t="shared" ca="1" si="57"/>
        <v>9</v>
      </c>
      <c r="U75" s="299" t="b">
        <f t="shared" ca="1" si="58"/>
        <v>1</v>
      </c>
      <c r="V75" s="299" t="b">
        <f t="shared" ca="1" si="59"/>
        <v>1</v>
      </c>
      <c r="W75" s="299" t="b">
        <f t="shared" ca="1" si="60"/>
        <v>1</v>
      </c>
      <c r="X75" s="299" t="b">
        <f t="shared" ca="1" si="61"/>
        <v>1</v>
      </c>
      <c r="Y75" s="299" t="b">
        <f t="shared" ca="1" si="62"/>
        <v>1</v>
      </c>
      <c r="Z75" s="299" t="b">
        <f t="shared" ca="1" si="63"/>
        <v>1</v>
      </c>
      <c r="AA75" s="297">
        <f t="shared" ca="1" si="64"/>
        <v>41864</v>
      </c>
      <c r="AB75" s="300">
        <f t="shared" ca="1" si="65"/>
        <v>0</v>
      </c>
      <c r="AC75" s="300">
        <f t="shared" ca="1" si="66"/>
        <v>1078</v>
      </c>
      <c r="AD75" s="300">
        <f t="shared" ca="1" si="67"/>
        <v>9</v>
      </c>
      <c r="AE75" s="300">
        <f t="shared" ca="1" si="68"/>
        <v>310</v>
      </c>
      <c r="AF75" s="300">
        <f t="shared" ca="1" si="69"/>
        <v>768</v>
      </c>
      <c r="AG75" s="300">
        <f t="shared" ca="1" si="70"/>
        <v>0</v>
      </c>
      <c r="AH75" s="300">
        <f t="shared" ca="1" si="71"/>
        <v>0</v>
      </c>
      <c r="AI75" s="300">
        <f t="shared" ca="1" si="72"/>
        <v>0</v>
      </c>
      <c r="AJ75" s="300">
        <f t="shared" ca="1" si="73"/>
        <v>0</v>
      </c>
      <c r="AK75" s="300">
        <f t="shared" ca="1" si="74"/>
        <v>0</v>
      </c>
      <c r="AL75" s="300">
        <f t="shared" ca="1" si="75"/>
        <v>1</v>
      </c>
      <c r="AM75" s="300">
        <f t="shared" ca="1" si="76"/>
        <v>4</v>
      </c>
      <c r="AN75" s="300">
        <f t="shared" ca="1" si="77"/>
        <v>3</v>
      </c>
      <c r="AO75" s="300">
        <f t="shared" ca="1" si="78"/>
        <v>1</v>
      </c>
      <c r="AP75" s="300">
        <f t="shared" ca="1" si="79"/>
        <v>9</v>
      </c>
    </row>
    <row r="76" spans="2:42" ht="21">
      <c r="B76" s="297">
        <f t="shared" ca="1" si="47"/>
        <v>41865</v>
      </c>
      <c r="C76" s="298">
        <f ca="1">COUNTIFS('Defect Dump'!$R$3:$R$10000,$B76,'Defect Dump'!$I$3:$I$10000,"Blocker")</f>
        <v>0</v>
      </c>
      <c r="D76" s="298">
        <f ca="1">COUNTIFS('Defect Dump'!$R$3:$R$10000,$B76,'Defect Dump'!$I$3:$I$10000,"Critical")</f>
        <v>0</v>
      </c>
      <c r="E76" s="298">
        <f ca="1">COUNTIFS('Defect Dump'!$R$3:$R$10000,$B76,'Defect Dump'!$I$3:$I$10000,"Major")</f>
        <v>0</v>
      </c>
      <c r="F76" s="298">
        <f ca="1">COUNTIFS('Defect Dump'!$R$3:$R$10000,$B76,'Defect Dump'!$I$3:$I$10000,"Minor")+COUNTIFS('Defect Dump'!$R$3:$R$10000,$B76,'Defect Dump'!$I$3:$I$10000,"Trivial")</f>
        <v>0</v>
      </c>
      <c r="G76" s="298">
        <f t="shared" ca="1" si="48"/>
        <v>0</v>
      </c>
      <c r="H76" s="299" t="b">
        <f t="shared" ca="1" si="49"/>
        <v>1</v>
      </c>
      <c r="I76" s="299" t="b">
        <f t="shared" ca="1" si="50"/>
        <v>1</v>
      </c>
      <c r="J76" s="299" t="b">
        <f t="shared" ca="1" si="51"/>
        <v>1</v>
      </c>
      <c r="K76" s="299" t="b">
        <f t="shared" ca="1" si="52"/>
        <v>1</v>
      </c>
      <c r="L76" s="299" t="b">
        <f t="shared" ca="1" si="53"/>
        <v>1</v>
      </c>
      <c r="M76" s="299" t="b">
        <f t="shared" ca="1" si="54"/>
        <v>1</v>
      </c>
      <c r="N76" s="299" t="b">
        <f t="shared" ca="1" si="55"/>
        <v>1</v>
      </c>
      <c r="O76" s="297">
        <f t="shared" ca="1" si="56"/>
        <v>41865</v>
      </c>
      <c r="P76" s="298">
        <f ca="1">COUNTIFS('Defect Dump'!$S$3:$S$10000,$B76,'Defect Dump'!$H$3:$H$10000,"Closed",'Defect Dump'!$I$3:$I$10000,"Blocker")</f>
        <v>3</v>
      </c>
      <c r="Q76" s="298">
        <f ca="1">COUNTIFS('Defect Dump'!$S$3:$S$10000,$B76,'Defect Dump'!$H$3:$H$10000,"Closed",'Defect Dump'!$I$3:$I$10000,"Critical")</f>
        <v>1</v>
      </c>
      <c r="R76" s="298">
        <f ca="1">COUNTIFS('Defect Dump'!$S$3:$S$10000,$B76,'Defect Dump'!$H$3:$H$10000,"Closed",'Defect Dump'!$I$3:$I$10000,"Major")</f>
        <v>0</v>
      </c>
      <c r="S76" s="298">
        <f ca="1">COUNTIFS('Defect Dump'!$S$3:$S$10000,$B76,'Defect Dump'!$H$3:$H$10000,"Closed",'Defect Dump'!$I$3:$I$10000,"Minor")+COUNTIFS('Defect Dump'!$S$3:$S$10000,$B76,'Defect Dump'!$H$3:$H$10000,"Closed",'Defect Dump'!$I$3:$I$10000,"Trivial")</f>
        <v>0</v>
      </c>
      <c r="T76" s="298">
        <f t="shared" ca="1" si="57"/>
        <v>4</v>
      </c>
      <c r="U76" s="299" t="b">
        <f t="shared" ca="1" si="58"/>
        <v>1</v>
      </c>
      <c r="V76" s="299" t="b">
        <f t="shared" ca="1" si="59"/>
        <v>1</v>
      </c>
      <c r="W76" s="299" t="b">
        <f t="shared" ca="1" si="60"/>
        <v>1</v>
      </c>
      <c r="X76" s="299" t="b">
        <f t="shared" ca="1" si="61"/>
        <v>1</v>
      </c>
      <c r="Y76" s="299" t="b">
        <f t="shared" ca="1" si="62"/>
        <v>1</v>
      </c>
      <c r="Z76" s="299" t="b">
        <f t="shared" ca="1" si="63"/>
        <v>1</v>
      </c>
      <c r="AA76" s="297">
        <f t="shared" ca="1" si="64"/>
        <v>41865</v>
      </c>
      <c r="AB76" s="300">
        <f t="shared" ca="1" si="65"/>
        <v>0</v>
      </c>
      <c r="AC76" s="300">
        <f t="shared" ca="1" si="66"/>
        <v>1078</v>
      </c>
      <c r="AD76" s="300">
        <f t="shared" ca="1" si="67"/>
        <v>4</v>
      </c>
      <c r="AE76" s="300">
        <f t="shared" ca="1" si="68"/>
        <v>314</v>
      </c>
      <c r="AF76" s="300">
        <f t="shared" ca="1" si="69"/>
        <v>764</v>
      </c>
      <c r="AG76" s="300">
        <f t="shared" ca="1" si="70"/>
        <v>0</v>
      </c>
      <c r="AH76" s="300">
        <f t="shared" ca="1" si="71"/>
        <v>0</v>
      </c>
      <c r="AI76" s="300">
        <f t="shared" ca="1" si="72"/>
        <v>0</v>
      </c>
      <c r="AJ76" s="300">
        <f t="shared" ca="1" si="73"/>
        <v>0</v>
      </c>
      <c r="AK76" s="300">
        <f t="shared" ca="1" si="74"/>
        <v>0</v>
      </c>
      <c r="AL76" s="300">
        <f t="shared" ca="1" si="75"/>
        <v>3</v>
      </c>
      <c r="AM76" s="300">
        <f t="shared" ca="1" si="76"/>
        <v>1</v>
      </c>
      <c r="AN76" s="300">
        <f t="shared" ca="1" si="77"/>
        <v>0</v>
      </c>
      <c r="AO76" s="300">
        <f t="shared" ca="1" si="78"/>
        <v>0</v>
      </c>
      <c r="AP76" s="300">
        <f t="shared" ca="1" si="79"/>
        <v>4</v>
      </c>
    </row>
    <row r="77" spans="2:42" ht="21">
      <c r="B77" s="297">
        <f t="shared" ca="1" si="47"/>
        <v>41866</v>
      </c>
      <c r="C77" s="298">
        <f ca="1">COUNTIFS('Defect Dump'!$R$3:$R$10000,$B77,'Defect Dump'!$I$3:$I$10000,"Blocker")</f>
        <v>0</v>
      </c>
      <c r="D77" s="298">
        <f ca="1">COUNTIFS('Defect Dump'!$R$3:$R$10000,$B77,'Defect Dump'!$I$3:$I$10000,"Critical")</f>
        <v>0</v>
      </c>
      <c r="E77" s="298">
        <f ca="1">COUNTIFS('Defect Dump'!$R$3:$R$10000,$B77,'Defect Dump'!$I$3:$I$10000,"Major")</f>
        <v>0</v>
      </c>
      <c r="F77" s="298">
        <f ca="1">COUNTIFS('Defect Dump'!$R$3:$R$10000,$B77,'Defect Dump'!$I$3:$I$10000,"Minor")+COUNTIFS('Defect Dump'!$R$3:$R$10000,$B77,'Defect Dump'!$I$3:$I$10000,"Trivial")</f>
        <v>0</v>
      </c>
      <c r="G77" s="298">
        <f t="shared" ca="1" si="48"/>
        <v>0</v>
      </c>
      <c r="H77" s="299" t="b">
        <f t="shared" ca="1" si="49"/>
        <v>1</v>
      </c>
      <c r="I77" s="299" t="b">
        <f t="shared" ca="1" si="50"/>
        <v>1</v>
      </c>
      <c r="J77" s="299" t="b">
        <f t="shared" ca="1" si="51"/>
        <v>1</v>
      </c>
      <c r="K77" s="299" t="b">
        <f t="shared" ca="1" si="52"/>
        <v>1</v>
      </c>
      <c r="L77" s="299" t="b">
        <f t="shared" ca="1" si="53"/>
        <v>1</v>
      </c>
      <c r="M77" s="299" t="b">
        <f t="shared" ca="1" si="54"/>
        <v>1</v>
      </c>
      <c r="N77" s="299" t="b">
        <f t="shared" ca="1" si="55"/>
        <v>1</v>
      </c>
      <c r="O77" s="297">
        <f t="shared" ca="1" si="56"/>
        <v>41866</v>
      </c>
      <c r="P77" s="298">
        <f ca="1">COUNTIFS('Defect Dump'!$S$3:$S$10000,$B77,'Defect Dump'!$H$3:$H$10000,"Closed",'Defect Dump'!$I$3:$I$10000,"Blocker")</f>
        <v>1</v>
      </c>
      <c r="Q77" s="298">
        <f ca="1">COUNTIFS('Defect Dump'!$S$3:$S$10000,$B77,'Defect Dump'!$H$3:$H$10000,"Closed",'Defect Dump'!$I$3:$I$10000,"Critical")</f>
        <v>1</v>
      </c>
      <c r="R77" s="298">
        <f ca="1">COUNTIFS('Defect Dump'!$S$3:$S$10000,$B77,'Defect Dump'!$H$3:$H$10000,"Closed",'Defect Dump'!$I$3:$I$10000,"Major")</f>
        <v>0</v>
      </c>
      <c r="S77" s="298">
        <f ca="1">COUNTIFS('Defect Dump'!$S$3:$S$10000,$B77,'Defect Dump'!$H$3:$H$10000,"Closed",'Defect Dump'!$I$3:$I$10000,"Minor")+COUNTIFS('Defect Dump'!$S$3:$S$10000,$B77,'Defect Dump'!$H$3:$H$10000,"Closed",'Defect Dump'!$I$3:$I$10000,"Trivial")</f>
        <v>0</v>
      </c>
      <c r="T77" s="298">
        <f t="shared" ca="1" si="57"/>
        <v>2</v>
      </c>
      <c r="U77" s="299" t="b">
        <f t="shared" ca="1" si="58"/>
        <v>1</v>
      </c>
      <c r="V77" s="299" t="b">
        <f t="shared" ca="1" si="59"/>
        <v>1</v>
      </c>
      <c r="W77" s="299" t="b">
        <f t="shared" ca="1" si="60"/>
        <v>1</v>
      </c>
      <c r="X77" s="299" t="b">
        <f t="shared" ca="1" si="61"/>
        <v>1</v>
      </c>
      <c r="Y77" s="299" t="b">
        <f t="shared" ca="1" si="62"/>
        <v>1</v>
      </c>
      <c r="Z77" s="299" t="b">
        <f t="shared" ca="1" si="63"/>
        <v>1</v>
      </c>
      <c r="AA77" s="297">
        <f t="shared" ca="1" si="64"/>
        <v>41866</v>
      </c>
      <c r="AB77" s="300">
        <f t="shared" ca="1" si="65"/>
        <v>0</v>
      </c>
      <c r="AC77" s="300">
        <f t="shared" ca="1" si="66"/>
        <v>1078</v>
      </c>
      <c r="AD77" s="300">
        <f t="shared" ca="1" si="67"/>
        <v>2</v>
      </c>
      <c r="AE77" s="300">
        <f t="shared" ca="1" si="68"/>
        <v>316</v>
      </c>
      <c r="AF77" s="300">
        <f t="shared" ca="1" si="69"/>
        <v>762</v>
      </c>
      <c r="AG77" s="300">
        <f t="shared" ca="1" si="70"/>
        <v>0</v>
      </c>
      <c r="AH77" s="300">
        <f t="shared" ca="1" si="71"/>
        <v>0</v>
      </c>
      <c r="AI77" s="300">
        <f t="shared" ca="1" si="72"/>
        <v>0</v>
      </c>
      <c r="AJ77" s="300">
        <f t="shared" ca="1" si="73"/>
        <v>0</v>
      </c>
      <c r="AK77" s="300">
        <f t="shared" ca="1" si="74"/>
        <v>0</v>
      </c>
      <c r="AL77" s="300">
        <f t="shared" ca="1" si="75"/>
        <v>1</v>
      </c>
      <c r="AM77" s="300">
        <f t="shared" ca="1" si="76"/>
        <v>1</v>
      </c>
      <c r="AN77" s="300">
        <f t="shared" ca="1" si="77"/>
        <v>0</v>
      </c>
      <c r="AO77" s="300">
        <f t="shared" ca="1" si="78"/>
        <v>0</v>
      </c>
      <c r="AP77" s="300">
        <f t="shared" ca="1" si="79"/>
        <v>2</v>
      </c>
    </row>
    <row r="78" spans="2:42" ht="21">
      <c r="B78" s="297">
        <f t="shared" ca="1" si="47"/>
        <v>41867</v>
      </c>
      <c r="C78" s="298">
        <f ca="1">COUNTIFS('Defect Dump'!$R$3:$R$10000,$B78,'Defect Dump'!$I$3:$I$10000,"Blocker")</f>
        <v>0</v>
      </c>
      <c r="D78" s="298">
        <f ca="1">COUNTIFS('Defect Dump'!$R$3:$R$10000,$B78,'Defect Dump'!$I$3:$I$10000,"Critical")</f>
        <v>0</v>
      </c>
      <c r="E78" s="298">
        <f ca="1">COUNTIFS('Defect Dump'!$R$3:$R$10000,$B78,'Defect Dump'!$I$3:$I$10000,"Major")</f>
        <v>0</v>
      </c>
      <c r="F78" s="298">
        <f ca="1">COUNTIFS('Defect Dump'!$R$3:$R$10000,$B78,'Defect Dump'!$I$3:$I$10000,"Minor")+COUNTIFS('Defect Dump'!$R$3:$R$10000,$B78,'Defect Dump'!$I$3:$I$10000,"Trivial")</f>
        <v>0</v>
      </c>
      <c r="G78" s="298">
        <f t="shared" ca="1" si="48"/>
        <v>0</v>
      </c>
      <c r="H78" s="299" t="b">
        <f t="shared" ca="1" si="49"/>
        <v>1</v>
      </c>
      <c r="I78" s="299" t="b">
        <f t="shared" ca="1" si="50"/>
        <v>1</v>
      </c>
      <c r="J78" s="299" t="b">
        <f t="shared" ca="1" si="51"/>
        <v>1</v>
      </c>
      <c r="K78" s="299" t="b">
        <f t="shared" ca="1" si="52"/>
        <v>1</v>
      </c>
      <c r="L78" s="299" t="b">
        <f t="shared" ca="1" si="53"/>
        <v>1</v>
      </c>
      <c r="M78" s="299" t="b">
        <f t="shared" ca="1" si="54"/>
        <v>1</v>
      </c>
      <c r="N78" s="299" t="b">
        <f t="shared" ca="1" si="55"/>
        <v>1</v>
      </c>
      <c r="O78" s="297">
        <f t="shared" ca="1" si="56"/>
        <v>41867</v>
      </c>
      <c r="P78" s="298">
        <f ca="1">COUNTIFS('Defect Dump'!$S$3:$S$10000,$B78,'Defect Dump'!$H$3:$H$10000,"Closed",'Defect Dump'!$I$3:$I$10000,"Blocker")</f>
        <v>1</v>
      </c>
      <c r="Q78" s="298">
        <f ca="1">COUNTIFS('Defect Dump'!$S$3:$S$10000,$B78,'Defect Dump'!$H$3:$H$10000,"Closed",'Defect Dump'!$I$3:$I$10000,"Critical")</f>
        <v>2</v>
      </c>
      <c r="R78" s="298">
        <f ca="1">COUNTIFS('Defect Dump'!$S$3:$S$10000,$B78,'Defect Dump'!$H$3:$H$10000,"Closed",'Defect Dump'!$I$3:$I$10000,"Major")</f>
        <v>1</v>
      </c>
      <c r="S78" s="298">
        <f ca="1">COUNTIFS('Defect Dump'!$S$3:$S$10000,$B78,'Defect Dump'!$H$3:$H$10000,"Closed",'Defect Dump'!$I$3:$I$10000,"Minor")+COUNTIFS('Defect Dump'!$S$3:$S$10000,$B78,'Defect Dump'!$H$3:$H$10000,"Closed",'Defect Dump'!$I$3:$I$10000,"Trivial")</f>
        <v>1</v>
      </c>
      <c r="T78" s="298">
        <f t="shared" ca="1" si="57"/>
        <v>5</v>
      </c>
      <c r="U78" s="299" t="b">
        <f t="shared" ca="1" si="58"/>
        <v>1</v>
      </c>
      <c r="V78" s="299" t="b">
        <f t="shared" ca="1" si="59"/>
        <v>1</v>
      </c>
      <c r="W78" s="299" t="b">
        <f t="shared" ca="1" si="60"/>
        <v>1</v>
      </c>
      <c r="X78" s="299" t="b">
        <f t="shared" ca="1" si="61"/>
        <v>1</v>
      </c>
      <c r="Y78" s="299" t="b">
        <f t="shared" ca="1" si="62"/>
        <v>1</v>
      </c>
      <c r="Z78" s="299" t="b">
        <f t="shared" ca="1" si="63"/>
        <v>1</v>
      </c>
      <c r="AA78" s="297">
        <f t="shared" ca="1" si="64"/>
        <v>41867</v>
      </c>
      <c r="AB78" s="300">
        <f t="shared" ca="1" si="65"/>
        <v>0</v>
      </c>
      <c r="AC78" s="300">
        <f t="shared" ca="1" si="66"/>
        <v>1078</v>
      </c>
      <c r="AD78" s="300">
        <f t="shared" ca="1" si="67"/>
        <v>5</v>
      </c>
      <c r="AE78" s="300">
        <f t="shared" ca="1" si="68"/>
        <v>321</v>
      </c>
      <c r="AF78" s="300">
        <f t="shared" ca="1" si="69"/>
        <v>757</v>
      </c>
      <c r="AG78" s="300">
        <f t="shared" ca="1" si="70"/>
        <v>0</v>
      </c>
      <c r="AH78" s="300">
        <f t="shared" ca="1" si="71"/>
        <v>0</v>
      </c>
      <c r="AI78" s="300">
        <f t="shared" ca="1" si="72"/>
        <v>0</v>
      </c>
      <c r="AJ78" s="300">
        <f t="shared" ca="1" si="73"/>
        <v>0</v>
      </c>
      <c r="AK78" s="300">
        <f t="shared" ca="1" si="74"/>
        <v>0</v>
      </c>
      <c r="AL78" s="300">
        <f t="shared" ca="1" si="75"/>
        <v>1</v>
      </c>
      <c r="AM78" s="300">
        <f t="shared" ca="1" si="76"/>
        <v>2</v>
      </c>
      <c r="AN78" s="300">
        <f t="shared" ca="1" si="77"/>
        <v>1</v>
      </c>
      <c r="AO78" s="300">
        <f t="shared" ca="1" si="78"/>
        <v>1</v>
      </c>
      <c r="AP78" s="300">
        <f t="shared" ca="1" si="79"/>
        <v>5</v>
      </c>
    </row>
    <row r="79" spans="2:42" ht="21">
      <c r="B79" s="297">
        <f t="shared" ca="1" si="47"/>
        <v>41868</v>
      </c>
      <c r="C79" s="298">
        <f ca="1">COUNTIFS('Defect Dump'!$R$3:$R$10000,$B79,'Defect Dump'!$I$3:$I$10000,"Blocker")</f>
        <v>0</v>
      </c>
      <c r="D79" s="298">
        <f ca="1">COUNTIFS('Defect Dump'!$R$3:$R$10000,$B79,'Defect Dump'!$I$3:$I$10000,"Critical")</f>
        <v>0</v>
      </c>
      <c r="E79" s="298">
        <f ca="1">COUNTIFS('Defect Dump'!$R$3:$R$10000,$B79,'Defect Dump'!$I$3:$I$10000,"Major")</f>
        <v>0</v>
      </c>
      <c r="F79" s="298">
        <f ca="1">COUNTIFS('Defect Dump'!$R$3:$R$10000,$B79,'Defect Dump'!$I$3:$I$10000,"Minor")+COUNTIFS('Defect Dump'!$R$3:$R$10000,$B79,'Defect Dump'!$I$3:$I$10000,"Trivial")</f>
        <v>0</v>
      </c>
      <c r="G79" s="298">
        <f t="shared" ca="1" si="48"/>
        <v>0</v>
      </c>
      <c r="H79" s="299" t="b">
        <f t="shared" ca="1" si="49"/>
        <v>1</v>
      </c>
      <c r="I79" s="299" t="b">
        <f t="shared" ca="1" si="50"/>
        <v>1</v>
      </c>
      <c r="J79" s="299" t="b">
        <f t="shared" ca="1" si="51"/>
        <v>1</v>
      </c>
      <c r="K79" s="299" t="b">
        <f t="shared" ca="1" si="52"/>
        <v>1</v>
      </c>
      <c r="L79" s="299" t="b">
        <f t="shared" ca="1" si="53"/>
        <v>1</v>
      </c>
      <c r="M79" s="299" t="b">
        <f t="shared" ca="1" si="54"/>
        <v>1</v>
      </c>
      <c r="N79" s="299" t="b">
        <f t="shared" ca="1" si="55"/>
        <v>1</v>
      </c>
      <c r="O79" s="297">
        <f t="shared" ca="1" si="56"/>
        <v>41868</v>
      </c>
      <c r="P79" s="298">
        <f ca="1">COUNTIFS('Defect Dump'!$S$3:$S$10000,$B79,'Defect Dump'!$H$3:$H$10000,"Closed",'Defect Dump'!$I$3:$I$10000,"Blocker")</f>
        <v>6</v>
      </c>
      <c r="Q79" s="298">
        <f ca="1">COUNTIFS('Defect Dump'!$S$3:$S$10000,$B79,'Defect Dump'!$H$3:$H$10000,"Closed",'Defect Dump'!$I$3:$I$10000,"Critical")</f>
        <v>2</v>
      </c>
      <c r="R79" s="298">
        <f ca="1">COUNTIFS('Defect Dump'!$S$3:$S$10000,$B79,'Defect Dump'!$H$3:$H$10000,"Closed",'Defect Dump'!$I$3:$I$10000,"Major")</f>
        <v>5</v>
      </c>
      <c r="S79" s="298">
        <f ca="1">COUNTIFS('Defect Dump'!$S$3:$S$10000,$B79,'Defect Dump'!$H$3:$H$10000,"Closed",'Defect Dump'!$I$3:$I$10000,"Minor")+COUNTIFS('Defect Dump'!$S$3:$S$10000,$B79,'Defect Dump'!$H$3:$H$10000,"Closed",'Defect Dump'!$I$3:$I$10000,"Trivial")</f>
        <v>1</v>
      </c>
      <c r="T79" s="298">
        <f t="shared" ca="1" si="57"/>
        <v>14</v>
      </c>
      <c r="U79" s="299" t="b">
        <f t="shared" ca="1" si="58"/>
        <v>1</v>
      </c>
      <c r="V79" s="299" t="b">
        <f t="shared" ca="1" si="59"/>
        <v>1</v>
      </c>
      <c r="W79" s="299" t="b">
        <f t="shared" ca="1" si="60"/>
        <v>1</v>
      </c>
      <c r="X79" s="299" t="b">
        <f t="shared" ca="1" si="61"/>
        <v>1</v>
      </c>
      <c r="Y79" s="299" t="b">
        <f t="shared" ca="1" si="62"/>
        <v>1</v>
      </c>
      <c r="Z79" s="299" t="b">
        <f t="shared" ca="1" si="63"/>
        <v>1</v>
      </c>
      <c r="AA79" s="297">
        <f t="shared" ca="1" si="64"/>
        <v>41868</v>
      </c>
      <c r="AB79" s="300">
        <f t="shared" ca="1" si="65"/>
        <v>0</v>
      </c>
      <c r="AC79" s="300">
        <f t="shared" ca="1" si="66"/>
        <v>1078</v>
      </c>
      <c r="AD79" s="300">
        <f t="shared" ca="1" si="67"/>
        <v>14</v>
      </c>
      <c r="AE79" s="300">
        <f t="shared" ca="1" si="68"/>
        <v>335</v>
      </c>
      <c r="AF79" s="300">
        <f t="shared" ca="1" si="69"/>
        <v>743</v>
      </c>
      <c r="AG79" s="300">
        <f t="shared" ca="1" si="70"/>
        <v>0</v>
      </c>
      <c r="AH79" s="300">
        <f t="shared" ca="1" si="71"/>
        <v>0</v>
      </c>
      <c r="AI79" s="300">
        <f t="shared" ca="1" si="72"/>
        <v>0</v>
      </c>
      <c r="AJ79" s="300">
        <f t="shared" ca="1" si="73"/>
        <v>0</v>
      </c>
      <c r="AK79" s="300">
        <f t="shared" ca="1" si="74"/>
        <v>0</v>
      </c>
      <c r="AL79" s="300">
        <f t="shared" ca="1" si="75"/>
        <v>6</v>
      </c>
      <c r="AM79" s="300">
        <f t="shared" ca="1" si="76"/>
        <v>2</v>
      </c>
      <c r="AN79" s="300">
        <f t="shared" ca="1" si="77"/>
        <v>5</v>
      </c>
      <c r="AO79" s="300">
        <f t="shared" ca="1" si="78"/>
        <v>1</v>
      </c>
      <c r="AP79" s="300">
        <f t="shared" ca="1" si="79"/>
        <v>14</v>
      </c>
    </row>
    <row r="80" spans="2:42" ht="21">
      <c r="B80" s="297">
        <f t="shared" ca="1" si="47"/>
        <v>41869</v>
      </c>
      <c r="C80" s="298">
        <f ca="1">COUNTIFS('Defect Dump'!$R$3:$R$10000,$B80,'Defect Dump'!$I$3:$I$10000,"Blocker")</f>
        <v>0</v>
      </c>
      <c r="D80" s="298">
        <f ca="1">COUNTIFS('Defect Dump'!$R$3:$R$10000,$B80,'Defect Dump'!$I$3:$I$10000,"Critical")</f>
        <v>0</v>
      </c>
      <c r="E80" s="298">
        <f ca="1">COUNTIFS('Defect Dump'!$R$3:$R$10000,$B80,'Defect Dump'!$I$3:$I$10000,"Major")</f>
        <v>0</v>
      </c>
      <c r="F80" s="298">
        <f ca="1">COUNTIFS('Defect Dump'!$R$3:$R$10000,$B80,'Defect Dump'!$I$3:$I$10000,"Minor")+COUNTIFS('Defect Dump'!$R$3:$R$10000,$B80,'Defect Dump'!$I$3:$I$10000,"Trivial")</f>
        <v>0</v>
      </c>
      <c r="G80" s="298">
        <f t="shared" ca="1" si="48"/>
        <v>0</v>
      </c>
      <c r="H80" s="299" t="b">
        <f t="shared" ca="1" si="49"/>
        <v>1</v>
      </c>
      <c r="I80" s="299" t="b">
        <f t="shared" ca="1" si="50"/>
        <v>1</v>
      </c>
      <c r="J80" s="299" t="b">
        <f t="shared" ca="1" si="51"/>
        <v>1</v>
      </c>
      <c r="K80" s="299" t="b">
        <f t="shared" ca="1" si="52"/>
        <v>1</v>
      </c>
      <c r="L80" s="299" t="b">
        <f t="shared" ca="1" si="53"/>
        <v>1</v>
      </c>
      <c r="M80" s="299" t="b">
        <f t="shared" ca="1" si="54"/>
        <v>1</v>
      </c>
      <c r="N80" s="299" t="b">
        <f t="shared" ca="1" si="55"/>
        <v>1</v>
      </c>
      <c r="O80" s="297">
        <f t="shared" ca="1" si="56"/>
        <v>41869</v>
      </c>
      <c r="P80" s="298">
        <f ca="1">COUNTIFS('Defect Dump'!$S$3:$S$10000,$B80,'Defect Dump'!$H$3:$H$10000,"Closed",'Defect Dump'!$I$3:$I$10000,"Blocker")</f>
        <v>1</v>
      </c>
      <c r="Q80" s="298">
        <f ca="1">COUNTIFS('Defect Dump'!$S$3:$S$10000,$B80,'Defect Dump'!$H$3:$H$10000,"Closed",'Defect Dump'!$I$3:$I$10000,"Critical")</f>
        <v>0</v>
      </c>
      <c r="R80" s="298">
        <f ca="1">COUNTIFS('Defect Dump'!$S$3:$S$10000,$B80,'Defect Dump'!$H$3:$H$10000,"Closed",'Defect Dump'!$I$3:$I$10000,"Major")</f>
        <v>2</v>
      </c>
      <c r="S80" s="298">
        <f ca="1">COUNTIFS('Defect Dump'!$S$3:$S$10000,$B80,'Defect Dump'!$H$3:$H$10000,"Closed",'Defect Dump'!$I$3:$I$10000,"Minor")+COUNTIFS('Defect Dump'!$S$3:$S$10000,$B80,'Defect Dump'!$H$3:$H$10000,"Closed",'Defect Dump'!$I$3:$I$10000,"Trivial")</f>
        <v>0</v>
      </c>
      <c r="T80" s="298">
        <f t="shared" ca="1" si="57"/>
        <v>3</v>
      </c>
      <c r="U80" s="299" t="b">
        <f t="shared" ca="1" si="58"/>
        <v>1</v>
      </c>
      <c r="V80" s="299" t="b">
        <f t="shared" ca="1" si="59"/>
        <v>1</v>
      </c>
      <c r="W80" s="299" t="b">
        <f t="shared" ca="1" si="60"/>
        <v>1</v>
      </c>
      <c r="X80" s="299" t="b">
        <f t="shared" ca="1" si="61"/>
        <v>1</v>
      </c>
      <c r="Y80" s="299" t="b">
        <f t="shared" ca="1" si="62"/>
        <v>1</v>
      </c>
      <c r="Z80" s="299" t="b">
        <f t="shared" ca="1" si="63"/>
        <v>1</v>
      </c>
      <c r="AA80" s="297">
        <f t="shared" ca="1" si="64"/>
        <v>41869</v>
      </c>
      <c r="AB80" s="300">
        <f t="shared" ca="1" si="65"/>
        <v>0</v>
      </c>
      <c r="AC80" s="300">
        <f t="shared" ca="1" si="66"/>
        <v>1078</v>
      </c>
      <c r="AD80" s="300">
        <f t="shared" ca="1" si="67"/>
        <v>3</v>
      </c>
      <c r="AE80" s="300">
        <f t="shared" ca="1" si="68"/>
        <v>338</v>
      </c>
      <c r="AF80" s="300">
        <f t="shared" ca="1" si="69"/>
        <v>740</v>
      </c>
      <c r="AG80" s="300">
        <f t="shared" ca="1" si="70"/>
        <v>0</v>
      </c>
      <c r="AH80" s="300">
        <f t="shared" ca="1" si="71"/>
        <v>0</v>
      </c>
      <c r="AI80" s="300">
        <f t="shared" ca="1" si="72"/>
        <v>0</v>
      </c>
      <c r="AJ80" s="300">
        <f t="shared" ca="1" si="73"/>
        <v>0</v>
      </c>
      <c r="AK80" s="300">
        <f t="shared" ca="1" si="74"/>
        <v>0</v>
      </c>
      <c r="AL80" s="300">
        <f t="shared" ca="1" si="75"/>
        <v>1</v>
      </c>
      <c r="AM80" s="300">
        <f t="shared" ca="1" si="76"/>
        <v>0</v>
      </c>
      <c r="AN80" s="300">
        <f t="shared" ca="1" si="77"/>
        <v>2</v>
      </c>
      <c r="AO80" s="300">
        <f t="shared" ca="1" si="78"/>
        <v>0</v>
      </c>
      <c r="AP80" s="300">
        <f t="shared" ca="1" si="79"/>
        <v>3</v>
      </c>
    </row>
    <row r="81" spans="2:42" ht="21">
      <c r="B81" s="297">
        <f t="shared" ca="1" si="47"/>
        <v>41870</v>
      </c>
      <c r="C81" s="298">
        <f ca="1">COUNTIFS('Defect Dump'!$R$3:$R$10000,$B81,'Defect Dump'!$I$3:$I$10000,"Blocker")</f>
        <v>0</v>
      </c>
      <c r="D81" s="298">
        <f ca="1">COUNTIFS('Defect Dump'!$R$3:$R$10000,$B81,'Defect Dump'!$I$3:$I$10000,"Critical")</f>
        <v>0</v>
      </c>
      <c r="E81" s="298">
        <f ca="1">COUNTIFS('Defect Dump'!$R$3:$R$10000,$B81,'Defect Dump'!$I$3:$I$10000,"Major")</f>
        <v>0</v>
      </c>
      <c r="F81" s="298">
        <f ca="1">COUNTIFS('Defect Dump'!$R$3:$R$10000,$B81,'Defect Dump'!$I$3:$I$10000,"Minor")+COUNTIFS('Defect Dump'!$R$3:$R$10000,$B81,'Defect Dump'!$I$3:$I$10000,"Trivial")</f>
        <v>0</v>
      </c>
      <c r="G81" s="298">
        <f t="shared" ca="1" si="48"/>
        <v>0</v>
      </c>
      <c r="H81" s="299" t="b">
        <f t="shared" ca="1" si="49"/>
        <v>1</v>
      </c>
      <c r="I81" s="299" t="b">
        <f t="shared" ca="1" si="50"/>
        <v>1</v>
      </c>
      <c r="J81" s="299" t="b">
        <f t="shared" ca="1" si="51"/>
        <v>1</v>
      </c>
      <c r="K81" s="299" t="b">
        <f t="shared" ca="1" si="52"/>
        <v>1</v>
      </c>
      <c r="L81" s="299" t="b">
        <f t="shared" ca="1" si="53"/>
        <v>1</v>
      </c>
      <c r="M81" s="299" t="b">
        <f t="shared" ca="1" si="54"/>
        <v>1</v>
      </c>
      <c r="N81" s="299" t="b">
        <f t="shared" ca="1" si="55"/>
        <v>1</v>
      </c>
      <c r="O81" s="297">
        <f t="shared" ca="1" si="56"/>
        <v>41870</v>
      </c>
      <c r="P81" s="298">
        <f ca="1">COUNTIFS('Defect Dump'!$S$3:$S$10000,$B81,'Defect Dump'!$H$3:$H$10000,"Closed",'Defect Dump'!$I$3:$I$10000,"Blocker")</f>
        <v>0</v>
      </c>
      <c r="Q81" s="298">
        <f ca="1">COUNTIFS('Defect Dump'!$S$3:$S$10000,$B81,'Defect Dump'!$H$3:$H$10000,"Closed",'Defect Dump'!$I$3:$I$10000,"Critical")</f>
        <v>2</v>
      </c>
      <c r="R81" s="298">
        <f ca="1">COUNTIFS('Defect Dump'!$S$3:$S$10000,$B81,'Defect Dump'!$H$3:$H$10000,"Closed",'Defect Dump'!$I$3:$I$10000,"Major")</f>
        <v>0</v>
      </c>
      <c r="S81" s="298">
        <f ca="1">COUNTIFS('Defect Dump'!$S$3:$S$10000,$B81,'Defect Dump'!$H$3:$H$10000,"Closed",'Defect Dump'!$I$3:$I$10000,"Minor")+COUNTIFS('Defect Dump'!$S$3:$S$10000,$B81,'Defect Dump'!$H$3:$H$10000,"Closed",'Defect Dump'!$I$3:$I$10000,"Trivial")</f>
        <v>0</v>
      </c>
      <c r="T81" s="298">
        <f t="shared" ca="1" si="57"/>
        <v>2</v>
      </c>
      <c r="U81" s="299" t="b">
        <f t="shared" ca="1" si="58"/>
        <v>1</v>
      </c>
      <c r="V81" s="299" t="b">
        <f t="shared" ca="1" si="59"/>
        <v>1</v>
      </c>
      <c r="W81" s="299" t="b">
        <f t="shared" ca="1" si="60"/>
        <v>1</v>
      </c>
      <c r="X81" s="299" t="b">
        <f t="shared" ca="1" si="61"/>
        <v>1</v>
      </c>
      <c r="Y81" s="299" t="b">
        <f t="shared" ca="1" si="62"/>
        <v>1</v>
      </c>
      <c r="Z81" s="299" t="b">
        <f t="shared" ca="1" si="63"/>
        <v>1</v>
      </c>
      <c r="AA81" s="297">
        <f t="shared" ca="1" si="64"/>
        <v>41870</v>
      </c>
      <c r="AB81" s="300">
        <f t="shared" ca="1" si="65"/>
        <v>0</v>
      </c>
      <c r="AC81" s="300">
        <f t="shared" ca="1" si="66"/>
        <v>1078</v>
      </c>
      <c r="AD81" s="300">
        <f t="shared" ca="1" si="67"/>
        <v>2</v>
      </c>
      <c r="AE81" s="300">
        <f t="shared" ca="1" si="68"/>
        <v>340</v>
      </c>
      <c r="AF81" s="300">
        <f t="shared" ca="1" si="69"/>
        <v>738</v>
      </c>
      <c r="AG81" s="300">
        <f t="shared" ca="1" si="70"/>
        <v>0</v>
      </c>
      <c r="AH81" s="300">
        <f t="shared" ca="1" si="71"/>
        <v>0</v>
      </c>
      <c r="AI81" s="300">
        <f t="shared" ca="1" si="72"/>
        <v>0</v>
      </c>
      <c r="AJ81" s="300">
        <f t="shared" ca="1" si="73"/>
        <v>0</v>
      </c>
      <c r="AK81" s="300">
        <f t="shared" ca="1" si="74"/>
        <v>0</v>
      </c>
      <c r="AL81" s="300">
        <f t="shared" ca="1" si="75"/>
        <v>0</v>
      </c>
      <c r="AM81" s="300">
        <f t="shared" ca="1" si="76"/>
        <v>2</v>
      </c>
      <c r="AN81" s="300">
        <f t="shared" ca="1" si="77"/>
        <v>0</v>
      </c>
      <c r="AO81" s="300">
        <f t="shared" ca="1" si="78"/>
        <v>0</v>
      </c>
      <c r="AP81" s="300">
        <f t="shared" ca="1" si="79"/>
        <v>2</v>
      </c>
    </row>
    <row r="82" spans="2:42" ht="21">
      <c r="B82" s="297">
        <f t="shared" ca="1" si="47"/>
        <v>41871</v>
      </c>
      <c r="C82" s="298">
        <f ca="1">COUNTIFS('Defect Dump'!$R$3:$R$10000,$B82,'Defect Dump'!$I$3:$I$10000,"Blocker")</f>
        <v>0</v>
      </c>
      <c r="D82" s="298">
        <f ca="1">COUNTIFS('Defect Dump'!$R$3:$R$10000,$B82,'Defect Dump'!$I$3:$I$10000,"Critical")</f>
        <v>0</v>
      </c>
      <c r="E82" s="298">
        <f ca="1">COUNTIFS('Defect Dump'!$R$3:$R$10000,$B82,'Defect Dump'!$I$3:$I$10000,"Major")</f>
        <v>0</v>
      </c>
      <c r="F82" s="298">
        <f ca="1">COUNTIFS('Defect Dump'!$R$3:$R$10000,$B82,'Defect Dump'!$I$3:$I$10000,"Minor")+COUNTIFS('Defect Dump'!$R$3:$R$10000,$B82,'Defect Dump'!$I$3:$I$10000,"Trivial")</f>
        <v>0</v>
      </c>
      <c r="G82" s="298">
        <f t="shared" ca="1" si="48"/>
        <v>0</v>
      </c>
      <c r="H82" s="299" t="b">
        <f t="shared" ca="1" si="49"/>
        <v>1</v>
      </c>
      <c r="I82" s="299" t="b">
        <f t="shared" ca="1" si="50"/>
        <v>1</v>
      </c>
      <c r="J82" s="299" t="b">
        <f t="shared" ca="1" si="51"/>
        <v>1</v>
      </c>
      <c r="K82" s="299" t="b">
        <f t="shared" ca="1" si="52"/>
        <v>1</v>
      </c>
      <c r="L82" s="299" t="b">
        <f t="shared" ca="1" si="53"/>
        <v>1</v>
      </c>
      <c r="M82" s="299" t="b">
        <f t="shared" ca="1" si="54"/>
        <v>1</v>
      </c>
      <c r="N82" s="299" t="b">
        <f t="shared" ca="1" si="55"/>
        <v>1</v>
      </c>
      <c r="O82" s="297">
        <f t="shared" ca="1" si="56"/>
        <v>41871</v>
      </c>
      <c r="P82" s="298">
        <f ca="1">COUNTIFS('Defect Dump'!$S$3:$S$10000,$B82,'Defect Dump'!$H$3:$H$10000,"Closed",'Defect Dump'!$I$3:$I$10000,"Blocker")</f>
        <v>0</v>
      </c>
      <c r="Q82" s="298">
        <f ca="1">COUNTIFS('Defect Dump'!$S$3:$S$10000,$B82,'Defect Dump'!$H$3:$H$10000,"Closed",'Defect Dump'!$I$3:$I$10000,"Critical")</f>
        <v>1</v>
      </c>
      <c r="R82" s="298">
        <f ca="1">COUNTIFS('Defect Dump'!$S$3:$S$10000,$B82,'Defect Dump'!$H$3:$H$10000,"Closed",'Defect Dump'!$I$3:$I$10000,"Major")</f>
        <v>0</v>
      </c>
      <c r="S82" s="298">
        <f ca="1">COUNTIFS('Defect Dump'!$S$3:$S$10000,$B82,'Defect Dump'!$H$3:$H$10000,"Closed",'Defect Dump'!$I$3:$I$10000,"Minor")+COUNTIFS('Defect Dump'!$S$3:$S$10000,$B82,'Defect Dump'!$H$3:$H$10000,"Closed",'Defect Dump'!$I$3:$I$10000,"Trivial")</f>
        <v>0</v>
      </c>
      <c r="T82" s="298">
        <f t="shared" ca="1" si="57"/>
        <v>1</v>
      </c>
      <c r="U82" s="299" t="b">
        <f t="shared" ca="1" si="58"/>
        <v>1</v>
      </c>
      <c r="V82" s="299" t="b">
        <f t="shared" ca="1" si="59"/>
        <v>1</v>
      </c>
      <c r="W82" s="299" t="b">
        <f t="shared" ca="1" si="60"/>
        <v>1</v>
      </c>
      <c r="X82" s="299" t="b">
        <f t="shared" ca="1" si="61"/>
        <v>1</v>
      </c>
      <c r="Y82" s="299" t="b">
        <f t="shared" ca="1" si="62"/>
        <v>1</v>
      </c>
      <c r="Z82" s="299" t="b">
        <f t="shared" ca="1" si="63"/>
        <v>1</v>
      </c>
      <c r="AA82" s="297">
        <f t="shared" ca="1" si="64"/>
        <v>41871</v>
      </c>
      <c r="AB82" s="300">
        <f t="shared" ca="1" si="65"/>
        <v>0</v>
      </c>
      <c r="AC82" s="300">
        <f t="shared" ca="1" si="66"/>
        <v>1078</v>
      </c>
      <c r="AD82" s="300">
        <f t="shared" ca="1" si="67"/>
        <v>1</v>
      </c>
      <c r="AE82" s="300">
        <f t="shared" ca="1" si="68"/>
        <v>341</v>
      </c>
      <c r="AF82" s="300">
        <f t="shared" ca="1" si="69"/>
        <v>737</v>
      </c>
      <c r="AG82" s="300">
        <f t="shared" ca="1" si="70"/>
        <v>0</v>
      </c>
      <c r="AH82" s="300">
        <f t="shared" ca="1" si="71"/>
        <v>0</v>
      </c>
      <c r="AI82" s="300">
        <f t="shared" ca="1" si="72"/>
        <v>0</v>
      </c>
      <c r="AJ82" s="300">
        <f t="shared" ca="1" si="73"/>
        <v>0</v>
      </c>
      <c r="AK82" s="300">
        <f t="shared" ca="1" si="74"/>
        <v>0</v>
      </c>
      <c r="AL82" s="300">
        <f t="shared" ca="1" si="75"/>
        <v>0</v>
      </c>
      <c r="AM82" s="300">
        <f t="shared" ca="1" si="76"/>
        <v>1</v>
      </c>
      <c r="AN82" s="300">
        <f t="shared" ca="1" si="77"/>
        <v>0</v>
      </c>
      <c r="AO82" s="300">
        <f t="shared" ca="1" si="78"/>
        <v>0</v>
      </c>
      <c r="AP82" s="300">
        <f t="shared" ca="1" si="79"/>
        <v>1</v>
      </c>
    </row>
    <row r="83" spans="2:42" ht="21">
      <c r="B83" s="297">
        <f t="shared" ca="1" si="47"/>
        <v>41872</v>
      </c>
      <c r="C83" s="298">
        <f ca="1">COUNTIFS('Defect Dump'!$R$3:$R$10000,$B83,'Defect Dump'!$I$3:$I$10000,"Blocker")</f>
        <v>0</v>
      </c>
      <c r="D83" s="298">
        <f ca="1">COUNTIFS('Defect Dump'!$R$3:$R$10000,$B83,'Defect Dump'!$I$3:$I$10000,"Critical")</f>
        <v>0</v>
      </c>
      <c r="E83" s="298">
        <f ca="1">COUNTIFS('Defect Dump'!$R$3:$R$10000,$B83,'Defect Dump'!$I$3:$I$10000,"Major")</f>
        <v>0</v>
      </c>
      <c r="F83" s="298">
        <f ca="1">COUNTIFS('Defect Dump'!$R$3:$R$10000,$B83,'Defect Dump'!$I$3:$I$10000,"Minor")+COUNTIFS('Defect Dump'!$R$3:$R$10000,$B83,'Defect Dump'!$I$3:$I$10000,"Trivial")</f>
        <v>0</v>
      </c>
      <c r="G83" s="298">
        <f t="shared" ca="1" si="48"/>
        <v>0</v>
      </c>
      <c r="H83" s="299" t="b">
        <f t="shared" ca="1" si="49"/>
        <v>1</v>
      </c>
      <c r="I83" s="299" t="b">
        <f t="shared" ca="1" si="50"/>
        <v>1</v>
      </c>
      <c r="J83" s="299" t="b">
        <f t="shared" ca="1" si="51"/>
        <v>1</v>
      </c>
      <c r="K83" s="299" t="b">
        <f t="shared" ca="1" si="52"/>
        <v>1</v>
      </c>
      <c r="L83" s="299" t="b">
        <f t="shared" ca="1" si="53"/>
        <v>1</v>
      </c>
      <c r="M83" s="299" t="b">
        <f t="shared" ca="1" si="54"/>
        <v>1</v>
      </c>
      <c r="N83" s="299" t="b">
        <f t="shared" ca="1" si="55"/>
        <v>1</v>
      </c>
      <c r="O83" s="297">
        <f t="shared" ca="1" si="56"/>
        <v>41872</v>
      </c>
      <c r="P83" s="298">
        <f ca="1">COUNTIFS('Defect Dump'!$S$3:$S$10000,$B83,'Defect Dump'!$H$3:$H$10000,"Closed",'Defect Dump'!$I$3:$I$10000,"Blocker")</f>
        <v>0</v>
      </c>
      <c r="Q83" s="298">
        <f ca="1">COUNTIFS('Defect Dump'!$S$3:$S$10000,$B83,'Defect Dump'!$H$3:$H$10000,"Closed",'Defect Dump'!$I$3:$I$10000,"Critical")</f>
        <v>0</v>
      </c>
      <c r="R83" s="298">
        <f ca="1">COUNTIFS('Defect Dump'!$S$3:$S$10000,$B83,'Defect Dump'!$H$3:$H$10000,"Closed",'Defect Dump'!$I$3:$I$10000,"Major")</f>
        <v>0</v>
      </c>
      <c r="S83" s="298">
        <f ca="1">COUNTIFS('Defect Dump'!$S$3:$S$10000,$B83,'Defect Dump'!$H$3:$H$10000,"Closed",'Defect Dump'!$I$3:$I$10000,"Minor")+COUNTIFS('Defect Dump'!$S$3:$S$10000,$B83,'Defect Dump'!$H$3:$H$10000,"Closed",'Defect Dump'!$I$3:$I$10000,"Trivial")</f>
        <v>0</v>
      </c>
      <c r="T83" s="298">
        <f t="shared" ca="1" si="57"/>
        <v>0</v>
      </c>
      <c r="U83" s="299" t="b">
        <f t="shared" ca="1" si="58"/>
        <v>1</v>
      </c>
      <c r="V83" s="299" t="b">
        <f t="shared" ca="1" si="59"/>
        <v>1</v>
      </c>
      <c r="W83" s="299" t="b">
        <f t="shared" ca="1" si="60"/>
        <v>1</v>
      </c>
      <c r="X83" s="299" t="b">
        <f t="shared" ca="1" si="61"/>
        <v>1</v>
      </c>
      <c r="Y83" s="299" t="b">
        <f t="shared" ca="1" si="62"/>
        <v>1</v>
      </c>
      <c r="Z83" s="299" t="b">
        <f t="shared" ca="1" si="63"/>
        <v>1</v>
      </c>
      <c r="AA83" s="297">
        <f t="shared" ca="1" si="64"/>
        <v>41872</v>
      </c>
      <c r="AB83" s="300">
        <f t="shared" ca="1" si="65"/>
        <v>0</v>
      </c>
      <c r="AC83" s="300">
        <f t="shared" ca="1" si="66"/>
        <v>1078</v>
      </c>
      <c r="AD83" s="300">
        <f t="shared" ca="1" si="67"/>
        <v>0</v>
      </c>
      <c r="AE83" s="300">
        <f t="shared" ca="1" si="68"/>
        <v>341</v>
      </c>
      <c r="AF83" s="300">
        <f t="shared" ca="1" si="69"/>
        <v>737</v>
      </c>
      <c r="AG83" s="300">
        <f t="shared" ca="1" si="70"/>
        <v>0</v>
      </c>
      <c r="AH83" s="300">
        <f t="shared" ca="1" si="71"/>
        <v>0</v>
      </c>
      <c r="AI83" s="300">
        <f t="shared" ca="1" si="72"/>
        <v>0</v>
      </c>
      <c r="AJ83" s="300">
        <f t="shared" ca="1" si="73"/>
        <v>0</v>
      </c>
      <c r="AK83" s="300">
        <f t="shared" ca="1" si="74"/>
        <v>0</v>
      </c>
      <c r="AL83" s="300">
        <f t="shared" ca="1" si="75"/>
        <v>0</v>
      </c>
      <c r="AM83" s="300">
        <f t="shared" ca="1" si="76"/>
        <v>0</v>
      </c>
      <c r="AN83" s="300">
        <f t="shared" ca="1" si="77"/>
        <v>0</v>
      </c>
      <c r="AO83" s="300">
        <f t="shared" ca="1" si="78"/>
        <v>0</v>
      </c>
      <c r="AP83" s="300">
        <f t="shared" ca="1" si="79"/>
        <v>0</v>
      </c>
    </row>
    <row r="84" spans="2:42" ht="21">
      <c r="B84" s="297">
        <f t="shared" ca="1" si="47"/>
        <v>41873</v>
      </c>
      <c r="C84" s="298">
        <f ca="1">COUNTIFS('Defect Dump'!$R$3:$R$10000,$B84,'Defect Dump'!$I$3:$I$10000,"Blocker")</f>
        <v>0</v>
      </c>
      <c r="D84" s="298">
        <f ca="1">COUNTIFS('Defect Dump'!$R$3:$R$10000,$B84,'Defect Dump'!$I$3:$I$10000,"Critical")</f>
        <v>0</v>
      </c>
      <c r="E84" s="298">
        <f ca="1">COUNTIFS('Defect Dump'!$R$3:$R$10000,$B84,'Defect Dump'!$I$3:$I$10000,"Major")</f>
        <v>0</v>
      </c>
      <c r="F84" s="298">
        <f ca="1">COUNTIFS('Defect Dump'!$R$3:$R$10000,$B84,'Defect Dump'!$I$3:$I$10000,"Minor")+COUNTIFS('Defect Dump'!$R$3:$R$10000,$B84,'Defect Dump'!$I$3:$I$10000,"Trivial")</f>
        <v>0</v>
      </c>
      <c r="G84" s="298">
        <f t="shared" ca="1" si="48"/>
        <v>0</v>
      </c>
      <c r="H84" s="299" t="b">
        <f t="shared" ca="1" si="49"/>
        <v>1</v>
      </c>
      <c r="I84" s="299" t="b">
        <f t="shared" ca="1" si="50"/>
        <v>1</v>
      </c>
      <c r="J84" s="299" t="b">
        <f t="shared" ca="1" si="51"/>
        <v>1</v>
      </c>
      <c r="K84" s="299" t="b">
        <f t="shared" ca="1" si="52"/>
        <v>1</v>
      </c>
      <c r="L84" s="299" t="b">
        <f t="shared" ca="1" si="53"/>
        <v>1</v>
      </c>
      <c r="M84" s="299" t="b">
        <f t="shared" ca="1" si="54"/>
        <v>1</v>
      </c>
      <c r="N84" s="299" t="b">
        <f t="shared" ca="1" si="55"/>
        <v>1</v>
      </c>
      <c r="O84" s="297">
        <f t="shared" ca="1" si="56"/>
        <v>41873</v>
      </c>
      <c r="P84" s="298">
        <f ca="1">COUNTIFS('Defect Dump'!$S$3:$S$10000,$B84,'Defect Dump'!$H$3:$H$10000,"Closed",'Defect Dump'!$I$3:$I$10000,"Blocker")</f>
        <v>0</v>
      </c>
      <c r="Q84" s="298">
        <f ca="1">COUNTIFS('Defect Dump'!$S$3:$S$10000,$B84,'Defect Dump'!$H$3:$H$10000,"Closed",'Defect Dump'!$I$3:$I$10000,"Critical")</f>
        <v>0</v>
      </c>
      <c r="R84" s="298">
        <f ca="1">COUNTIFS('Defect Dump'!$S$3:$S$10000,$B84,'Defect Dump'!$H$3:$H$10000,"Closed",'Defect Dump'!$I$3:$I$10000,"Major")</f>
        <v>0</v>
      </c>
      <c r="S84" s="298">
        <f ca="1">COUNTIFS('Defect Dump'!$S$3:$S$10000,$B84,'Defect Dump'!$H$3:$H$10000,"Closed",'Defect Dump'!$I$3:$I$10000,"Minor")+COUNTIFS('Defect Dump'!$S$3:$S$10000,$B84,'Defect Dump'!$H$3:$H$10000,"Closed",'Defect Dump'!$I$3:$I$10000,"Trivial")</f>
        <v>0</v>
      </c>
      <c r="T84" s="298">
        <f t="shared" ca="1" si="57"/>
        <v>0</v>
      </c>
      <c r="U84" s="299" t="b">
        <f t="shared" ca="1" si="58"/>
        <v>1</v>
      </c>
      <c r="V84" s="299" t="b">
        <f t="shared" ca="1" si="59"/>
        <v>1</v>
      </c>
      <c r="W84" s="299" t="b">
        <f t="shared" ca="1" si="60"/>
        <v>1</v>
      </c>
      <c r="X84" s="299" t="b">
        <f t="shared" ca="1" si="61"/>
        <v>1</v>
      </c>
      <c r="Y84" s="299" t="b">
        <f t="shared" ca="1" si="62"/>
        <v>1</v>
      </c>
      <c r="Z84" s="299" t="b">
        <f t="shared" ca="1" si="63"/>
        <v>1</v>
      </c>
      <c r="AA84" s="297">
        <f t="shared" ca="1" si="64"/>
        <v>41873</v>
      </c>
      <c r="AB84" s="300">
        <f t="shared" ca="1" si="65"/>
        <v>0</v>
      </c>
      <c r="AC84" s="300">
        <f t="shared" ca="1" si="66"/>
        <v>1078</v>
      </c>
      <c r="AD84" s="300">
        <f t="shared" ca="1" si="67"/>
        <v>0</v>
      </c>
      <c r="AE84" s="300">
        <f t="shared" ca="1" si="68"/>
        <v>341</v>
      </c>
      <c r="AF84" s="300">
        <f t="shared" ca="1" si="69"/>
        <v>737</v>
      </c>
      <c r="AG84" s="300">
        <f t="shared" ca="1" si="70"/>
        <v>0</v>
      </c>
      <c r="AH84" s="300">
        <f t="shared" ca="1" si="71"/>
        <v>0</v>
      </c>
      <c r="AI84" s="300">
        <f t="shared" ca="1" si="72"/>
        <v>0</v>
      </c>
      <c r="AJ84" s="300">
        <f t="shared" ca="1" si="73"/>
        <v>0</v>
      </c>
      <c r="AK84" s="300">
        <f t="shared" ca="1" si="74"/>
        <v>0</v>
      </c>
      <c r="AL84" s="300">
        <f t="shared" ca="1" si="75"/>
        <v>0</v>
      </c>
      <c r="AM84" s="300">
        <f t="shared" ca="1" si="76"/>
        <v>0</v>
      </c>
      <c r="AN84" s="300">
        <f t="shared" ca="1" si="77"/>
        <v>0</v>
      </c>
      <c r="AO84" s="300">
        <f t="shared" ca="1" si="78"/>
        <v>0</v>
      </c>
      <c r="AP84" s="300">
        <f t="shared" ca="1" si="79"/>
        <v>0</v>
      </c>
    </row>
    <row r="85" spans="2:42" ht="21">
      <c r="B85" s="297">
        <f t="shared" ca="1" si="47"/>
        <v>41874</v>
      </c>
      <c r="C85" s="298">
        <f ca="1">COUNTIFS('Defect Dump'!$R$3:$R$10000,$B85,'Defect Dump'!$I$3:$I$10000,"Blocker")</f>
        <v>0</v>
      </c>
      <c r="D85" s="298">
        <f ca="1">COUNTIFS('Defect Dump'!$R$3:$R$10000,$B85,'Defect Dump'!$I$3:$I$10000,"Critical")</f>
        <v>2</v>
      </c>
      <c r="E85" s="298">
        <f ca="1">COUNTIFS('Defect Dump'!$R$3:$R$10000,$B85,'Defect Dump'!$I$3:$I$10000,"Major")</f>
        <v>1</v>
      </c>
      <c r="F85" s="298">
        <f ca="1">COUNTIFS('Defect Dump'!$R$3:$R$10000,$B85,'Defect Dump'!$I$3:$I$10000,"Minor")+COUNTIFS('Defect Dump'!$R$3:$R$10000,$B85,'Defect Dump'!$I$3:$I$10000,"Trivial")</f>
        <v>0</v>
      </c>
      <c r="G85" s="298">
        <f t="shared" ca="1" si="48"/>
        <v>3</v>
      </c>
      <c r="H85" s="299" t="b">
        <f t="shared" ca="1" si="49"/>
        <v>1</v>
      </c>
      <c r="I85" s="299" t="b">
        <f t="shared" ca="1" si="50"/>
        <v>1</v>
      </c>
      <c r="J85" s="299" t="b">
        <f t="shared" ca="1" si="51"/>
        <v>1</v>
      </c>
      <c r="K85" s="299" t="b">
        <f t="shared" ca="1" si="52"/>
        <v>1</v>
      </c>
      <c r="L85" s="299" t="b">
        <f t="shared" ca="1" si="53"/>
        <v>1</v>
      </c>
      <c r="M85" s="299" t="b">
        <f t="shared" ca="1" si="54"/>
        <v>1</v>
      </c>
      <c r="N85" s="299" t="b">
        <f t="shared" ca="1" si="55"/>
        <v>1</v>
      </c>
      <c r="O85" s="297">
        <f t="shared" ca="1" si="56"/>
        <v>41874</v>
      </c>
      <c r="P85" s="298">
        <f ca="1">COUNTIFS('Defect Dump'!$S$3:$S$10000,$B85,'Defect Dump'!$H$3:$H$10000,"Closed",'Defect Dump'!$I$3:$I$10000,"Blocker")</f>
        <v>0</v>
      </c>
      <c r="Q85" s="298">
        <f ca="1">COUNTIFS('Defect Dump'!$S$3:$S$10000,$B85,'Defect Dump'!$H$3:$H$10000,"Closed",'Defect Dump'!$I$3:$I$10000,"Critical")</f>
        <v>0</v>
      </c>
      <c r="R85" s="298">
        <f ca="1">COUNTIFS('Defect Dump'!$S$3:$S$10000,$B85,'Defect Dump'!$H$3:$H$10000,"Closed",'Defect Dump'!$I$3:$I$10000,"Major")</f>
        <v>1</v>
      </c>
      <c r="S85" s="298">
        <f ca="1">COUNTIFS('Defect Dump'!$S$3:$S$10000,$B85,'Defect Dump'!$H$3:$H$10000,"Closed",'Defect Dump'!$I$3:$I$10000,"Minor")+COUNTIFS('Defect Dump'!$S$3:$S$10000,$B85,'Defect Dump'!$H$3:$H$10000,"Closed",'Defect Dump'!$I$3:$I$10000,"Trivial")</f>
        <v>0</v>
      </c>
      <c r="T85" s="298">
        <f t="shared" ca="1" si="57"/>
        <v>1</v>
      </c>
      <c r="U85" s="299" t="b">
        <f t="shared" ca="1" si="58"/>
        <v>1</v>
      </c>
      <c r="V85" s="299" t="b">
        <f t="shared" ca="1" si="59"/>
        <v>1</v>
      </c>
      <c r="W85" s="299" t="b">
        <f t="shared" ca="1" si="60"/>
        <v>1</v>
      </c>
      <c r="X85" s="299" t="b">
        <f t="shared" ca="1" si="61"/>
        <v>1</v>
      </c>
      <c r="Y85" s="299" t="b">
        <f t="shared" ca="1" si="62"/>
        <v>1</v>
      </c>
      <c r="Z85" s="299" t="b">
        <f t="shared" ca="1" si="63"/>
        <v>1</v>
      </c>
      <c r="AA85" s="297">
        <f t="shared" ca="1" si="64"/>
        <v>41874</v>
      </c>
      <c r="AB85" s="300">
        <f t="shared" ca="1" si="65"/>
        <v>3</v>
      </c>
      <c r="AC85" s="300">
        <f t="shared" ca="1" si="66"/>
        <v>1081</v>
      </c>
      <c r="AD85" s="300">
        <f t="shared" ca="1" si="67"/>
        <v>1</v>
      </c>
      <c r="AE85" s="300">
        <f t="shared" ca="1" si="68"/>
        <v>342</v>
      </c>
      <c r="AF85" s="300">
        <f t="shared" ca="1" si="69"/>
        <v>739</v>
      </c>
      <c r="AG85" s="300">
        <f t="shared" ca="1" si="70"/>
        <v>0</v>
      </c>
      <c r="AH85" s="300">
        <f t="shared" ca="1" si="71"/>
        <v>2</v>
      </c>
      <c r="AI85" s="300">
        <f t="shared" ca="1" si="72"/>
        <v>1</v>
      </c>
      <c r="AJ85" s="300">
        <f t="shared" ca="1" si="73"/>
        <v>0</v>
      </c>
      <c r="AK85" s="300">
        <f t="shared" ca="1" si="74"/>
        <v>3</v>
      </c>
      <c r="AL85" s="300">
        <f t="shared" ca="1" si="75"/>
        <v>0</v>
      </c>
      <c r="AM85" s="300">
        <f t="shared" ca="1" si="76"/>
        <v>0</v>
      </c>
      <c r="AN85" s="300">
        <f t="shared" ca="1" si="77"/>
        <v>1</v>
      </c>
      <c r="AO85" s="300">
        <f t="shared" ca="1" si="78"/>
        <v>0</v>
      </c>
      <c r="AP85" s="300">
        <f t="shared" ca="1" si="79"/>
        <v>1</v>
      </c>
    </row>
    <row r="86" spans="2:42" ht="21">
      <c r="B86" s="297">
        <f t="shared" ca="1" si="47"/>
        <v>41875</v>
      </c>
      <c r="C86" s="298">
        <f ca="1">COUNTIFS('Defect Dump'!$R$3:$R$10000,$B86,'Defect Dump'!$I$3:$I$10000,"Blocker")</f>
        <v>2</v>
      </c>
      <c r="D86" s="298">
        <f ca="1">COUNTIFS('Defect Dump'!$R$3:$R$10000,$B86,'Defect Dump'!$I$3:$I$10000,"Critical")</f>
        <v>1</v>
      </c>
      <c r="E86" s="298">
        <f ca="1">COUNTIFS('Defect Dump'!$R$3:$R$10000,$B86,'Defect Dump'!$I$3:$I$10000,"Major")</f>
        <v>0</v>
      </c>
      <c r="F86" s="298">
        <f ca="1">COUNTIFS('Defect Dump'!$R$3:$R$10000,$B86,'Defect Dump'!$I$3:$I$10000,"Minor")+COUNTIFS('Defect Dump'!$R$3:$R$10000,$B86,'Defect Dump'!$I$3:$I$10000,"Trivial")</f>
        <v>1</v>
      </c>
      <c r="G86" s="298">
        <f t="shared" ca="1" si="48"/>
        <v>4</v>
      </c>
      <c r="H86" s="299" t="b">
        <f t="shared" ca="1" si="49"/>
        <v>1</v>
      </c>
      <c r="I86" s="299" t="b">
        <f t="shared" ca="1" si="50"/>
        <v>1</v>
      </c>
      <c r="J86" s="299" t="b">
        <f t="shared" ca="1" si="51"/>
        <v>1</v>
      </c>
      <c r="K86" s="299" t="b">
        <f t="shared" ca="1" si="52"/>
        <v>1</v>
      </c>
      <c r="L86" s="299" t="b">
        <f t="shared" ca="1" si="53"/>
        <v>1</v>
      </c>
      <c r="M86" s="299" t="b">
        <f t="shared" ca="1" si="54"/>
        <v>1</v>
      </c>
      <c r="N86" s="299" t="b">
        <f t="shared" ca="1" si="55"/>
        <v>1</v>
      </c>
      <c r="O86" s="297">
        <f t="shared" ca="1" si="56"/>
        <v>41875</v>
      </c>
      <c r="P86" s="298">
        <f ca="1">COUNTIFS('Defect Dump'!$S$3:$S$10000,$B86,'Defect Dump'!$H$3:$H$10000,"Closed",'Defect Dump'!$I$3:$I$10000,"Blocker")</f>
        <v>0</v>
      </c>
      <c r="Q86" s="298">
        <f ca="1">COUNTIFS('Defect Dump'!$S$3:$S$10000,$B86,'Defect Dump'!$H$3:$H$10000,"Closed",'Defect Dump'!$I$3:$I$10000,"Critical")</f>
        <v>0</v>
      </c>
      <c r="R86" s="298">
        <f ca="1">COUNTIFS('Defect Dump'!$S$3:$S$10000,$B86,'Defect Dump'!$H$3:$H$10000,"Closed",'Defect Dump'!$I$3:$I$10000,"Major")</f>
        <v>0</v>
      </c>
      <c r="S86" s="298">
        <f ca="1">COUNTIFS('Defect Dump'!$S$3:$S$10000,$B86,'Defect Dump'!$H$3:$H$10000,"Closed",'Defect Dump'!$I$3:$I$10000,"Minor")+COUNTIFS('Defect Dump'!$S$3:$S$10000,$B86,'Defect Dump'!$H$3:$H$10000,"Closed",'Defect Dump'!$I$3:$I$10000,"Trivial")</f>
        <v>0</v>
      </c>
      <c r="T86" s="298">
        <f t="shared" ca="1" si="57"/>
        <v>0</v>
      </c>
      <c r="U86" s="299" t="b">
        <f t="shared" ca="1" si="58"/>
        <v>1</v>
      </c>
      <c r="V86" s="299" t="b">
        <f t="shared" ca="1" si="59"/>
        <v>1</v>
      </c>
      <c r="W86" s="299" t="b">
        <f t="shared" ca="1" si="60"/>
        <v>1</v>
      </c>
      <c r="X86" s="299" t="b">
        <f t="shared" ca="1" si="61"/>
        <v>1</v>
      </c>
      <c r="Y86" s="299" t="b">
        <f t="shared" ca="1" si="62"/>
        <v>1</v>
      </c>
      <c r="Z86" s="299" t="b">
        <f t="shared" ca="1" si="63"/>
        <v>1</v>
      </c>
      <c r="AA86" s="297">
        <f t="shared" ca="1" si="64"/>
        <v>41875</v>
      </c>
      <c r="AB86" s="300">
        <f t="shared" ca="1" si="65"/>
        <v>4</v>
      </c>
      <c r="AC86" s="300">
        <f t="shared" ca="1" si="66"/>
        <v>1085</v>
      </c>
      <c r="AD86" s="300">
        <f t="shared" ca="1" si="67"/>
        <v>0</v>
      </c>
      <c r="AE86" s="300">
        <f t="shared" ca="1" si="68"/>
        <v>342</v>
      </c>
      <c r="AF86" s="300">
        <f t="shared" ca="1" si="69"/>
        <v>743</v>
      </c>
      <c r="AG86" s="300">
        <f t="shared" ca="1" si="70"/>
        <v>2</v>
      </c>
      <c r="AH86" s="300">
        <f t="shared" ca="1" si="71"/>
        <v>1</v>
      </c>
      <c r="AI86" s="300">
        <f t="shared" ca="1" si="72"/>
        <v>0</v>
      </c>
      <c r="AJ86" s="300">
        <f t="shared" ca="1" si="73"/>
        <v>1</v>
      </c>
      <c r="AK86" s="300">
        <f t="shared" ca="1" si="74"/>
        <v>4</v>
      </c>
      <c r="AL86" s="300">
        <f t="shared" ca="1" si="75"/>
        <v>0</v>
      </c>
      <c r="AM86" s="300">
        <f t="shared" ca="1" si="76"/>
        <v>0</v>
      </c>
      <c r="AN86" s="300">
        <f t="shared" ca="1" si="77"/>
        <v>0</v>
      </c>
      <c r="AO86" s="300">
        <f t="shared" ca="1" si="78"/>
        <v>0</v>
      </c>
      <c r="AP86" s="300">
        <f t="shared" ca="1" si="79"/>
        <v>0</v>
      </c>
    </row>
    <row r="87" spans="2:42" ht="21">
      <c r="B87" s="297">
        <f t="shared" ca="1" si="47"/>
        <v>41876</v>
      </c>
      <c r="C87" s="298">
        <f ca="1">COUNTIFS('Defect Dump'!$R$3:$R$10000,$B87,'Defect Dump'!$I$3:$I$10000,"Blocker")</f>
        <v>1</v>
      </c>
      <c r="D87" s="298">
        <f ca="1">COUNTIFS('Defect Dump'!$R$3:$R$10000,$B87,'Defect Dump'!$I$3:$I$10000,"Critical")</f>
        <v>1</v>
      </c>
      <c r="E87" s="298">
        <f ca="1">COUNTIFS('Defect Dump'!$R$3:$R$10000,$B87,'Defect Dump'!$I$3:$I$10000,"Major")</f>
        <v>0</v>
      </c>
      <c r="F87" s="298">
        <f ca="1">COUNTIFS('Defect Dump'!$R$3:$R$10000,$B87,'Defect Dump'!$I$3:$I$10000,"Minor")+COUNTIFS('Defect Dump'!$R$3:$R$10000,$B87,'Defect Dump'!$I$3:$I$10000,"Trivial")</f>
        <v>0</v>
      </c>
      <c r="G87" s="298">
        <f t="shared" ca="1" si="48"/>
        <v>2</v>
      </c>
      <c r="H87" s="299" t="b">
        <f t="shared" ca="1" si="49"/>
        <v>1</v>
      </c>
      <c r="I87" s="299" t="b">
        <f t="shared" ca="1" si="50"/>
        <v>1</v>
      </c>
      <c r="J87" s="299" t="b">
        <f t="shared" ca="1" si="51"/>
        <v>1</v>
      </c>
      <c r="K87" s="299" t="b">
        <f t="shared" ca="1" si="52"/>
        <v>1</v>
      </c>
      <c r="L87" s="299" t="b">
        <f t="shared" ca="1" si="53"/>
        <v>1</v>
      </c>
      <c r="M87" s="299" t="b">
        <f t="shared" ca="1" si="54"/>
        <v>1</v>
      </c>
      <c r="N87" s="299" t="b">
        <f t="shared" ca="1" si="55"/>
        <v>1</v>
      </c>
      <c r="O87" s="297">
        <f t="shared" ca="1" si="56"/>
        <v>41876</v>
      </c>
      <c r="P87" s="298">
        <f ca="1">COUNTIFS('Defect Dump'!$S$3:$S$10000,$B87,'Defect Dump'!$H$3:$H$10000,"Closed",'Defect Dump'!$I$3:$I$10000,"Blocker")</f>
        <v>0</v>
      </c>
      <c r="Q87" s="298">
        <f ca="1">COUNTIFS('Defect Dump'!$S$3:$S$10000,$B87,'Defect Dump'!$H$3:$H$10000,"Closed",'Defect Dump'!$I$3:$I$10000,"Critical")</f>
        <v>0</v>
      </c>
      <c r="R87" s="298">
        <f ca="1">COUNTIFS('Defect Dump'!$S$3:$S$10000,$B87,'Defect Dump'!$H$3:$H$10000,"Closed",'Defect Dump'!$I$3:$I$10000,"Major")</f>
        <v>0</v>
      </c>
      <c r="S87" s="298">
        <f ca="1">COUNTIFS('Defect Dump'!$S$3:$S$10000,$B87,'Defect Dump'!$H$3:$H$10000,"Closed",'Defect Dump'!$I$3:$I$10000,"Minor")+COUNTIFS('Defect Dump'!$S$3:$S$10000,$B87,'Defect Dump'!$H$3:$H$10000,"Closed",'Defect Dump'!$I$3:$I$10000,"Trivial")</f>
        <v>0</v>
      </c>
      <c r="T87" s="298">
        <f t="shared" ca="1" si="57"/>
        <v>0</v>
      </c>
      <c r="U87" s="299" t="b">
        <f t="shared" ca="1" si="58"/>
        <v>1</v>
      </c>
      <c r="V87" s="299" t="b">
        <f t="shared" ca="1" si="59"/>
        <v>1</v>
      </c>
      <c r="W87" s="299" t="b">
        <f t="shared" ca="1" si="60"/>
        <v>1</v>
      </c>
      <c r="X87" s="299" t="b">
        <f t="shared" ca="1" si="61"/>
        <v>1</v>
      </c>
      <c r="Y87" s="299" t="b">
        <f t="shared" ca="1" si="62"/>
        <v>1</v>
      </c>
      <c r="Z87" s="299" t="b">
        <f t="shared" ca="1" si="63"/>
        <v>1</v>
      </c>
      <c r="AA87" s="297">
        <f t="shared" ca="1" si="64"/>
        <v>41876</v>
      </c>
      <c r="AB87" s="300">
        <f t="shared" ca="1" si="65"/>
        <v>2</v>
      </c>
      <c r="AC87" s="300">
        <f t="shared" ca="1" si="66"/>
        <v>1087</v>
      </c>
      <c r="AD87" s="300">
        <f t="shared" ca="1" si="67"/>
        <v>0</v>
      </c>
      <c r="AE87" s="300">
        <f t="shared" ca="1" si="68"/>
        <v>342</v>
      </c>
      <c r="AF87" s="300">
        <f t="shared" ca="1" si="69"/>
        <v>745</v>
      </c>
      <c r="AG87" s="300">
        <f t="shared" ca="1" si="70"/>
        <v>1</v>
      </c>
      <c r="AH87" s="300">
        <f t="shared" ca="1" si="71"/>
        <v>1</v>
      </c>
      <c r="AI87" s="300">
        <f t="shared" ca="1" si="72"/>
        <v>0</v>
      </c>
      <c r="AJ87" s="300">
        <f t="shared" ca="1" si="73"/>
        <v>0</v>
      </c>
      <c r="AK87" s="300">
        <f t="shared" ca="1" si="74"/>
        <v>2</v>
      </c>
      <c r="AL87" s="300">
        <f t="shared" ca="1" si="75"/>
        <v>0</v>
      </c>
      <c r="AM87" s="300">
        <f t="shared" ca="1" si="76"/>
        <v>0</v>
      </c>
      <c r="AN87" s="300">
        <f t="shared" ca="1" si="77"/>
        <v>0</v>
      </c>
      <c r="AO87" s="300">
        <f t="shared" ca="1" si="78"/>
        <v>0</v>
      </c>
      <c r="AP87" s="300">
        <f t="shared" ca="1" si="79"/>
        <v>0</v>
      </c>
    </row>
  </sheetData>
  <sheetProtection password="E8C1" sheet="1" objects="1" scenarios="1"/>
  <mergeCells count="5">
    <mergeCell ref="B5:N5"/>
    <mergeCell ref="O5:AA5"/>
    <mergeCell ref="AB5:AF5"/>
    <mergeCell ref="AG5:AK5"/>
    <mergeCell ref="AL5:AP5"/>
  </mergeCells>
  <conditionalFormatting sqref="A1:XFD4">
    <cfRule type="cellIs" dxfId="21" priority="18" operator="equal">
      <formula>TRUE</formula>
    </cfRule>
  </conditionalFormatting>
  <conditionalFormatting sqref="B6:AP6">
    <cfRule type="cellIs" dxfId="20" priority="8" operator="equal">
      <formula>TRUE</formula>
    </cfRule>
  </conditionalFormatting>
  <conditionalFormatting sqref="H7:H87">
    <cfRule type="cellIs" dxfId="19" priority="7" operator="equal">
      <formula>TRUE</formula>
    </cfRule>
  </conditionalFormatting>
  <conditionalFormatting sqref="I7:N87">
    <cfRule type="cellIs" dxfId="18" priority="6" operator="equal">
      <formula>TRUE</formula>
    </cfRule>
  </conditionalFormatting>
  <conditionalFormatting sqref="U7:U87">
    <cfRule type="cellIs" dxfId="17" priority="5" operator="equal">
      <formula>TRUE</formula>
    </cfRule>
  </conditionalFormatting>
  <conditionalFormatting sqref="V7:Z87">
    <cfRule type="cellIs" dxfId="16" priority="4" operator="equal">
      <formula>TRUE</formula>
    </cfRule>
  </conditionalFormatting>
  <conditionalFormatting sqref="B5">
    <cfRule type="cellIs" dxfId="15" priority="3" operator="equal">
      <formula>TRUE</formula>
    </cfRule>
  </conditionalFormatting>
  <conditionalFormatting sqref="O5">
    <cfRule type="cellIs" dxfId="14" priority="2" operator="equal">
      <formula>TRUE</formula>
    </cfRule>
  </conditionalFormatting>
  <conditionalFormatting sqref="AB5">
    <cfRule type="cellIs" dxfId="13" priority="1" operator="equal">
      <formula>TRUE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>
    <tabColor indexed="50"/>
  </sheetPr>
  <dimension ref="A1:L2188"/>
  <sheetViews>
    <sheetView topLeftCell="C1" zoomScaleNormal="100" workbookViewId="0">
      <pane ySplit="1" topLeftCell="A2" activePane="bottomLeft" state="frozen"/>
      <selection pane="bottomLeft" activeCell="G1" sqref="G1"/>
    </sheetView>
  </sheetViews>
  <sheetFormatPr defaultRowHeight="11.25"/>
  <cols>
    <col min="1" max="1" width="9.28515625" style="18" customWidth="1"/>
    <col min="2" max="2" width="11.42578125" style="20" bestFit="1" customWidth="1"/>
    <col min="3" max="3" width="9.42578125" style="100" customWidth="1"/>
    <col min="4" max="4" width="39.140625" style="18" customWidth="1"/>
    <col min="5" max="5" width="11" style="19" bestFit="1" customWidth="1"/>
    <col min="6" max="6" width="11.85546875" style="21" hidden="1" customWidth="1"/>
    <col min="7" max="7" width="13.7109375" style="64" bestFit="1" customWidth="1"/>
    <col min="8" max="8" width="12.85546875" style="64" bestFit="1" customWidth="1"/>
    <col min="9" max="9" width="13.7109375" style="64" bestFit="1" customWidth="1"/>
    <col min="10" max="10" width="10.85546875" style="18" bestFit="1" customWidth="1"/>
    <col min="11" max="11" width="13.28515625" style="30" bestFit="1" customWidth="1"/>
    <col min="12" max="12" width="9.140625" style="30"/>
    <col min="13" max="16384" width="9.140625" style="3"/>
  </cols>
  <sheetData>
    <row r="1" spans="1:12" s="33" customFormat="1" ht="24.75" customHeight="1">
      <c r="A1" s="101" t="s">
        <v>142</v>
      </c>
      <c r="B1" s="101" t="s">
        <v>143</v>
      </c>
      <c r="C1" s="102" t="s">
        <v>144</v>
      </c>
      <c r="D1" s="101" t="s">
        <v>15</v>
      </c>
      <c r="E1" s="101" t="s">
        <v>145</v>
      </c>
      <c r="F1" s="101" t="s">
        <v>146</v>
      </c>
      <c r="G1" s="101" t="s">
        <v>147</v>
      </c>
      <c r="H1" s="101" t="s">
        <v>148</v>
      </c>
      <c r="I1" s="101" t="s">
        <v>149</v>
      </c>
      <c r="J1" s="103" t="s">
        <v>150</v>
      </c>
      <c r="K1" s="32"/>
      <c r="L1" s="32"/>
    </row>
    <row r="2" spans="1:12" ht="38.25">
      <c r="A2" s="104" t="s">
        <v>189</v>
      </c>
      <c r="B2" s="106" t="s">
        <v>190</v>
      </c>
      <c r="C2" s="105" t="s">
        <v>193</v>
      </c>
      <c r="D2" s="105" t="s">
        <v>195</v>
      </c>
      <c r="E2" s="62" t="s">
        <v>407</v>
      </c>
      <c r="F2" s="62"/>
      <c r="G2" s="63">
        <f ca="1">RANDBETWEEN(TODAY()-10, TODAY())</f>
        <v>44100</v>
      </c>
      <c r="H2" s="63">
        <f t="shared" ref="H2:I17" ca="1" si="0">RANDBETWEEN(TODAY()-10, TODAY())</f>
        <v>44097</v>
      </c>
      <c r="I2" s="63">
        <f t="shared" ca="1" si="0"/>
        <v>44097</v>
      </c>
      <c r="J2" s="40" t="s">
        <v>10</v>
      </c>
    </row>
    <row r="3" spans="1:12" ht="38.25">
      <c r="A3" s="104" t="s">
        <v>189</v>
      </c>
      <c r="B3" s="106" t="s">
        <v>190</v>
      </c>
      <c r="C3" s="105" t="s">
        <v>193</v>
      </c>
      <c r="D3" s="105" t="s">
        <v>196</v>
      </c>
      <c r="E3" s="62" t="s">
        <v>408</v>
      </c>
      <c r="F3" s="62"/>
      <c r="G3" s="63">
        <f t="shared" ref="G3:I34" ca="1" si="1">RANDBETWEEN(TODAY()-10, TODAY())</f>
        <v>44103</v>
      </c>
      <c r="H3" s="63">
        <f t="shared" ca="1" si="0"/>
        <v>44095</v>
      </c>
      <c r="I3" s="63">
        <f t="shared" ca="1" si="0"/>
        <v>44099</v>
      </c>
      <c r="J3" s="40"/>
    </row>
    <row r="4" spans="1:12" ht="25.5">
      <c r="A4" s="104" t="s">
        <v>189</v>
      </c>
      <c r="B4" s="106" t="s">
        <v>190</v>
      </c>
      <c r="C4" s="105" t="s">
        <v>193</v>
      </c>
      <c r="D4" s="105" t="s">
        <v>197</v>
      </c>
      <c r="E4" s="62" t="s">
        <v>407</v>
      </c>
      <c r="F4" s="62"/>
      <c r="G4" s="63">
        <f t="shared" ca="1" si="1"/>
        <v>44095</v>
      </c>
      <c r="H4" s="63">
        <f t="shared" ca="1" si="0"/>
        <v>44100</v>
      </c>
      <c r="I4" s="63">
        <f t="shared" ca="1" si="0"/>
        <v>44102</v>
      </c>
      <c r="J4" s="40"/>
    </row>
    <row r="5" spans="1:12" ht="25.5">
      <c r="A5" s="104" t="s">
        <v>189</v>
      </c>
      <c r="B5" s="106" t="s">
        <v>190</v>
      </c>
      <c r="C5" s="105" t="s">
        <v>193</v>
      </c>
      <c r="D5" s="105" t="s">
        <v>198</v>
      </c>
      <c r="E5" s="62" t="s">
        <v>408</v>
      </c>
      <c r="F5" s="62"/>
      <c r="G5" s="63">
        <f ca="1">RANDBETWEEN(TODAY()-4, TODAY())</f>
        <v>44103</v>
      </c>
      <c r="H5" s="63">
        <f t="shared" ref="H5:I5" ca="1" si="2">RANDBETWEEN(TODAY()-4, TODAY())</f>
        <v>44102</v>
      </c>
      <c r="I5" s="63">
        <f t="shared" ca="1" si="2"/>
        <v>44102</v>
      </c>
      <c r="J5" s="40"/>
    </row>
    <row r="6" spans="1:12" ht="25.5">
      <c r="A6" s="104" t="s">
        <v>189</v>
      </c>
      <c r="B6" s="106" t="s">
        <v>190</v>
      </c>
      <c r="C6" s="105" t="s">
        <v>193</v>
      </c>
      <c r="D6" s="105" t="s">
        <v>199</v>
      </c>
      <c r="E6" s="62" t="s">
        <v>407</v>
      </c>
      <c r="F6" s="62"/>
      <c r="G6" s="63">
        <f t="shared" ca="1" si="1"/>
        <v>44101</v>
      </c>
      <c r="H6" s="63">
        <f t="shared" ca="1" si="0"/>
        <v>44098</v>
      </c>
      <c r="I6" s="63">
        <f t="shared" ca="1" si="0"/>
        <v>44104</v>
      </c>
      <c r="J6" s="40" t="s">
        <v>62</v>
      </c>
    </row>
    <row r="7" spans="1:12" ht="38.25">
      <c r="A7" s="104" t="s">
        <v>189</v>
      </c>
      <c r="B7" s="106" t="s">
        <v>190</v>
      </c>
      <c r="C7" s="105" t="s">
        <v>193</v>
      </c>
      <c r="D7" s="105" t="s">
        <v>200</v>
      </c>
      <c r="E7" s="62" t="s">
        <v>408</v>
      </c>
      <c r="F7" s="62"/>
      <c r="G7" s="63">
        <f t="shared" ca="1" si="1"/>
        <v>44102</v>
      </c>
      <c r="H7" s="63">
        <f t="shared" ca="1" si="0"/>
        <v>44099</v>
      </c>
      <c r="I7" s="63">
        <f t="shared" ca="1" si="0"/>
        <v>44102</v>
      </c>
      <c r="J7" s="40" t="s">
        <v>62</v>
      </c>
    </row>
    <row r="8" spans="1:12" ht="25.5">
      <c r="A8" s="104" t="s">
        <v>189</v>
      </c>
      <c r="B8" s="106" t="s">
        <v>190</v>
      </c>
      <c r="C8" s="105" t="s">
        <v>136</v>
      </c>
      <c r="D8" s="105" t="s">
        <v>201</v>
      </c>
      <c r="E8" s="62" t="s">
        <v>407</v>
      </c>
      <c r="F8" s="62"/>
      <c r="G8" s="63">
        <f t="shared" ca="1" si="1"/>
        <v>44095</v>
      </c>
      <c r="H8" s="63">
        <f t="shared" ca="1" si="0"/>
        <v>44095</v>
      </c>
      <c r="I8" s="63">
        <f t="shared" ca="1" si="0"/>
        <v>44105</v>
      </c>
      <c r="J8" s="40" t="s">
        <v>62</v>
      </c>
    </row>
    <row r="9" spans="1:12" ht="25.5">
      <c r="A9" s="104" t="s">
        <v>189</v>
      </c>
      <c r="B9" s="106" t="s">
        <v>190</v>
      </c>
      <c r="C9" s="105" t="s">
        <v>136</v>
      </c>
      <c r="D9" s="105" t="s">
        <v>202</v>
      </c>
      <c r="E9" s="62" t="s">
        <v>408</v>
      </c>
      <c r="F9" s="62"/>
      <c r="G9" s="63">
        <f t="shared" ca="1" si="1"/>
        <v>44102</v>
      </c>
      <c r="H9" s="63">
        <f t="shared" ca="1" si="0"/>
        <v>44103</v>
      </c>
      <c r="I9" s="63">
        <f t="shared" ca="1" si="0"/>
        <v>44102</v>
      </c>
      <c r="J9" s="40" t="s">
        <v>62</v>
      </c>
    </row>
    <row r="10" spans="1:12" ht="25.5">
      <c r="A10" s="104" t="s">
        <v>189</v>
      </c>
      <c r="B10" s="106" t="s">
        <v>190</v>
      </c>
      <c r="C10" s="105" t="s">
        <v>136</v>
      </c>
      <c r="D10" s="105" t="s">
        <v>203</v>
      </c>
      <c r="E10" s="62" t="s">
        <v>407</v>
      </c>
      <c r="F10" s="62"/>
      <c r="G10" s="63">
        <f t="shared" ca="1" si="1"/>
        <v>44102</v>
      </c>
      <c r="H10" s="63">
        <f t="shared" ca="1" si="0"/>
        <v>44095</v>
      </c>
      <c r="I10" s="63">
        <f t="shared" ca="1" si="0"/>
        <v>44105</v>
      </c>
      <c r="J10" s="40"/>
    </row>
    <row r="11" spans="1:12" ht="38.25">
      <c r="A11" s="104" t="s">
        <v>189</v>
      </c>
      <c r="B11" s="106" t="s">
        <v>191</v>
      </c>
      <c r="C11" s="105" t="s">
        <v>136</v>
      </c>
      <c r="D11" s="105" t="s">
        <v>204</v>
      </c>
      <c r="E11" s="62" t="s">
        <v>408</v>
      </c>
      <c r="F11" s="62"/>
      <c r="G11" s="63">
        <f t="shared" ca="1" si="1"/>
        <v>44103</v>
      </c>
      <c r="H11" s="63">
        <f t="shared" ca="1" si="0"/>
        <v>44102</v>
      </c>
      <c r="I11" s="63">
        <f t="shared" ca="1" si="0"/>
        <v>44105</v>
      </c>
      <c r="J11" s="40" t="s">
        <v>10</v>
      </c>
    </row>
    <row r="12" spans="1:12" ht="38.25">
      <c r="A12" s="104" t="s">
        <v>189</v>
      </c>
      <c r="B12" s="106" t="s">
        <v>191</v>
      </c>
      <c r="C12" s="105" t="s">
        <v>136</v>
      </c>
      <c r="D12" s="105" t="s">
        <v>205</v>
      </c>
      <c r="E12" s="62" t="s">
        <v>407</v>
      </c>
      <c r="F12" s="62"/>
      <c r="G12" s="63">
        <f t="shared" ca="1" si="1"/>
        <v>44101</v>
      </c>
      <c r="H12" s="63">
        <f t="shared" ca="1" si="0"/>
        <v>44097</v>
      </c>
      <c r="I12" s="63">
        <f t="shared" ca="1" si="0"/>
        <v>44101</v>
      </c>
      <c r="J12" s="40" t="s">
        <v>10</v>
      </c>
    </row>
    <row r="13" spans="1:12" ht="38.25">
      <c r="A13" s="104" t="s">
        <v>189</v>
      </c>
      <c r="B13" s="106" t="s">
        <v>191</v>
      </c>
      <c r="C13" s="105" t="s">
        <v>136</v>
      </c>
      <c r="D13" s="105" t="s">
        <v>206</v>
      </c>
      <c r="E13" s="62" t="s">
        <v>408</v>
      </c>
      <c r="F13" s="62"/>
      <c r="G13" s="63">
        <f t="shared" ref="G13:I14" ca="1" si="3">RANDBETWEEN(TODAY()-4, TODAY())</f>
        <v>44105</v>
      </c>
      <c r="H13" s="63">
        <f t="shared" ca="1" si="3"/>
        <v>44101</v>
      </c>
      <c r="I13" s="63">
        <f t="shared" ca="1" si="3"/>
        <v>44103</v>
      </c>
      <c r="J13" s="40" t="s">
        <v>10</v>
      </c>
    </row>
    <row r="14" spans="1:12" ht="38.25">
      <c r="A14" s="104" t="s">
        <v>189</v>
      </c>
      <c r="B14" s="106" t="s">
        <v>190</v>
      </c>
      <c r="C14" s="105" t="s">
        <v>136</v>
      </c>
      <c r="D14" s="105" t="s">
        <v>207</v>
      </c>
      <c r="E14" s="62" t="s">
        <v>407</v>
      </c>
      <c r="F14" s="62"/>
      <c r="G14" s="63">
        <f t="shared" ca="1" si="3"/>
        <v>44105</v>
      </c>
      <c r="H14" s="63">
        <f t="shared" ca="1" si="3"/>
        <v>44105</v>
      </c>
      <c r="I14" s="63">
        <f t="shared" ca="1" si="3"/>
        <v>44103</v>
      </c>
      <c r="J14" s="40" t="s">
        <v>62</v>
      </c>
    </row>
    <row r="15" spans="1:12" ht="38.25">
      <c r="A15" s="104" t="s">
        <v>189</v>
      </c>
      <c r="B15" s="106" t="s">
        <v>190</v>
      </c>
      <c r="C15" s="105" t="s">
        <v>136</v>
      </c>
      <c r="D15" s="105" t="s">
        <v>208</v>
      </c>
      <c r="E15" s="62" t="s">
        <v>408</v>
      </c>
      <c r="F15" s="62"/>
      <c r="G15" s="63">
        <f t="shared" ca="1" si="1"/>
        <v>44097</v>
      </c>
      <c r="H15" s="63">
        <f t="shared" ca="1" si="0"/>
        <v>44097</v>
      </c>
      <c r="I15" s="63">
        <f t="shared" ca="1" si="0"/>
        <v>44098</v>
      </c>
      <c r="J15" s="40"/>
    </row>
    <row r="16" spans="1:12" ht="38.25">
      <c r="A16" s="104" t="s">
        <v>189</v>
      </c>
      <c r="B16" s="106" t="s">
        <v>190</v>
      </c>
      <c r="C16" s="105" t="s">
        <v>136</v>
      </c>
      <c r="D16" s="105" t="s">
        <v>209</v>
      </c>
      <c r="E16" s="62" t="s">
        <v>407</v>
      </c>
      <c r="F16" s="62"/>
      <c r="G16" s="63">
        <f t="shared" ca="1" si="1"/>
        <v>44103</v>
      </c>
      <c r="H16" s="63">
        <f t="shared" ca="1" si="0"/>
        <v>44098</v>
      </c>
      <c r="I16" s="63">
        <f t="shared" ca="1" si="0"/>
        <v>44099</v>
      </c>
      <c r="J16" s="40"/>
    </row>
    <row r="17" spans="1:10" ht="38.25">
      <c r="A17" s="104" t="s">
        <v>189</v>
      </c>
      <c r="B17" s="106" t="s">
        <v>190</v>
      </c>
      <c r="C17" s="105" t="s">
        <v>136</v>
      </c>
      <c r="D17" s="105" t="s">
        <v>210</v>
      </c>
      <c r="E17" s="62" t="s">
        <v>408</v>
      </c>
      <c r="F17" s="62"/>
      <c r="G17" s="63">
        <f t="shared" ca="1" si="1"/>
        <v>44104</v>
      </c>
      <c r="H17" s="63">
        <f t="shared" ca="1" si="0"/>
        <v>44095</v>
      </c>
      <c r="I17" s="63">
        <f t="shared" ca="1" si="0"/>
        <v>44105</v>
      </c>
      <c r="J17" s="40"/>
    </row>
    <row r="18" spans="1:10" ht="38.25">
      <c r="A18" s="104" t="s">
        <v>189</v>
      </c>
      <c r="B18" s="106" t="s">
        <v>190</v>
      </c>
      <c r="C18" s="105" t="s">
        <v>136</v>
      </c>
      <c r="D18" s="105" t="s">
        <v>211</v>
      </c>
      <c r="E18" s="62" t="s">
        <v>407</v>
      </c>
      <c r="F18" s="62"/>
      <c r="G18" s="63">
        <f t="shared" ca="1" si="1"/>
        <v>44101</v>
      </c>
      <c r="H18" s="63">
        <f t="shared" ca="1" si="1"/>
        <v>44101</v>
      </c>
      <c r="I18" s="63">
        <f t="shared" ca="1" si="1"/>
        <v>44104</v>
      </c>
      <c r="J18" s="40"/>
    </row>
    <row r="19" spans="1:10" ht="38.25">
      <c r="A19" s="104" t="s">
        <v>189</v>
      </c>
      <c r="B19" s="106" t="s">
        <v>190</v>
      </c>
      <c r="C19" s="105" t="s">
        <v>136</v>
      </c>
      <c r="D19" s="105" t="s">
        <v>212</v>
      </c>
      <c r="E19" s="62" t="s">
        <v>408</v>
      </c>
      <c r="F19" s="62"/>
      <c r="G19" s="63">
        <f t="shared" ca="1" si="1"/>
        <v>44099</v>
      </c>
      <c r="H19" s="63">
        <f t="shared" ca="1" si="1"/>
        <v>44097</v>
      </c>
      <c r="I19" s="63">
        <f t="shared" ca="1" si="1"/>
        <v>44098</v>
      </c>
      <c r="J19" s="40"/>
    </row>
    <row r="20" spans="1:10" ht="38.25">
      <c r="A20" s="104" t="s">
        <v>189</v>
      </c>
      <c r="B20" s="106" t="s">
        <v>190</v>
      </c>
      <c r="C20" s="105" t="s">
        <v>136</v>
      </c>
      <c r="D20" s="108" t="s">
        <v>213</v>
      </c>
      <c r="E20" s="62" t="s">
        <v>407</v>
      </c>
      <c r="F20" s="62"/>
      <c r="G20" s="63">
        <f t="shared" ca="1" si="1"/>
        <v>44096</v>
      </c>
      <c r="H20" s="63">
        <f t="shared" ca="1" si="1"/>
        <v>44099</v>
      </c>
      <c r="I20" s="63">
        <f t="shared" ca="1" si="1"/>
        <v>44100</v>
      </c>
      <c r="J20" s="40"/>
    </row>
    <row r="21" spans="1:10" ht="38.25">
      <c r="A21" s="104" t="s">
        <v>189</v>
      </c>
      <c r="B21" s="106" t="s">
        <v>190</v>
      </c>
      <c r="C21" s="105" t="s">
        <v>136</v>
      </c>
      <c r="D21" s="108" t="s">
        <v>214</v>
      </c>
      <c r="E21" s="62" t="s">
        <v>408</v>
      </c>
      <c r="F21" s="62"/>
      <c r="G21" s="63">
        <f t="shared" ca="1" si="1"/>
        <v>44104</v>
      </c>
      <c r="H21" s="63">
        <f t="shared" ca="1" si="1"/>
        <v>44097</v>
      </c>
      <c r="I21" s="63">
        <f t="shared" ca="1" si="1"/>
        <v>44103</v>
      </c>
      <c r="J21" s="40"/>
    </row>
    <row r="22" spans="1:10" ht="38.25">
      <c r="A22" s="104" t="s">
        <v>189</v>
      </c>
      <c r="B22" s="106" t="s">
        <v>190</v>
      </c>
      <c r="C22" s="105" t="s">
        <v>136</v>
      </c>
      <c r="D22" s="105" t="s">
        <v>215</v>
      </c>
      <c r="E22" s="62" t="s">
        <v>407</v>
      </c>
      <c r="F22" s="62"/>
      <c r="G22" s="63">
        <f t="shared" ca="1" si="1"/>
        <v>44098</v>
      </c>
      <c r="H22" s="63">
        <f t="shared" ca="1" si="1"/>
        <v>44102</v>
      </c>
      <c r="I22" s="63">
        <f t="shared" ca="1" si="1"/>
        <v>44104</v>
      </c>
      <c r="J22" s="40" t="s">
        <v>62</v>
      </c>
    </row>
    <row r="23" spans="1:10" ht="38.25">
      <c r="A23" s="104" t="s">
        <v>189</v>
      </c>
      <c r="B23" s="106" t="s">
        <v>190</v>
      </c>
      <c r="C23" s="105" t="s">
        <v>136</v>
      </c>
      <c r="D23" s="105" t="s">
        <v>216</v>
      </c>
      <c r="E23" s="62" t="s">
        <v>408</v>
      </c>
      <c r="F23" s="62"/>
      <c r="G23" s="63">
        <f t="shared" ca="1" si="1"/>
        <v>44096</v>
      </c>
      <c r="H23" s="63">
        <f t="shared" ca="1" si="1"/>
        <v>44097</v>
      </c>
      <c r="I23" s="63">
        <f t="shared" ca="1" si="1"/>
        <v>44104</v>
      </c>
      <c r="J23" s="40" t="s">
        <v>62</v>
      </c>
    </row>
    <row r="24" spans="1:10" ht="38.25">
      <c r="A24" s="104" t="s">
        <v>189</v>
      </c>
      <c r="B24" s="106" t="s">
        <v>190</v>
      </c>
      <c r="C24" s="105" t="s">
        <v>136</v>
      </c>
      <c r="D24" s="105" t="s">
        <v>217</v>
      </c>
      <c r="E24" s="62" t="s">
        <v>407</v>
      </c>
      <c r="F24" s="62"/>
      <c r="G24" s="63">
        <f t="shared" ca="1" si="1"/>
        <v>44104</v>
      </c>
      <c r="H24" s="63">
        <f t="shared" ca="1" si="1"/>
        <v>44100</v>
      </c>
      <c r="I24" s="63">
        <f t="shared" ca="1" si="1"/>
        <v>44099</v>
      </c>
      <c r="J24" s="40" t="s">
        <v>62</v>
      </c>
    </row>
    <row r="25" spans="1:10" ht="38.25">
      <c r="A25" s="104" t="s">
        <v>189</v>
      </c>
      <c r="B25" s="106" t="s">
        <v>190</v>
      </c>
      <c r="C25" s="105" t="s">
        <v>136</v>
      </c>
      <c r="D25" s="105" t="s">
        <v>218</v>
      </c>
      <c r="E25" s="62" t="s">
        <v>408</v>
      </c>
      <c r="F25" s="62"/>
      <c r="G25" s="63">
        <f t="shared" ca="1" si="1"/>
        <v>44096</v>
      </c>
      <c r="H25" s="63">
        <f t="shared" ca="1" si="1"/>
        <v>44096</v>
      </c>
      <c r="I25" s="63">
        <f t="shared" ca="1" si="1"/>
        <v>44103</v>
      </c>
      <c r="J25" s="40" t="s">
        <v>62</v>
      </c>
    </row>
    <row r="26" spans="1:10" ht="38.25">
      <c r="A26" s="104" t="s">
        <v>189</v>
      </c>
      <c r="B26" s="106" t="s">
        <v>190</v>
      </c>
      <c r="C26" s="105" t="s">
        <v>136</v>
      </c>
      <c r="D26" s="105" t="s">
        <v>219</v>
      </c>
      <c r="E26" s="62" t="s">
        <v>407</v>
      </c>
      <c r="F26" s="62"/>
      <c r="G26" s="63">
        <f t="shared" ca="1" si="1"/>
        <v>44103</v>
      </c>
      <c r="H26" s="63">
        <f t="shared" ca="1" si="1"/>
        <v>44096</v>
      </c>
      <c r="I26" s="63">
        <f t="shared" ca="1" si="1"/>
        <v>44101</v>
      </c>
      <c r="J26" s="40" t="s">
        <v>62</v>
      </c>
    </row>
    <row r="27" spans="1:10" ht="38.25">
      <c r="A27" s="104" t="s">
        <v>189</v>
      </c>
      <c r="B27" s="107" t="s">
        <v>190</v>
      </c>
      <c r="C27" s="105" t="s">
        <v>136</v>
      </c>
      <c r="D27" s="105" t="s">
        <v>220</v>
      </c>
      <c r="E27" s="62" t="s">
        <v>408</v>
      </c>
      <c r="F27" s="62"/>
      <c r="G27" s="63">
        <f t="shared" ca="1" si="1"/>
        <v>44096</v>
      </c>
      <c r="H27" s="63">
        <f t="shared" ca="1" si="1"/>
        <v>44097</v>
      </c>
      <c r="I27" s="63">
        <f t="shared" ca="1" si="1"/>
        <v>44101</v>
      </c>
      <c r="J27" s="40" t="s">
        <v>62</v>
      </c>
    </row>
    <row r="28" spans="1:10" ht="38.25">
      <c r="A28" s="104" t="s">
        <v>189</v>
      </c>
      <c r="B28" s="106" t="s">
        <v>190</v>
      </c>
      <c r="C28" s="105" t="s">
        <v>136</v>
      </c>
      <c r="D28" s="105" t="s">
        <v>221</v>
      </c>
      <c r="E28" s="62" t="s">
        <v>407</v>
      </c>
      <c r="F28" s="62"/>
      <c r="G28" s="63">
        <f t="shared" ca="1" si="1"/>
        <v>44102</v>
      </c>
      <c r="H28" s="63">
        <f t="shared" ca="1" si="1"/>
        <v>44102</v>
      </c>
      <c r="I28" s="63">
        <f t="shared" ca="1" si="1"/>
        <v>44101</v>
      </c>
      <c r="J28" s="40"/>
    </row>
    <row r="29" spans="1:10" ht="25.5">
      <c r="A29" s="104" t="s">
        <v>189</v>
      </c>
      <c r="B29" s="106" t="s">
        <v>192</v>
      </c>
      <c r="C29" s="105" t="s">
        <v>136</v>
      </c>
      <c r="D29" s="105" t="s">
        <v>222</v>
      </c>
      <c r="E29" s="62" t="s">
        <v>408</v>
      </c>
      <c r="F29" s="62"/>
      <c r="G29" s="63">
        <f t="shared" ca="1" si="1"/>
        <v>44100</v>
      </c>
      <c r="H29" s="63">
        <f t="shared" ca="1" si="1"/>
        <v>44103</v>
      </c>
      <c r="I29" s="63">
        <f t="shared" ca="1" si="1"/>
        <v>44096</v>
      </c>
      <c r="J29" s="40" t="s">
        <v>62</v>
      </c>
    </row>
    <row r="30" spans="1:10" ht="38.25">
      <c r="A30" s="104" t="s">
        <v>189</v>
      </c>
      <c r="B30" s="106" t="s">
        <v>192</v>
      </c>
      <c r="C30" s="105" t="s">
        <v>136</v>
      </c>
      <c r="D30" s="105" t="s">
        <v>223</v>
      </c>
      <c r="E30" s="62" t="s">
        <v>407</v>
      </c>
      <c r="F30" s="62"/>
      <c r="G30" s="63">
        <f ca="1">RANDBETWEEN(TODAY()-4, TODAY())</f>
        <v>44105</v>
      </c>
      <c r="H30" s="63">
        <f t="shared" ref="H30:I30" ca="1" si="4">RANDBETWEEN(TODAY()-4, TODAY())</f>
        <v>44103</v>
      </c>
      <c r="I30" s="63">
        <f t="shared" ca="1" si="4"/>
        <v>44101</v>
      </c>
      <c r="J30" s="40" t="s">
        <v>10</v>
      </c>
    </row>
    <row r="31" spans="1:10" ht="25.5">
      <c r="A31" s="104" t="s">
        <v>189</v>
      </c>
      <c r="B31" s="106" t="s">
        <v>190</v>
      </c>
      <c r="C31" s="105" t="s">
        <v>194</v>
      </c>
      <c r="D31" s="105" t="s">
        <v>224</v>
      </c>
      <c r="E31" s="62" t="s">
        <v>408</v>
      </c>
      <c r="F31" s="62"/>
      <c r="G31" s="63">
        <f t="shared" ca="1" si="1"/>
        <v>44103</v>
      </c>
      <c r="H31" s="63">
        <f t="shared" ca="1" si="1"/>
        <v>44102</v>
      </c>
      <c r="I31" s="63">
        <f t="shared" ca="1" si="1"/>
        <v>44102</v>
      </c>
      <c r="J31" s="40"/>
    </row>
    <row r="32" spans="1:10" ht="25.5">
      <c r="A32" s="104" t="s">
        <v>189</v>
      </c>
      <c r="B32" s="106" t="s">
        <v>190</v>
      </c>
      <c r="C32" s="105" t="s">
        <v>194</v>
      </c>
      <c r="D32" s="105" t="s">
        <v>225</v>
      </c>
      <c r="E32" s="62" t="s">
        <v>407</v>
      </c>
      <c r="F32" s="62"/>
      <c r="G32" s="63">
        <f t="shared" ca="1" si="1"/>
        <v>44102</v>
      </c>
      <c r="H32" s="63">
        <f t="shared" ca="1" si="1"/>
        <v>44101</v>
      </c>
      <c r="I32" s="63">
        <f t="shared" ca="1" si="1"/>
        <v>44103</v>
      </c>
      <c r="J32" s="40"/>
    </row>
    <row r="33" spans="1:10" ht="25.5">
      <c r="A33" s="104" t="s">
        <v>189</v>
      </c>
      <c r="B33" s="106" t="s">
        <v>190</v>
      </c>
      <c r="C33" s="105" t="s">
        <v>194</v>
      </c>
      <c r="D33" s="108" t="s">
        <v>226</v>
      </c>
      <c r="E33" s="62" t="s">
        <v>408</v>
      </c>
      <c r="F33" s="62"/>
      <c r="G33" s="63">
        <f t="shared" ca="1" si="1"/>
        <v>44100</v>
      </c>
      <c r="H33" s="63">
        <f t="shared" ca="1" si="1"/>
        <v>44104</v>
      </c>
      <c r="I33" s="63">
        <f t="shared" ca="1" si="1"/>
        <v>44096</v>
      </c>
      <c r="J33" s="40"/>
    </row>
    <row r="34" spans="1:10" ht="38.25">
      <c r="A34" s="104" t="s">
        <v>189</v>
      </c>
      <c r="B34" s="106" t="s">
        <v>190</v>
      </c>
      <c r="C34" s="105" t="s">
        <v>194</v>
      </c>
      <c r="D34" s="105" t="s">
        <v>227</v>
      </c>
      <c r="E34" s="62" t="s">
        <v>407</v>
      </c>
      <c r="G34" s="63">
        <f t="shared" ca="1" si="1"/>
        <v>44099</v>
      </c>
      <c r="H34" s="63">
        <f t="shared" ca="1" si="1"/>
        <v>44104</v>
      </c>
      <c r="I34" s="63">
        <f t="shared" ca="1" si="1"/>
        <v>44101</v>
      </c>
      <c r="J34" s="40"/>
    </row>
    <row r="35" spans="1:10" ht="25.5">
      <c r="A35" s="104" t="s">
        <v>189</v>
      </c>
      <c r="B35" s="106" t="s">
        <v>190</v>
      </c>
      <c r="C35" s="105" t="s">
        <v>194</v>
      </c>
      <c r="D35" s="105" t="s">
        <v>228</v>
      </c>
      <c r="E35" s="62" t="s">
        <v>408</v>
      </c>
      <c r="G35" s="63">
        <f ca="1">RANDBETWEEN(TODAY()-4, TODAY())</f>
        <v>44103</v>
      </c>
      <c r="H35" s="63">
        <f t="shared" ref="H35:I35" ca="1" si="5">RANDBETWEEN(TODAY()-4, TODAY())</f>
        <v>44103</v>
      </c>
      <c r="I35" s="63">
        <f t="shared" ca="1" si="5"/>
        <v>44104</v>
      </c>
      <c r="J35" s="40"/>
    </row>
    <row r="36" spans="1:10" ht="38.25">
      <c r="A36" s="104" t="s">
        <v>189</v>
      </c>
      <c r="B36" s="106" t="s">
        <v>190</v>
      </c>
      <c r="C36" s="105" t="s">
        <v>194</v>
      </c>
      <c r="D36" s="105" t="s">
        <v>229</v>
      </c>
      <c r="E36" s="62" t="s">
        <v>407</v>
      </c>
      <c r="G36" s="63">
        <f t="shared" ref="G36:I66" ca="1" si="6">RANDBETWEEN(TODAY()-10, TODAY())</f>
        <v>44097</v>
      </c>
      <c r="H36" s="63">
        <f t="shared" ca="1" si="6"/>
        <v>44105</v>
      </c>
      <c r="I36" s="63">
        <f t="shared" ca="1" si="6"/>
        <v>44105</v>
      </c>
      <c r="J36" s="40"/>
    </row>
    <row r="37" spans="1:10" ht="38.25">
      <c r="A37" s="104" t="s">
        <v>189</v>
      </c>
      <c r="B37" s="106" t="s">
        <v>190</v>
      </c>
      <c r="C37" s="105" t="s">
        <v>194</v>
      </c>
      <c r="D37" s="105" t="s">
        <v>230</v>
      </c>
      <c r="E37" s="62" t="s">
        <v>408</v>
      </c>
      <c r="G37" s="63">
        <f t="shared" ca="1" si="6"/>
        <v>44099</v>
      </c>
      <c r="H37" s="63">
        <f t="shared" ca="1" si="6"/>
        <v>44103</v>
      </c>
      <c r="I37" s="63">
        <f t="shared" ca="1" si="6"/>
        <v>44103</v>
      </c>
      <c r="J37" s="40"/>
    </row>
    <row r="38" spans="1:10" ht="38.25">
      <c r="A38" s="109" t="s">
        <v>151</v>
      </c>
      <c r="B38" s="110" t="s">
        <v>152</v>
      </c>
      <c r="C38" s="111" t="s">
        <v>193</v>
      </c>
      <c r="D38" s="105" t="s">
        <v>237</v>
      </c>
      <c r="E38" s="62" t="s">
        <v>407</v>
      </c>
      <c r="G38" s="63">
        <f t="shared" ca="1" si="6"/>
        <v>44103</v>
      </c>
      <c r="H38" s="63">
        <f t="shared" ca="1" si="6"/>
        <v>44103</v>
      </c>
      <c r="I38" s="63">
        <f t="shared" ca="1" si="6"/>
        <v>44101</v>
      </c>
      <c r="J38" s="40"/>
    </row>
    <row r="39" spans="1:10" ht="38.25">
      <c r="A39" s="109" t="s">
        <v>151</v>
      </c>
      <c r="B39" s="110" t="s">
        <v>152</v>
      </c>
      <c r="C39" s="111" t="s">
        <v>193</v>
      </c>
      <c r="D39" s="108" t="s">
        <v>238</v>
      </c>
      <c r="E39" s="62" t="s">
        <v>408</v>
      </c>
      <c r="G39" s="63">
        <f t="shared" ca="1" si="6"/>
        <v>44100</v>
      </c>
      <c r="H39" s="63">
        <f t="shared" ca="1" si="6"/>
        <v>44099</v>
      </c>
      <c r="I39" s="63">
        <f t="shared" ca="1" si="6"/>
        <v>44097</v>
      </c>
      <c r="J39" s="40"/>
    </row>
    <row r="40" spans="1:10" ht="38.25">
      <c r="A40" s="109" t="s">
        <v>151</v>
      </c>
      <c r="B40" s="110" t="s">
        <v>231</v>
      </c>
      <c r="C40" s="111" t="s">
        <v>193</v>
      </c>
      <c r="D40" s="105" t="s">
        <v>239</v>
      </c>
      <c r="E40" s="62" t="s">
        <v>407</v>
      </c>
      <c r="G40" s="63">
        <f ca="1">RANDBETWEEN(TODAY()-4, TODAY())</f>
        <v>44105</v>
      </c>
      <c r="H40" s="63">
        <f t="shared" ref="H40:I40" ca="1" si="7">RANDBETWEEN(TODAY()-4, TODAY())</f>
        <v>44105</v>
      </c>
      <c r="I40" s="63">
        <f t="shared" ca="1" si="7"/>
        <v>44104</v>
      </c>
      <c r="J40" s="40"/>
    </row>
    <row r="41" spans="1:10" ht="38.25">
      <c r="A41" s="109" t="s">
        <v>151</v>
      </c>
      <c r="B41" s="110" t="s">
        <v>231</v>
      </c>
      <c r="C41" s="111" t="s">
        <v>193</v>
      </c>
      <c r="D41" s="105" t="s">
        <v>240</v>
      </c>
      <c r="E41" s="62" t="s">
        <v>408</v>
      </c>
      <c r="G41" s="63">
        <f t="shared" ca="1" si="6"/>
        <v>44104</v>
      </c>
      <c r="H41" s="63">
        <f t="shared" ca="1" si="6"/>
        <v>44098</v>
      </c>
      <c r="I41" s="63">
        <f t="shared" ca="1" si="6"/>
        <v>44100</v>
      </c>
      <c r="J41" s="40"/>
    </row>
    <row r="42" spans="1:10" ht="25.5">
      <c r="A42" s="109" t="s">
        <v>151</v>
      </c>
      <c r="B42" s="110" t="s">
        <v>152</v>
      </c>
      <c r="C42" s="111" t="s">
        <v>193</v>
      </c>
      <c r="D42" s="105" t="s">
        <v>241</v>
      </c>
      <c r="E42" s="62" t="s">
        <v>407</v>
      </c>
      <c r="G42" s="63">
        <f ca="1">RANDBETWEEN(TODAY()-4, TODAY())</f>
        <v>44105</v>
      </c>
      <c r="H42" s="63">
        <f t="shared" ref="H42:I42" ca="1" si="8">RANDBETWEEN(TODAY()-4, TODAY())</f>
        <v>44105</v>
      </c>
      <c r="I42" s="63">
        <f t="shared" ca="1" si="8"/>
        <v>44102</v>
      </c>
      <c r="J42" s="40"/>
    </row>
    <row r="43" spans="1:10" ht="25.5">
      <c r="A43" s="109" t="s">
        <v>151</v>
      </c>
      <c r="B43" s="110" t="s">
        <v>232</v>
      </c>
      <c r="C43" s="111" t="s">
        <v>193</v>
      </c>
      <c r="D43" s="105" t="s">
        <v>242</v>
      </c>
      <c r="E43" s="62" t="s">
        <v>408</v>
      </c>
      <c r="G43" s="63">
        <f t="shared" ca="1" si="6"/>
        <v>44102</v>
      </c>
      <c r="H43" s="63">
        <f t="shared" ca="1" si="6"/>
        <v>44104</v>
      </c>
      <c r="I43" s="63">
        <f t="shared" ca="1" si="6"/>
        <v>44099</v>
      </c>
      <c r="J43" s="40"/>
    </row>
    <row r="44" spans="1:10" ht="38.25">
      <c r="A44" s="109" t="s">
        <v>151</v>
      </c>
      <c r="B44" s="106" t="s">
        <v>233</v>
      </c>
      <c r="C44" s="111" t="s">
        <v>136</v>
      </c>
      <c r="D44" s="105" t="s">
        <v>243</v>
      </c>
      <c r="E44" s="62" t="s">
        <v>407</v>
      </c>
      <c r="G44" s="63">
        <f t="shared" ca="1" si="6"/>
        <v>44102</v>
      </c>
      <c r="H44" s="63">
        <f t="shared" ca="1" si="6"/>
        <v>44101</v>
      </c>
      <c r="I44" s="63">
        <f t="shared" ca="1" si="6"/>
        <v>44099</v>
      </c>
      <c r="J44" s="40"/>
    </row>
    <row r="45" spans="1:10" ht="25.5">
      <c r="A45" s="109" t="s">
        <v>151</v>
      </c>
      <c r="B45" s="106" t="s">
        <v>233</v>
      </c>
      <c r="C45" s="112" t="s">
        <v>136</v>
      </c>
      <c r="D45" s="108" t="s">
        <v>244</v>
      </c>
      <c r="E45" s="62" t="s">
        <v>408</v>
      </c>
      <c r="G45" s="63">
        <f t="shared" ca="1" si="6"/>
        <v>44100</v>
      </c>
      <c r="H45" s="63">
        <f t="shared" ca="1" si="6"/>
        <v>44099</v>
      </c>
      <c r="I45" s="63">
        <f t="shared" ca="1" si="6"/>
        <v>44101</v>
      </c>
      <c r="J45" s="40" t="s">
        <v>0</v>
      </c>
    </row>
    <row r="46" spans="1:10" ht="38.25">
      <c r="A46" s="109" t="s">
        <v>151</v>
      </c>
      <c r="B46" s="110" t="s">
        <v>153</v>
      </c>
      <c r="C46" s="112" t="s">
        <v>136</v>
      </c>
      <c r="D46" s="108" t="s">
        <v>245</v>
      </c>
      <c r="E46" s="62" t="s">
        <v>407</v>
      </c>
      <c r="G46" s="63">
        <f t="shared" ca="1" si="6"/>
        <v>44105</v>
      </c>
      <c r="H46" s="63">
        <f t="shared" ca="1" si="6"/>
        <v>44097</v>
      </c>
      <c r="I46" s="63">
        <f t="shared" ca="1" si="6"/>
        <v>44105</v>
      </c>
      <c r="J46" s="40"/>
    </row>
    <row r="47" spans="1:10" ht="38.25">
      <c r="A47" s="109" t="s">
        <v>151</v>
      </c>
      <c r="B47" s="110" t="s">
        <v>153</v>
      </c>
      <c r="C47" s="112" t="s">
        <v>136</v>
      </c>
      <c r="D47" s="108" t="s">
        <v>246</v>
      </c>
      <c r="E47" s="62" t="s">
        <v>408</v>
      </c>
      <c r="G47" s="63">
        <f t="shared" ref="G47:I48" ca="1" si="9">RANDBETWEEN(TODAY()-4, TODAY())</f>
        <v>44102</v>
      </c>
      <c r="H47" s="63">
        <f t="shared" ca="1" si="9"/>
        <v>44104</v>
      </c>
      <c r="I47" s="63">
        <f t="shared" ca="1" si="9"/>
        <v>44103</v>
      </c>
      <c r="J47" s="40"/>
    </row>
    <row r="48" spans="1:10" ht="25.5">
      <c r="A48" s="109" t="s">
        <v>151</v>
      </c>
      <c r="B48" s="106" t="s">
        <v>233</v>
      </c>
      <c r="C48" s="112" t="s">
        <v>136</v>
      </c>
      <c r="D48" s="108" t="s">
        <v>247</v>
      </c>
      <c r="E48" s="62" t="s">
        <v>407</v>
      </c>
      <c r="G48" s="63">
        <f t="shared" ca="1" si="9"/>
        <v>44104</v>
      </c>
      <c r="H48" s="63">
        <f t="shared" ca="1" si="9"/>
        <v>44101</v>
      </c>
      <c r="I48" s="63">
        <f t="shared" ca="1" si="9"/>
        <v>44101</v>
      </c>
      <c r="J48" s="40"/>
    </row>
    <row r="49" spans="1:10" ht="63.75">
      <c r="A49" s="109" t="s">
        <v>151</v>
      </c>
      <c r="B49" s="110" t="s">
        <v>153</v>
      </c>
      <c r="C49" s="112" t="s">
        <v>136</v>
      </c>
      <c r="D49" s="108" t="s">
        <v>248</v>
      </c>
      <c r="E49" s="62" t="s">
        <v>408</v>
      </c>
      <c r="G49" s="63">
        <f t="shared" ca="1" si="6"/>
        <v>44099</v>
      </c>
      <c r="H49" s="63">
        <f t="shared" ca="1" si="6"/>
        <v>44105</v>
      </c>
      <c r="I49" s="63">
        <f t="shared" ca="1" si="6"/>
        <v>44095</v>
      </c>
      <c r="J49" s="40"/>
    </row>
    <row r="50" spans="1:10" ht="38.25">
      <c r="A50" s="109" t="s">
        <v>151</v>
      </c>
      <c r="B50" s="110" t="s">
        <v>234</v>
      </c>
      <c r="C50" s="112" t="s">
        <v>136</v>
      </c>
      <c r="D50" s="108" t="s">
        <v>249</v>
      </c>
      <c r="E50" s="62" t="s">
        <v>407</v>
      </c>
      <c r="G50" s="63">
        <f ca="1">RANDBETWEEN(TODAY()-4, TODAY())</f>
        <v>44101</v>
      </c>
      <c r="H50" s="63">
        <f t="shared" ref="H50:I50" ca="1" si="10">RANDBETWEEN(TODAY()-4, TODAY())</f>
        <v>44101</v>
      </c>
      <c r="I50" s="63">
        <f t="shared" ca="1" si="10"/>
        <v>44104</v>
      </c>
      <c r="J50" s="40"/>
    </row>
    <row r="51" spans="1:10" ht="38.25">
      <c r="A51" s="109" t="s">
        <v>151</v>
      </c>
      <c r="B51" s="110" t="s">
        <v>234</v>
      </c>
      <c r="C51" s="112" t="s">
        <v>136</v>
      </c>
      <c r="D51" s="108" t="s">
        <v>250</v>
      </c>
      <c r="E51" s="62" t="s">
        <v>408</v>
      </c>
      <c r="G51" s="63">
        <f t="shared" ca="1" si="6"/>
        <v>44103</v>
      </c>
      <c r="H51" s="63">
        <f t="shared" ca="1" si="6"/>
        <v>44103</v>
      </c>
      <c r="I51" s="63">
        <f t="shared" ca="1" si="6"/>
        <v>44103</v>
      </c>
      <c r="J51" s="40"/>
    </row>
    <row r="52" spans="1:10" ht="25.5">
      <c r="A52" s="109" t="s">
        <v>151</v>
      </c>
      <c r="B52" s="110" t="s">
        <v>152</v>
      </c>
      <c r="C52" s="112" t="s">
        <v>136</v>
      </c>
      <c r="D52" s="108" t="s">
        <v>251</v>
      </c>
      <c r="E52" s="62" t="s">
        <v>407</v>
      </c>
      <c r="G52" s="63">
        <f t="shared" ca="1" si="6"/>
        <v>44099</v>
      </c>
      <c r="H52" s="63">
        <f t="shared" ca="1" si="6"/>
        <v>44100</v>
      </c>
      <c r="I52" s="63">
        <f t="shared" ca="1" si="6"/>
        <v>44105</v>
      </c>
      <c r="J52" s="40"/>
    </row>
    <row r="53" spans="1:10" ht="51">
      <c r="A53" s="109" t="s">
        <v>151</v>
      </c>
      <c r="B53" s="110" t="s">
        <v>152</v>
      </c>
      <c r="C53" s="112" t="s">
        <v>136</v>
      </c>
      <c r="D53" s="108" t="s">
        <v>252</v>
      </c>
      <c r="E53" s="62" t="s">
        <v>408</v>
      </c>
      <c r="G53" s="63">
        <f t="shared" ca="1" si="6"/>
        <v>44103</v>
      </c>
      <c r="H53" s="63">
        <f t="shared" ca="1" si="6"/>
        <v>44102</v>
      </c>
      <c r="I53" s="63">
        <f t="shared" ca="1" si="6"/>
        <v>44096</v>
      </c>
      <c r="J53" s="40"/>
    </row>
    <row r="54" spans="1:10" ht="38.25">
      <c r="A54" s="109" t="s">
        <v>151</v>
      </c>
      <c r="B54" s="110" t="s">
        <v>152</v>
      </c>
      <c r="C54" s="112" t="s">
        <v>136</v>
      </c>
      <c r="D54" s="108" t="s">
        <v>253</v>
      </c>
      <c r="E54" s="62" t="s">
        <v>407</v>
      </c>
      <c r="G54" s="63">
        <f t="shared" ca="1" si="6"/>
        <v>44104</v>
      </c>
      <c r="H54" s="63">
        <f t="shared" ca="1" si="6"/>
        <v>44095</v>
      </c>
      <c r="I54" s="63">
        <f t="shared" ca="1" si="6"/>
        <v>44097</v>
      </c>
      <c r="J54" s="40" t="s">
        <v>0</v>
      </c>
    </row>
    <row r="55" spans="1:10" ht="25.5">
      <c r="A55" s="109" t="s">
        <v>151</v>
      </c>
      <c r="B55" s="110" t="s">
        <v>231</v>
      </c>
      <c r="C55" s="112" t="s">
        <v>136</v>
      </c>
      <c r="D55" s="108" t="s">
        <v>254</v>
      </c>
      <c r="E55" s="62" t="s">
        <v>408</v>
      </c>
      <c r="G55" s="63">
        <f t="shared" ca="1" si="6"/>
        <v>44095</v>
      </c>
      <c r="H55" s="63">
        <f t="shared" ca="1" si="6"/>
        <v>44096</v>
      </c>
      <c r="I55" s="63">
        <f t="shared" ca="1" si="6"/>
        <v>44104</v>
      </c>
      <c r="J55" s="40"/>
    </row>
    <row r="56" spans="1:10" ht="25.5">
      <c r="A56" s="109" t="s">
        <v>151</v>
      </c>
      <c r="B56" s="110" t="s">
        <v>231</v>
      </c>
      <c r="C56" s="112" t="s">
        <v>136</v>
      </c>
      <c r="D56" s="108" t="s">
        <v>255</v>
      </c>
      <c r="E56" s="62" t="s">
        <v>407</v>
      </c>
      <c r="G56" s="63">
        <f t="shared" ca="1" si="6"/>
        <v>44103</v>
      </c>
      <c r="H56" s="63">
        <f t="shared" ca="1" si="6"/>
        <v>44105</v>
      </c>
      <c r="I56" s="63">
        <f t="shared" ca="1" si="6"/>
        <v>44104</v>
      </c>
      <c r="J56" s="40"/>
    </row>
    <row r="57" spans="1:10" ht="38.25">
      <c r="A57" s="109" t="s">
        <v>151</v>
      </c>
      <c r="B57" s="110" t="s">
        <v>231</v>
      </c>
      <c r="C57" s="112" t="s">
        <v>136</v>
      </c>
      <c r="D57" s="108" t="s">
        <v>256</v>
      </c>
      <c r="E57" s="62" t="s">
        <v>408</v>
      </c>
      <c r="G57" s="63">
        <f t="shared" ca="1" si="6"/>
        <v>44097</v>
      </c>
      <c r="H57" s="63">
        <f t="shared" ca="1" si="6"/>
        <v>44096</v>
      </c>
      <c r="I57" s="63">
        <f t="shared" ca="1" si="6"/>
        <v>44097</v>
      </c>
      <c r="J57" s="40"/>
    </row>
    <row r="58" spans="1:10" ht="38.25">
      <c r="A58" s="109" t="s">
        <v>151</v>
      </c>
      <c r="B58" s="110" t="s">
        <v>231</v>
      </c>
      <c r="C58" s="112" t="s">
        <v>136</v>
      </c>
      <c r="D58" s="108" t="s">
        <v>257</v>
      </c>
      <c r="E58" s="62" t="s">
        <v>407</v>
      </c>
      <c r="G58" s="63">
        <f t="shared" ca="1" si="6"/>
        <v>44095</v>
      </c>
      <c r="H58" s="63">
        <f t="shared" ca="1" si="6"/>
        <v>44105</v>
      </c>
      <c r="I58" s="63">
        <f t="shared" ca="1" si="6"/>
        <v>44098</v>
      </c>
      <c r="J58" s="40"/>
    </row>
    <row r="59" spans="1:10" ht="38.25">
      <c r="A59" s="109" t="s">
        <v>151</v>
      </c>
      <c r="B59" s="110" t="s">
        <v>231</v>
      </c>
      <c r="C59" s="112" t="s">
        <v>136</v>
      </c>
      <c r="D59" s="108" t="s">
        <v>258</v>
      </c>
      <c r="E59" s="62" t="s">
        <v>408</v>
      </c>
      <c r="G59" s="63">
        <f ca="1">RANDBETWEEN(TODAY()-4, TODAY())</f>
        <v>44105</v>
      </c>
      <c r="H59" s="63">
        <f t="shared" ref="H59:I59" ca="1" si="11">RANDBETWEEN(TODAY()-4, TODAY())</f>
        <v>44101</v>
      </c>
      <c r="I59" s="63">
        <f t="shared" ca="1" si="11"/>
        <v>44105</v>
      </c>
      <c r="J59" s="40"/>
    </row>
    <row r="60" spans="1:10" ht="25.5">
      <c r="A60" s="109" t="s">
        <v>151</v>
      </c>
      <c r="B60" s="110" t="s">
        <v>232</v>
      </c>
      <c r="C60" s="112" t="s">
        <v>136</v>
      </c>
      <c r="D60" s="108" t="s">
        <v>259</v>
      </c>
      <c r="E60" s="62" t="s">
        <v>407</v>
      </c>
      <c r="G60" s="63">
        <f t="shared" ca="1" si="6"/>
        <v>44098</v>
      </c>
      <c r="H60" s="63">
        <f t="shared" ca="1" si="6"/>
        <v>44100</v>
      </c>
      <c r="I60" s="63">
        <f t="shared" ca="1" si="6"/>
        <v>44100</v>
      </c>
      <c r="J60" s="40"/>
    </row>
    <row r="61" spans="1:10" ht="38.25">
      <c r="A61" s="109" t="s">
        <v>151</v>
      </c>
      <c r="B61" s="110" t="s">
        <v>235</v>
      </c>
      <c r="C61" s="112" t="s">
        <v>136</v>
      </c>
      <c r="D61" s="108" t="s">
        <v>260</v>
      </c>
      <c r="E61" s="62" t="s">
        <v>408</v>
      </c>
      <c r="G61" s="63">
        <f t="shared" ca="1" si="6"/>
        <v>44100</v>
      </c>
      <c r="H61" s="63">
        <f t="shared" ca="1" si="6"/>
        <v>44099</v>
      </c>
      <c r="I61" s="63">
        <f t="shared" ca="1" si="6"/>
        <v>44105</v>
      </c>
      <c r="J61" s="40"/>
    </row>
    <row r="62" spans="1:10" ht="38.25">
      <c r="A62" s="109" t="s">
        <v>151</v>
      </c>
      <c r="B62" s="110" t="s">
        <v>235</v>
      </c>
      <c r="C62" s="112" t="s">
        <v>136</v>
      </c>
      <c r="D62" s="108" t="s">
        <v>261</v>
      </c>
      <c r="E62" s="62" t="s">
        <v>407</v>
      </c>
      <c r="G62" s="63">
        <f t="shared" ca="1" si="6"/>
        <v>44101</v>
      </c>
      <c r="H62" s="63">
        <f t="shared" ca="1" si="6"/>
        <v>44104</v>
      </c>
      <c r="I62" s="63">
        <f t="shared" ca="1" si="6"/>
        <v>44096</v>
      </c>
      <c r="J62" s="40"/>
    </row>
    <row r="63" spans="1:10" ht="38.25">
      <c r="A63" s="109" t="s">
        <v>151</v>
      </c>
      <c r="B63" s="110" t="s">
        <v>235</v>
      </c>
      <c r="C63" s="112" t="s">
        <v>136</v>
      </c>
      <c r="D63" s="108" t="s">
        <v>262</v>
      </c>
      <c r="E63" s="62" t="s">
        <v>408</v>
      </c>
      <c r="G63" s="63">
        <f t="shared" ca="1" si="6"/>
        <v>44104</v>
      </c>
      <c r="H63" s="63">
        <f t="shared" ca="1" si="6"/>
        <v>44095</v>
      </c>
      <c r="I63" s="63">
        <f t="shared" ca="1" si="6"/>
        <v>44099</v>
      </c>
      <c r="J63" s="40"/>
    </row>
    <row r="64" spans="1:10" ht="51">
      <c r="A64" s="109" t="s">
        <v>151</v>
      </c>
      <c r="B64" s="110" t="s">
        <v>235</v>
      </c>
      <c r="C64" s="112" t="s">
        <v>136</v>
      </c>
      <c r="D64" s="108" t="s">
        <v>263</v>
      </c>
      <c r="E64" s="62" t="s">
        <v>407</v>
      </c>
      <c r="G64" s="63">
        <f t="shared" ca="1" si="6"/>
        <v>44104</v>
      </c>
      <c r="H64" s="63">
        <f t="shared" ca="1" si="6"/>
        <v>44096</v>
      </c>
      <c r="I64" s="63">
        <f t="shared" ca="1" si="6"/>
        <v>44097</v>
      </c>
      <c r="J64" s="40"/>
    </row>
    <row r="65" spans="1:10" ht="38.25">
      <c r="A65" s="109" t="s">
        <v>151</v>
      </c>
      <c r="B65" s="110" t="s">
        <v>235</v>
      </c>
      <c r="C65" s="112" t="s">
        <v>136</v>
      </c>
      <c r="D65" s="108" t="s">
        <v>264</v>
      </c>
      <c r="E65" s="62" t="s">
        <v>408</v>
      </c>
      <c r="G65" s="63">
        <f t="shared" ca="1" si="6"/>
        <v>44100</v>
      </c>
      <c r="H65" s="63">
        <f t="shared" ca="1" si="6"/>
        <v>44095</v>
      </c>
      <c r="I65" s="63">
        <f t="shared" ca="1" si="6"/>
        <v>44104</v>
      </c>
      <c r="J65" s="40"/>
    </row>
    <row r="66" spans="1:10" ht="38.25">
      <c r="A66" s="109" t="s">
        <v>151</v>
      </c>
      <c r="B66" s="110" t="s">
        <v>235</v>
      </c>
      <c r="C66" s="112" t="s">
        <v>136</v>
      </c>
      <c r="D66" s="108" t="s">
        <v>265</v>
      </c>
      <c r="E66" s="62" t="s">
        <v>407</v>
      </c>
      <c r="G66" s="63">
        <f t="shared" ca="1" si="6"/>
        <v>44096</v>
      </c>
      <c r="H66" s="63">
        <f t="shared" ca="1" si="6"/>
        <v>44105</v>
      </c>
      <c r="I66" s="63">
        <f t="shared" ca="1" si="6"/>
        <v>44104</v>
      </c>
      <c r="J66" s="40"/>
    </row>
    <row r="67" spans="1:10" ht="51">
      <c r="A67" s="109" t="s">
        <v>151</v>
      </c>
      <c r="B67" s="110" t="s">
        <v>235</v>
      </c>
      <c r="C67" s="112" t="s">
        <v>136</v>
      </c>
      <c r="D67" s="108" t="s">
        <v>266</v>
      </c>
      <c r="E67" s="62" t="s">
        <v>408</v>
      </c>
      <c r="G67" s="63">
        <f t="shared" ref="G67:I97" ca="1" si="12">RANDBETWEEN(TODAY()-10, TODAY())</f>
        <v>44096</v>
      </c>
      <c r="H67" s="63">
        <f t="shared" ca="1" si="12"/>
        <v>44105</v>
      </c>
      <c r="I67" s="63">
        <f t="shared" ca="1" si="12"/>
        <v>44098</v>
      </c>
      <c r="J67" s="40"/>
    </row>
    <row r="68" spans="1:10" ht="38.25">
      <c r="A68" s="109" t="s">
        <v>151</v>
      </c>
      <c r="B68" s="110" t="s">
        <v>235</v>
      </c>
      <c r="C68" s="112" t="s">
        <v>136</v>
      </c>
      <c r="D68" s="108" t="s">
        <v>267</v>
      </c>
      <c r="E68" s="62" t="s">
        <v>407</v>
      </c>
      <c r="G68" s="63">
        <f t="shared" ca="1" si="12"/>
        <v>44104</v>
      </c>
      <c r="H68" s="63">
        <f t="shared" ca="1" si="12"/>
        <v>44098</v>
      </c>
      <c r="I68" s="63">
        <f t="shared" ca="1" si="12"/>
        <v>44101</v>
      </c>
      <c r="J68" s="40"/>
    </row>
    <row r="69" spans="1:10" ht="51">
      <c r="A69" s="109" t="s">
        <v>151</v>
      </c>
      <c r="B69" s="110" t="s">
        <v>235</v>
      </c>
      <c r="C69" s="112" t="s">
        <v>136</v>
      </c>
      <c r="D69" s="108" t="s">
        <v>268</v>
      </c>
      <c r="E69" s="62" t="s">
        <v>408</v>
      </c>
      <c r="G69" s="63">
        <f t="shared" ca="1" si="12"/>
        <v>44099</v>
      </c>
      <c r="H69" s="63">
        <f t="shared" ca="1" si="12"/>
        <v>44102</v>
      </c>
      <c r="I69" s="63">
        <f t="shared" ca="1" si="12"/>
        <v>44105</v>
      </c>
      <c r="J69" s="40"/>
    </row>
    <row r="70" spans="1:10" ht="38.25">
      <c r="A70" s="109" t="s">
        <v>151</v>
      </c>
      <c r="B70" s="110" t="s">
        <v>235</v>
      </c>
      <c r="C70" s="112" t="s">
        <v>136</v>
      </c>
      <c r="D70" s="108" t="s">
        <v>269</v>
      </c>
      <c r="E70" s="62" t="s">
        <v>407</v>
      </c>
      <c r="G70" s="63">
        <f t="shared" ref="G70:I71" ca="1" si="13">RANDBETWEEN(TODAY()-4, TODAY())</f>
        <v>44101</v>
      </c>
      <c r="H70" s="63">
        <f t="shared" ca="1" si="13"/>
        <v>44105</v>
      </c>
      <c r="I70" s="63">
        <f t="shared" ca="1" si="13"/>
        <v>44104</v>
      </c>
      <c r="J70" s="40"/>
    </row>
    <row r="71" spans="1:10" ht="38.25">
      <c r="A71" s="109" t="s">
        <v>151</v>
      </c>
      <c r="B71" s="110" t="s">
        <v>235</v>
      </c>
      <c r="C71" s="112" t="s">
        <v>136</v>
      </c>
      <c r="D71" s="108" t="s">
        <v>270</v>
      </c>
      <c r="E71" s="62" t="s">
        <v>408</v>
      </c>
      <c r="G71" s="63">
        <f t="shared" ca="1" si="13"/>
        <v>44103</v>
      </c>
      <c r="H71" s="63">
        <f t="shared" ca="1" si="13"/>
        <v>44101</v>
      </c>
      <c r="I71" s="63">
        <f t="shared" ca="1" si="13"/>
        <v>44104</v>
      </c>
      <c r="J71" s="40"/>
    </row>
    <row r="72" spans="1:10" ht="38.25">
      <c r="A72" s="109" t="s">
        <v>151</v>
      </c>
      <c r="B72" s="110" t="s">
        <v>235</v>
      </c>
      <c r="C72" s="112" t="s">
        <v>136</v>
      </c>
      <c r="D72" s="108" t="s">
        <v>271</v>
      </c>
      <c r="E72" s="62" t="s">
        <v>407</v>
      </c>
      <c r="G72" s="63">
        <f t="shared" ca="1" si="12"/>
        <v>44104</v>
      </c>
      <c r="H72" s="63">
        <f t="shared" ca="1" si="12"/>
        <v>44100</v>
      </c>
      <c r="I72" s="63">
        <f t="shared" ca="1" si="12"/>
        <v>44102</v>
      </c>
      <c r="J72" s="40"/>
    </row>
    <row r="73" spans="1:10" ht="51">
      <c r="A73" s="109" t="s">
        <v>151</v>
      </c>
      <c r="B73" s="110" t="s">
        <v>235</v>
      </c>
      <c r="C73" s="112" t="s">
        <v>136</v>
      </c>
      <c r="D73" s="108" t="s">
        <v>272</v>
      </c>
      <c r="E73" s="62" t="s">
        <v>408</v>
      </c>
      <c r="G73" s="63">
        <f t="shared" ca="1" si="12"/>
        <v>44095</v>
      </c>
      <c r="H73" s="63">
        <f t="shared" ca="1" si="12"/>
        <v>44096</v>
      </c>
      <c r="I73" s="63">
        <f t="shared" ca="1" si="12"/>
        <v>44098</v>
      </c>
      <c r="J73" s="40"/>
    </row>
    <row r="74" spans="1:10" ht="51">
      <c r="A74" s="109" t="s">
        <v>151</v>
      </c>
      <c r="B74" s="110" t="s">
        <v>235</v>
      </c>
      <c r="C74" s="112" t="s">
        <v>136</v>
      </c>
      <c r="D74" s="108" t="s">
        <v>273</v>
      </c>
      <c r="E74" s="62" t="s">
        <v>407</v>
      </c>
      <c r="G74" s="63">
        <f t="shared" ca="1" si="12"/>
        <v>44099</v>
      </c>
      <c r="H74" s="63">
        <f t="shared" ca="1" si="12"/>
        <v>44104</v>
      </c>
      <c r="I74" s="63">
        <f t="shared" ca="1" si="12"/>
        <v>44101</v>
      </c>
      <c r="J74" s="40"/>
    </row>
    <row r="75" spans="1:10" ht="51">
      <c r="A75" s="109" t="s">
        <v>151</v>
      </c>
      <c r="B75" s="110" t="s">
        <v>235</v>
      </c>
      <c r="C75" s="112" t="s">
        <v>136</v>
      </c>
      <c r="D75" s="108" t="s">
        <v>274</v>
      </c>
      <c r="E75" s="62" t="s">
        <v>408</v>
      </c>
      <c r="G75" s="63">
        <f t="shared" ca="1" si="12"/>
        <v>44100</v>
      </c>
      <c r="H75" s="63">
        <f t="shared" ca="1" si="12"/>
        <v>44101</v>
      </c>
      <c r="I75" s="63">
        <f t="shared" ca="1" si="12"/>
        <v>44105</v>
      </c>
      <c r="J75" s="40"/>
    </row>
    <row r="76" spans="1:10" ht="51">
      <c r="A76" s="109" t="s">
        <v>151</v>
      </c>
      <c r="B76" s="110" t="s">
        <v>235</v>
      </c>
      <c r="C76" s="112" t="s">
        <v>136</v>
      </c>
      <c r="D76" s="108" t="s">
        <v>275</v>
      </c>
      <c r="E76" s="62" t="s">
        <v>407</v>
      </c>
      <c r="G76" s="63">
        <f t="shared" ca="1" si="12"/>
        <v>44103</v>
      </c>
      <c r="H76" s="63">
        <f t="shared" ca="1" si="12"/>
        <v>44098</v>
      </c>
      <c r="I76" s="63">
        <f t="shared" ca="1" si="12"/>
        <v>44096</v>
      </c>
      <c r="J76" s="40"/>
    </row>
    <row r="77" spans="1:10" ht="38.25">
      <c r="A77" s="109" t="s">
        <v>151</v>
      </c>
      <c r="B77" s="110" t="s">
        <v>235</v>
      </c>
      <c r="C77" s="112" t="s">
        <v>136</v>
      </c>
      <c r="D77" s="108" t="s">
        <v>276</v>
      </c>
      <c r="E77" s="62" t="s">
        <v>408</v>
      </c>
      <c r="G77" s="63">
        <f t="shared" ca="1" si="12"/>
        <v>44098</v>
      </c>
      <c r="H77" s="63">
        <f t="shared" ca="1" si="12"/>
        <v>44100</v>
      </c>
      <c r="I77" s="63">
        <f t="shared" ca="1" si="12"/>
        <v>44096</v>
      </c>
      <c r="J77" s="40"/>
    </row>
    <row r="78" spans="1:10" ht="38.25">
      <c r="A78" s="109" t="s">
        <v>151</v>
      </c>
      <c r="B78" s="110" t="s">
        <v>235</v>
      </c>
      <c r="C78" s="112" t="s">
        <v>136</v>
      </c>
      <c r="D78" s="108" t="s">
        <v>277</v>
      </c>
      <c r="E78" s="62" t="s">
        <v>407</v>
      </c>
      <c r="G78" s="63">
        <f t="shared" ca="1" si="12"/>
        <v>44103</v>
      </c>
      <c r="H78" s="63">
        <f t="shared" ca="1" si="12"/>
        <v>44102</v>
      </c>
      <c r="I78" s="63">
        <f t="shared" ca="1" si="12"/>
        <v>44103</v>
      </c>
      <c r="J78" s="40"/>
    </row>
    <row r="79" spans="1:10" ht="25.5">
      <c r="A79" s="109" t="s">
        <v>151</v>
      </c>
      <c r="B79" s="110" t="s">
        <v>231</v>
      </c>
      <c r="C79" s="112" t="s">
        <v>136</v>
      </c>
      <c r="D79" s="108" t="s">
        <v>278</v>
      </c>
      <c r="E79" s="62" t="s">
        <v>408</v>
      </c>
      <c r="G79" s="63">
        <f t="shared" ca="1" si="12"/>
        <v>44098</v>
      </c>
      <c r="H79" s="63">
        <f t="shared" ca="1" si="12"/>
        <v>44102</v>
      </c>
      <c r="I79" s="63">
        <f t="shared" ca="1" si="12"/>
        <v>44098</v>
      </c>
      <c r="J79" s="40"/>
    </row>
    <row r="80" spans="1:10" ht="63.75">
      <c r="A80" s="109" t="s">
        <v>151</v>
      </c>
      <c r="B80" s="110" t="s">
        <v>234</v>
      </c>
      <c r="C80" s="112" t="s">
        <v>136</v>
      </c>
      <c r="D80" s="108" t="s">
        <v>279</v>
      </c>
      <c r="E80" s="62" t="s">
        <v>407</v>
      </c>
      <c r="G80" s="63">
        <f t="shared" ca="1" si="12"/>
        <v>44097</v>
      </c>
      <c r="H80" s="63">
        <f t="shared" ca="1" si="12"/>
        <v>44104</v>
      </c>
      <c r="I80" s="63">
        <f t="shared" ca="1" si="12"/>
        <v>44100</v>
      </c>
      <c r="J80" s="40"/>
    </row>
    <row r="81" spans="1:10" ht="25.5">
      <c r="A81" s="109" t="s">
        <v>151</v>
      </c>
      <c r="B81" s="106" t="s">
        <v>233</v>
      </c>
      <c r="C81" s="112" t="s">
        <v>130</v>
      </c>
      <c r="D81" s="108" t="s">
        <v>280</v>
      </c>
      <c r="E81" s="62" t="s">
        <v>408</v>
      </c>
      <c r="G81" s="63">
        <f t="shared" ref="G81:I82" ca="1" si="14">RANDBETWEEN(TODAY()-4, TODAY())</f>
        <v>44104</v>
      </c>
      <c r="H81" s="63">
        <f t="shared" ca="1" si="14"/>
        <v>44104</v>
      </c>
      <c r="I81" s="63">
        <f t="shared" ca="1" si="14"/>
        <v>44102</v>
      </c>
      <c r="J81" s="40"/>
    </row>
    <row r="82" spans="1:10" ht="25.5">
      <c r="A82" s="109" t="s">
        <v>151</v>
      </c>
      <c r="B82" s="106" t="s">
        <v>233</v>
      </c>
      <c r="C82" s="112" t="s">
        <v>130</v>
      </c>
      <c r="D82" s="108" t="s">
        <v>281</v>
      </c>
      <c r="E82" s="62" t="s">
        <v>407</v>
      </c>
      <c r="G82" s="63">
        <f t="shared" ca="1" si="14"/>
        <v>44104</v>
      </c>
      <c r="H82" s="63">
        <f t="shared" ca="1" si="14"/>
        <v>44102</v>
      </c>
      <c r="I82" s="63">
        <f t="shared" ca="1" si="14"/>
        <v>44105</v>
      </c>
      <c r="J82" s="40"/>
    </row>
    <row r="83" spans="1:10" ht="25.5">
      <c r="A83" s="109" t="s">
        <v>151</v>
      </c>
      <c r="B83" s="106" t="s">
        <v>232</v>
      </c>
      <c r="C83" s="112" t="s">
        <v>130</v>
      </c>
      <c r="D83" s="108" t="s">
        <v>282</v>
      </c>
      <c r="E83" s="62" t="s">
        <v>408</v>
      </c>
      <c r="G83" s="63">
        <f t="shared" ca="1" si="12"/>
        <v>44096</v>
      </c>
      <c r="H83" s="63">
        <f t="shared" ca="1" si="12"/>
        <v>44105</v>
      </c>
      <c r="I83" s="63">
        <f t="shared" ca="1" si="12"/>
        <v>44102</v>
      </c>
      <c r="J83" s="40"/>
    </row>
    <row r="84" spans="1:10" ht="25.5">
      <c r="A84" s="109" t="s">
        <v>151</v>
      </c>
      <c r="B84" s="106" t="s">
        <v>236</v>
      </c>
      <c r="C84" s="112" t="s">
        <v>130</v>
      </c>
      <c r="D84" s="113" t="s">
        <v>283</v>
      </c>
      <c r="E84" s="62" t="s">
        <v>407</v>
      </c>
      <c r="G84" s="63">
        <f t="shared" ca="1" si="12"/>
        <v>44102</v>
      </c>
      <c r="H84" s="63">
        <f t="shared" ca="1" si="12"/>
        <v>44104</v>
      </c>
      <c r="I84" s="63">
        <f t="shared" ca="1" si="12"/>
        <v>44104</v>
      </c>
      <c r="J84" s="40"/>
    </row>
    <row r="85" spans="1:10" ht="25.5">
      <c r="A85" s="109" t="s">
        <v>151</v>
      </c>
      <c r="B85" s="110" t="s">
        <v>154</v>
      </c>
      <c r="C85" s="112" t="s">
        <v>130</v>
      </c>
      <c r="D85" s="108" t="s">
        <v>284</v>
      </c>
      <c r="E85" s="62" t="s">
        <v>408</v>
      </c>
      <c r="G85" s="63">
        <f t="shared" ca="1" si="12"/>
        <v>44101</v>
      </c>
      <c r="H85" s="63">
        <f t="shared" ca="1" si="12"/>
        <v>44096</v>
      </c>
      <c r="I85" s="63">
        <f t="shared" ca="1" si="12"/>
        <v>44101</v>
      </c>
      <c r="J85" s="40"/>
    </row>
    <row r="86" spans="1:10" ht="25.5">
      <c r="A86" s="109" t="s">
        <v>151</v>
      </c>
      <c r="B86" s="110" t="s">
        <v>154</v>
      </c>
      <c r="C86" s="112" t="s">
        <v>130</v>
      </c>
      <c r="D86" s="108" t="s">
        <v>285</v>
      </c>
      <c r="E86" s="62" t="s">
        <v>407</v>
      </c>
      <c r="G86" s="63">
        <f t="shared" ca="1" si="12"/>
        <v>44096</v>
      </c>
      <c r="H86" s="63">
        <f t="shared" ca="1" si="12"/>
        <v>44097</v>
      </c>
      <c r="I86" s="63">
        <f t="shared" ca="1" si="12"/>
        <v>44104</v>
      </c>
      <c r="J86" s="40"/>
    </row>
    <row r="87" spans="1:10" ht="25.5">
      <c r="A87" s="109" t="s">
        <v>151</v>
      </c>
      <c r="B87" s="110" t="s">
        <v>154</v>
      </c>
      <c r="C87" s="112" t="s">
        <v>130</v>
      </c>
      <c r="D87" s="108" t="s">
        <v>286</v>
      </c>
      <c r="E87" s="62" t="s">
        <v>408</v>
      </c>
      <c r="G87" s="63">
        <f t="shared" ca="1" si="12"/>
        <v>44097</v>
      </c>
      <c r="H87" s="63">
        <f t="shared" ca="1" si="12"/>
        <v>44096</v>
      </c>
      <c r="I87" s="63">
        <f t="shared" ca="1" si="12"/>
        <v>44098</v>
      </c>
      <c r="J87" s="40"/>
    </row>
    <row r="88" spans="1:10" ht="25.5">
      <c r="A88" s="109" t="s">
        <v>151</v>
      </c>
      <c r="B88" s="110" t="s">
        <v>154</v>
      </c>
      <c r="C88" s="112" t="s">
        <v>130</v>
      </c>
      <c r="D88" s="108" t="s">
        <v>287</v>
      </c>
      <c r="E88" s="62" t="s">
        <v>407</v>
      </c>
      <c r="G88" s="63">
        <f t="shared" ca="1" si="12"/>
        <v>44098</v>
      </c>
      <c r="H88" s="63">
        <f t="shared" ca="1" si="12"/>
        <v>44104</v>
      </c>
      <c r="I88" s="63">
        <f t="shared" ca="1" si="12"/>
        <v>44104</v>
      </c>
      <c r="J88" s="40"/>
    </row>
    <row r="89" spans="1:10" ht="25.5">
      <c r="A89" s="109" t="s">
        <v>151</v>
      </c>
      <c r="B89" s="110" t="s">
        <v>154</v>
      </c>
      <c r="C89" s="112" t="s">
        <v>130</v>
      </c>
      <c r="D89" s="108" t="s">
        <v>288</v>
      </c>
      <c r="E89" s="62" t="s">
        <v>408</v>
      </c>
      <c r="G89" s="63">
        <f ca="1">RANDBETWEEN(TODAY()-4, TODAY())</f>
        <v>44101</v>
      </c>
      <c r="H89" s="63">
        <f t="shared" ref="H89:I89" ca="1" si="15">RANDBETWEEN(TODAY()-4, TODAY())</f>
        <v>44105</v>
      </c>
      <c r="I89" s="63">
        <f t="shared" ca="1" si="15"/>
        <v>44101</v>
      </c>
      <c r="J89" s="40"/>
    </row>
    <row r="90" spans="1:10" ht="25.5">
      <c r="A90" s="109" t="s">
        <v>155</v>
      </c>
      <c r="B90" s="114" t="s">
        <v>289</v>
      </c>
      <c r="C90" s="115" t="s">
        <v>193</v>
      </c>
      <c r="D90" s="105" t="s">
        <v>290</v>
      </c>
      <c r="E90" s="62" t="s">
        <v>407</v>
      </c>
      <c r="G90" s="63">
        <f t="shared" ca="1" si="12"/>
        <v>44100</v>
      </c>
      <c r="H90" s="63">
        <f t="shared" ca="1" si="12"/>
        <v>44102</v>
      </c>
      <c r="I90" s="63">
        <f t="shared" ca="1" si="12"/>
        <v>44100</v>
      </c>
      <c r="J90" s="40"/>
    </row>
    <row r="91" spans="1:10" ht="25.5">
      <c r="A91" s="109" t="s">
        <v>155</v>
      </c>
      <c r="B91" s="114" t="s">
        <v>289</v>
      </c>
      <c r="C91" s="115" t="s">
        <v>193</v>
      </c>
      <c r="D91" s="105" t="s">
        <v>291</v>
      </c>
      <c r="E91" s="62" t="s">
        <v>408</v>
      </c>
      <c r="G91" s="63">
        <f t="shared" ca="1" si="12"/>
        <v>44101</v>
      </c>
      <c r="H91" s="63">
        <f t="shared" ca="1" si="12"/>
        <v>44096</v>
      </c>
      <c r="I91" s="63">
        <f t="shared" ca="1" si="12"/>
        <v>44105</v>
      </c>
      <c r="J91" s="40"/>
    </row>
    <row r="92" spans="1:10" ht="38.25">
      <c r="A92" s="109" t="s">
        <v>155</v>
      </c>
      <c r="B92" s="114" t="s">
        <v>232</v>
      </c>
      <c r="C92" s="115" t="s">
        <v>193</v>
      </c>
      <c r="D92" s="105" t="s">
        <v>292</v>
      </c>
      <c r="E92" s="62" t="s">
        <v>407</v>
      </c>
      <c r="G92" s="63">
        <f t="shared" ref="G92:I95" ca="1" si="16">RANDBETWEEN(TODAY()-4, TODAY())</f>
        <v>44101</v>
      </c>
      <c r="H92" s="63">
        <f t="shared" ca="1" si="16"/>
        <v>44103</v>
      </c>
      <c r="I92" s="63">
        <f t="shared" ca="1" si="16"/>
        <v>44102</v>
      </c>
      <c r="J92" s="40"/>
    </row>
    <row r="93" spans="1:10" ht="25.5">
      <c r="A93" s="109" t="s">
        <v>155</v>
      </c>
      <c r="B93" s="114" t="s">
        <v>289</v>
      </c>
      <c r="C93" s="115" t="s">
        <v>193</v>
      </c>
      <c r="D93" s="105" t="s">
        <v>293</v>
      </c>
      <c r="E93" s="62" t="s">
        <v>408</v>
      </c>
      <c r="G93" s="63">
        <f t="shared" ca="1" si="16"/>
        <v>44102</v>
      </c>
      <c r="H93" s="63">
        <f t="shared" ca="1" si="16"/>
        <v>44103</v>
      </c>
      <c r="I93" s="63">
        <f t="shared" ca="1" si="16"/>
        <v>44104</v>
      </c>
      <c r="J93" s="40"/>
    </row>
    <row r="94" spans="1:10" ht="25.5">
      <c r="A94" s="109" t="s">
        <v>155</v>
      </c>
      <c r="B94" s="114" t="s">
        <v>289</v>
      </c>
      <c r="C94" s="115" t="s">
        <v>193</v>
      </c>
      <c r="D94" s="108" t="s">
        <v>294</v>
      </c>
      <c r="E94" s="62" t="s">
        <v>407</v>
      </c>
      <c r="G94" s="63">
        <f t="shared" ca="1" si="16"/>
        <v>44101</v>
      </c>
      <c r="H94" s="63">
        <f t="shared" ca="1" si="16"/>
        <v>44103</v>
      </c>
      <c r="I94" s="63">
        <f t="shared" ca="1" si="16"/>
        <v>44101</v>
      </c>
      <c r="J94" s="40" t="s">
        <v>0</v>
      </c>
    </row>
    <row r="95" spans="1:10" ht="38.25">
      <c r="A95" s="109" t="s">
        <v>155</v>
      </c>
      <c r="B95" s="114" t="s">
        <v>289</v>
      </c>
      <c r="C95" s="111" t="s">
        <v>193</v>
      </c>
      <c r="D95" s="108" t="s">
        <v>295</v>
      </c>
      <c r="E95" s="62" t="s">
        <v>408</v>
      </c>
      <c r="G95" s="63">
        <f t="shared" ca="1" si="16"/>
        <v>44101</v>
      </c>
      <c r="H95" s="63">
        <f t="shared" ca="1" si="16"/>
        <v>44101</v>
      </c>
      <c r="I95" s="63">
        <f t="shared" ca="1" si="16"/>
        <v>44104</v>
      </c>
      <c r="J95" s="40"/>
    </row>
    <row r="96" spans="1:10" ht="25.5">
      <c r="A96" s="109" t="s">
        <v>155</v>
      </c>
      <c r="B96" s="114" t="s">
        <v>289</v>
      </c>
      <c r="C96" s="110" t="s">
        <v>136</v>
      </c>
      <c r="D96" s="108" t="s">
        <v>296</v>
      </c>
      <c r="E96" s="62" t="s">
        <v>407</v>
      </c>
      <c r="G96" s="63">
        <f t="shared" ca="1" si="12"/>
        <v>44096</v>
      </c>
      <c r="H96" s="63">
        <f t="shared" ca="1" si="12"/>
        <v>44095</v>
      </c>
      <c r="I96" s="63">
        <f t="shared" ca="1" si="12"/>
        <v>44104</v>
      </c>
      <c r="J96" s="40"/>
    </row>
    <row r="97" spans="1:10" ht="25.5">
      <c r="A97" s="109" t="s">
        <v>155</v>
      </c>
      <c r="B97" s="114" t="s">
        <v>289</v>
      </c>
      <c r="C97" s="110" t="s">
        <v>136</v>
      </c>
      <c r="D97" s="108" t="s">
        <v>297</v>
      </c>
      <c r="E97" s="62" t="s">
        <v>408</v>
      </c>
      <c r="G97" s="63">
        <f t="shared" ca="1" si="12"/>
        <v>44105</v>
      </c>
      <c r="H97" s="63">
        <f t="shared" ca="1" si="12"/>
        <v>44095</v>
      </c>
      <c r="I97" s="63">
        <f t="shared" ca="1" si="12"/>
        <v>44105</v>
      </c>
      <c r="J97" s="40"/>
    </row>
    <row r="98" spans="1:10" ht="38.25">
      <c r="A98" s="109" t="s">
        <v>155</v>
      </c>
      <c r="B98" s="114" t="s">
        <v>289</v>
      </c>
      <c r="C98" s="115" t="s">
        <v>136</v>
      </c>
      <c r="D98" s="108" t="s">
        <v>298</v>
      </c>
      <c r="E98" s="62" t="s">
        <v>407</v>
      </c>
      <c r="G98" s="63">
        <f ca="1">RANDBETWEEN(TODAY()-4, TODAY())</f>
        <v>44104</v>
      </c>
      <c r="H98" s="63">
        <f t="shared" ref="H98:I98" ca="1" si="17">RANDBETWEEN(TODAY()-4, TODAY())</f>
        <v>44105</v>
      </c>
      <c r="I98" s="63">
        <f t="shared" ca="1" si="17"/>
        <v>44104</v>
      </c>
      <c r="J98" s="40"/>
    </row>
    <row r="99" spans="1:10" ht="38.25">
      <c r="A99" s="109" t="s">
        <v>155</v>
      </c>
      <c r="B99" s="114" t="s">
        <v>289</v>
      </c>
      <c r="C99" s="115" t="s">
        <v>136</v>
      </c>
      <c r="D99" s="108" t="s">
        <v>299</v>
      </c>
      <c r="E99" s="62" t="s">
        <v>408</v>
      </c>
      <c r="G99" s="63">
        <f t="shared" ref="G99:I129" ca="1" si="18">RANDBETWEEN(TODAY()-10, TODAY())</f>
        <v>44103</v>
      </c>
      <c r="H99" s="63">
        <f t="shared" ca="1" si="18"/>
        <v>44102</v>
      </c>
      <c r="I99" s="63">
        <f t="shared" ca="1" si="18"/>
        <v>44103</v>
      </c>
      <c r="J99" s="40"/>
    </row>
    <row r="100" spans="1:10" ht="38.25">
      <c r="A100" s="109" t="s">
        <v>155</v>
      </c>
      <c r="B100" s="114" t="s">
        <v>289</v>
      </c>
      <c r="C100" s="115" t="s">
        <v>136</v>
      </c>
      <c r="D100" s="108" t="s">
        <v>300</v>
      </c>
      <c r="E100" s="62" t="s">
        <v>407</v>
      </c>
      <c r="G100" s="63">
        <f t="shared" ca="1" si="18"/>
        <v>44104</v>
      </c>
      <c r="H100" s="63">
        <f t="shared" ca="1" si="18"/>
        <v>44096</v>
      </c>
      <c r="I100" s="63">
        <f t="shared" ca="1" si="18"/>
        <v>44105</v>
      </c>
      <c r="J100" s="40"/>
    </row>
    <row r="101" spans="1:10" ht="25.5">
      <c r="A101" s="109" t="s">
        <v>155</v>
      </c>
      <c r="B101" s="114" t="s">
        <v>289</v>
      </c>
      <c r="C101" s="115" t="s">
        <v>136</v>
      </c>
      <c r="D101" s="108" t="s">
        <v>301</v>
      </c>
      <c r="E101" s="62" t="s">
        <v>408</v>
      </c>
      <c r="G101" s="63">
        <f ca="1">RANDBETWEEN(TODAY()-4, TODAY())</f>
        <v>44102</v>
      </c>
      <c r="H101" s="63">
        <f t="shared" ref="H101:I101" ca="1" si="19">RANDBETWEEN(TODAY()-4, TODAY())</f>
        <v>44104</v>
      </c>
      <c r="I101" s="63">
        <f t="shared" ca="1" si="19"/>
        <v>44103</v>
      </c>
      <c r="J101" s="40"/>
    </row>
    <row r="102" spans="1:10" ht="38.25">
      <c r="A102" s="109" t="s">
        <v>155</v>
      </c>
      <c r="B102" s="114" t="s">
        <v>289</v>
      </c>
      <c r="C102" s="115" t="s">
        <v>136</v>
      </c>
      <c r="D102" s="105" t="s">
        <v>302</v>
      </c>
      <c r="E102" s="62" t="s">
        <v>407</v>
      </c>
      <c r="G102" s="63">
        <f t="shared" ca="1" si="18"/>
        <v>44097</v>
      </c>
      <c r="H102" s="63">
        <f t="shared" ca="1" si="18"/>
        <v>44104</v>
      </c>
      <c r="I102" s="63">
        <f t="shared" ca="1" si="18"/>
        <v>44098</v>
      </c>
      <c r="J102" s="40"/>
    </row>
    <row r="103" spans="1:10" ht="38.25">
      <c r="A103" s="109" t="s">
        <v>155</v>
      </c>
      <c r="B103" s="114" t="s">
        <v>289</v>
      </c>
      <c r="C103" s="115" t="s">
        <v>136</v>
      </c>
      <c r="D103" s="105" t="s">
        <v>303</v>
      </c>
      <c r="E103" s="62" t="s">
        <v>408</v>
      </c>
      <c r="G103" s="63">
        <f t="shared" ca="1" si="18"/>
        <v>44095</v>
      </c>
      <c r="H103" s="63">
        <f t="shared" ca="1" si="18"/>
        <v>44097</v>
      </c>
      <c r="I103" s="63">
        <f t="shared" ca="1" si="18"/>
        <v>44101</v>
      </c>
      <c r="J103" s="40"/>
    </row>
    <row r="104" spans="1:10" ht="38.25">
      <c r="A104" s="109" t="s">
        <v>155</v>
      </c>
      <c r="B104" s="114" t="s">
        <v>289</v>
      </c>
      <c r="C104" s="115" t="s">
        <v>136</v>
      </c>
      <c r="D104" s="105" t="s">
        <v>304</v>
      </c>
      <c r="E104" s="62" t="s">
        <v>407</v>
      </c>
      <c r="G104" s="63">
        <f t="shared" ca="1" si="18"/>
        <v>44105</v>
      </c>
      <c r="H104" s="63">
        <f t="shared" ca="1" si="18"/>
        <v>44103</v>
      </c>
      <c r="I104" s="63">
        <f t="shared" ca="1" si="18"/>
        <v>44096</v>
      </c>
      <c r="J104" s="40"/>
    </row>
    <row r="105" spans="1:10" ht="63.75">
      <c r="A105" s="109" t="s">
        <v>155</v>
      </c>
      <c r="B105" s="114" t="s">
        <v>289</v>
      </c>
      <c r="C105" s="115" t="s">
        <v>136</v>
      </c>
      <c r="D105" s="105" t="s">
        <v>305</v>
      </c>
      <c r="E105" s="62" t="s">
        <v>408</v>
      </c>
      <c r="G105" s="63">
        <f ca="1">RANDBETWEEN(TODAY()-4, TODAY())</f>
        <v>44103</v>
      </c>
      <c r="H105" s="63">
        <f t="shared" ref="H105:I105" ca="1" si="20">RANDBETWEEN(TODAY()-4, TODAY())</f>
        <v>44104</v>
      </c>
      <c r="I105" s="63">
        <f t="shared" ca="1" si="20"/>
        <v>44103</v>
      </c>
      <c r="J105" s="40"/>
    </row>
    <row r="106" spans="1:10" ht="63.75">
      <c r="A106" s="109" t="s">
        <v>155</v>
      </c>
      <c r="B106" s="114" t="s">
        <v>289</v>
      </c>
      <c r="C106" s="110" t="s">
        <v>136</v>
      </c>
      <c r="D106" s="108" t="s">
        <v>306</v>
      </c>
      <c r="E106" s="62" t="s">
        <v>407</v>
      </c>
      <c r="G106" s="63">
        <f t="shared" ca="1" si="18"/>
        <v>44102</v>
      </c>
      <c r="H106" s="63">
        <f t="shared" ca="1" si="18"/>
        <v>44103</v>
      </c>
      <c r="I106" s="63">
        <f t="shared" ca="1" si="18"/>
        <v>44098</v>
      </c>
      <c r="J106" s="40"/>
    </row>
    <row r="107" spans="1:10" ht="38.25">
      <c r="A107" s="109" t="s">
        <v>155</v>
      </c>
      <c r="B107" s="114" t="s">
        <v>289</v>
      </c>
      <c r="C107" s="110" t="s">
        <v>136</v>
      </c>
      <c r="D107" s="108" t="s">
        <v>307</v>
      </c>
      <c r="E107" s="62" t="s">
        <v>408</v>
      </c>
      <c r="G107" s="63">
        <f t="shared" ca="1" si="18"/>
        <v>44095</v>
      </c>
      <c r="H107" s="63">
        <f t="shared" ca="1" si="18"/>
        <v>44105</v>
      </c>
      <c r="I107" s="63">
        <f t="shared" ca="1" si="18"/>
        <v>44101</v>
      </c>
      <c r="J107" s="40"/>
    </row>
    <row r="108" spans="1:10" ht="51">
      <c r="A108" s="109" t="s">
        <v>155</v>
      </c>
      <c r="B108" s="114" t="s">
        <v>289</v>
      </c>
      <c r="C108" s="110" t="s">
        <v>136</v>
      </c>
      <c r="D108" s="108" t="s">
        <v>308</v>
      </c>
      <c r="E108" s="62" t="s">
        <v>407</v>
      </c>
      <c r="G108" s="63">
        <f t="shared" ref="G108:I109" ca="1" si="21">RANDBETWEEN(TODAY()-4, TODAY())</f>
        <v>44103</v>
      </c>
      <c r="H108" s="63">
        <f t="shared" ca="1" si="21"/>
        <v>44102</v>
      </c>
      <c r="I108" s="63">
        <f t="shared" ca="1" si="21"/>
        <v>44105</v>
      </c>
      <c r="J108" s="40"/>
    </row>
    <row r="109" spans="1:10" ht="25.5">
      <c r="A109" s="109" t="s">
        <v>155</v>
      </c>
      <c r="B109" s="114" t="s">
        <v>289</v>
      </c>
      <c r="C109" s="115" t="s">
        <v>136</v>
      </c>
      <c r="D109" s="105" t="s">
        <v>309</v>
      </c>
      <c r="E109" s="62" t="s">
        <v>408</v>
      </c>
      <c r="G109" s="63">
        <f t="shared" ca="1" si="21"/>
        <v>44103</v>
      </c>
      <c r="H109" s="63">
        <f t="shared" ca="1" si="21"/>
        <v>44102</v>
      </c>
      <c r="I109" s="63">
        <f t="shared" ca="1" si="21"/>
        <v>44101</v>
      </c>
      <c r="J109" s="40"/>
    </row>
    <row r="110" spans="1:10" ht="25.5">
      <c r="A110" s="109" t="s">
        <v>155</v>
      </c>
      <c r="B110" s="114" t="s">
        <v>289</v>
      </c>
      <c r="C110" s="115" t="s">
        <v>136</v>
      </c>
      <c r="D110" s="105" t="s">
        <v>310</v>
      </c>
      <c r="E110" s="62" t="s">
        <v>407</v>
      </c>
      <c r="G110" s="63">
        <f t="shared" ca="1" si="18"/>
        <v>44095</v>
      </c>
      <c r="H110" s="63">
        <f t="shared" ca="1" si="18"/>
        <v>44105</v>
      </c>
      <c r="I110" s="63">
        <f t="shared" ca="1" si="18"/>
        <v>44100</v>
      </c>
      <c r="J110" s="40"/>
    </row>
    <row r="111" spans="1:10" ht="25.5">
      <c r="A111" s="109" t="s">
        <v>155</v>
      </c>
      <c r="B111" s="114" t="s">
        <v>289</v>
      </c>
      <c r="C111" s="110" t="s">
        <v>136</v>
      </c>
      <c r="D111" s="108" t="s">
        <v>311</v>
      </c>
      <c r="E111" s="62" t="s">
        <v>408</v>
      </c>
      <c r="G111" s="63">
        <f t="shared" ca="1" si="18"/>
        <v>44102</v>
      </c>
      <c r="H111" s="63">
        <f t="shared" ca="1" si="18"/>
        <v>44105</v>
      </c>
      <c r="I111" s="63">
        <f t="shared" ca="1" si="18"/>
        <v>44099</v>
      </c>
      <c r="J111" s="40"/>
    </row>
    <row r="112" spans="1:10" ht="25.5">
      <c r="A112" s="109" t="s">
        <v>155</v>
      </c>
      <c r="B112" s="114" t="s">
        <v>289</v>
      </c>
      <c r="C112" s="110" t="s">
        <v>136</v>
      </c>
      <c r="D112" s="108" t="s">
        <v>312</v>
      </c>
      <c r="E112" s="62" t="s">
        <v>407</v>
      </c>
      <c r="G112" s="63">
        <f t="shared" ca="1" si="18"/>
        <v>44097</v>
      </c>
      <c r="H112" s="63">
        <f t="shared" ca="1" si="18"/>
        <v>44098</v>
      </c>
      <c r="I112" s="63">
        <f t="shared" ca="1" si="18"/>
        <v>44105</v>
      </c>
      <c r="J112" s="40"/>
    </row>
    <row r="113" spans="1:10" ht="38.25">
      <c r="A113" s="109" t="s">
        <v>155</v>
      </c>
      <c r="B113" s="114" t="s">
        <v>289</v>
      </c>
      <c r="C113" s="110" t="s">
        <v>130</v>
      </c>
      <c r="D113" s="108" t="s">
        <v>313</v>
      </c>
      <c r="E113" s="62" t="s">
        <v>408</v>
      </c>
      <c r="G113" s="63">
        <f ca="1">RANDBETWEEN(TODAY()-4, TODAY())</f>
        <v>44101</v>
      </c>
      <c r="H113" s="63">
        <f t="shared" ref="H113:I113" ca="1" si="22">RANDBETWEEN(TODAY()-4, TODAY())</f>
        <v>44101</v>
      </c>
      <c r="I113" s="63">
        <f t="shared" ca="1" si="22"/>
        <v>44102</v>
      </c>
      <c r="J113" s="40"/>
    </row>
    <row r="114" spans="1:10" ht="38.25">
      <c r="A114" s="109" t="s">
        <v>155</v>
      </c>
      <c r="B114" s="114" t="s">
        <v>289</v>
      </c>
      <c r="C114" s="110" t="s">
        <v>130</v>
      </c>
      <c r="D114" s="108" t="s">
        <v>314</v>
      </c>
      <c r="E114" s="62" t="s">
        <v>407</v>
      </c>
      <c r="G114" s="63">
        <f t="shared" ca="1" si="18"/>
        <v>44105</v>
      </c>
      <c r="H114" s="63">
        <f t="shared" ca="1" si="18"/>
        <v>44099</v>
      </c>
      <c r="I114" s="63">
        <f t="shared" ca="1" si="18"/>
        <v>44096</v>
      </c>
      <c r="J114" s="40"/>
    </row>
    <row r="115" spans="1:10" ht="25.5">
      <c r="A115" s="109" t="s">
        <v>155</v>
      </c>
      <c r="B115" s="114" t="s">
        <v>289</v>
      </c>
      <c r="C115" s="115" t="s">
        <v>130</v>
      </c>
      <c r="D115" s="105" t="s">
        <v>315</v>
      </c>
      <c r="E115" s="62" t="s">
        <v>408</v>
      </c>
      <c r="G115" s="63">
        <f t="shared" ca="1" si="18"/>
        <v>44097</v>
      </c>
      <c r="H115" s="63">
        <f t="shared" ca="1" si="18"/>
        <v>44102</v>
      </c>
      <c r="I115" s="63">
        <f t="shared" ca="1" si="18"/>
        <v>44102</v>
      </c>
      <c r="J115" s="40"/>
    </row>
    <row r="116" spans="1:10" ht="25.5">
      <c r="A116" s="109" t="s">
        <v>155</v>
      </c>
      <c r="B116" s="114" t="s">
        <v>289</v>
      </c>
      <c r="C116" s="115" t="s">
        <v>130</v>
      </c>
      <c r="D116" s="105" t="s">
        <v>316</v>
      </c>
      <c r="E116" s="62" t="s">
        <v>407</v>
      </c>
      <c r="G116" s="63">
        <f ca="1">RANDBETWEEN(TODAY()-4, TODAY())</f>
        <v>44103</v>
      </c>
      <c r="H116" s="63">
        <f t="shared" ref="H116:I116" ca="1" si="23">RANDBETWEEN(TODAY()-4, TODAY())</f>
        <v>44101</v>
      </c>
      <c r="I116" s="63">
        <f t="shared" ca="1" si="23"/>
        <v>44104</v>
      </c>
      <c r="J116" s="40" t="s">
        <v>0</v>
      </c>
    </row>
    <row r="117" spans="1:10" ht="38.25">
      <c r="A117" s="109" t="s">
        <v>155</v>
      </c>
      <c r="B117" s="114" t="s">
        <v>289</v>
      </c>
      <c r="C117" s="115" t="s">
        <v>130</v>
      </c>
      <c r="D117" s="105" t="s">
        <v>317</v>
      </c>
      <c r="E117" s="62" t="s">
        <v>408</v>
      </c>
      <c r="G117" s="63">
        <f t="shared" ca="1" si="18"/>
        <v>44104</v>
      </c>
      <c r="H117" s="63">
        <f t="shared" ca="1" si="18"/>
        <v>44096</v>
      </c>
      <c r="I117" s="63">
        <f t="shared" ca="1" si="18"/>
        <v>44102</v>
      </c>
      <c r="J117" s="40" t="s">
        <v>0</v>
      </c>
    </row>
    <row r="118" spans="1:10" ht="25.5">
      <c r="A118" s="109" t="s">
        <v>155</v>
      </c>
      <c r="B118" s="114" t="s">
        <v>289</v>
      </c>
      <c r="C118" s="115" t="s">
        <v>130</v>
      </c>
      <c r="D118" s="105" t="s">
        <v>318</v>
      </c>
      <c r="E118" s="62" t="s">
        <v>407</v>
      </c>
      <c r="G118" s="63">
        <f ca="1">RANDBETWEEN(TODAY()-4, TODAY())</f>
        <v>44102</v>
      </c>
      <c r="H118" s="63">
        <f t="shared" ref="H118:I118" ca="1" si="24">RANDBETWEEN(TODAY()-4, TODAY())</f>
        <v>44103</v>
      </c>
      <c r="I118" s="63">
        <f t="shared" ca="1" si="24"/>
        <v>44102</v>
      </c>
      <c r="J118" s="40"/>
    </row>
    <row r="119" spans="1:10" ht="25.5">
      <c r="A119" s="109" t="s">
        <v>155</v>
      </c>
      <c r="B119" s="114" t="s">
        <v>289</v>
      </c>
      <c r="C119" s="115" t="s">
        <v>130</v>
      </c>
      <c r="D119" s="105" t="s">
        <v>319</v>
      </c>
      <c r="E119" s="62" t="s">
        <v>408</v>
      </c>
      <c r="G119" s="63">
        <f t="shared" ca="1" si="18"/>
        <v>44101</v>
      </c>
      <c r="H119" s="63">
        <f t="shared" ca="1" si="18"/>
        <v>44099</v>
      </c>
      <c r="I119" s="63">
        <f t="shared" ca="1" si="18"/>
        <v>44100</v>
      </c>
      <c r="J119" s="40"/>
    </row>
    <row r="120" spans="1:10" ht="25.5">
      <c r="A120" s="109" t="s">
        <v>155</v>
      </c>
      <c r="B120" s="114" t="s">
        <v>289</v>
      </c>
      <c r="C120" s="110" t="s">
        <v>130</v>
      </c>
      <c r="D120" s="108" t="s">
        <v>320</v>
      </c>
      <c r="E120" s="62" t="s">
        <v>407</v>
      </c>
      <c r="G120" s="63">
        <f t="shared" ca="1" si="18"/>
        <v>44099</v>
      </c>
      <c r="H120" s="63">
        <f t="shared" ca="1" si="18"/>
        <v>44102</v>
      </c>
      <c r="I120" s="63">
        <f t="shared" ca="1" si="18"/>
        <v>44100</v>
      </c>
      <c r="J120" s="40"/>
    </row>
    <row r="121" spans="1:10" ht="38.25">
      <c r="A121" s="109" t="s">
        <v>155</v>
      </c>
      <c r="B121" s="114" t="s">
        <v>289</v>
      </c>
      <c r="C121" s="115" t="s">
        <v>130</v>
      </c>
      <c r="D121" s="105" t="s">
        <v>321</v>
      </c>
      <c r="E121" s="62" t="s">
        <v>408</v>
      </c>
      <c r="G121" s="63">
        <f ca="1">RANDBETWEEN(TODAY()-4, TODAY())</f>
        <v>44105</v>
      </c>
      <c r="H121" s="63">
        <f t="shared" ref="H121:I121" ca="1" si="25">RANDBETWEEN(TODAY()-4, TODAY())</f>
        <v>44102</v>
      </c>
      <c r="I121" s="63">
        <f t="shared" ca="1" si="25"/>
        <v>44102</v>
      </c>
      <c r="J121" s="40"/>
    </row>
    <row r="122" spans="1:10" ht="25.5">
      <c r="A122" s="109" t="s">
        <v>155</v>
      </c>
      <c r="B122" s="114" t="s">
        <v>289</v>
      </c>
      <c r="C122" s="115" t="s">
        <v>130</v>
      </c>
      <c r="D122" s="105" t="s">
        <v>322</v>
      </c>
      <c r="E122" s="62" t="s">
        <v>407</v>
      </c>
      <c r="G122" s="63">
        <f t="shared" ca="1" si="18"/>
        <v>44098</v>
      </c>
      <c r="H122" s="63">
        <f t="shared" ca="1" si="18"/>
        <v>44105</v>
      </c>
      <c r="I122" s="63">
        <f t="shared" ca="1" si="18"/>
        <v>44098</v>
      </c>
      <c r="J122" s="40"/>
    </row>
    <row r="123" spans="1:10" ht="25.5">
      <c r="A123" s="109" t="s">
        <v>155</v>
      </c>
      <c r="B123" s="114" t="s">
        <v>289</v>
      </c>
      <c r="C123" s="115" t="s">
        <v>130</v>
      </c>
      <c r="D123" s="105" t="s">
        <v>323</v>
      </c>
      <c r="E123" s="62" t="s">
        <v>408</v>
      </c>
      <c r="G123" s="63">
        <f t="shared" ca="1" si="18"/>
        <v>44101</v>
      </c>
      <c r="H123" s="63">
        <f t="shared" ca="1" si="18"/>
        <v>44104</v>
      </c>
      <c r="I123" s="63">
        <f t="shared" ca="1" si="18"/>
        <v>44099</v>
      </c>
      <c r="J123" s="40"/>
    </row>
    <row r="124" spans="1:10" ht="25.5">
      <c r="A124" s="109" t="s">
        <v>155</v>
      </c>
      <c r="B124" s="114" t="s">
        <v>289</v>
      </c>
      <c r="C124" s="115" t="s">
        <v>130</v>
      </c>
      <c r="D124" s="105" t="s">
        <v>324</v>
      </c>
      <c r="E124" s="62" t="s">
        <v>407</v>
      </c>
      <c r="G124" s="63">
        <f t="shared" ca="1" si="18"/>
        <v>44105</v>
      </c>
      <c r="H124" s="63">
        <f t="shared" ca="1" si="18"/>
        <v>44100</v>
      </c>
      <c r="I124" s="63">
        <f t="shared" ca="1" si="18"/>
        <v>44102</v>
      </c>
      <c r="J124" s="40"/>
    </row>
    <row r="125" spans="1:10" ht="25.5">
      <c r="A125" s="109" t="s">
        <v>155</v>
      </c>
      <c r="B125" s="114" t="s">
        <v>289</v>
      </c>
      <c r="C125" s="115" t="s">
        <v>130</v>
      </c>
      <c r="D125" s="105" t="s">
        <v>325</v>
      </c>
      <c r="E125" s="62" t="s">
        <v>408</v>
      </c>
      <c r="G125" s="63">
        <f ca="1">RANDBETWEEN(TODAY()-4, TODAY())</f>
        <v>44103</v>
      </c>
      <c r="H125" s="63">
        <f t="shared" ref="H125:I125" ca="1" si="26">RANDBETWEEN(TODAY()-4, TODAY())</f>
        <v>44102</v>
      </c>
      <c r="I125" s="63">
        <f t="shared" ca="1" si="26"/>
        <v>44103</v>
      </c>
      <c r="J125" s="40" t="s">
        <v>0</v>
      </c>
    </row>
    <row r="126" spans="1:10" ht="25.5">
      <c r="A126" s="109" t="s">
        <v>155</v>
      </c>
      <c r="B126" s="114" t="s">
        <v>289</v>
      </c>
      <c r="C126" s="115" t="s">
        <v>130</v>
      </c>
      <c r="D126" s="108" t="s">
        <v>326</v>
      </c>
      <c r="E126" s="62" t="s">
        <v>407</v>
      </c>
      <c r="G126" s="63">
        <f t="shared" ca="1" si="18"/>
        <v>44095</v>
      </c>
      <c r="H126" s="63">
        <f t="shared" ca="1" si="18"/>
        <v>44100</v>
      </c>
      <c r="I126" s="63">
        <f t="shared" ca="1" si="18"/>
        <v>44097</v>
      </c>
      <c r="J126" s="40" t="s">
        <v>0</v>
      </c>
    </row>
    <row r="127" spans="1:10" ht="25.5">
      <c r="A127" s="109" t="s">
        <v>155</v>
      </c>
      <c r="B127" s="114" t="s">
        <v>289</v>
      </c>
      <c r="C127" s="110" t="s">
        <v>130</v>
      </c>
      <c r="D127" s="108" t="s">
        <v>327</v>
      </c>
      <c r="E127" s="62" t="s">
        <v>408</v>
      </c>
      <c r="G127" s="63">
        <f t="shared" ca="1" si="18"/>
        <v>44098</v>
      </c>
      <c r="H127" s="63">
        <f t="shared" ca="1" si="18"/>
        <v>44095</v>
      </c>
      <c r="I127" s="63">
        <f t="shared" ca="1" si="18"/>
        <v>44104</v>
      </c>
      <c r="J127" s="40"/>
    </row>
    <row r="128" spans="1:10" ht="38.25">
      <c r="A128" s="109" t="s">
        <v>155</v>
      </c>
      <c r="B128" s="114" t="s">
        <v>289</v>
      </c>
      <c r="C128" s="115" t="s">
        <v>137</v>
      </c>
      <c r="D128" s="108" t="s">
        <v>328</v>
      </c>
      <c r="E128" s="62" t="s">
        <v>407</v>
      </c>
      <c r="G128" s="63">
        <f t="shared" ca="1" si="18"/>
        <v>44105</v>
      </c>
      <c r="H128" s="63">
        <f t="shared" ca="1" si="18"/>
        <v>44104</v>
      </c>
      <c r="I128" s="63">
        <f t="shared" ca="1" si="18"/>
        <v>44095</v>
      </c>
      <c r="J128" s="40" t="s">
        <v>0</v>
      </c>
    </row>
    <row r="129" spans="1:10" ht="25.5">
      <c r="A129" s="109" t="s">
        <v>155</v>
      </c>
      <c r="B129" s="114" t="s">
        <v>289</v>
      </c>
      <c r="C129" s="115" t="s">
        <v>137</v>
      </c>
      <c r="D129" s="105" t="s">
        <v>329</v>
      </c>
      <c r="E129" s="62" t="s">
        <v>408</v>
      </c>
      <c r="G129" s="63">
        <f t="shared" ca="1" si="18"/>
        <v>44096</v>
      </c>
      <c r="H129" s="63">
        <f t="shared" ca="1" si="18"/>
        <v>44097</v>
      </c>
      <c r="I129" s="63">
        <f t="shared" ca="1" si="18"/>
        <v>44098</v>
      </c>
      <c r="J129" s="40" t="s">
        <v>0</v>
      </c>
    </row>
    <row r="130" spans="1:10" ht="25.5">
      <c r="A130" s="109" t="s">
        <v>155</v>
      </c>
      <c r="B130" s="114" t="s">
        <v>289</v>
      </c>
      <c r="C130" s="115" t="s">
        <v>137</v>
      </c>
      <c r="D130" s="108" t="s">
        <v>330</v>
      </c>
      <c r="E130" s="62" t="s">
        <v>407</v>
      </c>
      <c r="G130" s="63">
        <f ca="1">RANDBETWEEN(TODAY()-4, TODAY())</f>
        <v>44105</v>
      </c>
      <c r="H130" s="63">
        <f t="shared" ref="H130:I130" ca="1" si="27">RANDBETWEEN(TODAY()-4, TODAY())</f>
        <v>44101</v>
      </c>
      <c r="I130" s="63">
        <f t="shared" ca="1" si="27"/>
        <v>44101</v>
      </c>
      <c r="J130" s="40"/>
    </row>
    <row r="131" spans="1:10" ht="38.25">
      <c r="A131" s="109" t="s">
        <v>155</v>
      </c>
      <c r="B131" s="114" t="s">
        <v>289</v>
      </c>
      <c r="C131" s="115" t="s">
        <v>137</v>
      </c>
      <c r="D131" s="105" t="s">
        <v>331</v>
      </c>
      <c r="E131" s="62" t="s">
        <v>408</v>
      </c>
      <c r="G131" s="63">
        <f t="shared" ref="G131:I159" ca="1" si="28">RANDBETWEEN(TODAY()-10, TODAY())</f>
        <v>44102</v>
      </c>
      <c r="H131" s="63">
        <f t="shared" ca="1" si="28"/>
        <v>44098</v>
      </c>
      <c r="I131" s="63">
        <f t="shared" ca="1" si="28"/>
        <v>44100</v>
      </c>
      <c r="J131" s="40"/>
    </row>
    <row r="132" spans="1:10" ht="51">
      <c r="A132" s="116" t="s">
        <v>332</v>
      </c>
      <c r="B132" s="104" t="s">
        <v>334</v>
      </c>
      <c r="C132" s="105" t="s">
        <v>193</v>
      </c>
      <c r="D132" s="105" t="s">
        <v>338</v>
      </c>
      <c r="E132" s="62" t="s">
        <v>407</v>
      </c>
      <c r="G132" s="63">
        <f ca="1">RANDBETWEEN(TODAY()-4, TODAY())</f>
        <v>44102</v>
      </c>
      <c r="H132" s="63">
        <f t="shared" ref="H132:I132" ca="1" si="29">RANDBETWEEN(TODAY()-4, TODAY())</f>
        <v>44105</v>
      </c>
      <c r="I132" s="63">
        <f t="shared" ca="1" si="29"/>
        <v>44103</v>
      </c>
      <c r="J132" s="40"/>
    </row>
    <row r="133" spans="1:10" ht="51">
      <c r="A133" s="116" t="s">
        <v>332</v>
      </c>
      <c r="B133" s="104" t="s">
        <v>334</v>
      </c>
      <c r="C133" s="105" t="s">
        <v>193</v>
      </c>
      <c r="D133" s="108" t="s">
        <v>339</v>
      </c>
      <c r="E133" s="62" t="s">
        <v>408</v>
      </c>
      <c r="G133" s="63">
        <f t="shared" ca="1" si="28"/>
        <v>44098</v>
      </c>
      <c r="H133" s="63">
        <f t="shared" ca="1" si="28"/>
        <v>44104</v>
      </c>
      <c r="I133" s="63">
        <f t="shared" ca="1" si="28"/>
        <v>44095</v>
      </c>
      <c r="J133" s="40"/>
    </row>
    <row r="134" spans="1:10" ht="25.5">
      <c r="A134" s="116" t="s">
        <v>332</v>
      </c>
      <c r="B134" s="104" t="s">
        <v>334</v>
      </c>
      <c r="C134" s="105" t="s">
        <v>193</v>
      </c>
      <c r="D134" s="108" t="s">
        <v>340</v>
      </c>
      <c r="E134" s="62" t="s">
        <v>407</v>
      </c>
      <c r="G134" s="63">
        <f t="shared" ca="1" si="28"/>
        <v>44098</v>
      </c>
      <c r="H134" s="63">
        <f t="shared" ca="1" si="28"/>
        <v>44102</v>
      </c>
      <c r="I134" s="63">
        <f t="shared" ca="1" si="28"/>
        <v>44104</v>
      </c>
      <c r="J134" s="40"/>
    </row>
    <row r="135" spans="1:10" ht="25.5">
      <c r="A135" s="116" t="s">
        <v>332</v>
      </c>
      <c r="B135" s="104" t="s">
        <v>334</v>
      </c>
      <c r="C135" s="105" t="s">
        <v>130</v>
      </c>
      <c r="D135" s="108" t="s">
        <v>341</v>
      </c>
      <c r="E135" s="62" t="s">
        <v>408</v>
      </c>
      <c r="G135" s="63">
        <f t="shared" ca="1" si="28"/>
        <v>44098</v>
      </c>
      <c r="H135" s="63">
        <f t="shared" ca="1" si="28"/>
        <v>44102</v>
      </c>
      <c r="I135" s="63">
        <f t="shared" ca="1" si="28"/>
        <v>44098</v>
      </c>
      <c r="J135" s="40"/>
    </row>
    <row r="136" spans="1:10" ht="38.25">
      <c r="A136" s="116" t="s">
        <v>332</v>
      </c>
      <c r="B136" s="104" t="s">
        <v>334</v>
      </c>
      <c r="C136" s="105" t="s">
        <v>193</v>
      </c>
      <c r="D136" s="108" t="s">
        <v>342</v>
      </c>
      <c r="E136" s="62" t="s">
        <v>407</v>
      </c>
      <c r="G136" s="63">
        <f t="shared" ca="1" si="28"/>
        <v>44099</v>
      </c>
      <c r="H136" s="63">
        <f t="shared" ca="1" si="28"/>
        <v>44102</v>
      </c>
      <c r="I136" s="63">
        <f t="shared" ca="1" si="28"/>
        <v>44100</v>
      </c>
      <c r="J136" s="40"/>
    </row>
    <row r="137" spans="1:10" ht="25.5">
      <c r="A137" s="116" t="s">
        <v>332</v>
      </c>
      <c r="B137" s="104" t="s">
        <v>332</v>
      </c>
      <c r="C137" s="105" t="s">
        <v>193</v>
      </c>
      <c r="D137" s="108" t="s">
        <v>343</v>
      </c>
      <c r="E137" s="62" t="s">
        <v>408</v>
      </c>
      <c r="G137" s="63">
        <f t="shared" ca="1" si="28"/>
        <v>44096</v>
      </c>
      <c r="H137" s="63">
        <f t="shared" ca="1" si="28"/>
        <v>44103</v>
      </c>
      <c r="I137" s="63">
        <f t="shared" ca="1" si="28"/>
        <v>44099</v>
      </c>
      <c r="J137" s="40"/>
    </row>
    <row r="138" spans="1:10" ht="38.25">
      <c r="A138" s="116" t="s">
        <v>332</v>
      </c>
      <c r="B138" s="104" t="s">
        <v>332</v>
      </c>
      <c r="C138" s="105" t="s">
        <v>193</v>
      </c>
      <c r="D138" s="108" t="s">
        <v>344</v>
      </c>
      <c r="E138" s="62" t="s">
        <v>407</v>
      </c>
      <c r="G138" s="63">
        <f t="shared" ca="1" si="28"/>
        <v>44105</v>
      </c>
      <c r="H138" s="63">
        <f t="shared" ca="1" si="28"/>
        <v>44105</v>
      </c>
      <c r="I138" s="63">
        <f t="shared" ca="1" si="28"/>
        <v>44097</v>
      </c>
      <c r="J138" s="40"/>
    </row>
    <row r="139" spans="1:10" ht="38.25">
      <c r="A139" s="116" t="s">
        <v>332</v>
      </c>
      <c r="B139" s="104" t="s">
        <v>332</v>
      </c>
      <c r="C139" s="105" t="s">
        <v>193</v>
      </c>
      <c r="D139" s="108" t="s">
        <v>345</v>
      </c>
      <c r="E139" s="62" t="s">
        <v>408</v>
      </c>
      <c r="G139" s="63">
        <f t="shared" ca="1" si="28"/>
        <v>44098</v>
      </c>
      <c r="H139" s="63">
        <f t="shared" ca="1" si="28"/>
        <v>44098</v>
      </c>
      <c r="I139" s="63">
        <f t="shared" ca="1" si="28"/>
        <v>44095</v>
      </c>
      <c r="J139" s="40"/>
    </row>
    <row r="140" spans="1:10" ht="25.5">
      <c r="A140" s="116" t="s">
        <v>332</v>
      </c>
      <c r="B140" s="104" t="s">
        <v>332</v>
      </c>
      <c r="C140" s="105" t="s">
        <v>136</v>
      </c>
      <c r="D140" s="108" t="s">
        <v>346</v>
      </c>
      <c r="E140" s="62" t="s">
        <v>407</v>
      </c>
      <c r="G140" s="63">
        <f t="shared" ca="1" si="28"/>
        <v>44101</v>
      </c>
      <c r="H140" s="63">
        <f t="shared" ca="1" si="28"/>
        <v>44101</v>
      </c>
      <c r="I140" s="63">
        <f t="shared" ca="1" si="28"/>
        <v>44096</v>
      </c>
      <c r="J140" s="40"/>
    </row>
    <row r="141" spans="1:10" ht="25.5">
      <c r="A141" s="116" t="s">
        <v>332</v>
      </c>
      <c r="B141" s="104" t="s">
        <v>332</v>
      </c>
      <c r="C141" s="105" t="s">
        <v>136</v>
      </c>
      <c r="D141" s="108" t="s">
        <v>347</v>
      </c>
      <c r="E141" s="62" t="s">
        <v>408</v>
      </c>
      <c r="G141" s="63">
        <f t="shared" ca="1" si="28"/>
        <v>44102</v>
      </c>
      <c r="H141" s="63">
        <f t="shared" ca="1" si="28"/>
        <v>44098</v>
      </c>
      <c r="I141" s="63">
        <f t="shared" ca="1" si="28"/>
        <v>44105</v>
      </c>
      <c r="J141" s="40"/>
    </row>
    <row r="142" spans="1:10" ht="38.25">
      <c r="A142" s="116" t="s">
        <v>332</v>
      </c>
      <c r="B142" s="104" t="s">
        <v>335</v>
      </c>
      <c r="C142" s="105" t="s">
        <v>136</v>
      </c>
      <c r="D142" s="108" t="s">
        <v>348</v>
      </c>
      <c r="E142" s="62" t="s">
        <v>407</v>
      </c>
      <c r="G142" s="63">
        <f t="shared" ca="1" si="28"/>
        <v>44100</v>
      </c>
      <c r="H142" s="63">
        <f t="shared" ca="1" si="28"/>
        <v>44104</v>
      </c>
      <c r="I142" s="63">
        <f t="shared" ca="1" si="28"/>
        <v>44095</v>
      </c>
      <c r="J142" s="40"/>
    </row>
    <row r="143" spans="1:10" ht="51">
      <c r="A143" s="116" t="s">
        <v>332</v>
      </c>
      <c r="B143" s="104" t="s">
        <v>335</v>
      </c>
      <c r="C143" s="105" t="s">
        <v>136</v>
      </c>
      <c r="D143" s="108" t="s">
        <v>349</v>
      </c>
      <c r="E143" s="62" t="s">
        <v>408</v>
      </c>
      <c r="G143" s="63">
        <f t="shared" ca="1" si="28"/>
        <v>44097</v>
      </c>
      <c r="H143" s="63">
        <f t="shared" ca="1" si="28"/>
        <v>44099</v>
      </c>
      <c r="I143" s="63">
        <f t="shared" ca="1" si="28"/>
        <v>44095</v>
      </c>
      <c r="J143" s="40"/>
    </row>
    <row r="144" spans="1:10" ht="38.25">
      <c r="A144" s="116" t="s">
        <v>332</v>
      </c>
      <c r="B144" s="104" t="s">
        <v>335</v>
      </c>
      <c r="C144" s="105" t="s">
        <v>136</v>
      </c>
      <c r="D144" s="108" t="s">
        <v>350</v>
      </c>
      <c r="E144" s="62" t="s">
        <v>407</v>
      </c>
      <c r="G144" s="63">
        <f t="shared" ca="1" si="28"/>
        <v>44096</v>
      </c>
      <c r="H144" s="63">
        <f t="shared" ca="1" si="28"/>
        <v>44104</v>
      </c>
      <c r="I144" s="63">
        <f t="shared" ca="1" si="28"/>
        <v>44097</v>
      </c>
      <c r="J144" s="40"/>
    </row>
    <row r="145" spans="1:10" ht="51">
      <c r="A145" s="116" t="s">
        <v>332</v>
      </c>
      <c r="B145" s="104" t="s">
        <v>335</v>
      </c>
      <c r="C145" s="105" t="s">
        <v>136</v>
      </c>
      <c r="D145" s="108" t="s">
        <v>351</v>
      </c>
      <c r="E145" s="62" t="s">
        <v>408</v>
      </c>
      <c r="G145" s="63">
        <f t="shared" ca="1" si="28"/>
        <v>44098</v>
      </c>
      <c r="H145" s="63">
        <f t="shared" ca="1" si="28"/>
        <v>44105</v>
      </c>
      <c r="I145" s="63">
        <f t="shared" ca="1" si="28"/>
        <v>44100</v>
      </c>
      <c r="J145" s="40"/>
    </row>
    <row r="146" spans="1:10" ht="38.25">
      <c r="A146" s="116" t="s">
        <v>332</v>
      </c>
      <c r="B146" s="104" t="s">
        <v>335</v>
      </c>
      <c r="C146" s="105" t="s">
        <v>136</v>
      </c>
      <c r="D146" s="108" t="s">
        <v>352</v>
      </c>
      <c r="E146" s="62" t="s">
        <v>407</v>
      </c>
      <c r="G146" s="63">
        <f t="shared" ca="1" si="28"/>
        <v>44098</v>
      </c>
      <c r="H146" s="63">
        <f t="shared" ca="1" si="28"/>
        <v>44104</v>
      </c>
      <c r="I146" s="63">
        <f t="shared" ca="1" si="28"/>
        <v>44097</v>
      </c>
      <c r="J146" s="40"/>
    </row>
    <row r="147" spans="1:10" ht="38.25">
      <c r="A147" s="116" t="s">
        <v>332</v>
      </c>
      <c r="B147" s="104" t="s">
        <v>336</v>
      </c>
      <c r="C147" s="105" t="s">
        <v>137</v>
      </c>
      <c r="D147" s="108" t="s">
        <v>353</v>
      </c>
      <c r="E147" s="62" t="s">
        <v>408</v>
      </c>
      <c r="G147" s="63">
        <f t="shared" ca="1" si="28"/>
        <v>44095</v>
      </c>
      <c r="H147" s="63">
        <f t="shared" ca="1" si="28"/>
        <v>44103</v>
      </c>
      <c r="I147" s="63">
        <f t="shared" ca="1" si="28"/>
        <v>44099</v>
      </c>
      <c r="J147" s="40"/>
    </row>
    <row r="148" spans="1:10" ht="25.5">
      <c r="A148" s="116" t="s">
        <v>332</v>
      </c>
      <c r="B148" s="104" t="s">
        <v>336</v>
      </c>
      <c r="C148" s="105" t="s">
        <v>137</v>
      </c>
      <c r="D148" s="108" t="s">
        <v>354</v>
      </c>
      <c r="E148" s="62" t="s">
        <v>407</v>
      </c>
      <c r="G148" s="63">
        <f t="shared" ca="1" si="28"/>
        <v>44096</v>
      </c>
      <c r="H148" s="63">
        <f t="shared" ca="1" si="28"/>
        <v>44097</v>
      </c>
      <c r="I148" s="63">
        <f t="shared" ca="1" si="28"/>
        <v>44099</v>
      </c>
      <c r="J148" s="40"/>
    </row>
    <row r="149" spans="1:10" ht="89.25">
      <c r="A149" s="116" t="s">
        <v>332</v>
      </c>
      <c r="B149" s="104" t="s">
        <v>336</v>
      </c>
      <c r="C149" s="105" t="s">
        <v>137</v>
      </c>
      <c r="D149" s="108" t="s">
        <v>355</v>
      </c>
      <c r="E149" s="62" t="s">
        <v>408</v>
      </c>
      <c r="G149" s="63">
        <f t="shared" ca="1" si="28"/>
        <v>44095</v>
      </c>
      <c r="H149" s="63">
        <f t="shared" ca="1" si="28"/>
        <v>44105</v>
      </c>
      <c r="I149" s="63">
        <f t="shared" ca="1" si="28"/>
        <v>44096</v>
      </c>
      <c r="J149" s="40"/>
    </row>
    <row r="150" spans="1:10" ht="25.5">
      <c r="A150" s="116" t="s">
        <v>332</v>
      </c>
      <c r="B150" s="104" t="s">
        <v>336</v>
      </c>
      <c r="C150" s="105" t="s">
        <v>137</v>
      </c>
      <c r="D150" s="108" t="s">
        <v>356</v>
      </c>
      <c r="E150" s="62" t="s">
        <v>407</v>
      </c>
      <c r="G150" s="63">
        <f t="shared" ca="1" si="28"/>
        <v>44098</v>
      </c>
      <c r="H150" s="63">
        <f t="shared" ca="1" si="28"/>
        <v>44096</v>
      </c>
      <c r="I150" s="63">
        <f t="shared" ca="1" si="28"/>
        <v>44100</v>
      </c>
      <c r="J150" s="40"/>
    </row>
    <row r="151" spans="1:10" ht="25.5">
      <c r="A151" s="116" t="s">
        <v>332</v>
      </c>
      <c r="B151" s="104" t="s">
        <v>336</v>
      </c>
      <c r="C151" s="105" t="s">
        <v>136</v>
      </c>
      <c r="D151" s="108" t="s">
        <v>357</v>
      </c>
      <c r="E151" s="62" t="s">
        <v>408</v>
      </c>
      <c r="G151" s="63">
        <f t="shared" ca="1" si="28"/>
        <v>44102</v>
      </c>
      <c r="H151" s="63">
        <f t="shared" ca="1" si="28"/>
        <v>44097</v>
      </c>
      <c r="I151" s="63">
        <f t="shared" ca="1" si="28"/>
        <v>44103</v>
      </c>
      <c r="J151" s="40"/>
    </row>
    <row r="152" spans="1:10" ht="25.5">
      <c r="A152" s="116" t="s">
        <v>332</v>
      </c>
      <c r="B152" s="104" t="s">
        <v>336</v>
      </c>
      <c r="C152" s="105" t="s">
        <v>136</v>
      </c>
      <c r="D152" s="108" t="s">
        <v>358</v>
      </c>
      <c r="E152" s="62" t="s">
        <v>407</v>
      </c>
      <c r="G152" s="63">
        <f t="shared" ca="1" si="28"/>
        <v>44100</v>
      </c>
      <c r="H152" s="63">
        <f t="shared" ca="1" si="28"/>
        <v>44105</v>
      </c>
      <c r="I152" s="63">
        <f t="shared" ca="1" si="28"/>
        <v>44103</v>
      </c>
      <c r="J152" s="40"/>
    </row>
    <row r="153" spans="1:10" ht="38.25">
      <c r="A153" s="116" t="s">
        <v>332</v>
      </c>
      <c r="B153" s="104" t="s">
        <v>336</v>
      </c>
      <c r="C153" s="105" t="s">
        <v>130</v>
      </c>
      <c r="D153" s="108" t="s">
        <v>359</v>
      </c>
      <c r="E153" s="62" t="s">
        <v>408</v>
      </c>
      <c r="G153" s="63">
        <f t="shared" ca="1" si="28"/>
        <v>44104</v>
      </c>
      <c r="H153" s="63">
        <f t="shared" ca="1" si="28"/>
        <v>44098</v>
      </c>
      <c r="I153" s="63">
        <f t="shared" ca="1" si="28"/>
        <v>44104</v>
      </c>
      <c r="J153" s="40"/>
    </row>
    <row r="154" spans="1:10" ht="38.25">
      <c r="A154" s="116" t="s">
        <v>332</v>
      </c>
      <c r="B154" s="104" t="s">
        <v>336</v>
      </c>
      <c r="C154" s="105" t="s">
        <v>130</v>
      </c>
      <c r="D154" s="108" t="s">
        <v>360</v>
      </c>
      <c r="E154" s="62" t="s">
        <v>407</v>
      </c>
      <c r="G154" s="63">
        <f t="shared" ca="1" si="28"/>
        <v>44102</v>
      </c>
      <c r="H154" s="63">
        <f t="shared" ca="1" si="28"/>
        <v>44097</v>
      </c>
      <c r="I154" s="63">
        <f t="shared" ca="1" si="28"/>
        <v>44096</v>
      </c>
      <c r="J154" s="40"/>
    </row>
    <row r="155" spans="1:10" ht="38.25">
      <c r="A155" s="116" t="s">
        <v>332</v>
      </c>
      <c r="B155" s="104" t="s">
        <v>156</v>
      </c>
      <c r="C155" s="105" t="s">
        <v>136</v>
      </c>
      <c r="D155" s="108" t="s">
        <v>361</v>
      </c>
      <c r="E155" s="62" t="s">
        <v>408</v>
      </c>
      <c r="G155" s="63">
        <f t="shared" ca="1" si="28"/>
        <v>44099</v>
      </c>
      <c r="H155" s="63">
        <f t="shared" ca="1" si="28"/>
        <v>44105</v>
      </c>
      <c r="I155" s="63">
        <f t="shared" ca="1" si="28"/>
        <v>44098</v>
      </c>
      <c r="J155" s="40"/>
    </row>
    <row r="156" spans="1:10" ht="25.5">
      <c r="A156" s="116" t="s">
        <v>332</v>
      </c>
      <c r="B156" s="104" t="s">
        <v>156</v>
      </c>
      <c r="C156" s="105" t="s">
        <v>136</v>
      </c>
      <c r="D156" s="108" t="s">
        <v>362</v>
      </c>
      <c r="E156" s="62" t="s">
        <v>407</v>
      </c>
      <c r="G156" s="63">
        <f t="shared" ca="1" si="28"/>
        <v>44095</v>
      </c>
      <c r="H156" s="63">
        <f t="shared" ca="1" si="28"/>
        <v>44097</v>
      </c>
      <c r="I156" s="63">
        <f t="shared" ca="1" si="28"/>
        <v>44105</v>
      </c>
      <c r="J156" s="40"/>
    </row>
    <row r="157" spans="1:10" ht="51">
      <c r="A157" s="116" t="s">
        <v>332</v>
      </c>
      <c r="B157" s="104" t="s">
        <v>156</v>
      </c>
      <c r="C157" s="105" t="s">
        <v>136</v>
      </c>
      <c r="D157" s="108" t="s">
        <v>363</v>
      </c>
      <c r="E157" s="62" t="s">
        <v>408</v>
      </c>
      <c r="G157" s="63">
        <f t="shared" ca="1" si="28"/>
        <v>44100</v>
      </c>
      <c r="H157" s="63">
        <f t="shared" ca="1" si="28"/>
        <v>44097</v>
      </c>
      <c r="I157" s="63">
        <f t="shared" ca="1" si="28"/>
        <v>44100</v>
      </c>
      <c r="J157" s="40" t="s">
        <v>0</v>
      </c>
    </row>
    <row r="158" spans="1:10" ht="25.5">
      <c r="A158" s="116" t="s">
        <v>332</v>
      </c>
      <c r="B158" s="104" t="s">
        <v>156</v>
      </c>
      <c r="C158" s="105" t="s">
        <v>130</v>
      </c>
      <c r="D158" s="108" t="s">
        <v>364</v>
      </c>
      <c r="E158" s="62" t="s">
        <v>407</v>
      </c>
      <c r="G158" s="63">
        <f t="shared" ca="1" si="28"/>
        <v>44096</v>
      </c>
      <c r="H158" s="63">
        <f t="shared" ca="1" si="28"/>
        <v>44105</v>
      </c>
      <c r="I158" s="63">
        <f t="shared" ca="1" si="28"/>
        <v>44105</v>
      </c>
      <c r="J158" s="40"/>
    </row>
    <row r="159" spans="1:10" ht="25.5">
      <c r="A159" s="116" t="s">
        <v>333</v>
      </c>
      <c r="B159" s="104" t="s">
        <v>337</v>
      </c>
      <c r="C159" s="105" t="s">
        <v>136</v>
      </c>
      <c r="D159" s="108" t="s">
        <v>365</v>
      </c>
      <c r="E159" s="62" t="s">
        <v>408</v>
      </c>
      <c r="G159" s="63">
        <f t="shared" ca="1" si="28"/>
        <v>44095</v>
      </c>
      <c r="H159" s="63">
        <f t="shared" ca="1" si="28"/>
        <v>44103</v>
      </c>
      <c r="I159" s="63">
        <f t="shared" ca="1" si="28"/>
        <v>44099</v>
      </c>
      <c r="J159" s="40"/>
    </row>
    <row r="160" spans="1:10" ht="12.75">
      <c r="A160" s="116"/>
      <c r="B160" s="104"/>
      <c r="C160" s="105"/>
      <c r="D160" s="108"/>
      <c r="E160" s="62"/>
      <c r="G160" s="63"/>
      <c r="H160" s="63"/>
      <c r="I160" s="63"/>
      <c r="J160" s="40"/>
    </row>
    <row r="161" spans="1:10" ht="12.75">
      <c r="A161" s="116"/>
      <c r="B161" s="104"/>
      <c r="C161" s="105"/>
      <c r="D161" s="108"/>
      <c r="E161" s="62"/>
      <c r="G161" s="63"/>
      <c r="H161" s="63"/>
      <c r="I161" s="63"/>
      <c r="J161" s="40"/>
    </row>
    <row r="2141" spans="2:6">
      <c r="B2141" s="18"/>
      <c r="F2141" s="20"/>
    </row>
    <row r="2142" spans="2:6">
      <c r="B2142" s="18"/>
      <c r="F2142" s="20"/>
    </row>
    <row r="2143" spans="2:6">
      <c r="B2143" s="18"/>
      <c r="F2143" s="20"/>
    </row>
    <row r="2144" spans="2:6">
      <c r="B2144" s="18"/>
      <c r="F2144" s="20"/>
    </row>
    <row r="2145" spans="2:6">
      <c r="B2145" s="18"/>
      <c r="F2145" s="20"/>
    </row>
    <row r="2146" spans="2:6">
      <c r="B2146" s="18"/>
      <c r="F2146" s="20"/>
    </row>
    <row r="2147" spans="2:6">
      <c r="B2147" s="18"/>
      <c r="F2147" s="20"/>
    </row>
    <row r="2148" spans="2:6">
      <c r="B2148" s="18"/>
      <c r="F2148" s="20"/>
    </row>
    <row r="2149" spans="2:6">
      <c r="B2149" s="18"/>
      <c r="F2149" s="20"/>
    </row>
    <row r="2150" spans="2:6">
      <c r="B2150" s="18"/>
      <c r="F2150" s="20"/>
    </row>
    <row r="2151" spans="2:6">
      <c r="B2151" s="18"/>
      <c r="F2151" s="20"/>
    </row>
    <row r="2152" spans="2:6">
      <c r="B2152" s="18"/>
      <c r="F2152" s="20"/>
    </row>
    <row r="2153" spans="2:6">
      <c r="B2153" s="18"/>
      <c r="F2153" s="20"/>
    </row>
    <row r="2154" spans="2:6">
      <c r="B2154" s="18"/>
      <c r="F2154" s="20"/>
    </row>
    <row r="2155" spans="2:6">
      <c r="B2155" s="18"/>
      <c r="F2155" s="20"/>
    </row>
    <row r="2156" spans="2:6">
      <c r="B2156" s="18"/>
      <c r="F2156" s="20"/>
    </row>
    <row r="2157" spans="2:6">
      <c r="B2157" s="18"/>
      <c r="F2157" s="20"/>
    </row>
    <row r="2158" spans="2:6">
      <c r="B2158" s="18"/>
      <c r="F2158" s="20"/>
    </row>
    <row r="2159" spans="2:6">
      <c r="B2159" s="18"/>
      <c r="F2159" s="20"/>
    </row>
    <row r="2160" spans="2:6">
      <c r="B2160" s="18"/>
      <c r="F2160" s="20"/>
    </row>
    <row r="2161" spans="2:6">
      <c r="B2161" s="18"/>
      <c r="F2161" s="20"/>
    </row>
    <row r="2162" spans="2:6">
      <c r="B2162" s="18"/>
      <c r="F2162" s="20"/>
    </row>
    <row r="2163" spans="2:6">
      <c r="B2163" s="18"/>
      <c r="F2163" s="20"/>
    </row>
    <row r="2164" spans="2:6">
      <c r="B2164" s="18"/>
      <c r="F2164" s="20"/>
    </row>
    <row r="2165" spans="2:6">
      <c r="B2165" s="18"/>
      <c r="F2165" s="20"/>
    </row>
    <row r="2166" spans="2:6">
      <c r="B2166" s="18"/>
      <c r="F2166" s="20"/>
    </row>
    <row r="2167" spans="2:6">
      <c r="B2167" s="18"/>
      <c r="F2167" s="20"/>
    </row>
    <row r="2168" spans="2:6">
      <c r="B2168" s="18"/>
      <c r="F2168" s="20"/>
    </row>
    <row r="2169" spans="2:6">
      <c r="B2169" s="18"/>
      <c r="F2169" s="20"/>
    </row>
    <row r="2170" spans="2:6">
      <c r="B2170" s="18"/>
      <c r="F2170" s="20"/>
    </row>
    <row r="2171" spans="2:6">
      <c r="B2171" s="18"/>
      <c r="F2171" s="20"/>
    </row>
    <row r="2172" spans="2:6">
      <c r="B2172" s="18"/>
      <c r="F2172" s="20"/>
    </row>
    <row r="2173" spans="2:6">
      <c r="B2173" s="18"/>
      <c r="F2173" s="20"/>
    </row>
    <row r="2174" spans="2:6">
      <c r="B2174" s="18"/>
      <c r="F2174" s="20"/>
    </row>
    <row r="2175" spans="2:6">
      <c r="B2175" s="18"/>
      <c r="F2175" s="20"/>
    </row>
    <row r="2176" spans="2:6">
      <c r="B2176" s="18"/>
      <c r="F2176" s="20"/>
    </row>
    <row r="2177" spans="2:6">
      <c r="B2177" s="18"/>
      <c r="F2177" s="20"/>
    </row>
    <row r="2178" spans="2:6">
      <c r="B2178" s="18"/>
      <c r="F2178" s="20"/>
    </row>
    <row r="2179" spans="2:6">
      <c r="B2179" s="18"/>
      <c r="F2179" s="20"/>
    </row>
    <row r="2180" spans="2:6">
      <c r="B2180" s="18"/>
      <c r="F2180" s="20"/>
    </row>
    <row r="2181" spans="2:6">
      <c r="B2181" s="18"/>
      <c r="F2181" s="20"/>
    </row>
    <row r="2182" spans="2:6">
      <c r="B2182" s="18"/>
      <c r="F2182" s="20"/>
    </row>
    <row r="2183" spans="2:6">
      <c r="B2183" s="18"/>
      <c r="F2183" s="20"/>
    </row>
    <row r="2184" spans="2:6">
      <c r="B2184" s="18"/>
      <c r="F2184" s="20"/>
    </row>
    <row r="2185" spans="2:6">
      <c r="B2185" s="18"/>
      <c r="F2185" s="20"/>
    </row>
    <row r="2186" spans="2:6">
      <c r="B2186" s="18"/>
      <c r="F2186" s="20"/>
    </row>
    <row r="2187" spans="2:6">
      <c r="B2187" s="18"/>
      <c r="F2187" s="20"/>
    </row>
    <row r="2188" spans="2:6">
      <c r="B2188" s="18"/>
      <c r="F2188" s="20"/>
    </row>
  </sheetData>
  <autoFilter ref="A1:J159" xr:uid="{00000000-0009-0000-0000-000007000000}"/>
  <dataConsolidate/>
  <customSheetViews>
    <customSheetView guid="{D2A2FE10-E5D0-4A4C-953C-A7AA87BC6F22}" showAutoFilter="1">
      <selection activeCell="K2" sqref="K2"/>
      <pageMargins left="0.75" right="0.75" top="1" bottom="1" header="0.5" footer="0.5"/>
      <pageSetup paperSize="9" orientation="portrait" verticalDpi="0" r:id="rId1"/>
      <headerFooter alignWithMargins="0"/>
      <autoFilter ref="A1:M147" xr:uid="{00000000-0000-0000-0000-000000000000}"/>
    </customSheetView>
  </customSheetViews>
  <phoneticPr fontId="25" type="noConversion"/>
  <conditionalFormatting sqref="C1:C1048576">
    <cfRule type="cellIs" dxfId="12" priority="1" operator="equal">
      <formula>"UI"</formula>
    </cfRule>
    <cfRule type="cellIs" dxfId="11" priority="14" operator="equal">
      <formula>"FUNCTIONAL"</formula>
    </cfRule>
    <cfRule type="cellIs" dxfId="10" priority="15" operator="equal">
      <formula>"DATA"</formula>
    </cfRule>
    <cfRule type="cellIs" dxfId="9" priority="16" operator="equal">
      <formula>"Config"</formula>
    </cfRule>
    <cfRule type="cellIs" dxfId="8" priority="22" operator="equal">
      <formula>"DEFAULT"</formula>
    </cfRule>
    <cfRule type="cellIs" dxfId="7" priority="23" operator="equal">
      <formula>"CONTENT"</formula>
    </cfRule>
  </conditionalFormatting>
  <conditionalFormatting sqref="F1:F1048576">
    <cfRule type="cellIs" dxfId="6" priority="13" operator="equal">
      <formula>"High"</formula>
    </cfRule>
  </conditionalFormatting>
  <conditionalFormatting sqref="G1:I1">
    <cfRule type="cellIs" dxfId="5" priority="8" operator="equal">
      <formula>"High"</formula>
    </cfRule>
  </conditionalFormatting>
  <conditionalFormatting sqref="J1:J1048576">
    <cfRule type="cellIs" dxfId="4" priority="6" operator="equal">
      <formula>"Blocked"</formula>
    </cfRule>
    <cfRule type="cellIs" dxfId="3" priority="7" operator="equal">
      <formula>"Failed"</formula>
    </cfRule>
  </conditionalFormatting>
  <dataValidations count="2">
    <dataValidation type="list" allowBlank="1" showInputMessage="1" showErrorMessage="1" sqref="F261:F1048576 J447:J1048576" xr:uid="{00000000-0002-0000-0700-000000000000}">
      <formula1>#REF!</formula1>
    </dataValidation>
    <dataValidation type="list" allowBlank="1" showInputMessage="1" showErrorMessage="1" sqref="C132:C1048576" xr:uid="{00000000-0002-0000-0700-000001000000}">
      <formula1>$M$62:$M$69</formula1>
    </dataValidation>
  </dataValidations>
  <pageMargins left="0.75" right="0.75" top="1" bottom="1" header="0.5" footer="0.5"/>
  <pageSetup paperSize="9" orientation="portrait" r:id="rId2"/>
  <headerFooter alignWithMargins="0"/>
  <legacyDrawing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700-000002000000}">
          <x14:formula1>
            <xm:f>Calculations!$M$43:$M$46</xm:f>
          </x14:formula1>
          <xm:sqref>J1</xm:sqref>
        </x14:dataValidation>
        <x14:dataValidation type="list" allowBlank="1" showInputMessage="1" showErrorMessage="1" xr:uid="{00000000-0002-0000-0700-000003000000}">
          <x14:formula1>
            <xm:f>Calculations!$M$70:$M$77</xm:f>
          </x14:formula1>
          <xm:sqref>C1</xm:sqref>
        </x14:dataValidation>
        <x14:dataValidation type="list" allowBlank="1" showInputMessage="1" showErrorMessage="1" xr:uid="{00000000-0002-0000-0700-000004000000}">
          <x14:formula1>
            <xm:f>Calculations!$M$53:$M$62</xm:f>
          </x14:formula1>
          <xm:sqref>E2:E161</xm:sqref>
        </x14:dataValidation>
        <x14:dataValidation type="list" allowBlank="1" showInputMessage="1" showErrorMessage="1" xr:uid="{00000000-0002-0000-0700-000005000000}">
          <x14:formula1>
            <xm:f>Calculations!$M$49:$M$51</xm:f>
          </x14:formula1>
          <xm:sqref>F2:F260</xm:sqref>
        </x14:dataValidation>
        <x14:dataValidation type="list" allowBlank="1" showInputMessage="1" showErrorMessage="1" xr:uid="{00000000-0002-0000-0700-000006000000}">
          <x14:formula1>
            <xm:f>Calculations!$M$43:$M$47</xm:f>
          </x14:formula1>
          <xm:sqref>J2:J446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>
    <tabColor theme="1" tint="0.14999847407452621"/>
  </sheetPr>
  <dimension ref="A1:AH376"/>
  <sheetViews>
    <sheetView zoomScale="40" zoomScaleNormal="40" workbookViewId="0">
      <selection activeCell="O11" sqref="O11"/>
    </sheetView>
  </sheetViews>
  <sheetFormatPr defaultRowHeight="12.75"/>
  <cols>
    <col min="1" max="1" width="10.28515625" style="5" bestFit="1" customWidth="1"/>
    <col min="2" max="2" width="7.42578125" style="24" bestFit="1" customWidth="1"/>
    <col min="3" max="3" width="11.42578125" style="29" bestFit="1" customWidth="1"/>
    <col min="4" max="4" width="7.85546875" style="29" customWidth="1"/>
    <col min="5" max="5" width="7.140625" style="29" customWidth="1"/>
    <col min="6" max="6" width="10.85546875" style="29" customWidth="1"/>
    <col min="7" max="7" width="10.5703125" style="29" customWidth="1"/>
    <col min="8" max="8" width="9.7109375" style="29" customWidth="1"/>
    <col min="9" max="9" width="9" style="29" customWidth="1"/>
    <col min="10" max="10" width="8.5703125" style="29" bestFit="1" customWidth="1"/>
    <col min="11" max="11" width="7.85546875" style="61" customWidth="1"/>
    <col min="12" max="12" width="16.7109375" style="22" bestFit="1" customWidth="1"/>
    <col min="13" max="13" width="17.28515625" style="22" customWidth="1"/>
    <col min="14" max="14" width="9.28515625" style="22" bestFit="1" customWidth="1"/>
    <col min="15" max="15" width="15.5703125" style="22" customWidth="1"/>
    <col min="16" max="16" width="13.85546875" style="22" bestFit="1" customWidth="1"/>
    <col min="17" max="17" width="11" style="22" bestFit="1" customWidth="1"/>
    <col min="18" max="18" width="10.85546875" style="22" bestFit="1" customWidth="1"/>
    <col min="19" max="19" width="9.85546875" style="22" bestFit="1" customWidth="1"/>
    <col min="20" max="20" width="10.7109375" style="22" customWidth="1"/>
    <col min="21" max="21" width="9.140625" style="22"/>
    <col min="22" max="22" width="15.5703125" style="22" customWidth="1"/>
    <col min="23" max="23" width="19.140625" style="6" customWidth="1"/>
    <col min="24" max="24" width="14.85546875" style="2" bestFit="1" customWidth="1"/>
    <col min="25" max="25" width="7.140625" style="2" customWidth="1"/>
    <col min="26" max="27" width="12.42578125" style="2" customWidth="1"/>
    <col min="28" max="28" width="18.140625" style="2" bestFit="1" customWidth="1"/>
    <col min="29" max="29" width="13.5703125" style="2" customWidth="1"/>
    <col min="30" max="16384" width="9.140625" style="2"/>
  </cols>
  <sheetData>
    <row r="1" spans="1:34">
      <c r="A1" s="145" t="s">
        <v>9</v>
      </c>
      <c r="B1" s="146" t="s">
        <v>7</v>
      </c>
      <c r="C1" s="147" t="s">
        <v>30</v>
      </c>
      <c r="D1" s="147" t="s">
        <v>29</v>
      </c>
      <c r="E1" s="147" t="s">
        <v>8</v>
      </c>
      <c r="F1" s="147" t="s">
        <v>43</v>
      </c>
      <c r="G1" s="147" t="s">
        <v>48</v>
      </c>
      <c r="H1" s="147" t="s">
        <v>44</v>
      </c>
      <c r="I1" s="147" t="s">
        <v>78</v>
      </c>
      <c r="J1" s="147" t="s">
        <v>56</v>
      </c>
      <c r="K1" s="148" t="s">
        <v>57</v>
      </c>
      <c r="L1" s="149" t="s">
        <v>11</v>
      </c>
      <c r="M1" s="150">
        <v>41172</v>
      </c>
      <c r="N1" s="151"/>
      <c r="O1" s="152" t="s">
        <v>21</v>
      </c>
      <c r="P1" s="153" t="s">
        <v>22</v>
      </c>
      <c r="Q1" s="153" t="s">
        <v>2</v>
      </c>
      <c r="R1" s="153" t="s">
        <v>62</v>
      </c>
      <c r="S1" s="153" t="s">
        <v>0</v>
      </c>
      <c r="T1" s="153" t="s">
        <v>10</v>
      </c>
      <c r="U1" s="154" t="s">
        <v>6</v>
      </c>
      <c r="V1" s="151"/>
      <c r="W1" s="155" t="s">
        <v>54</v>
      </c>
      <c r="X1" s="156" t="s">
        <v>22</v>
      </c>
      <c r="Y1" s="156" t="s">
        <v>2</v>
      </c>
      <c r="Z1" s="156" t="s">
        <v>62</v>
      </c>
      <c r="AA1" s="156" t="s">
        <v>0</v>
      </c>
      <c r="AB1" s="156" t="s">
        <v>10</v>
      </c>
      <c r="AC1" s="157" t="s">
        <v>6</v>
      </c>
      <c r="AD1" s="1"/>
      <c r="AE1" s="1"/>
      <c r="AF1" s="1"/>
      <c r="AG1" s="1"/>
      <c r="AH1" s="1"/>
    </row>
    <row r="2" spans="1:34">
      <c r="A2" s="158">
        <f>Setup!C2</f>
        <v>41796</v>
      </c>
      <c r="B2" s="159">
        <f ca="1">COUNTIF(Execution!G$2:G$314,A2)</f>
        <v>0</v>
      </c>
      <c r="C2" s="160">
        <f t="array" aca="1" ref="C2" ca="1">SUM(SUM(IF(Execution!H$2:H$314=A2,IF(Execution!J$2:J$314="In Progress",0.5,0),0)),SUM(IF(Execution!H$2:H$314=A2,IF(Execution!J$2:J$314="Failed",0.5,0),0)))</f>
        <v>0</v>
      </c>
      <c r="D2" s="161">
        <f t="array" aca="1" ref="D2" ca="1">SUM(IF(Execution!I$2:I$314=A2,IF(Execution!J$2:J$314="Completed",1,0),0))</f>
        <v>0</v>
      </c>
      <c r="E2" s="161">
        <f t="array" aca="1" ref="E2" ca="1">SUM(IF(TODAY()&gt;=A2,C2+D2-B2,NA()))</f>
        <v>0</v>
      </c>
      <c r="F2" s="160" t="e">
        <f ca="1">IF(B2=0,NA(),SUM(B$2:B2))</f>
        <v>#N/A</v>
      </c>
      <c r="G2" s="161" t="e">
        <f ca="1">IF(C2+D2=0,NA(),SUM(D$2:D2,C$2:C2))</f>
        <v>#N/A</v>
      </c>
      <c r="H2" s="162" t="e">
        <f ca="1">IF(E2=0,NA(),SUM(E$2:E2))</f>
        <v>#N/A</v>
      </c>
      <c r="I2" s="163" t="e">
        <f ca="1">(G2-F2)/F2</f>
        <v>#N/A</v>
      </c>
      <c r="J2" s="164" t="str">
        <f ca="1">IF(Calculations!A$2:A$356=TODAY(),C2+D2,"")</f>
        <v/>
      </c>
      <c r="K2" s="165" t="str">
        <f ca="1">IF(Calculations!A$2:A$356=TODAY()-1,C2+D2,"")</f>
        <v/>
      </c>
      <c r="L2" s="166" t="s">
        <v>12</v>
      </c>
      <c r="M2" s="167">
        <f>COUNTA(Execution!$D$2:$D$814)</f>
        <v>158</v>
      </c>
      <c r="N2" s="151"/>
      <c r="O2" s="168" t="s">
        <v>17</v>
      </c>
      <c r="P2" s="169">
        <f t="array" ref="P2">SUM(IF(Execution!$F$2:$F$814="High",IF(Execution!J2:$J$814="Not Executed",1,0),0))</f>
        <v>0</v>
      </c>
      <c r="Q2" s="169">
        <f t="array" ref="Q2">SUM(IF(Execution!F2:$F$814="High",IF(Execution!J2:$J$814="In Progress",1,0),0))</f>
        <v>0</v>
      </c>
      <c r="R2" s="169">
        <f t="array" ref="R2">SUM(IF(Execution!F2:$F$814="High",IF(Execution!J2:$J$814="Blocked",1,0),0))</f>
        <v>0</v>
      </c>
      <c r="S2" s="170">
        <f t="array" ref="S2">SUM(IF(Execution!F2:$F$814="High",IF(Execution!J2:$J$814="Failed",1,0),0))</f>
        <v>0</v>
      </c>
      <c r="T2" s="170">
        <f t="array" aca="1" ref="T2" ca="1">SUM(IF(Execution!$F2:G$814="High",IF(Execution!$J2:J$814="Completed",1,0),0))</f>
        <v>0</v>
      </c>
      <c r="U2" s="171">
        <f ca="1">SUM(P2:T2)</f>
        <v>0</v>
      </c>
      <c r="V2" s="151"/>
      <c r="W2" s="172" t="s">
        <v>133</v>
      </c>
      <c r="X2" s="173">
        <f t="array" ref="X2">SUM(IF(Execution!$C$2:$C$814=W2,IF(Execution!$J$2:$J$814="Not Executed",1,0),0))</f>
        <v>0</v>
      </c>
      <c r="Y2" s="173">
        <f t="array" ref="Y2">SUM(IF(Execution!$C$2:$C$814=W2,IF(Execution!$J$2:$J$814="In Progress",1,0),0))</f>
        <v>0</v>
      </c>
      <c r="Z2" s="173">
        <f t="array" ref="Z2">SUM(IF(Execution!$C$2:$C$814=W2,IF(Execution!$J$2:$J$814="Blocked",1,0),0))</f>
        <v>2</v>
      </c>
      <c r="AA2" s="173">
        <f t="array" ref="AA2">SUM(IF(Execution!$C$2:$C$814=W2,IF(Execution!$J$2:$J$814="Failed",1,0),0))</f>
        <v>1</v>
      </c>
      <c r="AB2" s="173">
        <f t="array" ref="AB2">SUM(IF(Execution!$C$2:$C$814=W2,IF(Execution!$J$2:$J$814="Completed",1,0),0))</f>
        <v>1</v>
      </c>
      <c r="AC2" s="174">
        <f t="shared" ref="AC2:AC8" si="0">SUM(X2:AB2)</f>
        <v>4</v>
      </c>
      <c r="AD2" s="1"/>
      <c r="AE2" s="1"/>
      <c r="AF2" s="1"/>
      <c r="AG2" s="1"/>
      <c r="AH2" s="1"/>
    </row>
    <row r="3" spans="1:34">
      <c r="A3" s="158">
        <f ca="1">INDIRECT("A"&amp;(ROW())-1)+1</f>
        <v>41797</v>
      </c>
      <c r="B3" s="159">
        <f t="array" aca="1" ref="B3" ca="1">COUNTIF(Execution!G$2:G$314,A3)</f>
        <v>0</v>
      </c>
      <c r="C3" s="160">
        <f t="array" aca="1" ref="C3" ca="1">SUM(SUM(IF(Execution!H$2:H$314=A3,IF(Execution!J$2:J$314="In Progress",0.5,0),0)),SUM(IF(Execution!H$2:H$314=A3,IF(Execution!J$2:J$314="Failed",0.5,0),0)))</f>
        <v>0</v>
      </c>
      <c r="D3" s="161">
        <f t="array" aca="1" ref="D3" ca="1">SUM(IF(Execution!I$2:I$314=A3,IF(Execution!J$2:J$314="Completed",1,0),0))</f>
        <v>0</v>
      </c>
      <c r="E3" s="161">
        <f t="array" aca="1" ref="E3" ca="1">SUM(IF(TODAY()&gt;=A3,C3+D3-B3,NA()))</f>
        <v>0</v>
      </c>
      <c r="F3" s="160" t="e">
        <f ca="1">IF(B3=0,NA(),SUM(B$2:B3))</f>
        <v>#N/A</v>
      </c>
      <c r="G3" s="161" t="e">
        <f ca="1">IF(C3+D3=0,NA(),SUM(D$2:D3,C$2:C3))</f>
        <v>#N/A</v>
      </c>
      <c r="H3" s="162" t="e">
        <f ca="1">IF(E3=0,NA(),SUM(E$2:E3))</f>
        <v>#N/A</v>
      </c>
      <c r="I3" s="163" t="e">
        <f ca="1">IF(ISERROR((G3-F3)/F3),I2,(G3-F3)/F3)</f>
        <v>#N/A</v>
      </c>
      <c r="J3" s="164" t="str">
        <f ca="1">IF(Calculations!A$2:A$356=TODAY(),C3+D3,"")</f>
        <v/>
      </c>
      <c r="K3" s="165" t="str">
        <f ca="1">IF(Calculations!A$2:A$356=TODAY()-1,C3+D3,"")</f>
        <v/>
      </c>
      <c r="L3" s="175" t="s">
        <v>13</v>
      </c>
      <c r="M3" s="176">
        <f ca="1">SUM(C:C,D:D)</f>
        <v>0</v>
      </c>
      <c r="N3" s="151"/>
      <c r="O3" s="177" t="s">
        <v>18</v>
      </c>
      <c r="P3" s="169">
        <f t="array" ref="P3">SUM(IF(Execution!$F$2:$F$814="Medium",IF(Execution!J2:$J$814="Not Executed",1,0),0))</f>
        <v>0</v>
      </c>
      <c r="Q3" s="169">
        <f t="array" ref="Q3">SUM(IF(Execution!F2:$F$814="Medium",IF(Execution!J2:$J$814="In Progress",1,0),0))</f>
        <v>0</v>
      </c>
      <c r="R3" s="169">
        <f t="array" ref="R3">SUM(IF(Execution!F2:$F$814="Medium",IF(Execution!J2:$J$814="Blocked",1,0),0))</f>
        <v>0</v>
      </c>
      <c r="S3" s="170">
        <f t="array" ref="S3">SUM(IF(Execution!F2:$F$814="Medium",IF(Execution!J2:$J$814="Failed",1,0),0))</f>
        <v>0</v>
      </c>
      <c r="T3" s="170">
        <f t="array" aca="1" ref="T3" ca="1">SUM(IF(Execution!$F2:G$814="Medium",IF(Execution!$J2:J$814="Completed",1,0),0))</f>
        <v>0</v>
      </c>
      <c r="U3" s="171">
        <f ca="1">SUM(P3:T3)</f>
        <v>0</v>
      </c>
      <c r="V3" s="151"/>
      <c r="W3" s="172" t="s">
        <v>129</v>
      </c>
      <c r="X3" s="173">
        <f t="array" ref="X3">SUM(IF(Execution!$C$2:$C$814=W3,IF(Execution!$J$2:$J$814="Not Executed",1,0),0))</f>
        <v>0</v>
      </c>
      <c r="Y3" s="173">
        <f t="array" ref="Y3">SUM(IF(Execution!$C$2:$C$814=W3,IF(Execution!$J$2:$J$814="In Progress",1,0),0))</f>
        <v>0</v>
      </c>
      <c r="Z3" s="173">
        <f t="array" ref="Z3">SUM(IF(Execution!$C$2:$C$814=W3,IF(Execution!$J$2:$J$814="Blocked",1,0),0))</f>
        <v>0</v>
      </c>
      <c r="AA3" s="173">
        <f t="array" ref="AA3">SUM(IF(Execution!$C$2:$C$814=W3,IF(Execution!$J$2:$J$814="Failed",1,0),0))</f>
        <v>0</v>
      </c>
      <c r="AB3" s="173">
        <f t="array" ref="AB3">SUM(IF(Execution!$C$2:$C$814=W3,IF(Execution!$J$2:$J$814="Completed",1,0),0))</f>
        <v>0</v>
      </c>
      <c r="AC3" s="174">
        <f t="shared" si="0"/>
        <v>0</v>
      </c>
      <c r="AD3" s="1"/>
      <c r="AE3" s="1"/>
      <c r="AF3" s="1"/>
      <c r="AG3" s="1"/>
      <c r="AH3" s="1"/>
    </row>
    <row r="4" spans="1:34" ht="13.5" thickBot="1">
      <c r="A4" s="158">
        <f t="shared" ref="A4:A67" ca="1" si="1">INDIRECT("A"&amp;(ROW())-1)+1</f>
        <v>41798</v>
      </c>
      <c r="B4" s="159">
        <f t="array" aca="1" ref="B4" ca="1">COUNTIF(Execution!G$2:G$314,A4)</f>
        <v>0</v>
      </c>
      <c r="C4" s="160">
        <f t="array" aca="1" ref="C4" ca="1">SUM(SUM(IF(Execution!H$2:H$314=A4,IF(Execution!J$2:J$314="In Progress",0.5,0),0)),SUM(IF(Execution!H$2:H$314=A4,IF(Execution!J$2:J$314="Failed",0.5,0),0)))</f>
        <v>0</v>
      </c>
      <c r="D4" s="161">
        <f t="array" aca="1" ref="D4" ca="1">SUM(IF(Execution!I$2:I$314=A4,IF(Execution!J$2:J$314="Completed",1,0),0))</f>
        <v>0</v>
      </c>
      <c r="E4" s="161">
        <f t="array" aca="1" ref="E4" ca="1">SUM(IF(TODAY()&gt;=A4,C4+D4-B4,NA()))</f>
        <v>0</v>
      </c>
      <c r="F4" s="160" t="e">
        <f ca="1">IF(B4=0,NA(),SUM(B$2:B4))</f>
        <v>#N/A</v>
      </c>
      <c r="G4" s="161" t="e">
        <f ca="1">IF(C4+D4=0,NA(),SUM(D$2:D4,C$2:C4))</f>
        <v>#N/A</v>
      </c>
      <c r="H4" s="162" t="e">
        <f ca="1">IF(E4=0,NA(),SUM(E$2:E4))</f>
        <v>#N/A</v>
      </c>
      <c r="I4" s="163" t="e">
        <f t="shared" ref="I4:I67" ca="1" si="2">IF(ISERROR((G4-F4)/F4),I3,(G4-F4)/F4)</f>
        <v>#N/A</v>
      </c>
      <c r="J4" s="164"/>
      <c r="K4" s="165"/>
      <c r="L4" s="178" t="s">
        <v>52</v>
      </c>
      <c r="M4" s="179">
        <f ca="1">SUM(J:J)</f>
        <v>0</v>
      </c>
      <c r="N4" s="151"/>
      <c r="O4" s="168" t="s">
        <v>19</v>
      </c>
      <c r="P4" s="180">
        <f t="array" ref="P4">SUM(IF(Execution!F2:$F$814="Low",IF(Execution!J2:$J$814="Not Executed",1,0),0))</f>
        <v>0</v>
      </c>
      <c r="Q4" s="181">
        <f t="array" ref="Q4">SUM(IF(Execution!F2:$F$814="Low",IF(Execution!J2:$J$814="In Progress",1,0),0))</f>
        <v>0</v>
      </c>
      <c r="R4" s="181">
        <f t="array" ref="R4">SUM(IF(Execution!F2:$F$814="Low",IF(Execution!J2:$J$814="Blocked",1,0),0))</f>
        <v>0</v>
      </c>
      <c r="S4" s="182">
        <f t="array" ref="S4">SUM(IF(Execution!F2:$F$814="Low",IF(Execution!J2:$J$814="Failed",1,0),0))</f>
        <v>0</v>
      </c>
      <c r="T4" s="182">
        <f t="array" aca="1" ref="T4" ca="1">SUM(IF(Execution!$F2:G$814="Low",IF(Execution!$J2:J$814="Completed",1,0),0))</f>
        <v>0</v>
      </c>
      <c r="U4" s="171">
        <f ca="1">SUM(P4:T4)</f>
        <v>0</v>
      </c>
      <c r="V4" s="151"/>
      <c r="W4" s="172" t="s">
        <v>130</v>
      </c>
      <c r="X4" s="173">
        <f t="array" ref="X4">SUM(IF(Execution!$C$2:$C$814=W4,IF(Execution!$J$2:$J$814="Not Executed",1,0),0))</f>
        <v>0</v>
      </c>
      <c r="Y4" s="173">
        <f t="array" ref="Y4">SUM(IF(Execution!$C$2:$C$814=W4,IF(Execution!$J$2:$J$814="In Progress",1,0),0))</f>
        <v>0</v>
      </c>
      <c r="Z4" s="173">
        <f t="array" ref="Z4">SUM(IF(Execution!$C$2:$C$814=W4,IF(Execution!$J$2:$J$814="Blocked",1,0),0))</f>
        <v>0</v>
      </c>
      <c r="AA4" s="173">
        <f t="array" ref="AA4">SUM(IF(Execution!$C$2:$C$814=W4,IF(Execution!$J$2:$J$814="Failed",1,0),0))</f>
        <v>4</v>
      </c>
      <c r="AB4" s="173">
        <f t="array" ref="AB4">SUM(IF(Execution!$C$2:$C$814=W4,IF(Execution!$J$2:$J$814="Completed",1,0),0))</f>
        <v>0</v>
      </c>
      <c r="AC4" s="174">
        <f t="shared" si="0"/>
        <v>4</v>
      </c>
      <c r="AD4" s="1"/>
      <c r="AE4" s="1"/>
      <c r="AF4" s="1"/>
      <c r="AG4" s="1"/>
      <c r="AH4" s="1"/>
    </row>
    <row r="5" spans="1:34" ht="13.5" thickBot="1">
      <c r="A5" s="158">
        <f t="shared" ca="1" si="1"/>
        <v>41799</v>
      </c>
      <c r="B5" s="159">
        <f t="array" aca="1" ref="B5" ca="1">COUNTIF(Execution!G$2:G$314,A5)</f>
        <v>0</v>
      </c>
      <c r="C5" s="160">
        <f t="array" aca="1" ref="C5" ca="1">SUM(SUM(IF(Execution!H$2:H$314=A5,IF(Execution!J$2:J$314="In Progress",0.5,0),0)),SUM(IF(Execution!H$2:H$314=A5,IF(Execution!J$2:J$314="Failed",0.5,0),0)))</f>
        <v>0</v>
      </c>
      <c r="D5" s="161">
        <f t="array" aca="1" ref="D5" ca="1">SUM(IF(Execution!I$2:I$314=A5,IF(Execution!J$2:J$314="Completed",1,0),0))</f>
        <v>0</v>
      </c>
      <c r="E5" s="161">
        <f t="array" aca="1" ref="E5" ca="1">SUM(IF(TODAY()&gt;=A5,C5+D5-B5,NA()))</f>
        <v>0</v>
      </c>
      <c r="F5" s="160" t="e">
        <f ca="1">IF(B5=0,NA(),SUM(B$2:B5))</f>
        <v>#N/A</v>
      </c>
      <c r="G5" s="161" t="e">
        <f ca="1">IF(C5+D5=0,NA(),SUM(D$2:D5,C$2:C5))</f>
        <v>#N/A</v>
      </c>
      <c r="H5" s="162" t="e">
        <f ca="1">IF(E5=0,NA(),SUM(E$2:E5))</f>
        <v>#N/A</v>
      </c>
      <c r="I5" s="163" t="e">
        <f t="shared" ca="1" si="2"/>
        <v>#N/A</v>
      </c>
      <c r="J5" s="164"/>
      <c r="K5" s="165"/>
      <c r="L5" s="183" t="s">
        <v>53</v>
      </c>
      <c r="M5" s="179">
        <f ca="1">IF(Execution!J:J="Completed",0,COUNTIF(Execution!$G$2:$G$814,TODAY()))</f>
        <v>15</v>
      </c>
      <c r="N5" s="151"/>
      <c r="O5" s="184" t="s">
        <v>6</v>
      </c>
      <c r="P5" s="185">
        <f t="shared" ref="P5:U5" si="3">SUM(P2:P4)</f>
        <v>0</v>
      </c>
      <c r="Q5" s="186">
        <f t="shared" si="3"/>
        <v>0</v>
      </c>
      <c r="R5" s="186">
        <f t="shared" si="3"/>
        <v>0</v>
      </c>
      <c r="S5" s="187">
        <f t="shared" si="3"/>
        <v>0</v>
      </c>
      <c r="T5" s="187">
        <f t="shared" ca="1" si="3"/>
        <v>0</v>
      </c>
      <c r="U5" s="188">
        <f t="shared" ca="1" si="3"/>
        <v>0</v>
      </c>
      <c r="V5" s="151"/>
      <c r="W5" s="172" t="s">
        <v>134</v>
      </c>
      <c r="X5" s="173">
        <f t="array" ref="X5">SUM(IF(Execution!$C$2:$C$814=W5,IF(Execution!$J$2:$J$814="Not Executed",1,0),0))</f>
        <v>0</v>
      </c>
      <c r="Y5" s="173">
        <f t="array" ref="Y5">SUM(IF(Execution!$C$2:$C$814=W5,IF(Execution!$J$2:$J$814="In Progress",1,0),0))</f>
        <v>0</v>
      </c>
      <c r="Z5" s="173">
        <f t="array" ref="Z5">SUM(IF(Execution!$C$2:$C$814=W5,IF(Execution!$J$2:$J$814="Blocked",1,0),0))</f>
        <v>10</v>
      </c>
      <c r="AA5" s="173">
        <f t="array" ref="AA5">SUM(IF(Execution!$C$2:$C$814=W5,IF(Execution!$J$2:$J$814="Failed",1,0),0))</f>
        <v>3</v>
      </c>
      <c r="AB5" s="173">
        <f t="array" ref="AB5">SUM(IF(Execution!$C$2:$C$814=W5,IF(Execution!$J$2:$J$814="Completed",1,0),0))</f>
        <v>4</v>
      </c>
      <c r="AC5" s="174">
        <f t="shared" si="0"/>
        <v>17</v>
      </c>
      <c r="AD5" s="1"/>
      <c r="AE5" s="1"/>
      <c r="AF5" s="1"/>
      <c r="AG5" s="1"/>
      <c r="AH5" s="1"/>
    </row>
    <row r="6" spans="1:34" ht="13.5" thickBot="1">
      <c r="A6" s="158">
        <f t="shared" ca="1" si="1"/>
        <v>41800</v>
      </c>
      <c r="B6" s="159">
        <f t="array" aca="1" ref="B6" ca="1">COUNTIF(Execution!G$2:G$314,A6)</f>
        <v>0</v>
      </c>
      <c r="C6" s="160">
        <f t="array" aca="1" ref="C6" ca="1">SUM(SUM(IF(Execution!H$2:H$314=A6,IF(Execution!J$2:J$314="In Progress",0.5,0),0)),SUM(IF(Execution!H$2:H$314=A6,IF(Execution!J$2:J$314="Failed",0.5,0),0)))</f>
        <v>0</v>
      </c>
      <c r="D6" s="161">
        <f t="array" aca="1" ref="D6" ca="1">SUM(IF(Execution!I$2:I$314=A6,IF(Execution!J$2:J$314="Completed",1,0),0))</f>
        <v>0</v>
      </c>
      <c r="E6" s="161">
        <f t="array" aca="1" ref="E6" ca="1">SUM(IF(TODAY()&gt;=A6,C6+D6-B6,NA()))</f>
        <v>0</v>
      </c>
      <c r="F6" s="160" t="e">
        <f ca="1">IF(B6=0,NA(),SUM(B$2:B6))</f>
        <v>#N/A</v>
      </c>
      <c r="G6" s="161" t="e">
        <f ca="1">IF(C6+D6=0,NA(),SUM(D$2:D6,C$2:C6))</f>
        <v>#N/A</v>
      </c>
      <c r="H6" s="162" t="e">
        <f ca="1">IF(E6=0,NA(),SUM(E$2:E6))</f>
        <v>#N/A</v>
      </c>
      <c r="I6" s="163" t="e">
        <f t="shared" ca="1" si="2"/>
        <v>#N/A</v>
      </c>
      <c r="J6" s="164"/>
      <c r="K6" s="165"/>
      <c r="L6" s="178" t="s">
        <v>49</v>
      </c>
      <c r="M6" s="176">
        <f ca="1">SUM(K:K)</f>
        <v>0</v>
      </c>
      <c r="N6" s="151"/>
      <c r="O6" s="189"/>
      <c r="P6" s="189"/>
      <c r="Q6" s="189"/>
      <c r="R6" s="189"/>
      <c r="S6" s="189"/>
      <c r="T6" s="189"/>
      <c r="U6" s="189"/>
      <c r="V6" s="151"/>
      <c r="W6" s="172" t="s">
        <v>131</v>
      </c>
      <c r="X6" s="173">
        <f t="array" ref="X6">SUM(IF(Execution!$C$2:$C$814=W6,IF(Execution!$J$2:$J$814="Not Executed",1,0),0))</f>
        <v>0</v>
      </c>
      <c r="Y6" s="173">
        <f t="array" ref="Y6">SUM(IF(Execution!$C$2:$C$814=W6,IF(Execution!$J$2:$J$814="In Progress",1,0),0))</f>
        <v>0</v>
      </c>
      <c r="Z6" s="173">
        <f t="array" ref="Z6">SUM(IF(Execution!$C$2:$C$814=W6,IF(Execution!$J$2:$J$814="Blocked",1,0),0))</f>
        <v>0</v>
      </c>
      <c r="AA6" s="173">
        <f t="array" ref="AA6">SUM(IF(Execution!$C$2:$C$814=W6,IF(Execution!$J$2:$J$814="Failed",1,0),0))</f>
        <v>2</v>
      </c>
      <c r="AB6" s="173">
        <f t="array" ref="AB6">SUM(IF(Execution!$C$2:$C$814=W6,IF(Execution!$J$2:$J$814="Completed",1,0),0))</f>
        <v>0</v>
      </c>
      <c r="AC6" s="174">
        <f t="shared" si="0"/>
        <v>2</v>
      </c>
      <c r="AD6" s="1"/>
      <c r="AE6" s="1"/>
      <c r="AF6" s="1"/>
      <c r="AG6" s="1"/>
      <c r="AH6" s="1"/>
    </row>
    <row r="7" spans="1:34" ht="13.5" thickBot="1">
      <c r="A7" s="158">
        <f t="shared" ca="1" si="1"/>
        <v>41801</v>
      </c>
      <c r="B7" s="159">
        <f t="array" aca="1" ref="B7" ca="1">COUNTIF(Execution!G$2:G$314,A7)</f>
        <v>0</v>
      </c>
      <c r="C7" s="160">
        <f t="array" aca="1" ref="C7" ca="1">SUM(SUM(IF(Execution!H$2:H$314=A7,IF(Execution!J$2:J$314="In Progress",0.5,0),0)),SUM(IF(Execution!H$2:H$314=A7,IF(Execution!J$2:J$314="Failed",0.5,0),0)))</f>
        <v>0</v>
      </c>
      <c r="D7" s="161">
        <f t="array" aca="1" ref="D7" ca="1">SUM(IF(Execution!I$2:I$314=A7,IF(Execution!J$2:J$314="Completed",1,0),0))</f>
        <v>0</v>
      </c>
      <c r="E7" s="161">
        <f t="array" aca="1" ref="E7" ca="1">SUM(IF(TODAY()&gt;=A7,C7+D7-B7,NA()))</f>
        <v>0</v>
      </c>
      <c r="F7" s="160" t="e">
        <f ca="1">IF(B7=0,NA(),SUM(B$2:B7))</f>
        <v>#N/A</v>
      </c>
      <c r="G7" s="161" t="e">
        <f ca="1">IF(C7+D7=0,NA(),SUM(D$2:D7,C$2:C7))</f>
        <v>#N/A</v>
      </c>
      <c r="H7" s="162" t="e">
        <f ca="1">IF(E7=0,NA(),SUM(E$2:E7))</f>
        <v>#N/A</v>
      </c>
      <c r="I7" s="163" t="e">
        <f t="shared" ca="1" si="2"/>
        <v>#N/A</v>
      </c>
      <c r="J7" s="164"/>
      <c r="K7" s="165"/>
      <c r="L7" s="183" t="s">
        <v>50</v>
      </c>
      <c r="M7" s="176">
        <f t="array" aca="1" ref="M7" ca="1">IF(Execution!J:J="Completed",0,COUNTIF(Execution!$G$2:$G$814,TODAY()-1))</f>
        <v>16</v>
      </c>
      <c r="N7" s="151"/>
      <c r="O7" s="155" t="s">
        <v>21</v>
      </c>
      <c r="P7" s="156" t="s">
        <v>22</v>
      </c>
      <c r="Q7" s="156" t="s">
        <v>2</v>
      </c>
      <c r="R7" s="156" t="s">
        <v>62</v>
      </c>
      <c r="S7" s="156" t="s">
        <v>0</v>
      </c>
      <c r="T7" s="156" t="s">
        <v>10</v>
      </c>
      <c r="U7" s="190" t="s">
        <v>6</v>
      </c>
      <c r="V7" s="151"/>
      <c r="W7" s="183" t="s">
        <v>132</v>
      </c>
      <c r="X7" s="173">
        <f t="array" ref="X7">SUM(IF(Execution!$C$2:$C$814=W7,IF(Execution!$J$2:$J$814="Not Executed",1,0),0))</f>
        <v>0</v>
      </c>
      <c r="Y7" s="173">
        <f t="array" ref="Y7">SUM(IF(Execution!$C$2:$C$814=W7,IF(Execution!$J$2:$J$814="In Progress",1,0),0))</f>
        <v>0</v>
      </c>
      <c r="Z7" s="173">
        <f t="array" ref="Z7">SUM(IF(Execution!$C$2:$C$814=W7,IF(Execution!$J$2:$J$814="Blocked",1,0),0))</f>
        <v>0</v>
      </c>
      <c r="AA7" s="173">
        <f t="array" ref="AA7">SUM(IF(Execution!$C$2:$C$814=W7,IF(Execution!$J$2:$J$814="Failed",1,0),0))</f>
        <v>0</v>
      </c>
      <c r="AB7" s="173">
        <f t="array" ref="AB7">SUM(IF(Execution!$C$2:$C$814=W7,IF(Execution!$J$2:$J$814="Completed",1,0),0))</f>
        <v>0</v>
      </c>
      <c r="AC7" s="191">
        <f t="shared" si="0"/>
        <v>0</v>
      </c>
      <c r="AD7" s="1"/>
      <c r="AE7" s="1"/>
      <c r="AF7" s="1"/>
      <c r="AG7" s="1"/>
      <c r="AH7" s="1"/>
    </row>
    <row r="8" spans="1:34" ht="13.5" thickBot="1">
      <c r="A8" s="158">
        <f t="shared" ca="1" si="1"/>
        <v>41802</v>
      </c>
      <c r="B8" s="159">
        <f t="array" aca="1" ref="B8" ca="1">COUNTIF(Execution!G$2:G$314,A8)</f>
        <v>0</v>
      </c>
      <c r="C8" s="160">
        <f t="array" aca="1" ref="C8" ca="1">SUM(SUM(IF(Execution!H$2:H$314=A8,IF(Execution!J$2:J$314="In Progress",0.5,0),0)),SUM(IF(Execution!H$2:H$314=A8,IF(Execution!J$2:J$314="Failed",0.5,0),0)))</f>
        <v>0</v>
      </c>
      <c r="D8" s="161">
        <f t="array" aca="1" ref="D8" ca="1">SUM(IF(Execution!I$2:I$314=A8,IF(Execution!J$2:J$314="Completed",1,0),0))</f>
        <v>0</v>
      </c>
      <c r="E8" s="161">
        <f t="array" aca="1" ref="E8" ca="1">SUM(IF(TODAY()&gt;=A8,C8+D8-B8,NA()))</f>
        <v>0</v>
      </c>
      <c r="F8" s="160" t="e">
        <f ca="1">IF(B8=0,NA(),SUM(B$2:B8))</f>
        <v>#N/A</v>
      </c>
      <c r="G8" s="161" t="e">
        <f ca="1">IF(C8+D8=0,NA(),SUM(D$2:D8,C$2:C8))</f>
        <v>#N/A</v>
      </c>
      <c r="H8" s="162" t="e">
        <f ca="1">IF(E8=0,NA(),SUM(E$2:E8))</f>
        <v>#N/A</v>
      </c>
      <c r="I8" s="163" t="e">
        <f t="shared" ca="1" si="2"/>
        <v>#N/A</v>
      </c>
      <c r="J8" s="164"/>
      <c r="K8" s="165"/>
      <c r="L8" s="175" t="s">
        <v>22</v>
      </c>
      <c r="M8" s="176">
        <f>COUNTIF(Execution!$J$2:$J$814,Calculations!L8)</f>
        <v>0</v>
      </c>
      <c r="N8" s="151"/>
      <c r="O8" s="192" t="s">
        <v>6</v>
      </c>
      <c r="P8" s="193">
        <f t="array" ref="P8">SUM(IF(Execution!$J$2:$J$814=P$7,1,0))</f>
        <v>0</v>
      </c>
      <c r="Q8" s="193">
        <f t="array" ref="Q8">SUM(IF(Execution!$J$2:$J$814=Q$7,1,0))</f>
        <v>0</v>
      </c>
      <c r="R8" s="193">
        <f t="array" ref="R8">SUM(IF(Execution!$J$2:$J$814=R$7,1,0))</f>
        <v>12</v>
      </c>
      <c r="S8" s="193">
        <f t="array" ref="S8">SUM(IF(Execution!$J$2:$J$814=S$7,1,0))</f>
        <v>10</v>
      </c>
      <c r="T8" s="193">
        <f t="array" ref="T8">SUM(IF(Execution!$J$2:$J$814=T$7,1,0))</f>
        <v>5</v>
      </c>
      <c r="U8" s="194">
        <f>SUM(P8:T8)</f>
        <v>27</v>
      </c>
      <c r="V8" s="151"/>
      <c r="W8" s="195" t="s">
        <v>6</v>
      </c>
      <c r="X8" s="196">
        <f>SUM(X2:X7)</f>
        <v>0</v>
      </c>
      <c r="Y8" s="196">
        <f>SUM(Y2:Y7)</f>
        <v>0</v>
      </c>
      <c r="Z8" s="196">
        <f>SUM(Z2:Z7)</f>
        <v>12</v>
      </c>
      <c r="AA8" s="196">
        <f>SUM(AA2:AA7)</f>
        <v>10</v>
      </c>
      <c r="AB8" s="196">
        <f>SUM(AB2:AB7)</f>
        <v>5</v>
      </c>
      <c r="AC8" s="197">
        <f t="shared" si="0"/>
        <v>27</v>
      </c>
      <c r="AD8" s="1"/>
      <c r="AE8" s="1"/>
      <c r="AF8" s="1"/>
      <c r="AG8" s="1"/>
      <c r="AH8" s="1"/>
    </row>
    <row r="9" spans="1:34">
      <c r="A9" s="158">
        <f t="shared" ca="1" si="1"/>
        <v>41803</v>
      </c>
      <c r="B9" s="159">
        <f t="array" aca="1" ref="B9" ca="1">COUNTIF(Execution!G$2:G$314,A9)</f>
        <v>0</v>
      </c>
      <c r="C9" s="160">
        <f t="array" aca="1" ref="C9" ca="1">SUM(SUM(IF(Execution!H$2:H$314=A9,IF(Execution!J$2:J$314="In Progress",0.5,0),0)),SUM(IF(Execution!H$2:H$314=A9,IF(Execution!J$2:J$314="Failed",0.5,0),0)))</f>
        <v>0</v>
      </c>
      <c r="D9" s="161">
        <f t="array" aca="1" ref="D9" ca="1">SUM(IF(Execution!I$2:I$314=A9,IF(Execution!J$2:J$314="Completed",1,0),0))</f>
        <v>0</v>
      </c>
      <c r="E9" s="161">
        <f t="array" aca="1" ref="E9" ca="1">SUM(IF(TODAY()&gt;=A9,C9+D9-B9,NA()))</f>
        <v>0</v>
      </c>
      <c r="F9" s="160" t="e">
        <f ca="1">IF(B9=0,NA(),SUM(B$2:B9))</f>
        <v>#N/A</v>
      </c>
      <c r="G9" s="161" t="e">
        <f ca="1">IF(C9+D9=0,NA(),SUM(D$2:D9,C$2:C9))</f>
        <v>#N/A</v>
      </c>
      <c r="H9" s="162" t="e">
        <f ca="1">IF(E9=0,NA(),SUM(E$2:E9))</f>
        <v>#N/A</v>
      </c>
      <c r="I9" s="163" t="e">
        <f t="shared" ca="1" si="2"/>
        <v>#N/A</v>
      </c>
      <c r="J9" s="164"/>
      <c r="K9" s="165"/>
      <c r="L9" s="175" t="s">
        <v>0</v>
      </c>
      <c r="M9" s="176">
        <f t="array" ref="M9">COUNTIF(Execution!$J$2:$J$314,Calculations!L9)</f>
        <v>10</v>
      </c>
      <c r="N9" s="151"/>
      <c r="O9" s="198"/>
      <c r="P9" s="198"/>
      <c r="Q9" s="199"/>
      <c r="R9" s="199"/>
      <c r="S9" s="199"/>
      <c r="T9" s="199"/>
      <c r="U9" s="199"/>
      <c r="V9" s="199"/>
      <c r="W9" s="198"/>
      <c r="X9" s="199"/>
      <c r="Y9" s="199"/>
      <c r="Z9" s="199"/>
      <c r="AA9" s="199"/>
      <c r="AB9" s="199"/>
      <c r="AC9" s="199"/>
      <c r="AD9" s="1"/>
      <c r="AE9" s="1"/>
      <c r="AF9" s="1"/>
      <c r="AG9" s="1"/>
      <c r="AH9" s="1"/>
    </row>
    <row r="10" spans="1:34">
      <c r="A10" s="158">
        <f t="shared" ca="1" si="1"/>
        <v>41804</v>
      </c>
      <c r="B10" s="159">
        <f t="array" aca="1" ref="B10" ca="1">COUNTIF(Execution!G$2:G$314,A10)</f>
        <v>0</v>
      </c>
      <c r="C10" s="160">
        <f t="array" aca="1" ref="C10" ca="1">SUM(SUM(IF(Execution!H$2:H$314=A10,IF(Execution!J$2:J$314="In Progress",0.5,0),0)),SUM(IF(Execution!H$2:H$314=A10,IF(Execution!J$2:J$314="Failed",0.5,0),0)))</f>
        <v>0</v>
      </c>
      <c r="D10" s="161">
        <f t="array" aca="1" ref="D10" ca="1">SUM(IF(Execution!I$2:I$314=A10,IF(Execution!J$2:J$314="Completed",1,0),0))</f>
        <v>0</v>
      </c>
      <c r="E10" s="161">
        <f t="array" aca="1" ref="E10" ca="1">SUM(IF(TODAY()&gt;=A10,C10+D10-B10,NA()))</f>
        <v>0</v>
      </c>
      <c r="F10" s="160" t="e">
        <f ca="1">IF(B10=0,NA(),SUM(B$2:B10))</f>
        <v>#N/A</v>
      </c>
      <c r="G10" s="161" t="e">
        <f ca="1">IF(C10+D10=0,NA(),SUM(D$2:D10,C$2:C10))</f>
        <v>#N/A</v>
      </c>
      <c r="H10" s="162" t="e">
        <f ca="1">IF(E10=0,NA(),SUM(E$2:E10))</f>
        <v>#N/A</v>
      </c>
      <c r="I10" s="163" t="e">
        <f t="shared" ca="1" si="2"/>
        <v>#N/A</v>
      </c>
      <c r="J10" s="164"/>
      <c r="K10" s="165"/>
      <c r="L10" s="175" t="s">
        <v>10</v>
      </c>
      <c r="M10" s="176">
        <f>COUNTIF(Execution!$J$2:$J$314,Calculations!L10)</f>
        <v>5</v>
      </c>
      <c r="N10" s="151"/>
      <c r="O10" s="151"/>
      <c r="P10" s="151"/>
      <c r="Q10" s="151"/>
      <c r="R10" s="151"/>
      <c r="S10" s="151"/>
      <c r="T10" s="151"/>
      <c r="U10" s="151"/>
      <c r="V10" s="151"/>
      <c r="W10" s="198"/>
      <c r="X10" s="199"/>
      <c r="Y10" s="199"/>
      <c r="Z10" s="199"/>
      <c r="AA10" s="199"/>
      <c r="AB10" s="199"/>
      <c r="AC10" s="199"/>
      <c r="AD10" s="1"/>
      <c r="AE10" s="1"/>
      <c r="AF10" s="1"/>
      <c r="AG10" s="1"/>
      <c r="AH10" s="1"/>
    </row>
    <row r="11" spans="1:34" ht="13.5" thickBot="1">
      <c r="A11" s="158">
        <f t="shared" ca="1" si="1"/>
        <v>41805</v>
      </c>
      <c r="B11" s="159">
        <f t="array" aca="1" ref="B11" ca="1">COUNTIF(Execution!G$2:G$314,A11)</f>
        <v>0</v>
      </c>
      <c r="C11" s="160">
        <f t="array" aca="1" ref="C11" ca="1">SUM(SUM(IF(Execution!H$2:H$314=A11,IF(Execution!J$2:J$314="In Progress",0.5,0),0)),SUM(IF(Execution!H$2:H$314=A11,IF(Execution!J$2:J$314="Failed",0.5,0),0)))</f>
        <v>0</v>
      </c>
      <c r="D11" s="161">
        <f t="array" aca="1" ref="D11" ca="1">SUM(IF(Execution!I$2:I$314=A11,IF(Execution!J$2:J$314="Completed",1,0),0))</f>
        <v>0</v>
      </c>
      <c r="E11" s="161">
        <f t="array" aca="1" ref="E11" ca="1">SUM(IF(TODAY()&gt;=A11,C11+D11-B11,NA()))</f>
        <v>0</v>
      </c>
      <c r="F11" s="160" t="e">
        <f ca="1">IF(B11=0,NA(),SUM(B$2:B11))</f>
        <v>#N/A</v>
      </c>
      <c r="G11" s="161" t="e">
        <f ca="1">IF(C11+D11=0,NA(),SUM(D$2:D11,C$2:C11))</f>
        <v>#N/A</v>
      </c>
      <c r="H11" s="162" t="e">
        <f ca="1">IF(E11=0,NA(),SUM(E$2:E11))</f>
        <v>#N/A</v>
      </c>
      <c r="I11" s="163" t="e">
        <f t="shared" ca="1" si="2"/>
        <v>#N/A</v>
      </c>
      <c r="J11" s="164"/>
      <c r="K11" s="165"/>
      <c r="L11" s="200" t="s">
        <v>0</v>
      </c>
      <c r="M11" s="176">
        <f>COUNTIF(Execution!$J$2:$J$314,Calculations!L11)</f>
        <v>10</v>
      </c>
      <c r="N11" s="151"/>
      <c r="O11" s="149"/>
      <c r="P11" s="149"/>
      <c r="Q11" s="149"/>
      <c r="R11" s="151"/>
      <c r="S11" s="151"/>
      <c r="T11" s="151"/>
      <c r="U11" s="151"/>
      <c r="V11" s="151"/>
      <c r="W11" s="151"/>
      <c r="X11" s="151"/>
      <c r="Y11" s="199"/>
      <c r="Z11" s="199"/>
      <c r="AA11" s="199"/>
      <c r="AB11" s="199"/>
      <c r="AC11" s="199"/>
      <c r="AD11" s="1"/>
      <c r="AE11" s="1"/>
      <c r="AF11" s="1"/>
      <c r="AG11" s="1"/>
      <c r="AH11" s="1"/>
    </row>
    <row r="12" spans="1:34" ht="13.5" thickBot="1">
      <c r="A12" s="158">
        <f t="shared" ca="1" si="1"/>
        <v>41806</v>
      </c>
      <c r="B12" s="159">
        <f t="array" aca="1" ref="B12" ca="1">COUNTIF(Execution!G$2:G$314,A12)</f>
        <v>0</v>
      </c>
      <c r="C12" s="160">
        <f t="array" aca="1" ref="C12" ca="1">SUM(SUM(IF(Execution!H$2:H$314=A12,IF(Execution!J$2:J$314="In Progress",0.5,0),0)),SUM(IF(Execution!H$2:H$314=A12,IF(Execution!J$2:J$314="Failed",0.5,0),0)))</f>
        <v>0</v>
      </c>
      <c r="D12" s="161">
        <f t="array" aca="1" ref="D12" ca="1">SUM(IF(Execution!I$2:I$314=A12,IF(Execution!J$2:J$314="Completed",1,0),0))</f>
        <v>0</v>
      </c>
      <c r="E12" s="161">
        <f t="array" aca="1" ref="E12" ca="1">SUM(IF(TODAY()&gt;=A12,C12+D12-B12,NA()))</f>
        <v>0</v>
      </c>
      <c r="F12" s="160" t="e">
        <f ca="1">IF(B12=0,NA(),SUM(B$2:B12))</f>
        <v>#N/A</v>
      </c>
      <c r="G12" s="161" t="e">
        <f ca="1">IF(C12+D12=0,NA(),SUM(D$2:D12,C$2:C12))</f>
        <v>#N/A</v>
      </c>
      <c r="H12" s="162" t="e">
        <f ca="1">IF(E12=0,NA(),SUM(E$2:E12))</f>
        <v>#N/A</v>
      </c>
      <c r="I12" s="163" t="e">
        <f t="shared" ca="1" si="2"/>
        <v>#N/A</v>
      </c>
      <c r="J12" s="164" t="str">
        <f ca="1">IF(Calculations!A$2:A$356=TODAY(),C12+D12,"")</f>
        <v/>
      </c>
      <c r="K12" s="165" t="str">
        <f ca="1">IF(Calculations!A$2:A$356=TODAY()-1,C12+D12,"")</f>
        <v/>
      </c>
      <c r="L12" s="172" t="s">
        <v>82</v>
      </c>
      <c r="M12" s="201" t="e">
        <f t="array" aca="1" ref="M12" ca="1">ROUND(INDIRECT("I"&amp;MATCH(TODAY(),A1:A999,0)),2)</f>
        <v>#N/A</v>
      </c>
      <c r="N12" s="151"/>
      <c r="O12" s="202"/>
      <c r="P12" s="202"/>
      <c r="Q12" s="202"/>
      <c r="R12" s="151"/>
      <c r="S12" s="151"/>
      <c r="T12" s="151"/>
      <c r="U12" s="151"/>
      <c r="V12" s="203" t="e">
        <f ca="1">getLastRow("Defect Dump")</f>
        <v>#NAME?</v>
      </c>
      <c r="W12" s="204" t="s">
        <v>69</v>
      </c>
      <c r="X12" s="205" t="s">
        <v>6</v>
      </c>
      <c r="Y12" s="199"/>
      <c r="Z12" s="199"/>
      <c r="AA12" s="199"/>
      <c r="AB12" s="204" t="s">
        <v>69</v>
      </c>
      <c r="AC12" s="205" t="s">
        <v>6</v>
      </c>
      <c r="AD12" s="1"/>
      <c r="AE12" s="1"/>
      <c r="AF12" s="1"/>
      <c r="AG12" s="1"/>
      <c r="AH12" s="1"/>
    </row>
    <row r="13" spans="1:34" ht="13.5" customHeight="1">
      <c r="A13" s="158">
        <f t="shared" ca="1" si="1"/>
        <v>41807</v>
      </c>
      <c r="B13" s="159">
        <f t="array" aca="1" ref="B13" ca="1">COUNTIF(Execution!G$2:G$314,A13)</f>
        <v>0</v>
      </c>
      <c r="C13" s="160">
        <f t="array" aca="1" ref="C13" ca="1">SUM(SUM(IF(Execution!H$2:H$314=A13,IF(Execution!J$2:J$314="In Progress",0.5,0),0)),SUM(IF(Execution!H$2:H$314=A13,IF(Execution!J$2:J$314="Failed",0.5,0),0)))</f>
        <v>0</v>
      </c>
      <c r="D13" s="161">
        <f t="array" aca="1" ref="D13" ca="1">SUM(IF(Execution!I$2:I$314=A13,IF(Execution!J$2:J$314="Completed",1,0),0))</f>
        <v>0</v>
      </c>
      <c r="E13" s="161">
        <f t="array" aca="1" ref="E13" ca="1">SUM(IF(TODAY()&gt;=A13,C13+D13-B13,NA()))</f>
        <v>0</v>
      </c>
      <c r="F13" s="160" t="e">
        <f ca="1">IF(B13=0,NA(),SUM(B$2:B13))</f>
        <v>#N/A</v>
      </c>
      <c r="G13" s="161" t="e">
        <f ca="1">IF(C13+D13=0,NA(),SUM(D$2:D13,C$2:C13))</f>
        <v>#N/A</v>
      </c>
      <c r="H13" s="162" t="e">
        <f ca="1">IF(E13=0,NA(),SUM(E$2:E13))</f>
        <v>#N/A</v>
      </c>
      <c r="I13" s="163" t="e">
        <f t="shared" ca="1" si="2"/>
        <v>#N/A</v>
      </c>
      <c r="J13" s="164" t="str">
        <f ca="1">IF(Calculations!A$2:A$356=TODAY(),C13+D13,"")</f>
        <v/>
      </c>
      <c r="K13" s="165" t="str">
        <f ca="1">IF(Calculations!A$2:A$356=TODAY()-1,C13+D13,"")</f>
        <v/>
      </c>
      <c r="L13" s="151"/>
      <c r="M13" s="206"/>
      <c r="N13" s="151"/>
      <c r="O13" s="151"/>
      <c r="P13" s="151"/>
      <c r="Q13" s="151"/>
      <c r="R13" s="151"/>
      <c r="S13" s="151"/>
      <c r="T13" s="151"/>
      <c r="U13" s="151"/>
      <c r="V13" s="398" t="s">
        <v>21</v>
      </c>
      <c r="W13" s="207" t="s">
        <v>14</v>
      </c>
      <c r="X13" s="326">
        <f t="array" ref="X13">SUM(IF('Defect Dump'!$H$3:$H$10000=W13,1,0))</f>
        <v>629</v>
      </c>
      <c r="Y13" s="208" t="e">
        <f ca="1">SUM(IF(INDIRECT("'Defect Dump'!"&amp;"$H$2:$H$"&amp;$V$12)=W13,1,0))</f>
        <v>#NAME?</v>
      </c>
      <c r="Z13" s="209"/>
      <c r="AA13" s="398" t="s">
        <v>76</v>
      </c>
      <c r="AB13" s="210" t="s">
        <v>162</v>
      </c>
      <c r="AC13" s="327">
        <f t="array" ref="AC13">SUM(IF('Defect Dump'!$H$3:$H$10000="Closed",(IF('Defect Dump'!$Q$3:$Q$10000=0,1,0))),0)</f>
        <v>2</v>
      </c>
      <c r="AD13" s="1"/>
      <c r="AE13" s="1"/>
      <c r="AF13" s="1"/>
      <c r="AG13" s="1"/>
      <c r="AH13" s="1"/>
    </row>
    <row r="14" spans="1:34" ht="12.75" customHeight="1">
      <c r="A14" s="158">
        <f t="shared" ca="1" si="1"/>
        <v>41808</v>
      </c>
      <c r="B14" s="159">
        <f t="array" aca="1" ref="B14" ca="1">COUNTIF(Execution!G$2:G$314,A14)</f>
        <v>0</v>
      </c>
      <c r="C14" s="160">
        <f t="array" aca="1" ref="C14" ca="1">SUM(SUM(IF(Execution!H$2:H$314=A14,IF(Execution!J$2:J$314="In Progress",0.5,0),0)),SUM(IF(Execution!H$2:H$314=A14,IF(Execution!J$2:J$314="Failed",0.5,0),0)))</f>
        <v>0</v>
      </c>
      <c r="D14" s="161">
        <f t="array" aca="1" ref="D14" ca="1">SUM(IF(Execution!I$2:I$314=A14,IF(Execution!J$2:J$314="Completed",1,0),0))</f>
        <v>0</v>
      </c>
      <c r="E14" s="161">
        <f t="array" aca="1" ref="E14" ca="1">SUM(IF(TODAY()&gt;=A14,C14+D14-B14,NA()))</f>
        <v>0</v>
      </c>
      <c r="F14" s="160" t="e">
        <f ca="1">IF(B14=0,NA(),SUM(B$2:B14))</f>
        <v>#N/A</v>
      </c>
      <c r="G14" s="161" t="e">
        <f ca="1">IF(C14+D14=0,NA(),SUM(D$2:D14,C$2:C14))</f>
        <v>#N/A</v>
      </c>
      <c r="H14" s="162" t="e">
        <f ca="1">IF(E14=0,NA(),SUM(E$2:E14))</f>
        <v>#N/A</v>
      </c>
      <c r="I14" s="163" t="e">
        <f t="shared" ca="1" si="2"/>
        <v>#N/A</v>
      </c>
      <c r="J14" s="164" t="str">
        <f ca="1">IF(Calculations!A$2:A$356=TODAY(),C14+D14,"")</f>
        <v/>
      </c>
      <c r="K14" s="165" t="str">
        <f ca="1">IF(Calculations!A$2:A$356=TODAY()-1,C14+D14,"")</f>
        <v/>
      </c>
      <c r="L14" s="404" t="s">
        <v>27</v>
      </c>
      <c r="M14" s="405"/>
      <c r="N14" s="151"/>
      <c r="O14" s="211" t="s">
        <v>34</v>
      </c>
      <c r="P14" s="212"/>
      <c r="Q14" s="212"/>
      <c r="R14" s="212"/>
      <c r="S14" s="213"/>
      <c r="T14" s="151"/>
      <c r="U14" s="151"/>
      <c r="V14" s="399"/>
      <c r="W14" s="214" t="s">
        <v>138</v>
      </c>
      <c r="X14" s="326">
        <f t="array" ref="X14">SUM(IF('Defect Dump'!$H$3:$H$10000=W14,1,0))</f>
        <v>24</v>
      </c>
      <c r="Y14" s="199"/>
      <c r="Z14" s="199"/>
      <c r="AA14" s="399"/>
      <c r="AB14" s="215" t="s">
        <v>163</v>
      </c>
      <c r="AC14" s="326">
        <f t="array" ref="AC14">SUM(IF('Defect Dump'!$H$3:$H$10000="Closed",(IF('Defect Dump'!$Q$3:$Q$10000=1,1,0))),0)</f>
        <v>8</v>
      </c>
      <c r="AD14" s="1"/>
      <c r="AE14" s="1"/>
      <c r="AF14" s="1"/>
      <c r="AG14" s="1"/>
      <c r="AH14" s="1"/>
    </row>
    <row r="15" spans="1:34">
      <c r="A15" s="158">
        <f t="shared" ca="1" si="1"/>
        <v>41809</v>
      </c>
      <c r="B15" s="159">
        <f t="array" aca="1" ref="B15" ca="1">COUNTIF(Execution!G$2:G$314,A15)</f>
        <v>0</v>
      </c>
      <c r="C15" s="160">
        <f t="array" aca="1" ref="C15" ca="1">SUM(SUM(IF(Execution!H$2:H$314=A15,IF(Execution!J$2:J$314="In Progress",0.5,0),0)),SUM(IF(Execution!H$2:H$314=A15,IF(Execution!J$2:J$314="Failed",0.5,0),0)))</f>
        <v>0</v>
      </c>
      <c r="D15" s="161">
        <f t="array" aca="1" ref="D15" ca="1">SUM(IF(Execution!I$2:I$314=A15,IF(Execution!J$2:J$314="Completed",1,0),0))</f>
        <v>0</v>
      </c>
      <c r="E15" s="161">
        <f t="array" aca="1" ref="E15" ca="1">SUM(IF(TODAY()&gt;=A15,C15+D15-B15,NA()))</f>
        <v>0</v>
      </c>
      <c r="F15" s="160" t="e">
        <f ca="1">IF(B15=0,NA(),SUM(B$2:B15))</f>
        <v>#N/A</v>
      </c>
      <c r="G15" s="161" t="e">
        <f ca="1">IF(C15+D15=0,NA(),SUM(D$2:D15,C$2:C15))</f>
        <v>#N/A</v>
      </c>
      <c r="H15" s="162" t="e">
        <f ca="1">IF(E15=0,NA(),SUM(E$2:E15))</f>
        <v>#N/A</v>
      </c>
      <c r="I15" s="163" t="e">
        <f t="shared" ca="1" si="2"/>
        <v>#N/A</v>
      </c>
      <c r="J15" s="164" t="str">
        <f ca="1">IF(Calculations!A$2:A$356=TODAY(),C15+D15,"")</f>
        <v/>
      </c>
      <c r="K15" s="165" t="str">
        <f ca="1">IF(Calculations!A$2:A$356=TODAY()-1,C15+D15,"")</f>
        <v/>
      </c>
      <c r="L15" s="172" t="s">
        <v>23</v>
      </c>
      <c r="M15" s="167">
        <f>M2</f>
        <v>158</v>
      </c>
      <c r="N15" s="151"/>
      <c r="O15" s="216" t="s">
        <v>35</v>
      </c>
      <c r="P15" s="217">
        <f>COUNTA(Execution!$D$2:$D$814)</f>
        <v>158</v>
      </c>
      <c r="Q15" s="218" t="s">
        <v>36</v>
      </c>
      <c r="R15" s="219"/>
      <c r="S15" s="216">
        <f ca="1">COUNTA(Execution!$H$2:$H$814)</f>
        <v>158</v>
      </c>
      <c r="T15" s="220"/>
      <c r="U15" s="151"/>
      <c r="V15" s="399"/>
      <c r="W15" s="214" t="s">
        <v>139</v>
      </c>
      <c r="X15" s="326">
        <f t="array" ref="X15">SUM(IF('Defect Dump'!$H$3:$H$10000=W15,1,0))</f>
        <v>5</v>
      </c>
      <c r="Y15" s="199"/>
      <c r="Z15" s="199"/>
      <c r="AA15" s="399"/>
      <c r="AB15" s="215" t="s">
        <v>157</v>
      </c>
      <c r="AC15" s="326">
        <f t="array" ref="AC15">SUM(IF('Defect Dump'!$H$3:$H$10000="Closed",(IF('Defect Dump'!$Q$3:$Q$10000=2,1,0))),0)</f>
        <v>36</v>
      </c>
      <c r="AD15" s="1"/>
      <c r="AE15" s="1"/>
      <c r="AF15" s="1"/>
      <c r="AG15" s="1"/>
      <c r="AH15" s="1"/>
    </row>
    <row r="16" spans="1:34">
      <c r="A16" s="158">
        <f t="shared" ca="1" si="1"/>
        <v>41810</v>
      </c>
      <c r="B16" s="159">
        <f t="array" aca="1" ref="B16" ca="1">COUNTIF(Execution!G$2:G$314,A16)</f>
        <v>0</v>
      </c>
      <c r="C16" s="160">
        <f t="array" aca="1" ref="C16" ca="1">SUM(SUM(IF(Execution!H$2:H$314=A16,IF(Execution!J$2:J$314="In Progress",0.5,0),0)),SUM(IF(Execution!H$2:H$314=A16,IF(Execution!J$2:J$314="Failed",0.5,0),0)))</f>
        <v>0</v>
      </c>
      <c r="D16" s="161">
        <f t="array" aca="1" ref="D16" ca="1">SUM(IF(Execution!I$2:I$314=A16,IF(Execution!J$2:J$314="Completed",1,0),0))</f>
        <v>0</v>
      </c>
      <c r="E16" s="161">
        <f t="array" aca="1" ref="E16" ca="1">SUM(IF(TODAY()&gt;=A16,C16+D16-B16,NA()))</f>
        <v>0</v>
      </c>
      <c r="F16" s="160" t="e">
        <f ca="1">IF(B16=0,NA(),SUM(B$2:B16))</f>
        <v>#N/A</v>
      </c>
      <c r="G16" s="161" t="e">
        <f ca="1">IF(C16+D16=0,NA(),SUM(D$2:D16,C$2:C16))</f>
        <v>#N/A</v>
      </c>
      <c r="H16" s="162" t="e">
        <f ca="1">IF(E16=0,NA(),SUM(E$2:E16))</f>
        <v>#N/A</v>
      </c>
      <c r="I16" s="163" t="e">
        <f t="shared" ca="1" si="2"/>
        <v>#N/A</v>
      </c>
      <c r="J16" s="164" t="str">
        <f ca="1">IF(Calculations!A$2:A$356=TODAY(),C16+D16,"")</f>
        <v/>
      </c>
      <c r="K16" s="165" t="str">
        <f ca="1">IF(Calculations!A$2:A$356=TODAY()-1,C16+D16,"")</f>
        <v/>
      </c>
      <c r="L16" s="172" t="s">
        <v>24</v>
      </c>
      <c r="M16" s="221">
        <f>U8</f>
        <v>27</v>
      </c>
      <c r="N16" s="151"/>
      <c r="O16" s="222" t="s">
        <v>37</v>
      </c>
      <c r="P16" s="223">
        <f>COUNTA(Execution!$J$2:$J$814)</f>
        <v>27</v>
      </c>
      <c r="Q16" s="224" t="s">
        <v>38</v>
      </c>
      <c r="R16" s="225"/>
      <c r="S16" s="222">
        <f ca="1">COUNTA(Execution!$I$2:$I814)</f>
        <v>158</v>
      </c>
      <c r="T16" s="220"/>
      <c r="U16" s="151"/>
      <c r="V16" s="399"/>
      <c r="W16" s="214" t="s">
        <v>141</v>
      </c>
      <c r="X16" s="326">
        <f t="array" ref="X16">SUM(IF('Defect Dump'!$H$3:$H$10000=W16,1,0))</f>
        <v>8</v>
      </c>
      <c r="Y16" s="199"/>
      <c r="Z16" s="199"/>
      <c r="AA16" s="399"/>
      <c r="AB16" s="215" t="s">
        <v>158</v>
      </c>
      <c r="AC16" s="326">
        <f t="array" ref="AC16">SUM(IF('Defect Dump'!$H$3:$H$10000="Closed",(IF('Defect Dump'!$Q$3:$Q$10000=3,1,0))),0)</f>
        <v>26</v>
      </c>
      <c r="AD16" s="1"/>
      <c r="AE16" s="1"/>
      <c r="AF16" s="1"/>
      <c r="AG16" s="1"/>
      <c r="AH16" s="1"/>
    </row>
    <row r="17" spans="1:34">
      <c r="A17" s="158">
        <f t="shared" ca="1" si="1"/>
        <v>41811</v>
      </c>
      <c r="B17" s="159">
        <f t="array" aca="1" ref="B17" ca="1">COUNTIF(Execution!G$2:G$314,A17)</f>
        <v>0</v>
      </c>
      <c r="C17" s="160">
        <f t="array" aca="1" ref="C17" ca="1">SUM(SUM(IF(Execution!H$2:H$314=A17,IF(Execution!J$2:J$314="In Progress",0.5,0),0)),SUM(IF(Execution!H$2:H$314=A17,IF(Execution!J$2:J$314="Failed",0.5,0),0)))</f>
        <v>0</v>
      </c>
      <c r="D17" s="161">
        <f t="array" aca="1" ref="D17" ca="1">SUM(IF(Execution!I$2:I$314=A17,IF(Execution!J$2:J$314="Completed",1,0),0))</f>
        <v>0</v>
      </c>
      <c r="E17" s="161">
        <f t="array" aca="1" ref="E17" ca="1">SUM(IF(TODAY()&gt;=A17,C17+D17-B17,NA()))</f>
        <v>0</v>
      </c>
      <c r="F17" s="160" t="e">
        <f ca="1">IF(B17=0,NA(),SUM(B$2:B17))</f>
        <v>#N/A</v>
      </c>
      <c r="G17" s="161" t="e">
        <f ca="1">IF(C17+D17=0,NA(),SUM(D$2:D17,C$2:C17))</f>
        <v>#N/A</v>
      </c>
      <c r="H17" s="162" t="e">
        <f ca="1">IF(E17=0,NA(),SUM(E$2:E17))</f>
        <v>#N/A</v>
      </c>
      <c r="I17" s="163" t="e">
        <f t="shared" ca="1" si="2"/>
        <v>#N/A</v>
      </c>
      <c r="J17" s="164" t="str">
        <f ca="1">IF(Calculations!A$2:A$356=TODAY(),C17+D17,"")</f>
        <v/>
      </c>
      <c r="K17" s="165" t="str">
        <f ca="1">IF(Calculations!A$2:A$356=TODAY()-1,C17+D17,"")</f>
        <v/>
      </c>
      <c r="L17" s="172" t="s">
        <v>25</v>
      </c>
      <c r="M17" s="226">
        <f>M38</f>
        <v>158</v>
      </c>
      <c r="N17" s="151"/>
      <c r="O17" s="222" t="s">
        <v>39</v>
      </c>
      <c r="P17" s="227">
        <f>COUNTA(Execution!$F$2:$F$814)</f>
        <v>0</v>
      </c>
      <c r="Q17" s="224" t="s">
        <v>40</v>
      </c>
      <c r="R17" s="225"/>
      <c r="S17" s="222">
        <f>COUNTA(Execution!$J11:$J$814)</f>
        <v>22</v>
      </c>
      <c r="T17" s="220"/>
      <c r="U17" s="151"/>
      <c r="V17" s="399"/>
      <c r="W17" s="214" t="s">
        <v>140</v>
      </c>
      <c r="X17" s="326">
        <f t="array" ref="X17">SUM(IF('Defect Dump'!$H$3:$H$10000=W17,1,0))</f>
        <v>41</v>
      </c>
      <c r="Y17" s="199"/>
      <c r="Z17" s="199"/>
      <c r="AA17" s="399"/>
      <c r="AB17" s="215" t="s">
        <v>159</v>
      </c>
      <c r="AC17" s="326">
        <f t="array" ref="AC17">SUM(IF('Defect Dump'!$H$3:$H$10000="Closed",(IF('Defect Dump'!$Q$3:$Q$10000=4,1,0))),0)</f>
        <v>29</v>
      </c>
      <c r="AD17" s="1"/>
      <c r="AE17" s="1"/>
      <c r="AF17" s="1"/>
      <c r="AG17" s="1"/>
      <c r="AH17" s="1"/>
    </row>
    <row r="18" spans="1:34">
      <c r="A18" s="158">
        <f t="shared" ca="1" si="1"/>
        <v>41812</v>
      </c>
      <c r="B18" s="159">
        <f t="array" aca="1" ref="B18" ca="1">COUNTIF(Execution!G$2:G$314,A18)</f>
        <v>0</v>
      </c>
      <c r="C18" s="160">
        <f t="array" aca="1" ref="C18" ca="1">SUM(SUM(IF(Execution!H$2:H$314=A18,IF(Execution!J$2:J$314="In Progress",0.5,0),0)),SUM(IF(Execution!H$2:H$314=A18,IF(Execution!J$2:J$314="Failed",0.5,0),0)))</f>
        <v>0</v>
      </c>
      <c r="D18" s="161">
        <f t="array" aca="1" ref="D18" ca="1">SUM(IF(Execution!I$2:I$314=A18,IF(Execution!J$2:J$314="Completed",1,0),0))</f>
        <v>0</v>
      </c>
      <c r="E18" s="161">
        <f t="array" aca="1" ref="E18" ca="1">SUM(IF(TODAY()&gt;=A18,C18+D18-B18,NA()))</f>
        <v>0</v>
      </c>
      <c r="F18" s="160" t="e">
        <f ca="1">IF(B18=0,NA(),SUM(B$2:B18))</f>
        <v>#N/A</v>
      </c>
      <c r="G18" s="161" t="e">
        <f ca="1">IF(C18+D18=0,NA(),SUM(D$2:D18,C$2:C18))</f>
        <v>#N/A</v>
      </c>
      <c r="H18" s="162" t="e">
        <f ca="1">IF(E18=0,NA(),SUM(E$2:E18))</f>
        <v>#N/A</v>
      </c>
      <c r="I18" s="163" t="e">
        <f t="shared" ca="1" si="2"/>
        <v>#N/A</v>
      </c>
      <c r="J18" s="164" t="str">
        <f ca="1">IF(Calculations!A$2:A$356=TODAY(),C18+D18,"")</f>
        <v/>
      </c>
      <c r="K18" s="165" t="str">
        <f ca="1">IF(Calculations!A$2:A$356=TODAY()-1,C18+D18,"")</f>
        <v/>
      </c>
      <c r="L18" s="228" t="s">
        <v>26</v>
      </c>
      <c r="M18" s="229">
        <f>S38</f>
        <v>27</v>
      </c>
      <c r="N18" s="151"/>
      <c r="O18" s="222" t="s">
        <v>41</v>
      </c>
      <c r="P18" s="223">
        <f ca="1">COUNTA(Execution!$G$2:$G$814)</f>
        <v>158</v>
      </c>
      <c r="Q18" s="230" t="s">
        <v>42</v>
      </c>
      <c r="R18" s="231"/>
      <c r="S18" s="216">
        <f>COUNTA(Execution!#REF!)</f>
        <v>1</v>
      </c>
      <c r="T18" s="220"/>
      <c r="U18" s="151"/>
      <c r="V18" s="399"/>
      <c r="W18" s="214" t="s">
        <v>5</v>
      </c>
      <c r="X18" s="326">
        <f t="array" ref="X18">SUM(IF('Defect Dump'!$H$3:$H$10000=W18,1,0))</f>
        <v>343</v>
      </c>
      <c r="Y18" s="199"/>
      <c r="Z18" s="209"/>
      <c r="AA18" s="399"/>
      <c r="AB18" s="215" t="s">
        <v>160</v>
      </c>
      <c r="AC18" s="326">
        <f t="array" ref="AC18">SUM(IF('Defect Dump'!$H$3:$H$10000="Closed",(IF('Defect Dump'!$Q$3:$Q$10000=5,1,0))),0)</f>
        <v>20</v>
      </c>
      <c r="AD18" s="1"/>
      <c r="AE18" s="1"/>
      <c r="AF18" s="1"/>
      <c r="AG18" s="1"/>
      <c r="AH18" s="1"/>
    </row>
    <row r="19" spans="1:34" ht="13.5" thickBot="1">
      <c r="A19" s="158">
        <f t="shared" ca="1" si="1"/>
        <v>41813</v>
      </c>
      <c r="B19" s="159">
        <f t="array" aca="1" ref="B19" ca="1">COUNTIF(Execution!G$2:G$314,A19)</f>
        <v>0</v>
      </c>
      <c r="C19" s="160">
        <f t="array" aca="1" ref="C19" ca="1">SUM(SUM(IF(Execution!H$2:H$314=A19,IF(Execution!J$2:J$314="In Progress",0.5,0),0)),SUM(IF(Execution!H$2:H$314=A19,IF(Execution!J$2:J$314="Failed",0.5,0),0)))</f>
        <v>0</v>
      </c>
      <c r="D19" s="161">
        <f t="array" aca="1" ref="D19" ca="1">SUM(IF(Execution!I$2:I$314=A19,IF(Execution!J$2:J$314="Completed",1,0),0))</f>
        <v>0</v>
      </c>
      <c r="E19" s="161">
        <f t="array" aca="1" ref="E19" ca="1">SUM(IF(TODAY()&gt;=A19,C19+D19-B19,NA()))</f>
        <v>0</v>
      </c>
      <c r="F19" s="160" t="e">
        <f ca="1">IF(B19=0,NA(),SUM(B$2:B19))</f>
        <v>#N/A</v>
      </c>
      <c r="G19" s="161" t="e">
        <f ca="1">IF(C19+D19=0,NA(),SUM(D$2:D19,C$2:C19))</f>
        <v>#N/A</v>
      </c>
      <c r="H19" s="162" t="e">
        <f ca="1">IF(E19=0,NA(),SUM(E$2:E19))</f>
        <v>#N/A</v>
      </c>
      <c r="I19" s="163" t="e">
        <f t="shared" ca="1" si="2"/>
        <v>#N/A</v>
      </c>
      <c r="J19" s="164" t="str">
        <f ca="1">IF(Calculations!A$2:A$356=TODAY(),C19+D19,"")</f>
        <v/>
      </c>
      <c r="K19" s="165" t="str">
        <f ca="1">IF(Calculations!A$2:A$356=TODAY()-1,C19+D19,"")</f>
        <v/>
      </c>
      <c r="L19" s="228" t="s">
        <v>55</v>
      </c>
      <c r="M19" s="232">
        <f>AC8</f>
        <v>27</v>
      </c>
      <c r="N19" s="151"/>
      <c r="O19" s="151"/>
      <c r="P19" s="151"/>
      <c r="Q19" s="189"/>
      <c r="R19" s="189"/>
      <c r="S19" s="151"/>
      <c r="T19" s="151"/>
      <c r="U19" s="151"/>
      <c r="V19" s="399"/>
      <c r="W19" s="233" t="s">
        <v>75</v>
      </c>
      <c r="X19" s="234">
        <f>SUM(X13:X18)</f>
        <v>1050</v>
      </c>
      <c r="Y19" s="199"/>
      <c r="Z19" s="199"/>
      <c r="AA19" s="409"/>
      <c r="AB19" s="235" t="s">
        <v>161</v>
      </c>
      <c r="AC19" s="328">
        <f t="array" ref="AC19">SUM(IF('Defect Dump'!$H$3:$H$10000="Closed",(IF('Defect Dump'!$Q$3:$Q$10000&gt;5,1,0))),0)</f>
        <v>222</v>
      </c>
      <c r="AD19" s="1"/>
      <c r="AE19" s="1"/>
      <c r="AF19" s="1"/>
      <c r="AG19" s="1"/>
      <c r="AH19" s="1"/>
    </row>
    <row r="20" spans="1:34">
      <c r="A20" s="158">
        <f t="shared" ca="1" si="1"/>
        <v>41814</v>
      </c>
      <c r="B20" s="159">
        <f t="array" aca="1" ref="B20" ca="1">COUNTIF(Execution!G$2:G$314,A20)</f>
        <v>0</v>
      </c>
      <c r="C20" s="160">
        <f t="array" aca="1" ref="C20" ca="1">SUM(SUM(IF(Execution!H$2:H$314=A20,IF(Execution!J$2:J$314="In Progress",0.5,0),0)),SUM(IF(Execution!H$2:H$314=A20,IF(Execution!J$2:J$314="Failed",0.5,0),0)))</f>
        <v>0</v>
      </c>
      <c r="D20" s="161">
        <f t="array" aca="1" ref="D20" ca="1">SUM(IF(Execution!I$2:I$314=A20,IF(Execution!J$2:J$314="Completed",1,0),0))</f>
        <v>0</v>
      </c>
      <c r="E20" s="161">
        <f t="array" aca="1" ref="E20" ca="1">SUM(IF(TODAY()&gt;=A20,C20+D20-B20,NA()))</f>
        <v>0</v>
      </c>
      <c r="F20" s="160" t="e">
        <f ca="1">IF(B20=0,NA(),SUM(B$2:B20))</f>
        <v>#N/A</v>
      </c>
      <c r="G20" s="161" t="e">
        <f ca="1">IF(C20+D20=0,NA(),SUM(D$2:D20,C$2:C20))</f>
        <v>#N/A</v>
      </c>
      <c r="H20" s="162" t="e">
        <f ca="1">IF(E20=0,NA(),SUM(E$2:E20))</f>
        <v>#N/A</v>
      </c>
      <c r="I20" s="163" t="e">
        <f t="shared" ca="1" si="2"/>
        <v>#N/A</v>
      </c>
      <c r="J20" s="164" t="str">
        <f ca="1">IF(Calculations!A$2:A$356=TODAY(),C20+D20,"")</f>
        <v/>
      </c>
      <c r="K20" s="165" t="str">
        <f ca="1">IF(Calculations!A$2:A$356=TODAY()-1,C20+D20,"")</f>
        <v/>
      </c>
      <c r="L20" s="236" t="s">
        <v>28</v>
      </c>
      <c r="M20" s="237" t="str">
        <f>IF((M15+M16+M17+M18+M19)/5=M15,"OK","NOT OK")</f>
        <v>NOT OK</v>
      </c>
      <c r="N20" s="151"/>
      <c r="O20" s="151"/>
      <c r="P20" s="151"/>
      <c r="Q20" s="151"/>
      <c r="R20" s="151"/>
      <c r="S20" s="151"/>
      <c r="T20" s="151"/>
      <c r="U20" s="151"/>
      <c r="AD20" s="1"/>
      <c r="AE20" s="1"/>
      <c r="AF20" s="1"/>
      <c r="AG20" s="1"/>
      <c r="AH20" s="1"/>
    </row>
    <row r="21" spans="1:34">
      <c r="A21" s="158">
        <f t="shared" ca="1" si="1"/>
        <v>41815</v>
      </c>
      <c r="B21" s="159">
        <f t="array" aca="1" ref="B21" ca="1">COUNTIF(Execution!G$2:G$314,A21)</f>
        <v>0</v>
      </c>
      <c r="C21" s="160">
        <f t="array" aca="1" ref="C21" ca="1">SUM(SUM(IF(Execution!H$2:H$314=A21,IF(Execution!J$2:J$314="In Progress",0.5,0),0)),SUM(IF(Execution!H$2:H$314=A21,IF(Execution!J$2:J$314="Failed",0.5,0),0)))</f>
        <v>0</v>
      </c>
      <c r="D21" s="161">
        <f t="array" aca="1" ref="D21" ca="1">SUM(IF(Execution!I$2:I$314=A21,IF(Execution!J$2:J$314="Completed",1,0),0))</f>
        <v>0</v>
      </c>
      <c r="E21" s="161">
        <f t="array" aca="1" ref="E21" ca="1">SUM(IF(TODAY()&gt;=A21,C21+D21-B21,NA()))</f>
        <v>0</v>
      </c>
      <c r="F21" s="160" t="e">
        <f ca="1">IF(B21=0,NA(),SUM(B$2:B21))</f>
        <v>#N/A</v>
      </c>
      <c r="G21" s="161" t="e">
        <f ca="1">IF(C21+D21=0,NA(),SUM(D$2:D21,C$2:C21))</f>
        <v>#N/A</v>
      </c>
      <c r="H21" s="162" t="e">
        <f ca="1">IF(E21=0,NA(),SUM(E$2:E21))</f>
        <v>#N/A</v>
      </c>
      <c r="I21" s="163" t="e">
        <f t="shared" ca="1" si="2"/>
        <v>#N/A</v>
      </c>
      <c r="J21" s="164" t="str">
        <f ca="1">IF(Calculations!A$2:A$356=TODAY(),C21+D21,"")</f>
        <v/>
      </c>
      <c r="K21" s="165" t="str">
        <f ca="1">IF(Calculations!A$2:A$356=TODAY()-1,C21+D21,"")</f>
        <v/>
      </c>
      <c r="L21" s="151"/>
      <c r="M21" s="151"/>
      <c r="N21" s="151"/>
      <c r="O21" s="151"/>
      <c r="P21" s="151"/>
      <c r="Q21" s="151"/>
      <c r="R21" s="151"/>
      <c r="S21" s="151"/>
      <c r="T21" s="151"/>
      <c r="U21" s="151"/>
      <c r="AD21" s="1"/>
      <c r="AE21" s="1"/>
      <c r="AF21" s="1"/>
      <c r="AG21" s="1"/>
      <c r="AH21" s="1"/>
    </row>
    <row r="22" spans="1:34">
      <c r="A22" s="158">
        <f t="shared" ca="1" si="1"/>
        <v>41816</v>
      </c>
      <c r="B22" s="159">
        <f t="array" aca="1" ref="B22" ca="1">COUNTIF(Execution!G$2:G$314,A22)</f>
        <v>0</v>
      </c>
      <c r="C22" s="160">
        <f t="array" aca="1" ref="C22" ca="1">SUM(SUM(IF(Execution!H$2:H$314=A22,IF(Execution!J$2:J$314="In Progress",0.5,0),0)),SUM(IF(Execution!H$2:H$314=A22,IF(Execution!J$2:J$314="Failed",0.5,0),0)))</f>
        <v>0</v>
      </c>
      <c r="D22" s="161">
        <f t="array" aca="1" ref="D22" ca="1">SUM(IF(Execution!I$2:I$314=A22,IF(Execution!J$2:J$314="Completed",1,0),0))</f>
        <v>0</v>
      </c>
      <c r="E22" s="161">
        <f t="array" aca="1" ref="E22" ca="1">SUM(IF(TODAY()&gt;=A22,C22+D22-B22,NA()))</f>
        <v>0</v>
      </c>
      <c r="F22" s="160" t="e">
        <f ca="1">IF(B22=0,NA(),SUM(B$2:B22))</f>
        <v>#N/A</v>
      </c>
      <c r="G22" s="161" t="e">
        <f ca="1">IF(C22+D22=0,NA(),SUM(D$2:D22,C$2:C22))</f>
        <v>#N/A</v>
      </c>
      <c r="H22" s="162" t="e">
        <f ca="1">IF(E22=0,NA(),SUM(E$2:E22))</f>
        <v>#N/A</v>
      </c>
      <c r="I22" s="163" t="e">
        <f t="shared" ca="1" si="2"/>
        <v>#N/A</v>
      </c>
      <c r="J22" s="164" t="str">
        <f ca="1">IF(Calculations!A$2:A$356=TODAY(),C22+D22,"")</f>
        <v/>
      </c>
      <c r="K22" s="165" t="str">
        <f ca="1">IF(Calculations!A$2:A$356=TODAY()-1,C22+D22,"")</f>
        <v/>
      </c>
      <c r="L22" s="155" t="s">
        <v>3</v>
      </c>
      <c r="M22" s="155" t="s">
        <v>7</v>
      </c>
      <c r="N22" s="155" t="s">
        <v>10</v>
      </c>
      <c r="O22" s="155" t="s">
        <v>2</v>
      </c>
      <c r="P22" s="238" t="s">
        <v>0</v>
      </c>
      <c r="Q22" s="155" t="s">
        <v>22</v>
      </c>
      <c r="R22" s="155" t="s">
        <v>62</v>
      </c>
      <c r="S22" s="155" t="s">
        <v>6</v>
      </c>
      <c r="T22" s="151"/>
      <c r="U22" s="151"/>
      <c r="V22" s="337" t="s">
        <v>371</v>
      </c>
      <c r="W22" s="337" t="s">
        <v>369</v>
      </c>
      <c r="X22" s="338" t="s">
        <v>370</v>
      </c>
      <c r="AD22" s="1"/>
      <c r="AE22" s="1"/>
      <c r="AF22" s="1"/>
      <c r="AG22" s="1"/>
      <c r="AH22" s="1"/>
    </row>
    <row r="23" spans="1:34">
      <c r="A23" s="158">
        <f t="shared" ca="1" si="1"/>
        <v>41817</v>
      </c>
      <c r="B23" s="159">
        <f t="array" aca="1" ref="B23" ca="1">COUNTIF(Execution!G$2:G$314,A23)</f>
        <v>0</v>
      </c>
      <c r="C23" s="160">
        <f t="array" aca="1" ref="C23" ca="1">SUM(SUM(IF(Execution!H$2:H$314=A23,IF(Execution!J$2:J$314="In Progress",0.5,0),0)),SUM(IF(Execution!H$2:H$314=A23,IF(Execution!J$2:J$314="Failed",0.5,0),0)))</f>
        <v>0</v>
      </c>
      <c r="D23" s="161">
        <f t="array" aca="1" ref="D23" ca="1">SUM(IF(Execution!I$2:I$314=A23,IF(Execution!J$2:J$314="Completed",1,0),0))</f>
        <v>0</v>
      </c>
      <c r="E23" s="161">
        <f t="array" aca="1" ref="E23" ca="1">SUM(IF(TODAY()&gt;=A23,C23+D23-B23,NA()))</f>
        <v>0</v>
      </c>
      <c r="F23" s="160" t="e">
        <f ca="1">IF(B23=0,NA(),SUM(B$2:B23))</f>
        <v>#N/A</v>
      </c>
      <c r="G23" s="161" t="e">
        <f ca="1">IF(C23+D23=0,NA(),SUM(D$2:D23,C$2:C23))</f>
        <v>#N/A</v>
      </c>
      <c r="H23" s="162" t="e">
        <f ca="1">IF(E23=0,NA(),SUM(E$2:E23))</f>
        <v>#N/A</v>
      </c>
      <c r="I23" s="163" t="e">
        <f t="shared" ca="1" si="2"/>
        <v>#N/A</v>
      </c>
      <c r="J23" s="164" t="str">
        <f ca="1">IF(Calculations!A$2:A$356=TODAY(),C23+D23,"")</f>
        <v/>
      </c>
      <c r="K23" s="165" t="str">
        <f ca="1">IF(Calculations!A$2:A$356=TODAY()-1,C23+D23,"")</f>
        <v/>
      </c>
      <c r="L23" s="31" t="s">
        <v>407</v>
      </c>
      <c r="M23" s="240">
        <f t="array" ref="M23">COUNTIF(Execution!$E$2:$E$314,Calculations!L23)</f>
        <v>79</v>
      </c>
      <c r="N23" s="241">
        <f t="array" ref="N23">(SUM(IF(Execution!$E$2:$E$314=Calculations!L23,IF(Execution!$J$2:$J$314="Completed",1,0),0)))</f>
        <v>3</v>
      </c>
      <c r="O23" s="242">
        <f t="array" ref="O23">(SUM(IF(Execution!$E$2:E$314=Calculations!L23,IF(Execution!$J$2:$J$314="In Progress",1,0),0)))</f>
        <v>0</v>
      </c>
      <c r="P23" s="241">
        <f t="array" ref="P23">(SUM(IF(Execution!$E$2:$E$314=Calculations!L23,IF(Execution!$J$2:$J$314="Failed",1,0),0)))</f>
        <v>5</v>
      </c>
      <c r="Q23" s="242">
        <f t="array" ref="Q23">(SUM(IF(Execution!$E$2:$E$314=Calculations!L23,IF(Execution!$J$2:$J$314="Not Executed",1,0),0)))</f>
        <v>0</v>
      </c>
      <c r="R23" s="242">
        <f t="array" ref="R23">(SUM(IF(Execution!$E$2:$E$314=Calculations!L23,IF(Execution!$J$2:$J$314="Blocked",1,0),0)))</f>
        <v>6</v>
      </c>
      <c r="S23" s="173">
        <f>SUM(N23:R23)</f>
        <v>14</v>
      </c>
      <c r="T23" s="151"/>
      <c r="U23" s="413" t="s">
        <v>367</v>
      </c>
      <c r="V23" s="31" t="s">
        <v>407</v>
      </c>
      <c r="W23" s="326">
        <f t="array" ref="W23">IF($V23&lt;&gt;"",SUM(IF('Defect Dump'!$F$3:$F$10000=$V23,IF('Defect Dump'!$H$3:$H$10000={"Open","Dropped","On Hold"},1,0),0)),0)</f>
        <v>1</v>
      </c>
      <c r="X23" s="326">
        <f t="array" ref="X23">IF($V23&lt;&gt;"",SUM(IF('Defect Dump'!$F$3:$F$10000=$V23,IF('Defect Dump'!$H$3:$H$10000={"Ready For Testing","In Testing"},1,0),0)),0)</f>
        <v>4</v>
      </c>
      <c r="AD23" s="1"/>
      <c r="AE23" s="1"/>
      <c r="AF23" s="1"/>
      <c r="AG23" s="1"/>
      <c r="AH23" s="1"/>
    </row>
    <row r="24" spans="1:34">
      <c r="A24" s="158">
        <f t="shared" ca="1" si="1"/>
        <v>41818</v>
      </c>
      <c r="B24" s="159">
        <f t="array" aca="1" ref="B24" ca="1">COUNTIF(Execution!G$2:G$314,A24)</f>
        <v>0</v>
      </c>
      <c r="C24" s="160">
        <f t="array" aca="1" ref="C24" ca="1">SUM(SUM(IF(Execution!H$2:H$314=A24,IF(Execution!J$2:J$314="In Progress",0.5,0),0)),SUM(IF(Execution!H$2:H$314=A24,IF(Execution!J$2:J$314="Failed",0.5,0),0)))</f>
        <v>0</v>
      </c>
      <c r="D24" s="161">
        <f t="array" aca="1" ref="D24" ca="1">SUM(IF(Execution!I$2:I$314=A24,IF(Execution!J$2:J$314="Completed",1,0),0))</f>
        <v>0</v>
      </c>
      <c r="E24" s="161">
        <f t="array" aca="1" ref="E24" ca="1">SUM(IF(TODAY()&gt;=A24,C24+D24-B24,NA()))</f>
        <v>0</v>
      </c>
      <c r="F24" s="160" t="e">
        <f ca="1">IF(B24=0,NA(),SUM(B$2:B24))</f>
        <v>#N/A</v>
      </c>
      <c r="G24" s="161" t="e">
        <f ca="1">IF(C24+D24=0,NA(),SUM(D$2:D24,C$2:C24))</f>
        <v>#N/A</v>
      </c>
      <c r="H24" s="162" t="e">
        <f ca="1">IF(E24=0,NA(),SUM(E$2:E24))</f>
        <v>#N/A</v>
      </c>
      <c r="I24" s="163" t="e">
        <f t="shared" ca="1" si="2"/>
        <v>#N/A</v>
      </c>
      <c r="J24" s="164" t="str">
        <f ca="1">IF(Calculations!A$2:A$356=TODAY(),C24+D24,"")</f>
        <v/>
      </c>
      <c r="K24" s="165" t="str">
        <f ca="1">IF(Calculations!A$2:A$356=TODAY()-1,C24+D24,"")</f>
        <v/>
      </c>
      <c r="L24" s="31" t="s">
        <v>408</v>
      </c>
      <c r="M24" s="240">
        <f t="array" ref="M24">COUNTIF(Execution!$E$2:$E$314,Calculations!L24)</f>
        <v>79</v>
      </c>
      <c r="N24" s="241">
        <f t="array" ref="N24">(SUM(IF(Execution!$E$2:$E$314=Calculations!L24,IF(Execution!$J$2:$J$314="Completed",1,0),0)))</f>
        <v>2</v>
      </c>
      <c r="O24" s="242">
        <f t="array" ref="O24">(SUM(IF(Execution!$E$2:E$314=Calculations!L24,IF(Execution!$J$2:$J$314="In Progress",1,0),0)))</f>
        <v>0</v>
      </c>
      <c r="P24" s="241">
        <f t="array" ref="P24">(SUM(IF(Execution!$E$2:$E$314=Calculations!L24,IF(Execution!$J$2:$J$314="Failed",1,0),0)))</f>
        <v>5</v>
      </c>
      <c r="Q24" s="242">
        <f t="array" ref="Q24">(SUM(IF(Execution!$E$2:$E$314=Calculations!L24,IF(Execution!$J$2:$J$314="Not Executed",1,0),0)))</f>
        <v>0</v>
      </c>
      <c r="R24" s="242">
        <f t="array" ref="R24">(SUM(IF(Execution!$E$2:$E$314=Calculations!L24,IF(Execution!$J$2:$J$314="Blocked",1,0),0)))</f>
        <v>6</v>
      </c>
      <c r="S24" s="173">
        <f>SUM(N24:R24)</f>
        <v>13</v>
      </c>
      <c r="T24" s="151"/>
      <c r="U24" s="414"/>
      <c r="V24" s="31" t="s">
        <v>408</v>
      </c>
      <c r="W24" s="326">
        <f>IF($V24&lt;&gt;"", SUM(IF('Defect Dump'!$F$3:$F$10000=$V24,1,0)),0)</f>
        <v>0</v>
      </c>
      <c r="X24" s="326">
        <f t="array" ref="X24">IF($V24&lt;&gt;"",SUM(IF('Defect Dump'!$F$3:$F$10000=$V24,IF('Defect Dump'!$H$3:$H$10000={"Ready For Testing","In Testing"},1,0),0)),0)</f>
        <v>1</v>
      </c>
      <c r="AD24" s="1"/>
      <c r="AE24" s="1"/>
      <c r="AF24" s="1"/>
      <c r="AG24" s="1"/>
      <c r="AH24" s="1"/>
    </row>
    <row r="25" spans="1:34">
      <c r="A25" s="158">
        <f t="shared" ca="1" si="1"/>
        <v>41819</v>
      </c>
      <c r="B25" s="159">
        <f t="array" aca="1" ref="B25" ca="1">COUNTIF(Execution!G$2:G$314,A25)</f>
        <v>0</v>
      </c>
      <c r="C25" s="160">
        <f t="array" aca="1" ref="C25" ca="1">SUM(SUM(IF(Execution!H$2:H$314=A25,IF(Execution!J$2:J$314="In Progress",0.5,0),0)),SUM(IF(Execution!H$2:H$314=A25,IF(Execution!J$2:J$314="Failed",0.5,0),0)))</f>
        <v>0</v>
      </c>
      <c r="D25" s="161">
        <f t="array" aca="1" ref="D25" ca="1">SUM(IF(Execution!I$2:I$314=A25,IF(Execution!J$2:J$314="Completed",1,0),0))</f>
        <v>0</v>
      </c>
      <c r="E25" s="161">
        <f t="array" aca="1" ref="E25" ca="1">SUM(IF(TODAY()&gt;=A25,C25+D25-B25,NA()))</f>
        <v>0</v>
      </c>
      <c r="F25" s="160" t="e">
        <f ca="1">IF(B25=0,NA(),SUM(B$2:B25))</f>
        <v>#N/A</v>
      </c>
      <c r="G25" s="161" t="e">
        <f ca="1">IF(C25+D25=0,NA(),SUM(D$2:D25,C$2:C25))</f>
        <v>#N/A</v>
      </c>
      <c r="H25" s="162" t="e">
        <f ca="1">IF(E25=0,NA(),SUM(E$2:E25))</f>
        <v>#N/A</v>
      </c>
      <c r="I25" s="163" t="e">
        <f t="shared" ca="1" si="2"/>
        <v>#N/A</v>
      </c>
      <c r="J25" s="164" t="str">
        <f ca="1">IF(Calculations!A$2:A$356=TODAY(),C25+D25,"")</f>
        <v/>
      </c>
      <c r="K25" s="165" t="str">
        <f ca="1">IF(Calculations!A$2:A$356=TODAY()-1,C25+D25,"")</f>
        <v/>
      </c>
      <c r="L25" s="31"/>
      <c r="M25" s="240"/>
      <c r="N25" s="241"/>
      <c r="O25" s="242"/>
      <c r="P25" s="241"/>
      <c r="Q25" s="242"/>
      <c r="R25" s="242"/>
      <c r="S25" s="173"/>
      <c r="T25" s="151"/>
      <c r="U25" s="414"/>
      <c r="V25" s="31"/>
      <c r="W25" s="326">
        <f>IF($V25&lt;&gt;"", SUM(IF('Defect Dump'!$F$3:$F$10000=$V25,1,0)),0)</f>
        <v>0</v>
      </c>
      <c r="X25" s="326">
        <f t="array" ref="X25">IF($V25&lt;&gt;"",SUM(IF('Defect Dump'!$F$3:$F$10000=$V25,IF('Defect Dump'!$H$3:$H$10000={"Ready For Testing","In Testing"},1,0),0)),0)</f>
        <v>0</v>
      </c>
      <c r="AD25" s="1"/>
      <c r="AE25" s="1"/>
      <c r="AF25" s="1"/>
      <c r="AG25" s="1"/>
      <c r="AH25" s="1"/>
    </row>
    <row r="26" spans="1:34">
      <c r="A26" s="158">
        <f t="shared" ca="1" si="1"/>
        <v>41820</v>
      </c>
      <c r="B26" s="159">
        <f t="array" aca="1" ref="B26" ca="1">COUNTIF(Execution!G$2:G$314,A26)</f>
        <v>0</v>
      </c>
      <c r="C26" s="160">
        <f t="array" aca="1" ref="C26" ca="1">SUM(SUM(IF(Execution!H$2:H$314=A26,IF(Execution!J$2:J$314="In Progress",0.5,0),0)),SUM(IF(Execution!H$2:H$314=A26,IF(Execution!J$2:J$314="Failed",0.5,0),0)))</f>
        <v>0</v>
      </c>
      <c r="D26" s="161">
        <f t="array" aca="1" ref="D26" ca="1">SUM(IF(Execution!I$2:I$314=A26,IF(Execution!J$2:J$314="Completed",1,0),0))</f>
        <v>0</v>
      </c>
      <c r="E26" s="161">
        <f t="array" aca="1" ref="E26" ca="1">SUM(IF(TODAY()&gt;=A26,C26+D26-B26,NA()))</f>
        <v>0</v>
      </c>
      <c r="F26" s="160" t="e">
        <f ca="1">IF(B26=0,NA(),SUM(B$2:B26))</f>
        <v>#N/A</v>
      </c>
      <c r="G26" s="161" t="e">
        <f ca="1">IF(C26+D26=0,NA(),SUM(D$2:D26,C$2:C26))</f>
        <v>#N/A</v>
      </c>
      <c r="H26" s="162" t="e">
        <f ca="1">IF(E26=0,NA(),SUM(E$2:E26))</f>
        <v>#N/A</v>
      </c>
      <c r="I26" s="163" t="e">
        <f t="shared" ca="1" si="2"/>
        <v>#N/A</v>
      </c>
      <c r="J26" s="164" t="str">
        <f ca="1">IF(Calculations!A$2:A$356=TODAY(),C26+D26,"")</f>
        <v/>
      </c>
      <c r="K26" s="165" t="str">
        <f ca="1">IF(Calculations!A$2:A$356=TODAY()-1,C26+D26,"")</f>
        <v/>
      </c>
      <c r="L26" s="31"/>
      <c r="M26" s="240"/>
      <c r="N26" s="241"/>
      <c r="O26" s="242"/>
      <c r="P26" s="241"/>
      <c r="Q26" s="242"/>
      <c r="R26" s="242"/>
      <c r="S26" s="173"/>
      <c r="T26" s="151"/>
      <c r="U26" s="414"/>
      <c r="V26" s="31"/>
      <c r="W26" s="326">
        <f>IF($V26&lt;&gt;"", SUM(IF('Defect Dump'!$F$3:$F$10000=$V26,1,0)),0)</f>
        <v>0</v>
      </c>
      <c r="X26" s="326">
        <f t="array" ref="X26">IF($V26&lt;&gt;"",SUM(IF('Defect Dump'!$F$3:$F$10000=$V26,IF('Defect Dump'!$H$3:$H$10000={"Ready For Testing","In Testing"},1,0),0)),0)</f>
        <v>0</v>
      </c>
      <c r="AD26" s="1"/>
      <c r="AE26" s="1"/>
      <c r="AF26" s="1"/>
      <c r="AG26" s="1"/>
      <c r="AH26" s="1"/>
    </row>
    <row r="27" spans="1:34">
      <c r="A27" s="158">
        <f t="shared" ca="1" si="1"/>
        <v>41821</v>
      </c>
      <c r="B27" s="159">
        <f t="array" aca="1" ref="B27" ca="1">COUNTIF(Execution!G$2:G$314,A27)</f>
        <v>0</v>
      </c>
      <c r="C27" s="160">
        <f t="array" aca="1" ref="C27" ca="1">SUM(SUM(IF(Execution!H$2:H$314=A27,IF(Execution!J$2:J$314="In Progress",0.5,0),0)),SUM(IF(Execution!H$2:H$314=A27,IF(Execution!J$2:J$314="Failed",0.5,0),0)))</f>
        <v>0</v>
      </c>
      <c r="D27" s="161">
        <f t="array" aca="1" ref="D27" ca="1">SUM(IF(Execution!I$2:I$314=A27,IF(Execution!J$2:J$314="Completed",1,0),0))</f>
        <v>0</v>
      </c>
      <c r="E27" s="161">
        <f t="array" aca="1" ref="E27" ca="1">SUM(IF(TODAY()&gt;=A27,C27+D27-B27,NA()))</f>
        <v>0</v>
      </c>
      <c r="F27" s="160" t="e">
        <f ca="1">IF(B27=0,NA(),SUM(B$2:B27))</f>
        <v>#N/A</v>
      </c>
      <c r="G27" s="161" t="e">
        <f ca="1">IF(C27+D27=0,NA(),SUM(D$2:D27,C$2:C27))</f>
        <v>#N/A</v>
      </c>
      <c r="H27" s="162" t="e">
        <f ca="1">IF(E27=0,NA(),SUM(E$2:E27))</f>
        <v>#N/A</v>
      </c>
      <c r="I27" s="163" t="e">
        <f t="shared" ca="1" si="2"/>
        <v>#N/A</v>
      </c>
      <c r="J27" s="164" t="str">
        <f ca="1">IF(Calculations!A$2:A$356=TODAY(),C27+D27,"")</f>
        <v/>
      </c>
      <c r="K27" s="165" t="str">
        <f ca="1">IF(Calculations!A$2:A$356=TODAY()-1,C27+D27,"")</f>
        <v/>
      </c>
      <c r="L27" s="31"/>
      <c r="M27" s="240"/>
      <c r="N27" s="241"/>
      <c r="O27" s="242"/>
      <c r="P27" s="241"/>
      <c r="Q27" s="242"/>
      <c r="R27" s="242"/>
      <c r="S27" s="173"/>
      <c r="T27" s="151"/>
      <c r="U27" s="414"/>
      <c r="V27" s="31"/>
      <c r="W27" s="326">
        <f>IF($V27&lt;&gt;"", SUM(IF('Defect Dump'!$F$3:$F$10000=$V27,1,0)),0)</f>
        <v>0</v>
      </c>
      <c r="X27" s="326">
        <f t="array" ref="X27">IF($V27&lt;&gt;"",SUM(IF('Defect Dump'!$F$3:$F$10000=$V27,IF('Defect Dump'!$H$3:$H$10000={"Ready For Testing","In Testing"},1,0),0)),0)</f>
        <v>0</v>
      </c>
      <c r="AD27" s="1"/>
      <c r="AE27" s="1"/>
      <c r="AF27" s="1"/>
      <c r="AG27" s="1"/>
      <c r="AH27" s="1"/>
    </row>
    <row r="28" spans="1:34">
      <c r="A28" s="158">
        <f t="shared" ca="1" si="1"/>
        <v>41822</v>
      </c>
      <c r="B28" s="159">
        <f t="array" aca="1" ref="B28" ca="1">COUNTIF(Execution!G$2:G$314,A28)</f>
        <v>0</v>
      </c>
      <c r="C28" s="160">
        <f t="array" aca="1" ref="C28" ca="1">SUM(SUM(IF(Execution!H$2:H$314=A28,IF(Execution!J$2:J$314="In Progress",0.5,0),0)),SUM(IF(Execution!H$2:H$314=A28,IF(Execution!J$2:J$314="Failed",0.5,0),0)))</f>
        <v>0</v>
      </c>
      <c r="D28" s="161">
        <f t="array" aca="1" ref="D28" ca="1">SUM(IF(Execution!I$2:I$314=A28,IF(Execution!J$2:J$314="Completed",1,0),0))</f>
        <v>0</v>
      </c>
      <c r="E28" s="161">
        <f t="array" aca="1" ref="E28" ca="1">SUM(IF(TODAY()&gt;=A28,C28+D28-B28,NA()))</f>
        <v>0</v>
      </c>
      <c r="F28" s="160" t="e">
        <f ca="1">IF(B28=0,NA(),SUM(B$2:B28))</f>
        <v>#N/A</v>
      </c>
      <c r="G28" s="161" t="e">
        <f ca="1">IF(C28+D28=0,NA(),SUM(D$2:D28,C$2:C28))</f>
        <v>#N/A</v>
      </c>
      <c r="H28" s="162" t="e">
        <f ca="1">IF(E28=0,NA(),SUM(E$2:E28))</f>
        <v>#N/A</v>
      </c>
      <c r="I28" s="163" t="e">
        <f t="shared" ca="1" si="2"/>
        <v>#N/A</v>
      </c>
      <c r="J28" s="164" t="str">
        <f ca="1">IF(Calculations!A$2:A$356=TODAY(),C28+D28,"")</f>
        <v/>
      </c>
      <c r="K28" s="165" t="str">
        <f ca="1">IF(Calculations!A$2:A$356=TODAY()-1,C28+D28,"")</f>
        <v/>
      </c>
      <c r="L28" s="31"/>
      <c r="M28" s="240"/>
      <c r="N28" s="241"/>
      <c r="O28" s="242"/>
      <c r="P28" s="241"/>
      <c r="Q28" s="242"/>
      <c r="R28" s="242"/>
      <c r="S28" s="173"/>
      <c r="T28" s="151"/>
      <c r="U28" s="414"/>
      <c r="V28" s="31"/>
      <c r="W28" s="326">
        <f>IF($V28&lt;&gt;"", SUM(IF('Defect Dump'!$F$3:$F$10000=$V28,1,0)),0)</f>
        <v>0</v>
      </c>
      <c r="X28" s="326">
        <f t="array" ref="X28">IF($V28&lt;&gt;"",SUM(IF('Defect Dump'!$F$3:$F$10000=$V28,IF('Defect Dump'!$H$3:$H$10000={"Ready For Testing","In Testing"},1,0),0)),0)</f>
        <v>0</v>
      </c>
      <c r="AD28" s="1"/>
      <c r="AE28" s="1"/>
      <c r="AF28" s="1"/>
      <c r="AG28" s="1"/>
      <c r="AH28" s="1"/>
    </row>
    <row r="29" spans="1:34">
      <c r="A29" s="158">
        <f t="shared" ca="1" si="1"/>
        <v>41823</v>
      </c>
      <c r="B29" s="159">
        <f t="array" aca="1" ref="B29" ca="1">COUNTIF(Execution!G$2:G$314,A29)</f>
        <v>0</v>
      </c>
      <c r="C29" s="160">
        <f t="array" aca="1" ref="C29" ca="1">SUM(SUM(IF(Execution!H$2:H$314=A29,IF(Execution!J$2:J$314="In Progress",0.5,0),0)),SUM(IF(Execution!H$2:H$314=A29,IF(Execution!J$2:J$314="Failed",0.5,0),0)))</f>
        <v>0</v>
      </c>
      <c r="D29" s="161">
        <f t="array" aca="1" ref="D29" ca="1">SUM(IF(Execution!I$2:I$314=A29,IF(Execution!J$2:J$314="Completed",1,0),0))</f>
        <v>0</v>
      </c>
      <c r="E29" s="161">
        <f t="array" aca="1" ref="E29" ca="1">SUM(IF(TODAY()&gt;=A29,C29+D29-B29,NA()))</f>
        <v>0</v>
      </c>
      <c r="F29" s="160" t="e">
        <f ca="1">IF(B29=0,NA(),SUM(B$2:B29))</f>
        <v>#N/A</v>
      </c>
      <c r="G29" s="161" t="e">
        <f ca="1">IF(C29+D29=0,NA(),SUM(D$2:D29,C$2:C29))</f>
        <v>#N/A</v>
      </c>
      <c r="H29" s="162" t="e">
        <f ca="1">IF(E29=0,NA(),SUM(E$2:E29))</f>
        <v>#N/A</v>
      </c>
      <c r="I29" s="163" t="e">
        <f t="shared" ca="1" si="2"/>
        <v>#N/A</v>
      </c>
      <c r="J29" s="164" t="str">
        <f ca="1">IF(Calculations!A$2:A$356=TODAY(),C29+D29,"")</f>
        <v/>
      </c>
      <c r="K29" s="165" t="str">
        <f ca="1">IF(Calculations!A$2:A$356=TODAY()-1,C29+D29,"")</f>
        <v/>
      </c>
      <c r="L29" s="31"/>
      <c r="M29" s="240"/>
      <c r="N29" s="241"/>
      <c r="O29" s="242"/>
      <c r="P29" s="241"/>
      <c r="Q29" s="242"/>
      <c r="R29" s="242"/>
      <c r="S29" s="173"/>
      <c r="T29" s="151"/>
      <c r="U29" s="414"/>
      <c r="V29" s="31"/>
      <c r="W29" s="326">
        <f>IF($V29&lt;&gt;"", SUM(IF('Defect Dump'!$F$3:$F$10000=$V29,1,0)),0)</f>
        <v>0</v>
      </c>
      <c r="X29" s="326">
        <f t="array" ref="X29">IF($V29&lt;&gt;"",SUM(IF('Defect Dump'!$F$3:$F$10000=$V29,IF('Defect Dump'!$H$3:$H$10000={"Ready For Testing","In Testing"},1,0),0)),0)</f>
        <v>0</v>
      </c>
      <c r="AD29" s="1"/>
      <c r="AE29" s="1"/>
      <c r="AF29" s="1"/>
      <c r="AG29" s="1"/>
      <c r="AH29" s="1"/>
    </row>
    <row r="30" spans="1:34">
      <c r="A30" s="158">
        <f t="shared" ca="1" si="1"/>
        <v>41824</v>
      </c>
      <c r="B30" s="159">
        <f t="array" aca="1" ref="B30" ca="1">COUNTIF(Execution!G$2:G$314,A30)</f>
        <v>0</v>
      </c>
      <c r="C30" s="160">
        <f t="array" aca="1" ref="C30" ca="1">SUM(SUM(IF(Execution!H$2:H$314=A30,IF(Execution!J$2:J$314="In Progress",0.5,0),0)),SUM(IF(Execution!H$2:H$314=A30,IF(Execution!J$2:J$314="Failed",0.5,0),0)))</f>
        <v>0</v>
      </c>
      <c r="D30" s="161">
        <f t="array" aca="1" ref="D30" ca="1">SUM(IF(Execution!I$2:I$314=A30,IF(Execution!J$2:J$314="Completed",1,0),0))</f>
        <v>0</v>
      </c>
      <c r="E30" s="161">
        <f t="array" aca="1" ref="E30" ca="1">SUM(IF(TODAY()&gt;=A30,C30+D30-B30,NA()))</f>
        <v>0</v>
      </c>
      <c r="F30" s="160" t="e">
        <f ca="1">IF(B30=0,NA(),SUM(B$2:B30))</f>
        <v>#N/A</v>
      </c>
      <c r="G30" s="161" t="e">
        <f ca="1">IF(C30+D30=0,NA(),SUM(D$2:D30,C$2:C30))</f>
        <v>#N/A</v>
      </c>
      <c r="H30" s="162" t="e">
        <f ca="1">IF(E30=0,NA(),SUM(E$2:E30))</f>
        <v>#N/A</v>
      </c>
      <c r="I30" s="163" t="e">
        <f t="shared" ca="1" si="2"/>
        <v>#N/A</v>
      </c>
      <c r="J30" s="164" t="str">
        <f ca="1">IF(Calculations!A$2:A$356=TODAY(),C30+D30,"")</f>
        <v/>
      </c>
      <c r="K30" s="165" t="str">
        <f ca="1">IF(Calculations!A$2:A$356=TODAY()-1,C30+D30,"")</f>
        <v/>
      </c>
      <c r="L30" s="31"/>
      <c r="M30" s="240"/>
      <c r="N30" s="241"/>
      <c r="O30" s="242"/>
      <c r="P30" s="241"/>
      <c r="Q30" s="242"/>
      <c r="R30" s="242"/>
      <c r="S30" s="173"/>
      <c r="T30" s="151"/>
      <c r="U30" s="414"/>
      <c r="V30" s="31"/>
      <c r="W30" s="326">
        <f>IF($V30&lt;&gt;"", SUM(IF('Defect Dump'!$F$3:$F$10000=$V30,1,0)),0)</f>
        <v>0</v>
      </c>
      <c r="X30" s="326">
        <f t="array" ref="X30">IF($V30&lt;&gt;"",SUM(IF('Defect Dump'!$F$3:$F$10000=$V30,IF('Defect Dump'!$H$3:$H$10000={"Ready For Testing","In Testing"},1,0),0)),0)</f>
        <v>0</v>
      </c>
      <c r="AD30" s="1"/>
      <c r="AE30" s="1"/>
      <c r="AF30" s="1"/>
      <c r="AG30" s="1"/>
      <c r="AH30" s="1"/>
    </row>
    <row r="31" spans="1:34">
      <c r="A31" s="158">
        <f t="shared" ca="1" si="1"/>
        <v>41825</v>
      </c>
      <c r="B31" s="159">
        <f t="array" aca="1" ref="B31" ca="1">COUNTIF(Execution!G$2:G$314,A31)</f>
        <v>0</v>
      </c>
      <c r="C31" s="160">
        <f t="array" aca="1" ref="C31" ca="1">SUM(SUM(IF(Execution!H$2:H$314=A31,IF(Execution!J$2:J$314="In Progress",0.5,0),0)),SUM(IF(Execution!H$2:H$314=A31,IF(Execution!J$2:J$314="Failed",0.5,0),0)))</f>
        <v>0</v>
      </c>
      <c r="D31" s="161">
        <f t="array" aca="1" ref="D31" ca="1">SUM(IF(Execution!I$2:I$314=A31,IF(Execution!J$2:J$314="Completed",1,0),0))</f>
        <v>0</v>
      </c>
      <c r="E31" s="161">
        <f t="array" aca="1" ref="E31" ca="1">SUM(IF(TODAY()&gt;=A31,C31+D31-B31,NA()))</f>
        <v>0</v>
      </c>
      <c r="F31" s="160" t="e">
        <f ca="1">IF(B31=0,NA(),SUM(B$2:B31))</f>
        <v>#N/A</v>
      </c>
      <c r="G31" s="161" t="e">
        <f ca="1">IF(C31+D31=0,NA(),SUM(D$2:D31,C$2:C31))</f>
        <v>#N/A</v>
      </c>
      <c r="H31" s="162" t="e">
        <f ca="1">IF(E31=0,NA(),SUM(E$2:E31))</f>
        <v>#N/A</v>
      </c>
      <c r="I31" s="163" t="e">
        <f t="shared" ca="1" si="2"/>
        <v>#N/A</v>
      </c>
      <c r="J31" s="164" t="str">
        <f ca="1">IF(Calculations!A$2:A$356=TODAY(),C31+D31,"")</f>
        <v/>
      </c>
      <c r="K31" s="165" t="str">
        <f ca="1">IF(Calculations!A$2:A$356=TODAY()-1,C31+D31,"")</f>
        <v/>
      </c>
      <c r="L31" s="31"/>
      <c r="M31" s="240"/>
      <c r="N31" s="241"/>
      <c r="O31" s="242"/>
      <c r="P31" s="241"/>
      <c r="Q31" s="242"/>
      <c r="R31" s="242"/>
      <c r="S31" s="173"/>
      <c r="T31" s="151"/>
      <c r="U31" s="414"/>
      <c r="V31" s="31"/>
      <c r="W31" s="326">
        <f>IF($V31&lt;&gt;"", SUM(IF('Defect Dump'!$F$3:$F$10000=$V31,1,0)),0)</f>
        <v>0</v>
      </c>
      <c r="X31" s="326">
        <f t="array" ref="X31">IF($V31&lt;&gt;"",SUM(IF('Defect Dump'!$F$3:$F$10000=$V31,IF('Defect Dump'!$H$3:$H$10000={"Ready For Testing","In Testing"},1,0),0)),0)</f>
        <v>0</v>
      </c>
      <c r="Y31" s="199"/>
      <c r="Z31" s="199"/>
      <c r="AA31" s="199"/>
      <c r="AB31" s="199"/>
      <c r="AC31" s="199"/>
      <c r="AD31" s="1"/>
      <c r="AE31" s="1"/>
      <c r="AF31" s="1"/>
      <c r="AG31" s="1"/>
      <c r="AH31" s="1"/>
    </row>
    <row r="32" spans="1:34">
      <c r="A32" s="158">
        <f t="shared" ca="1" si="1"/>
        <v>41826</v>
      </c>
      <c r="B32" s="159">
        <f t="array" aca="1" ref="B32" ca="1">COUNTIF(Execution!G$2:G$314,A32)</f>
        <v>0</v>
      </c>
      <c r="C32" s="160">
        <f t="array" aca="1" ref="C32" ca="1">SUM(SUM(IF(Execution!H$2:H$314=A32,IF(Execution!J$2:J$314="In Progress",0.5,0),0)),SUM(IF(Execution!H$2:H$314=A32,IF(Execution!J$2:J$314="Failed",0.5,0),0)))</f>
        <v>0</v>
      </c>
      <c r="D32" s="161">
        <f t="array" aca="1" ref="D32" ca="1">SUM(IF(Execution!I$2:I$314=A32,IF(Execution!J$2:J$314="Completed",1,0),0))</f>
        <v>0</v>
      </c>
      <c r="E32" s="161">
        <f t="array" aca="1" ref="E32" ca="1">SUM(IF(TODAY()&gt;=A32,C32+D32-B32,NA()))</f>
        <v>0</v>
      </c>
      <c r="F32" s="160" t="e">
        <f ca="1">IF(B32=0,NA(),SUM(B$2:B32))</f>
        <v>#N/A</v>
      </c>
      <c r="G32" s="161" t="e">
        <f ca="1">IF(C32+D32=0,NA(),SUM(D$2:D32,C$2:C32))</f>
        <v>#N/A</v>
      </c>
      <c r="H32" s="162" t="e">
        <f ca="1">IF(E32=0,NA(),SUM(E$2:E32))</f>
        <v>#N/A</v>
      </c>
      <c r="I32" s="163" t="e">
        <f t="shared" ca="1" si="2"/>
        <v>#N/A</v>
      </c>
      <c r="J32" s="164" t="str">
        <f ca="1">IF(Calculations!A$2:A$356=TODAY(),C32+D32,"")</f>
        <v/>
      </c>
      <c r="K32" s="165" t="str">
        <f ca="1">IF(Calculations!A$2:A$356=TODAY()-1,C32+D32,"")</f>
        <v/>
      </c>
      <c r="L32" s="31"/>
      <c r="M32" s="240"/>
      <c r="N32" s="241"/>
      <c r="O32" s="242"/>
      <c r="P32" s="241"/>
      <c r="Q32" s="242"/>
      <c r="R32" s="242"/>
      <c r="S32" s="173"/>
      <c r="T32" s="151"/>
      <c r="U32" s="414"/>
      <c r="V32" s="31"/>
      <c r="W32" s="326">
        <f>IF($V32&lt;&gt;"", SUM(IF('Defect Dump'!$F$3:$F$10000=$V32,1,0)),0)</f>
        <v>0</v>
      </c>
      <c r="X32" s="326">
        <f t="array" ref="X32">IF($V32&lt;&gt;"",SUM(IF('Defect Dump'!$F$3:$F$10000=$V32,IF('Defect Dump'!$H$3:$H$10000={"Ready For Testing","In Testing"},1,0),0)),0)</f>
        <v>0</v>
      </c>
      <c r="Y32" s="199"/>
      <c r="Z32" s="199"/>
      <c r="AA32" s="199"/>
      <c r="AB32" s="199"/>
      <c r="AC32" s="199"/>
      <c r="AD32" s="1"/>
      <c r="AE32" s="1"/>
      <c r="AF32" s="1"/>
      <c r="AG32" s="1"/>
      <c r="AH32" s="1"/>
    </row>
    <row r="33" spans="1:34">
      <c r="A33" s="158">
        <f t="shared" ca="1" si="1"/>
        <v>41827</v>
      </c>
      <c r="B33" s="159">
        <f t="array" aca="1" ref="B33" ca="1">COUNTIF(Execution!G$2:G$314,A33)</f>
        <v>0</v>
      </c>
      <c r="C33" s="160">
        <f t="array" aca="1" ref="C33" ca="1">SUM(SUM(IF(Execution!H$2:H$314=A33,IF(Execution!J$2:J$314="In Progress",0.5,0),0)),SUM(IF(Execution!H$2:H$314=A33,IF(Execution!J$2:J$314="Failed",0.5,0),0)))</f>
        <v>0</v>
      </c>
      <c r="D33" s="161">
        <f t="array" aca="1" ref="D33" ca="1">SUM(IF(Execution!I$2:I$314=A33,IF(Execution!J$2:J$314="Completed",1,0),0))</f>
        <v>0</v>
      </c>
      <c r="E33" s="161">
        <f t="array" aca="1" ref="E33" ca="1">SUM(IF(TODAY()&gt;=A33,C33+D33-B33,NA()))</f>
        <v>0</v>
      </c>
      <c r="F33" s="160" t="e">
        <f ca="1">IF(B33=0,NA(),SUM(B$2:B33))</f>
        <v>#N/A</v>
      </c>
      <c r="G33" s="161" t="e">
        <f ca="1">IF(C33+D33=0,NA(),SUM(D$2:D33,C$2:C33))</f>
        <v>#N/A</v>
      </c>
      <c r="H33" s="162" t="e">
        <f ca="1">IF(E33=0,NA(),SUM(E$2:E33))</f>
        <v>#N/A</v>
      </c>
      <c r="I33" s="163" t="e">
        <f t="shared" ca="1" si="2"/>
        <v>#N/A</v>
      </c>
      <c r="J33" s="164" t="str">
        <f ca="1">IF(Calculations!A$2:A$356=TODAY(),C33+D33,"")</f>
        <v/>
      </c>
      <c r="K33" s="165" t="str">
        <f ca="1">IF(Calculations!A$2:A$356=TODAY()-1,C33+D33,"")</f>
        <v/>
      </c>
      <c r="L33" s="31"/>
      <c r="M33" s="240"/>
      <c r="N33" s="241"/>
      <c r="O33" s="242"/>
      <c r="P33" s="241"/>
      <c r="Q33" s="242"/>
      <c r="R33" s="242"/>
      <c r="S33" s="173"/>
      <c r="T33" s="151"/>
      <c r="U33" s="414"/>
      <c r="V33" s="31"/>
      <c r="W33" s="326">
        <f>IF($V33&lt;&gt;"", SUM(IF('Defect Dump'!$F$3:$F$10000=$V33,1,0)),0)</f>
        <v>0</v>
      </c>
      <c r="X33" s="326">
        <f t="array" ref="X33">IF($V33&lt;&gt;"",SUM(IF('Defect Dump'!$F$3:$F$10000=$V33,IF('Defect Dump'!$H$3:$H$10000={"Ready For Testing","In Testing"},1,0),0)),0)</f>
        <v>0</v>
      </c>
      <c r="Y33" s="209"/>
      <c r="Z33" s="209"/>
      <c r="AA33" s="209"/>
      <c r="AB33" s="209"/>
      <c r="AC33" s="199"/>
      <c r="AD33" s="1"/>
      <c r="AE33" s="1"/>
      <c r="AF33" s="1"/>
      <c r="AG33" s="1"/>
      <c r="AH33" s="1"/>
    </row>
    <row r="34" spans="1:34">
      <c r="A34" s="158">
        <f t="shared" ca="1" si="1"/>
        <v>41828</v>
      </c>
      <c r="B34" s="159">
        <f t="array" aca="1" ref="B34" ca="1">COUNTIF(Execution!G$2:G$314,A34)</f>
        <v>0</v>
      </c>
      <c r="C34" s="160">
        <f t="array" aca="1" ref="C34" ca="1">SUM(SUM(IF(Execution!H$2:H$314=A34,IF(Execution!J$2:J$314="In Progress",0.5,0),0)),SUM(IF(Execution!H$2:H$314=A34,IF(Execution!J$2:J$314="Failed",0.5,0),0)))</f>
        <v>0</v>
      </c>
      <c r="D34" s="161">
        <f t="array" aca="1" ref="D34" ca="1">SUM(IF(Execution!I$2:I$314=A34,IF(Execution!J$2:J$314="Completed",1,0),0))</f>
        <v>0</v>
      </c>
      <c r="E34" s="161">
        <f t="array" aca="1" ref="E34" ca="1">SUM(IF(TODAY()&gt;=A34,C34+D34-B34,NA()))</f>
        <v>0</v>
      </c>
      <c r="F34" s="160" t="e">
        <f ca="1">IF(B34=0,NA(),SUM(B$2:B34))</f>
        <v>#N/A</v>
      </c>
      <c r="G34" s="161" t="e">
        <f ca="1">IF(C34+D34=0,NA(),SUM(D$2:D34,C$2:C34))</f>
        <v>#N/A</v>
      </c>
      <c r="H34" s="162" t="e">
        <f ca="1">IF(E34=0,NA(),SUM(E$2:E34))</f>
        <v>#N/A</v>
      </c>
      <c r="I34" s="163" t="e">
        <f t="shared" ca="1" si="2"/>
        <v>#N/A</v>
      </c>
      <c r="J34" s="164" t="str">
        <f ca="1">IF(Calculations!A$2:A$356=TODAY(),C34+D34,"")</f>
        <v/>
      </c>
      <c r="K34" s="165" t="str">
        <f ca="1">IF(Calculations!A$2:A$356=TODAY()-1,C34+D34,"")</f>
        <v/>
      </c>
      <c r="L34" s="31"/>
      <c r="M34" s="240"/>
      <c r="N34" s="241"/>
      <c r="O34" s="242"/>
      <c r="P34" s="241"/>
      <c r="Q34" s="242"/>
      <c r="R34" s="242"/>
      <c r="S34" s="173"/>
      <c r="T34" s="151"/>
      <c r="U34" s="414"/>
      <c r="V34" s="31"/>
      <c r="W34" s="326">
        <f>IF($V34&lt;&gt;"", SUM(IF('Defect Dump'!$F$3:$F$10000=$V34,1,0)),0)</f>
        <v>0</v>
      </c>
      <c r="X34" s="326">
        <f t="array" ref="X34">IF($V34&lt;&gt;"",SUM(IF('Defect Dump'!$F$3:$F$10000=$V34,IF('Defect Dump'!$H$3:$H$10000={"Ready For Testing","In Testing"},1,0),0)),0)</f>
        <v>0</v>
      </c>
      <c r="Y34" s="209"/>
      <c r="Z34" s="209"/>
      <c r="AA34" s="209"/>
      <c r="AB34" s="209"/>
      <c r="AC34" s="199"/>
      <c r="AD34" s="1"/>
      <c r="AE34" s="1"/>
      <c r="AF34" s="1"/>
      <c r="AG34" s="1"/>
      <c r="AH34" s="1"/>
    </row>
    <row r="35" spans="1:34">
      <c r="A35" s="158">
        <f t="shared" ca="1" si="1"/>
        <v>41829</v>
      </c>
      <c r="B35" s="159">
        <f t="array" aca="1" ref="B35" ca="1">COUNTIF(Execution!G$2:G$314,A35)</f>
        <v>0</v>
      </c>
      <c r="C35" s="160">
        <f t="array" aca="1" ref="C35" ca="1">SUM(SUM(IF(Execution!H$2:H$314=A35,IF(Execution!J$2:J$314="In Progress",0.5,0),0)),SUM(IF(Execution!H$2:H$314=A35,IF(Execution!J$2:J$314="Failed",0.5,0),0)))</f>
        <v>0</v>
      </c>
      <c r="D35" s="161">
        <f t="array" aca="1" ref="D35" ca="1">SUM(IF(Execution!I$2:I$314=A35,IF(Execution!J$2:J$314="Completed",1,0),0))</f>
        <v>0</v>
      </c>
      <c r="E35" s="161">
        <f t="array" aca="1" ref="E35" ca="1">SUM(IF(TODAY()&gt;=A35,C35+D35-B35,NA()))</f>
        <v>0</v>
      </c>
      <c r="F35" s="160" t="e">
        <f ca="1">IF(B35=0,NA(),SUM(B$2:B35))</f>
        <v>#N/A</v>
      </c>
      <c r="G35" s="161" t="e">
        <f ca="1">IF(C35+D35=0,NA(),SUM(D$2:D35,C$2:C35))</f>
        <v>#N/A</v>
      </c>
      <c r="H35" s="162" t="e">
        <f ca="1">IF(E35=0,NA(),SUM(E$2:E35))</f>
        <v>#N/A</v>
      </c>
      <c r="I35" s="163" t="e">
        <f t="shared" ca="1" si="2"/>
        <v>#N/A</v>
      </c>
      <c r="J35" s="164" t="str">
        <f ca="1">IF(Calculations!A$2:A$356=TODAY(),C35+D35,"")</f>
        <v/>
      </c>
      <c r="K35" s="165" t="str">
        <f ca="1">IF(Calculations!A$2:A$356=TODAY()-1,C35+D35,"")</f>
        <v/>
      </c>
      <c r="L35" s="31"/>
      <c r="M35" s="240"/>
      <c r="N35" s="241"/>
      <c r="O35" s="242"/>
      <c r="P35" s="241"/>
      <c r="Q35" s="242"/>
      <c r="R35" s="242"/>
      <c r="S35" s="173"/>
      <c r="T35" s="151"/>
      <c r="U35" s="414"/>
      <c r="V35" s="31"/>
      <c r="W35" s="326">
        <f>IF($V35&lt;&gt;"", SUM(IF('Defect Dump'!$F$3:$F$10000=$V35,1,0)),0)</f>
        <v>0</v>
      </c>
      <c r="X35" s="326">
        <f t="array" ref="X35">IF($V35&lt;&gt;"",SUM(IF('Defect Dump'!$F$3:$F$10000=$V35,IF('Defect Dump'!$H$3:$H$10000={"Ready For Testing","In Testing"},1,0),0)),0)</f>
        <v>0</v>
      </c>
      <c r="Y35" s="209"/>
      <c r="Z35" s="209"/>
      <c r="AA35" s="209"/>
      <c r="AB35" s="209"/>
      <c r="AC35" s="199"/>
      <c r="AD35" s="1"/>
      <c r="AE35" s="1"/>
      <c r="AF35" s="1"/>
      <c r="AG35" s="1"/>
      <c r="AH35" s="1"/>
    </row>
    <row r="36" spans="1:34">
      <c r="A36" s="158">
        <f t="shared" ca="1" si="1"/>
        <v>41830</v>
      </c>
      <c r="B36" s="159">
        <f t="array" aca="1" ref="B36" ca="1">COUNTIF(Execution!G$2:G$314,A36)</f>
        <v>0</v>
      </c>
      <c r="C36" s="160">
        <f t="array" aca="1" ref="C36" ca="1">SUM(SUM(IF(Execution!H$2:H$314=A36,IF(Execution!J$2:J$314="In Progress",0.5,0),0)),SUM(IF(Execution!H$2:H$314=A36,IF(Execution!J$2:J$314="Failed",0.5,0),0)))</f>
        <v>0</v>
      </c>
      <c r="D36" s="161">
        <f t="array" aca="1" ref="D36" ca="1">SUM(IF(Execution!I$2:I$314=A36,IF(Execution!J$2:J$314="Completed",1,0),0))</f>
        <v>0</v>
      </c>
      <c r="E36" s="161">
        <f t="array" aca="1" ref="E36" ca="1">SUM(IF(TODAY()&gt;=A36,C36+D36-B36,NA()))</f>
        <v>0</v>
      </c>
      <c r="F36" s="160" t="e">
        <f ca="1">IF(B36=0,NA(),SUM(B$2:B36))</f>
        <v>#N/A</v>
      </c>
      <c r="G36" s="161" t="e">
        <f ca="1">IF(C36+D36=0,NA(),SUM(D$2:D36,C$2:C36))</f>
        <v>#N/A</v>
      </c>
      <c r="H36" s="162" t="e">
        <f ca="1">IF(E36=0,NA(),SUM(E$2:E36))</f>
        <v>#N/A</v>
      </c>
      <c r="I36" s="163" t="e">
        <f t="shared" ca="1" si="2"/>
        <v>#N/A</v>
      </c>
      <c r="J36" s="164" t="str">
        <f ca="1">IF(Calculations!A$2:A$356=TODAY(),C36+D36,"")</f>
        <v/>
      </c>
      <c r="K36" s="165" t="str">
        <f ca="1">IF(Calculations!A$2:A$356=TODAY()-1,C36+D36,"")</f>
        <v/>
      </c>
      <c r="L36" s="41"/>
      <c r="M36" s="240"/>
      <c r="N36" s="241"/>
      <c r="O36" s="242"/>
      <c r="P36" s="241"/>
      <c r="Q36" s="242"/>
      <c r="R36" s="242"/>
      <c r="S36" s="173"/>
      <c r="T36" s="151"/>
      <c r="U36" s="414"/>
      <c r="V36" s="41"/>
      <c r="W36" s="326">
        <f>IF($V36&lt;&gt;"", SUM(IF('Defect Dump'!$F$3:$F$10000=$V36,1,0)),0)</f>
        <v>0</v>
      </c>
      <c r="X36" s="326">
        <f t="array" ref="X36">IF($V36&lt;&gt;"",SUM(IF('Defect Dump'!$F$3:$F$10000=$V36,IF('Defect Dump'!$H$3:$H$10000={"Ready For Testing","In Testing"},1,0),0)),0)</f>
        <v>0</v>
      </c>
      <c r="Y36" s="209"/>
      <c r="Z36" s="209"/>
      <c r="AA36" s="209"/>
      <c r="AB36" s="209"/>
      <c r="AC36" s="199"/>
      <c r="AD36" s="1"/>
      <c r="AE36" s="1"/>
      <c r="AF36" s="1"/>
      <c r="AG36" s="1"/>
      <c r="AH36" s="1"/>
    </row>
    <row r="37" spans="1:34">
      <c r="A37" s="158">
        <f t="shared" ca="1" si="1"/>
        <v>41831</v>
      </c>
      <c r="B37" s="159">
        <f t="array" aca="1" ref="B37" ca="1">COUNTIF(Execution!G$2:G$314,A37)</f>
        <v>0</v>
      </c>
      <c r="C37" s="160">
        <f t="array" aca="1" ref="C37" ca="1">SUM(SUM(IF(Execution!H$2:H$314=A37,IF(Execution!J$2:J$314="In Progress",0.5,0),0)),SUM(IF(Execution!H$2:H$314=A37,IF(Execution!J$2:J$314="Failed",0.5,0),0)))</f>
        <v>0</v>
      </c>
      <c r="D37" s="161">
        <f t="array" aca="1" ref="D37" ca="1">SUM(IF(Execution!I$2:I$314=A37,IF(Execution!J$2:J$314="Completed",1,0),0))</f>
        <v>0</v>
      </c>
      <c r="E37" s="161">
        <f t="array" aca="1" ref="E37" ca="1">SUM(IF(TODAY()&gt;=A37,C37+D37-B37,NA()))</f>
        <v>0</v>
      </c>
      <c r="F37" s="160" t="e">
        <f ca="1">IF(B37=0,NA(),SUM(B$2:B37))</f>
        <v>#N/A</v>
      </c>
      <c r="G37" s="161" t="e">
        <f ca="1">IF(C37+D37=0,NA(),SUM(D$2:D37,C$2:C37))</f>
        <v>#N/A</v>
      </c>
      <c r="H37" s="162" t="e">
        <f ca="1">IF(E37=0,NA(),SUM(E$2:E37))</f>
        <v>#N/A</v>
      </c>
      <c r="I37" s="163" t="e">
        <f t="shared" ca="1" si="2"/>
        <v>#N/A</v>
      </c>
      <c r="J37" s="164" t="str">
        <f ca="1">IF(Calculations!A$2:A$356=TODAY(),C37+D37,"")</f>
        <v/>
      </c>
      <c r="K37" s="165" t="str">
        <f ca="1">IF(Calculations!A$2:A$356=TODAY()-1,C37+D37,"")</f>
        <v/>
      </c>
      <c r="L37" s="41"/>
      <c r="M37" s="240"/>
      <c r="N37" s="241"/>
      <c r="O37" s="242"/>
      <c r="P37" s="241"/>
      <c r="Q37" s="242"/>
      <c r="R37" s="242"/>
      <c r="S37" s="173"/>
      <c r="T37" s="151"/>
      <c r="U37" s="415"/>
      <c r="V37" s="41"/>
      <c r="W37" s="326">
        <f>IF($V37&lt;&gt;"", SUM(IF('Defect Dump'!$F$3:$F$10000=$V37,1,0)),0)</f>
        <v>0</v>
      </c>
      <c r="X37" s="326">
        <f t="array" ref="X37">IF($V37&lt;&gt;"",SUM(IF('Defect Dump'!$F$3:$F$10000=$V37,IF('Defect Dump'!$H$3:$H$10000={"Ready For Testing","In Testing"},1,0),0)),0)</f>
        <v>0</v>
      </c>
      <c r="Y37" s="209"/>
      <c r="Z37" s="209"/>
      <c r="AA37" s="209"/>
      <c r="AB37" s="209"/>
      <c r="AC37" s="199"/>
      <c r="AD37" s="1"/>
      <c r="AE37" s="1"/>
      <c r="AF37" s="1"/>
      <c r="AG37" s="1"/>
      <c r="AH37" s="1"/>
    </row>
    <row r="38" spans="1:34">
      <c r="A38" s="158">
        <f t="shared" ca="1" si="1"/>
        <v>41832</v>
      </c>
      <c r="B38" s="159">
        <f t="array" aca="1" ref="B38" ca="1">COUNTIF(Execution!G$2:G$314,A38)</f>
        <v>0</v>
      </c>
      <c r="C38" s="160">
        <f t="array" aca="1" ref="C38" ca="1">SUM(SUM(IF(Execution!H$2:H$314=A38,IF(Execution!J$2:J$314="In Progress",0.5,0),0)),SUM(IF(Execution!H$2:H$314=A38,IF(Execution!J$2:J$314="Failed",0.5,0),0)))</f>
        <v>0</v>
      </c>
      <c r="D38" s="161">
        <f t="array" aca="1" ref="D38" ca="1">SUM(IF(Execution!I$2:I$314=A38,IF(Execution!J$2:J$314="Completed",1,0),0))</f>
        <v>0</v>
      </c>
      <c r="E38" s="161">
        <f t="array" aca="1" ref="E38" ca="1">SUM(IF(TODAY()&gt;=A38,C38+D38-B38,NA()))</f>
        <v>0</v>
      </c>
      <c r="F38" s="160" t="e">
        <f ca="1">IF(B38=0,NA(),SUM(B$2:B38))</f>
        <v>#N/A</v>
      </c>
      <c r="G38" s="161" t="e">
        <f ca="1">IF(C38+D38=0,NA(),SUM(D$2:D38,C$2:C38))</f>
        <v>#N/A</v>
      </c>
      <c r="H38" s="162" t="e">
        <f ca="1">IF(E38=0,NA(),SUM(E$2:E38))</f>
        <v>#N/A</v>
      </c>
      <c r="I38" s="163" t="e">
        <f t="shared" ca="1" si="2"/>
        <v>#N/A</v>
      </c>
      <c r="J38" s="164" t="str">
        <f ca="1">IF(Calculations!A$2:A$356=TODAY(),C38+D38,"")</f>
        <v/>
      </c>
      <c r="K38" s="165" t="str">
        <f ca="1">IF(Calculations!A$2:A$356=TODAY()-1,C38+D38,"")</f>
        <v/>
      </c>
      <c r="L38" s="251" t="s">
        <v>6</v>
      </c>
      <c r="M38" s="252">
        <f t="shared" ref="M38:R38" si="4">SUM(M23:M37)</f>
        <v>158</v>
      </c>
      <c r="N38" s="253">
        <f t="shared" si="4"/>
        <v>5</v>
      </c>
      <c r="O38" s="237">
        <f t="shared" si="4"/>
        <v>0</v>
      </c>
      <c r="P38" s="253">
        <f t="shared" si="4"/>
        <v>10</v>
      </c>
      <c r="Q38" s="237">
        <f t="shared" si="4"/>
        <v>0</v>
      </c>
      <c r="R38" s="237">
        <f t="shared" si="4"/>
        <v>12</v>
      </c>
      <c r="S38" s="254">
        <f>SUM(S23:S37)</f>
        <v>27</v>
      </c>
      <c r="T38" s="151"/>
      <c r="U38" s="151"/>
      <c r="V38" s="189"/>
      <c r="W38" s="250"/>
      <c r="X38" s="209"/>
      <c r="Y38" s="209"/>
      <c r="Z38" s="209"/>
      <c r="AA38" s="209"/>
      <c r="AB38" s="209"/>
      <c r="AC38" s="199"/>
      <c r="AD38" s="1"/>
      <c r="AE38" s="1"/>
      <c r="AF38" s="1"/>
      <c r="AG38" s="1"/>
      <c r="AH38" s="1"/>
    </row>
    <row r="39" spans="1:34">
      <c r="A39" s="158">
        <f t="shared" ca="1" si="1"/>
        <v>41833</v>
      </c>
      <c r="B39" s="159">
        <f t="array" aca="1" ref="B39" ca="1">COUNTIF(Execution!G$2:G$314,A39)</f>
        <v>0</v>
      </c>
      <c r="C39" s="160">
        <f t="array" aca="1" ref="C39" ca="1">SUM(SUM(IF(Execution!H$2:H$314=A39,IF(Execution!J$2:J$314="In Progress",0.5,0),0)),SUM(IF(Execution!H$2:H$314=A39,IF(Execution!J$2:J$314="Failed",0.5,0),0)))</f>
        <v>0</v>
      </c>
      <c r="D39" s="161">
        <f t="array" aca="1" ref="D39" ca="1">SUM(IF(Execution!I$2:I$314=A39,IF(Execution!J$2:J$314="Completed",1,0),0))</f>
        <v>0</v>
      </c>
      <c r="E39" s="161">
        <f t="array" aca="1" ref="E39" ca="1">SUM(IF(TODAY()&gt;=A39,C39+D39-B39,NA()))</f>
        <v>0</v>
      </c>
      <c r="F39" s="160" t="e">
        <f ca="1">IF(B39=0,NA(),SUM(B$2:B39))</f>
        <v>#N/A</v>
      </c>
      <c r="G39" s="161" t="e">
        <f ca="1">IF(C39+D39=0,NA(),SUM(D$2:D39,C$2:C39))</f>
        <v>#N/A</v>
      </c>
      <c r="H39" s="162" t="e">
        <f ca="1">IF(E39=0,NA(),SUM(E$2:E39))</f>
        <v>#N/A</v>
      </c>
      <c r="I39" s="163" t="e">
        <f t="shared" ca="1" si="2"/>
        <v>#N/A</v>
      </c>
      <c r="J39" s="164" t="str">
        <f ca="1">IF(Calculations!A$2:A$356=TODAY(),C39+D39,"")</f>
        <v/>
      </c>
      <c r="K39" s="165" t="str">
        <f ca="1">IF(Calculations!A$2:A$356=TODAY()-1,C39+D39,"")</f>
        <v/>
      </c>
      <c r="L39" s="255"/>
      <c r="M39" s="255"/>
      <c r="N39" s="255"/>
      <c r="O39" s="255"/>
      <c r="P39" s="220"/>
      <c r="Q39" s="220"/>
      <c r="R39" s="151"/>
      <c r="S39" s="151"/>
      <c r="T39" s="151"/>
      <c r="U39" s="151"/>
      <c r="V39" s="256"/>
      <c r="W39" s="257"/>
      <c r="X39" s="257"/>
      <c r="Y39" s="257"/>
      <c r="Z39" s="257"/>
      <c r="AA39" s="257"/>
      <c r="AB39" s="199"/>
      <c r="AC39" s="199"/>
      <c r="AD39" s="1"/>
      <c r="AE39" s="1"/>
      <c r="AF39" s="1"/>
      <c r="AG39" s="1"/>
      <c r="AH39" s="1"/>
    </row>
    <row r="40" spans="1:34" ht="13.5" thickBot="1">
      <c r="A40" s="158">
        <f t="shared" ca="1" si="1"/>
        <v>41834</v>
      </c>
      <c r="B40" s="159">
        <f t="array" aca="1" ref="B40" ca="1">COUNTIF(Execution!G$2:G$314,A40)</f>
        <v>0</v>
      </c>
      <c r="C40" s="160">
        <f t="array" aca="1" ref="C40" ca="1">SUM(SUM(IF(Execution!H$2:H$314=A40,IF(Execution!J$2:J$314="In Progress",0.5,0),0)),SUM(IF(Execution!H$2:H$314=A40,IF(Execution!J$2:J$314="Failed",0.5,0),0)))</f>
        <v>0</v>
      </c>
      <c r="D40" s="161">
        <f t="array" aca="1" ref="D40" ca="1">SUM(IF(Execution!I$2:I$314=A40,IF(Execution!J$2:J$314="Completed",1,0),0))</f>
        <v>0</v>
      </c>
      <c r="E40" s="161">
        <f t="array" aca="1" ref="E40" ca="1">SUM(IF(TODAY()&gt;=A40,C40+D40-B40,NA()))</f>
        <v>0</v>
      </c>
      <c r="F40" s="160" t="e">
        <f ca="1">IF(B40=0,NA(),SUM(B$2:B40))</f>
        <v>#N/A</v>
      </c>
      <c r="G40" s="161" t="e">
        <f ca="1">IF(C40+D40=0,NA(),SUM(D$2:D40,C$2:C40))</f>
        <v>#N/A</v>
      </c>
      <c r="H40" s="162" t="e">
        <f ca="1">IF(E40=0,NA(),SUM(E$2:E40))</f>
        <v>#N/A</v>
      </c>
      <c r="I40" s="163" t="e">
        <f t="shared" ca="1" si="2"/>
        <v>#N/A</v>
      </c>
      <c r="J40" s="164" t="str">
        <f ca="1">IF(Calculations!A$2:A$356=TODAY(),C40+D40,"")</f>
        <v/>
      </c>
      <c r="K40" s="165" t="str">
        <f ca="1">IF(Calculations!A$2:A$356=TODAY()-1,C40+D40,"")</f>
        <v/>
      </c>
      <c r="L40" s="258"/>
      <c r="M40" s="259"/>
      <c r="N40" s="220"/>
      <c r="O40" s="220"/>
      <c r="P40" s="220"/>
      <c r="Q40" s="220"/>
      <c r="R40" s="151"/>
      <c r="S40" s="151"/>
      <c r="T40" s="151"/>
      <c r="U40" s="151"/>
      <c r="V40" s="256"/>
      <c r="W40" s="257"/>
      <c r="X40" s="257"/>
      <c r="Y40" s="257"/>
      <c r="Z40" s="257"/>
      <c r="AA40" s="257"/>
      <c r="AB40" s="199"/>
      <c r="AC40" s="199"/>
      <c r="AD40" s="1"/>
      <c r="AE40" s="1"/>
      <c r="AF40" s="1"/>
      <c r="AG40" s="1"/>
      <c r="AH40" s="1"/>
    </row>
    <row r="41" spans="1:34">
      <c r="A41" s="158">
        <f t="shared" ca="1" si="1"/>
        <v>41835</v>
      </c>
      <c r="B41" s="159">
        <f t="array" aca="1" ref="B41" ca="1">COUNTIF(Execution!G$2:G$314,A41)</f>
        <v>0</v>
      </c>
      <c r="C41" s="160">
        <f t="array" aca="1" ref="C41" ca="1">SUM(SUM(IF(Execution!H$2:H$314=A41,IF(Execution!J$2:J$314="In Progress",0.5,0),0)),SUM(IF(Execution!H$2:H$314=A41,IF(Execution!J$2:J$314="Failed",0.5,0),0)))</f>
        <v>0</v>
      </c>
      <c r="D41" s="161">
        <f t="array" aca="1" ref="D41" ca="1">SUM(IF(Execution!I$2:I$314=A41,IF(Execution!J$2:J$314="Completed",1,0),0))</f>
        <v>0</v>
      </c>
      <c r="E41" s="161">
        <f t="array" aca="1" ref="E41" ca="1">SUM(IF(TODAY()&gt;=A41,C41+D41-B41,NA()))</f>
        <v>0</v>
      </c>
      <c r="F41" s="160" t="e">
        <f ca="1">IF(B41=0,NA(),SUM(B$2:B41))</f>
        <v>#N/A</v>
      </c>
      <c r="G41" s="161" t="e">
        <f ca="1">IF(C41+D41=0,NA(),SUM(D$2:D41,C$2:C41))</f>
        <v>#N/A</v>
      </c>
      <c r="H41" s="162" t="e">
        <f ca="1">IF(E41=0,NA(),SUM(E$2:E41))</f>
        <v>#N/A</v>
      </c>
      <c r="I41" s="163" t="e">
        <f t="shared" ca="1" si="2"/>
        <v>#N/A</v>
      </c>
      <c r="J41" s="164" t="str">
        <f ca="1">IF(Calculations!A$2:A$356=TODAY(),C41+D41,"")</f>
        <v/>
      </c>
      <c r="K41" s="165" t="str">
        <f ca="1">IF(Calculations!A$2:A$356=TODAY()-1,C41+D41,"")</f>
        <v/>
      </c>
      <c r="L41" s="260" t="s">
        <v>20</v>
      </c>
      <c r="M41" s="261"/>
      <c r="N41" s="261"/>
      <c r="O41" s="261"/>
      <c r="P41" s="261"/>
      <c r="Q41" s="262"/>
      <c r="R41" s="151"/>
      <c r="S41" s="151"/>
      <c r="T41" s="151"/>
      <c r="U41" s="151"/>
      <c r="V41" s="410" t="s">
        <v>77</v>
      </c>
      <c r="W41" s="210" t="s">
        <v>164</v>
      </c>
      <c r="X41" s="327">
        <f>X13+X14+X17</f>
        <v>694</v>
      </c>
      <c r="Y41" s="199"/>
      <c r="Z41" s="199"/>
      <c r="AA41" s="199"/>
      <c r="AB41" s="199"/>
      <c r="AC41" s="199"/>
      <c r="AD41" s="1"/>
      <c r="AE41" s="1"/>
      <c r="AF41" s="1"/>
      <c r="AG41" s="1"/>
      <c r="AH41" s="1"/>
    </row>
    <row r="42" spans="1:34">
      <c r="A42" s="158">
        <f t="shared" ca="1" si="1"/>
        <v>41836</v>
      </c>
      <c r="B42" s="159">
        <f t="array" aca="1" ref="B42" ca="1">COUNTIF(Execution!G$2:G$314,A42)</f>
        <v>0</v>
      </c>
      <c r="C42" s="160">
        <f t="array" aca="1" ref="C42" ca="1">SUM(SUM(IF(Execution!H$2:H$314=A42,IF(Execution!J$2:J$314="In Progress",0.5,0),0)),SUM(IF(Execution!H$2:H$314=A42,IF(Execution!J$2:J$314="Failed",0.5,0),0)))</f>
        <v>0</v>
      </c>
      <c r="D42" s="161">
        <f t="array" aca="1" ref="D42" ca="1">SUM(IF(Execution!I$2:I$314=A42,IF(Execution!J$2:J$314="Completed",1,0),0))</f>
        <v>0</v>
      </c>
      <c r="E42" s="161">
        <f t="array" aca="1" ref="E42" ca="1">SUM(IF(TODAY()&gt;=A42,C42+D42-B42,NA()))</f>
        <v>0</v>
      </c>
      <c r="F42" s="160" t="e">
        <f ca="1">IF(B42=0,NA(),SUM(B$2:B42))</f>
        <v>#N/A</v>
      </c>
      <c r="G42" s="161" t="e">
        <f ca="1">IF(C42+D42=0,NA(),SUM(D$2:D42,C$2:C42))</f>
        <v>#N/A</v>
      </c>
      <c r="H42" s="162" t="e">
        <f ca="1">IF(E42=0,NA(),SUM(E$2:E42))</f>
        <v>#N/A</v>
      </c>
      <c r="I42" s="163" t="e">
        <f t="shared" ca="1" si="2"/>
        <v>#N/A</v>
      </c>
      <c r="J42" s="164" t="str">
        <f ca="1">IF(Calculations!A$2:A$356=TODAY(),C42+D42,"")</f>
        <v/>
      </c>
      <c r="K42" s="165" t="str">
        <f ca="1">IF(Calculations!A$2:A$356=TODAY()-1,C42+D42,"")</f>
        <v/>
      </c>
      <c r="L42" s="263" t="s">
        <v>16</v>
      </c>
      <c r="M42" s="264"/>
      <c r="N42" s="264"/>
      <c r="O42" s="263" t="s">
        <v>68</v>
      </c>
      <c r="P42" s="265"/>
      <c r="Q42" s="266"/>
      <c r="R42" s="151"/>
      <c r="S42" s="151"/>
      <c r="T42" s="151"/>
      <c r="U42" s="151"/>
      <c r="V42" s="411"/>
      <c r="W42" s="215" t="s">
        <v>72</v>
      </c>
      <c r="X42" s="326">
        <f t="array" aca="1" ref="X42" ca="1">SUM(IF('Defect Dump'!$R$3:$R$10000=TODAY(),1,0))</f>
        <v>0</v>
      </c>
      <c r="Y42" s="199"/>
      <c r="Z42" s="199"/>
      <c r="AA42" s="199"/>
      <c r="AB42" s="199"/>
      <c r="AC42" s="199"/>
      <c r="AD42" s="1"/>
      <c r="AE42" s="1"/>
      <c r="AF42" s="1"/>
      <c r="AG42" s="1"/>
      <c r="AH42" s="1"/>
    </row>
    <row r="43" spans="1:34">
      <c r="A43" s="158">
        <f t="shared" ca="1" si="1"/>
        <v>41837</v>
      </c>
      <c r="B43" s="159">
        <f t="array" aca="1" ref="B43" ca="1">COUNTIF(Execution!G$2:G$314,A43)</f>
        <v>0</v>
      </c>
      <c r="C43" s="160">
        <f t="array" aca="1" ref="C43" ca="1">SUM(SUM(IF(Execution!H$2:H$314=A43,IF(Execution!J$2:J$314="In Progress",0.5,0),0)),SUM(IF(Execution!H$2:H$314=A43,IF(Execution!J$2:J$314="Failed",0.5,0),0)))</f>
        <v>0</v>
      </c>
      <c r="D43" s="161">
        <f t="array" aca="1" ref="D43" ca="1">SUM(IF(Execution!I$2:I$314=A43,IF(Execution!J$2:J$314="Completed",1,0),0))</f>
        <v>0</v>
      </c>
      <c r="E43" s="161">
        <f t="array" aca="1" ref="E43" ca="1">SUM(IF(TODAY()&gt;=A43,C43+D43-B43,NA()))</f>
        <v>0</v>
      </c>
      <c r="F43" s="160" t="e">
        <f ca="1">IF(B43=0,NA(),SUM(B$2:B43))</f>
        <v>#N/A</v>
      </c>
      <c r="G43" s="161" t="e">
        <f ca="1">IF(C43+D43=0,NA(),SUM(D$2:D43,C$2:C43))</f>
        <v>#N/A</v>
      </c>
      <c r="H43" s="162" t="e">
        <f ca="1">IF(E43=0,NA(),SUM(E$2:E43))</f>
        <v>#N/A</v>
      </c>
      <c r="I43" s="163" t="e">
        <f t="shared" ca="1" si="2"/>
        <v>#N/A</v>
      </c>
      <c r="J43" s="164" t="str">
        <f ca="1">IF(Calculations!A$2:A$356=TODAY(),C43+D43,"")</f>
        <v/>
      </c>
      <c r="K43" s="165" t="str">
        <f ca="1">IF(Calculations!A$2:A$356=TODAY()-1,C43+D43,"")</f>
        <v/>
      </c>
      <c r="L43" s="267" t="s">
        <v>1</v>
      </c>
      <c r="M43" s="268" t="s">
        <v>22</v>
      </c>
      <c r="N43" s="220"/>
      <c r="O43" s="267" t="s">
        <v>1</v>
      </c>
      <c r="P43" s="278" t="s">
        <v>14</v>
      </c>
      <c r="Q43" s="269"/>
      <c r="R43" s="151"/>
      <c r="S43" s="151"/>
      <c r="T43" s="151"/>
      <c r="U43" s="151"/>
      <c r="V43" s="411"/>
      <c r="W43" s="215" t="s">
        <v>71</v>
      </c>
      <c r="X43" s="326">
        <f t="array" aca="1" ref="X43" ca="1">SUM(IF('Defect Dump'!$S$3:$S$10000=TODAY(),1,0))</f>
        <v>0</v>
      </c>
      <c r="Y43" s="199"/>
      <c r="Z43" s="199"/>
      <c r="AA43" s="199"/>
      <c r="AB43" s="199"/>
      <c r="AC43" s="199"/>
      <c r="AD43" s="1"/>
      <c r="AE43" s="1"/>
      <c r="AF43" s="1"/>
      <c r="AG43" s="1"/>
      <c r="AH43" s="1"/>
    </row>
    <row r="44" spans="1:34">
      <c r="A44" s="158">
        <f t="shared" ca="1" si="1"/>
        <v>41838</v>
      </c>
      <c r="B44" s="159">
        <f t="array" aca="1" ref="B44" ca="1">COUNTIF(Execution!G$2:G$314,A44)</f>
        <v>0</v>
      </c>
      <c r="C44" s="160">
        <f t="array" aca="1" ref="C44" ca="1">SUM(SUM(IF(Execution!H$2:H$314=A44,IF(Execution!J$2:J$314="In Progress",0.5,0),0)),SUM(IF(Execution!H$2:H$314=A44,IF(Execution!J$2:J$314="Failed",0.5,0),0)))</f>
        <v>0</v>
      </c>
      <c r="D44" s="161">
        <f t="array" aca="1" ref="D44" ca="1">SUM(IF(Execution!I$2:I$314=A44,IF(Execution!J$2:J$314="Completed",1,0),0))</f>
        <v>0</v>
      </c>
      <c r="E44" s="161">
        <f t="array" aca="1" ref="E44" ca="1">SUM(IF(TODAY()&gt;=A44,C44+D44-B44,NA()))</f>
        <v>0</v>
      </c>
      <c r="F44" s="160" t="e">
        <f ca="1">IF(B44=0,NA(),SUM(B$2:B44))</f>
        <v>#N/A</v>
      </c>
      <c r="G44" s="161" t="e">
        <f ca="1">IF(C44+D44=0,NA(),SUM(D$2:D44,C$2:C44))</f>
        <v>#N/A</v>
      </c>
      <c r="H44" s="162" t="e">
        <f ca="1">IF(E44=0,NA(),SUM(E$2:E44))</f>
        <v>#N/A</v>
      </c>
      <c r="I44" s="163" t="e">
        <f t="shared" ca="1" si="2"/>
        <v>#N/A</v>
      </c>
      <c r="J44" s="164" t="str">
        <f ca="1">IF(Calculations!A$2:A$356=TODAY(),C44+D44,"")</f>
        <v/>
      </c>
      <c r="K44" s="165" t="str">
        <f ca="1">IF(Calculations!A$2:A$356=TODAY()-1,C44+D44,"")</f>
        <v/>
      </c>
      <c r="L44" s="267"/>
      <c r="M44" s="268" t="s">
        <v>2</v>
      </c>
      <c r="N44" s="220"/>
      <c r="O44" s="175"/>
      <c r="P44" s="278" t="s">
        <v>70</v>
      </c>
      <c r="Q44" s="269"/>
      <c r="R44" s="151"/>
      <c r="S44" s="151"/>
      <c r="T44" s="151"/>
      <c r="U44" s="151"/>
      <c r="V44" s="411"/>
      <c r="W44" s="215" t="s">
        <v>73</v>
      </c>
      <c r="X44" s="326">
        <f t="array" aca="1" ref="X44" ca="1">SUM(IF('Defect Dump'!$R$3:$R$10000=TODAY()-1,1,0))</f>
        <v>0</v>
      </c>
      <c r="Y44" s="199"/>
      <c r="Z44" s="199"/>
      <c r="AA44" s="199"/>
      <c r="AB44" s="199"/>
      <c r="AC44" s="199"/>
      <c r="AD44" s="1"/>
      <c r="AE44" s="1"/>
      <c r="AF44" s="1"/>
      <c r="AG44" s="1"/>
      <c r="AH44" s="1"/>
    </row>
    <row r="45" spans="1:34" ht="13.5" thickBot="1">
      <c r="A45" s="158">
        <f t="shared" ca="1" si="1"/>
        <v>41839</v>
      </c>
      <c r="B45" s="159">
        <f t="array" aca="1" ref="B45" ca="1">COUNTIF(Execution!G$2:G$314,A45)</f>
        <v>0</v>
      </c>
      <c r="C45" s="160">
        <f t="array" aca="1" ref="C45" ca="1">SUM(SUM(IF(Execution!H$2:H$314=A45,IF(Execution!J$2:J$314="In Progress",0.5,0),0)),SUM(IF(Execution!H$2:H$314=A45,IF(Execution!J$2:J$314="Failed",0.5,0),0)))</f>
        <v>0</v>
      </c>
      <c r="D45" s="161">
        <f t="array" aca="1" ref="D45" ca="1">SUM(IF(Execution!I$2:I$314=A45,IF(Execution!J$2:J$314="Completed",1,0),0))</f>
        <v>0</v>
      </c>
      <c r="E45" s="161">
        <f t="array" aca="1" ref="E45" ca="1">SUM(IF(TODAY()&gt;=A45,C45+D45-B45,NA()))</f>
        <v>0</v>
      </c>
      <c r="F45" s="160" t="e">
        <f ca="1">IF(B45=0,NA(),SUM(B$2:B45))</f>
        <v>#N/A</v>
      </c>
      <c r="G45" s="161" t="e">
        <f ca="1">IF(C45+D45=0,NA(),SUM(D$2:D45,C$2:C45))</f>
        <v>#N/A</v>
      </c>
      <c r="H45" s="162" t="e">
        <f ca="1">IF(E45=0,NA(),SUM(E$2:E45))</f>
        <v>#N/A</v>
      </c>
      <c r="I45" s="163" t="e">
        <f t="shared" ca="1" si="2"/>
        <v>#N/A</v>
      </c>
      <c r="J45" s="164" t="str">
        <f ca="1">IF(Calculations!A$2:A$356=TODAY(),C45+D45,"")</f>
        <v/>
      </c>
      <c r="K45" s="165" t="str">
        <f ca="1">IF(Calculations!A$2:A$356=TODAY()-1,C45+D45,"")</f>
        <v/>
      </c>
      <c r="L45" s="267"/>
      <c r="M45" s="268" t="s">
        <v>62</v>
      </c>
      <c r="N45" s="220"/>
      <c r="O45" s="175"/>
      <c r="P45" s="278" t="s">
        <v>63</v>
      </c>
      <c r="Q45" s="269"/>
      <c r="R45" s="151"/>
      <c r="S45" s="151"/>
      <c r="T45" s="151"/>
      <c r="U45" s="151"/>
      <c r="V45" s="412"/>
      <c r="W45" s="235" t="s">
        <v>74</v>
      </c>
      <c r="X45" s="328">
        <f t="array" aca="1" ref="X45" ca="1">SUM(IF('Defect Dump'!$S$3:$S$10000=TODAY()-1,1,0))</f>
        <v>0</v>
      </c>
      <c r="Y45" s="243" t="s">
        <v>164</v>
      </c>
      <c r="Z45" s="199"/>
      <c r="AA45" s="199"/>
      <c r="AB45" s="199"/>
      <c r="AC45" s="199"/>
      <c r="AD45" s="1"/>
      <c r="AE45" s="1"/>
      <c r="AF45" s="1"/>
      <c r="AG45" s="1"/>
      <c r="AH45" s="1"/>
    </row>
    <row r="46" spans="1:34">
      <c r="A46" s="158">
        <f t="shared" ca="1" si="1"/>
        <v>41840</v>
      </c>
      <c r="B46" s="159">
        <f t="array" aca="1" ref="B46" ca="1">COUNTIF(Execution!G$2:G$314,A46)</f>
        <v>0</v>
      </c>
      <c r="C46" s="160">
        <f t="array" aca="1" ref="C46" ca="1">SUM(SUM(IF(Execution!H$2:H$314=A46,IF(Execution!J$2:J$314="In Progress",0.5,0),0)),SUM(IF(Execution!H$2:H$314=A46,IF(Execution!J$2:J$314="Failed",0.5,0),0)))</f>
        <v>0</v>
      </c>
      <c r="D46" s="161">
        <f t="array" aca="1" ref="D46" ca="1">SUM(IF(Execution!I$2:I$314=A46,IF(Execution!J$2:J$314="Completed",1,0),0))</f>
        <v>0</v>
      </c>
      <c r="E46" s="161">
        <f t="array" aca="1" ref="E46" ca="1">SUM(IF(TODAY()&gt;=A46,C46+D46-B46,NA()))</f>
        <v>0</v>
      </c>
      <c r="F46" s="160" t="e">
        <f ca="1">IF(B46=0,NA(),SUM(B$2:B46))</f>
        <v>#N/A</v>
      </c>
      <c r="G46" s="161" t="e">
        <f ca="1">IF(C46+D46=0,NA(),SUM(D$2:D46,C$2:C46))</f>
        <v>#N/A</v>
      </c>
      <c r="H46" s="162" t="e">
        <f ca="1">IF(E46=0,NA(),SUM(E$2:E46))</f>
        <v>#N/A</v>
      </c>
      <c r="I46" s="163" t="e">
        <f t="shared" ca="1" si="2"/>
        <v>#N/A</v>
      </c>
      <c r="J46" s="164" t="str">
        <f ca="1">IF(Calculations!A$2:A$356=TODAY(),C46+D46,"")</f>
        <v/>
      </c>
      <c r="K46" s="165" t="str">
        <f ca="1">IF(Calculations!A$2:A$356=TODAY()-1,C46+D46,"")</f>
        <v/>
      </c>
      <c r="L46" s="267"/>
      <c r="M46" s="268" t="s">
        <v>0</v>
      </c>
      <c r="N46" s="220"/>
      <c r="O46" s="267"/>
      <c r="P46" s="278" t="s">
        <v>64</v>
      </c>
      <c r="Q46" s="269"/>
      <c r="R46" s="151"/>
      <c r="S46" s="151"/>
      <c r="T46" s="151"/>
      <c r="U46" s="151"/>
      <c r="V46" s="406" t="s">
        <v>165</v>
      </c>
      <c r="W46" s="244" t="s">
        <v>58</v>
      </c>
      <c r="X46" s="327">
        <f t="array" ref="X46">SUM(IF('Defect Dump'!$I$3:$I$10000=W46,1,0))</f>
        <v>87</v>
      </c>
      <c r="Y46" s="329">
        <f t="array" ref="Y46">SUM(SUM(IF('Defect Dump'!$I$3:$I$10000=W46,IF('Defect Dump'!$H$3:$H$10000="Open",1,0),0)),SUM(IF('Defect Dump'!$I$3:$I$10000=W46,IF('Defect Dump'!$H$3:$H$10000="ReOpened",1,0),0)),SUM(IF('Defect Dump'!$I$3:$I$10000=W46,IF('Defect Dump'!$H$3:$H$10000="Ready For Testing",1,0),0)),SUM(IF('Defect Dump'!$I$3:$I$10000=W46,IF('Defect Dump'!$H$3:$H$10000="On Hold",1,0),0)))</f>
        <v>53</v>
      </c>
      <c r="Z46" s="353" t="s">
        <v>107</v>
      </c>
      <c r="AA46" s="333">
        <f t="array" aca="1" ref="AA46" ca="1">SUM(IF('Defect Dump'!$I$3:$I$10000=W46,IF('Defect Dump'!$R$3:$R$10000=TODAY(),1,0),0))</f>
        <v>0</v>
      </c>
      <c r="AB46" s="401" t="s">
        <v>366</v>
      </c>
      <c r="AD46" s="1"/>
      <c r="AE46" s="1"/>
      <c r="AF46" s="1"/>
      <c r="AG46" s="1"/>
      <c r="AH46" s="1"/>
    </row>
    <row r="47" spans="1:34">
      <c r="A47" s="158">
        <f t="shared" ca="1" si="1"/>
        <v>41841</v>
      </c>
      <c r="B47" s="159">
        <f t="array" aca="1" ref="B47" ca="1">COUNTIF(Execution!G$2:G$314,A47)</f>
        <v>0</v>
      </c>
      <c r="C47" s="160">
        <f t="array" aca="1" ref="C47" ca="1">SUM(SUM(IF(Execution!H$2:H$314=A47,IF(Execution!J$2:J$314="In Progress",0.5,0),0)),SUM(IF(Execution!H$2:H$314=A47,IF(Execution!J$2:J$314="Failed",0.5,0),0)))</f>
        <v>0</v>
      </c>
      <c r="D47" s="161">
        <f t="array" aca="1" ref="D47" ca="1">SUM(IF(Execution!I$2:I$314=A47,IF(Execution!J$2:J$314="Completed",1,0),0))</f>
        <v>0</v>
      </c>
      <c r="E47" s="161">
        <f t="array" aca="1" ref="E47" ca="1">SUM(IF(TODAY()&gt;=A47,C47+D47-B47,NA()))</f>
        <v>0</v>
      </c>
      <c r="F47" s="160" t="e">
        <f ca="1">IF(B47=0,NA(),SUM(B$2:B47))</f>
        <v>#N/A</v>
      </c>
      <c r="G47" s="161" t="e">
        <f ca="1">IF(C47+D47=0,NA(),SUM(D$2:D47,C$2:C47))</f>
        <v>#N/A</v>
      </c>
      <c r="H47" s="162" t="e">
        <f ca="1">IF(E47=0,NA(),SUM(E$2:E47))</f>
        <v>#N/A</v>
      </c>
      <c r="I47" s="163" t="e">
        <f t="shared" ca="1" si="2"/>
        <v>#N/A</v>
      </c>
      <c r="J47" s="164" t="str">
        <f ca="1">IF(Calculations!A$2:A$356=TODAY(),C47+D47,"")</f>
        <v/>
      </c>
      <c r="K47" s="165" t="str">
        <f ca="1">IF(Calculations!A$2:A$356=TODAY()-1,C47+D47,"")</f>
        <v/>
      </c>
      <c r="L47" s="267"/>
      <c r="M47" s="268" t="s">
        <v>10</v>
      </c>
      <c r="N47" s="220"/>
      <c r="O47" s="175"/>
      <c r="P47" s="278" t="s">
        <v>65</v>
      </c>
      <c r="Q47" s="269"/>
      <c r="R47" s="151"/>
      <c r="S47" s="151"/>
      <c r="T47" s="151"/>
      <c r="U47" s="151"/>
      <c r="V47" s="407"/>
      <c r="W47" s="245" t="s">
        <v>59</v>
      </c>
      <c r="X47" s="326">
        <f t="array" ref="X47">SUM(IF('Defect Dump'!$I$3:$I$10000=W47,1,0))</f>
        <v>300</v>
      </c>
      <c r="Y47" s="330">
        <f t="array" ref="Y47">SUM(SUM(IF('Defect Dump'!$I$3:$I$10000=W47,IF('Defect Dump'!$H$3:$H$10000="Open",1,0),0)),SUM(IF('Defect Dump'!$I$3:$I$10000=W47,IF('Defect Dump'!$H$3:$H$10000="ReOpened",1,0),0)),SUM(IF('Defect Dump'!$I$3:$I$10000=W47,IF('Defect Dump'!$H$3:$H$10000="Ready For Testing",1,0),0)),SUM(IF('Defect Dump'!$I$3:$I$10000=W47,IF('Defect Dump'!$H$3:$H$10000="On Hold",1,0),0)))</f>
        <v>192</v>
      </c>
      <c r="Z47" s="353" t="s">
        <v>108</v>
      </c>
      <c r="AA47" s="333">
        <f t="array" aca="1" ref="AA47" ca="1">SUM(IF('Defect Dump'!$I$3:$I$10000=W47,IF('Defect Dump'!$R$3:$R$10000=TODAY(),1,0),0))</f>
        <v>0</v>
      </c>
      <c r="AB47" s="402"/>
      <c r="AD47" s="1"/>
      <c r="AE47" s="1"/>
      <c r="AF47" s="1"/>
      <c r="AG47" s="1"/>
      <c r="AH47" s="1"/>
    </row>
    <row r="48" spans="1:34">
      <c r="A48" s="158">
        <f t="shared" ca="1" si="1"/>
        <v>41842</v>
      </c>
      <c r="B48" s="159">
        <f t="array" aca="1" ref="B48" ca="1">COUNTIF(Execution!G$2:G$314,A48)</f>
        <v>0</v>
      </c>
      <c r="C48" s="160">
        <f t="array" aca="1" ref="C48" ca="1">SUM(SUM(IF(Execution!H$2:H$314=A48,IF(Execution!J$2:J$314="In Progress",0.5,0),0)),SUM(IF(Execution!H$2:H$314=A48,IF(Execution!J$2:J$314="Failed",0.5,0),0)))</f>
        <v>0</v>
      </c>
      <c r="D48" s="161">
        <f t="array" aca="1" ref="D48" ca="1">SUM(IF(Execution!I$2:I$314=A48,IF(Execution!J$2:J$314="Completed",1,0),0))</f>
        <v>0</v>
      </c>
      <c r="E48" s="161">
        <f t="array" aca="1" ref="E48" ca="1">SUM(IF(TODAY()&gt;=A48,C48+D48-B48,NA()))</f>
        <v>0</v>
      </c>
      <c r="F48" s="160" t="e">
        <f ca="1">IF(B48=0,NA(),SUM(B$2:B48))</f>
        <v>#N/A</v>
      </c>
      <c r="G48" s="161" t="e">
        <f ca="1">IF(C48+D48=0,NA(),SUM(D$2:D48,C$2:C48))</f>
        <v>#N/A</v>
      </c>
      <c r="H48" s="162" t="e">
        <f ca="1">IF(E48=0,NA(),SUM(E$2:E48))</f>
        <v>#N/A</v>
      </c>
      <c r="I48" s="163" t="e">
        <f t="shared" ca="1" si="2"/>
        <v>#N/A</v>
      </c>
      <c r="J48" s="164" t="str">
        <f ca="1">IF(Calculations!A$2:A$356=TODAY(),C48+D48,"")</f>
        <v/>
      </c>
      <c r="K48" s="165" t="str">
        <f ca="1">IF(Calculations!A$2:A$356=TODAY()-1,C48+D48,"")</f>
        <v/>
      </c>
      <c r="L48" s="267"/>
      <c r="M48" s="270"/>
      <c r="N48" s="220"/>
      <c r="O48" s="175"/>
      <c r="P48" s="278" t="s">
        <v>66</v>
      </c>
      <c r="Q48" s="269"/>
      <c r="R48" s="151"/>
      <c r="S48" s="151"/>
      <c r="T48" s="151"/>
      <c r="U48" s="151"/>
      <c r="V48" s="407"/>
      <c r="W48" s="245" t="s">
        <v>60</v>
      </c>
      <c r="X48" s="326">
        <f t="array" ref="X48">SUM(IF('Defect Dump'!$I$3:$I$10000=W48,1,0))</f>
        <v>483</v>
      </c>
      <c r="Y48" s="330">
        <f t="array" ref="Y48">SUM(SUM(IF('Defect Dump'!$I$3:$I$10000=W48,IF('Defect Dump'!$H$3:$H$10000="Open",1,0),0)),SUM(IF('Defect Dump'!$I$3:$I$10000=W48,IF('Defect Dump'!$H$3:$H$10000="ReOpened",1,0),0)),SUM(IF('Defect Dump'!$I$3:$I$10000=W48,IF('Defect Dump'!$H$3:$H$10000="Ready For Testing",1,0),0)),SUM(IF('Defect Dump'!$I$3:$I$10000=W48,IF('Defect Dump'!$H$3:$H$10000="On Hold",1,0),0)))</f>
        <v>312</v>
      </c>
      <c r="Z48" s="353" t="s">
        <v>109</v>
      </c>
      <c r="AA48" s="333">
        <f t="array" aca="1" ref="AA48" ca="1">SUM(IF('Defect Dump'!$I$3:$I$10000=W48,IF('Defect Dump'!$R$3:$R$10000=TODAY(),1,0),0))</f>
        <v>0</v>
      </c>
      <c r="AB48" s="402"/>
      <c r="AD48" s="1"/>
      <c r="AE48" s="1"/>
      <c r="AF48" s="1"/>
      <c r="AG48" s="1"/>
      <c r="AH48" s="1"/>
    </row>
    <row r="49" spans="1:34">
      <c r="A49" s="158">
        <f t="shared" ca="1" si="1"/>
        <v>41843</v>
      </c>
      <c r="B49" s="159">
        <f t="array" aca="1" ref="B49" ca="1">COUNTIF(Execution!G$2:G$314,A49)</f>
        <v>0</v>
      </c>
      <c r="C49" s="160">
        <f t="array" aca="1" ref="C49" ca="1">SUM(SUM(IF(Execution!H$2:H$314=A49,IF(Execution!J$2:J$314="In Progress",0.5,0),0)),SUM(IF(Execution!H$2:H$314=A49,IF(Execution!J$2:J$314="Failed",0.5,0),0)))</f>
        <v>0</v>
      </c>
      <c r="D49" s="161">
        <f t="array" aca="1" ref="D49" ca="1">SUM(IF(Execution!I$2:I$314=A49,IF(Execution!J$2:J$314="Completed",1,0),0))</f>
        <v>0</v>
      </c>
      <c r="E49" s="161">
        <f t="array" aca="1" ref="E49" ca="1">SUM(IF(TODAY()&gt;=A49,C49+D49-B49,NA()))</f>
        <v>0</v>
      </c>
      <c r="F49" s="160" t="e">
        <f ca="1">IF(B49=0,NA(),SUM(B$2:B49))</f>
        <v>#N/A</v>
      </c>
      <c r="G49" s="161" t="e">
        <f ca="1">IF(C49+D49=0,NA(),SUM(D$2:D49,C$2:C49))</f>
        <v>#N/A</v>
      </c>
      <c r="H49" s="162" t="e">
        <f ca="1">IF(E49=0,NA(),SUM(E$2:E49))</f>
        <v>#N/A</v>
      </c>
      <c r="I49" s="163" t="e">
        <f t="shared" ca="1" si="2"/>
        <v>#N/A</v>
      </c>
      <c r="J49" s="164" t="str">
        <f ca="1">IF(Calculations!A$2:A$356=TODAY(),C49+D49,"")</f>
        <v/>
      </c>
      <c r="K49" s="165" t="str">
        <f ca="1">IF(Calculations!A$2:A$356=TODAY()-1,C49+D49,"")</f>
        <v/>
      </c>
      <c r="L49" s="267" t="s">
        <v>4</v>
      </c>
      <c r="M49" s="271" t="s">
        <v>17</v>
      </c>
      <c r="N49" s="220"/>
      <c r="O49" s="175"/>
      <c r="P49" s="278" t="s">
        <v>5</v>
      </c>
      <c r="Q49" s="269"/>
      <c r="R49" s="151"/>
      <c r="S49" s="151"/>
      <c r="T49" s="151"/>
      <c r="U49" s="151"/>
      <c r="V49" s="407"/>
      <c r="W49" s="245" t="s">
        <v>61</v>
      </c>
      <c r="X49" s="326">
        <f t="array" ref="X49">SUM(IF('Defect Dump'!$I$3:$I$10000=W49,1,0))</f>
        <v>217</v>
      </c>
      <c r="Y49" s="330">
        <f t="array" ref="Y49">SUM(SUM(IF('Defect Dump'!$I$3:$I$10000=W49,IF('Defect Dump'!$H$3:$H$10000="Open",1,0),0)),SUM(IF('Defect Dump'!$I$3:$I$10000=W49,IF('Defect Dump'!$H$3:$H$10000="ReOpened",1,0),0)),SUM(IF('Defect Dump'!$I$3:$I$10000=W49,IF('Defect Dump'!$H$3:$H$10000="Ready For Testing",1,0),0)),SUM(IF('Defect Dump'!$I$3:$I$10000=W49,IF('Defect Dump'!$H$3:$H$10000="On Hold",1,0),0)))</f>
        <v>145</v>
      </c>
      <c r="Z49" s="353" t="s">
        <v>110</v>
      </c>
      <c r="AA49" s="333">
        <f t="array" aca="1" ref="AA49" ca="1">SUM(IF('Defect Dump'!$I$3:$I$10000=W49,IF('Defect Dump'!$R$3:$R$10000=TODAY(),1,0),0))</f>
        <v>0</v>
      </c>
      <c r="AB49" s="403"/>
      <c r="AD49" s="1"/>
      <c r="AE49" s="1"/>
      <c r="AF49" s="1"/>
      <c r="AG49" s="1"/>
      <c r="AH49" s="1"/>
    </row>
    <row r="50" spans="1:34">
      <c r="A50" s="158">
        <f t="shared" ca="1" si="1"/>
        <v>41844</v>
      </c>
      <c r="B50" s="159">
        <f t="array" aca="1" ref="B50" ca="1">COUNTIF(Execution!G$2:G$314,A50)</f>
        <v>0</v>
      </c>
      <c r="C50" s="160">
        <f t="array" aca="1" ref="C50" ca="1">SUM(SUM(IF(Execution!H$2:H$314=A50,IF(Execution!J$2:J$314="In Progress",0.5,0),0)),SUM(IF(Execution!H$2:H$314=A50,IF(Execution!J$2:J$314="Failed",0.5,0),0)))</f>
        <v>0</v>
      </c>
      <c r="D50" s="161">
        <f t="array" aca="1" ref="D50" ca="1">SUM(IF(Execution!I$2:I$314=A50,IF(Execution!J$2:J$314="Completed",1,0),0))</f>
        <v>0</v>
      </c>
      <c r="E50" s="161">
        <f t="array" aca="1" ref="E50" ca="1">SUM(IF(TODAY()&gt;=A50,C50+D50-B50,NA()))</f>
        <v>0</v>
      </c>
      <c r="F50" s="160" t="e">
        <f ca="1">IF(B50=0,NA(),SUM(B$2:B50))</f>
        <v>#N/A</v>
      </c>
      <c r="G50" s="161" t="e">
        <f ca="1">IF(C50+D50=0,NA(),SUM(D$2:D50,C$2:C50))</f>
        <v>#N/A</v>
      </c>
      <c r="H50" s="162" t="e">
        <f ca="1">IF(E50=0,NA(),SUM(E$2:E50))</f>
        <v>#N/A</v>
      </c>
      <c r="I50" s="163" t="e">
        <f t="shared" ca="1" si="2"/>
        <v>#N/A</v>
      </c>
      <c r="J50" s="164" t="str">
        <f ca="1">IF(Calculations!A$2:A$356=TODAY(),C50+D50,"")</f>
        <v/>
      </c>
      <c r="K50" s="165" t="str">
        <f ca="1">IF(Calculations!A$2:A$356=TODAY()-1,C50+D50,"")</f>
        <v/>
      </c>
      <c r="L50" s="272"/>
      <c r="M50" s="271" t="s">
        <v>18</v>
      </c>
      <c r="N50" s="220"/>
      <c r="O50" s="267"/>
      <c r="P50" s="220"/>
      <c r="Q50" s="269"/>
      <c r="R50" s="151"/>
      <c r="S50" s="151"/>
      <c r="T50" s="151"/>
      <c r="U50" s="151"/>
      <c r="V50" s="407"/>
      <c r="W50" s="301" t="s">
        <v>99</v>
      </c>
      <c r="X50" s="331">
        <f t="array" ref="X50">SUM(IF('Defect Dump'!$I$3:$I$10000=W50,1,0))</f>
        <v>0</v>
      </c>
      <c r="Y50" s="332">
        <f t="array" ref="Y50">SUM(SUM(IF('Defect Dump'!$I$3:$I$10000=W50,IF('Defect Dump'!$H$3:$H$10000="Open",1,0),0)),SUM(IF('Defect Dump'!$I$3:$I$10000=W50,IF('Defect Dump'!$H$3:$H$10000="ReOpened",1,0),0)),SUM(IF('Defect Dump'!$I$3:$I$10000=W50,IF('Defect Dump'!$H$3:$H$10000="Ready For Testing",1,0),0)),SUM(IF('Defect Dump'!$I$3:$I$10000=W50,IF('Defect Dump'!$H$3:$H$10000="On Hold",1,0),0)))</f>
        <v>0</v>
      </c>
      <c r="Z50" s="246"/>
      <c r="AA50" s="199"/>
      <c r="AB50" s="199"/>
      <c r="AC50" s="199"/>
      <c r="AD50" s="1"/>
      <c r="AE50" s="1"/>
      <c r="AF50" s="1"/>
      <c r="AG50" s="1"/>
      <c r="AH50" s="1"/>
    </row>
    <row r="51" spans="1:34" ht="13.5" thickBot="1">
      <c r="A51" s="158">
        <f t="shared" ca="1" si="1"/>
        <v>41845</v>
      </c>
      <c r="B51" s="159">
        <f t="array" aca="1" ref="B51" ca="1">COUNTIF(Execution!G$2:G$314,A51)</f>
        <v>0</v>
      </c>
      <c r="C51" s="160">
        <f t="array" aca="1" ref="C51" ca="1">SUM(SUM(IF(Execution!H$2:H$314=A51,IF(Execution!J$2:J$314="In Progress",0.5,0),0)),SUM(IF(Execution!H$2:H$314=A51,IF(Execution!J$2:J$314="Failed",0.5,0),0)))</f>
        <v>0</v>
      </c>
      <c r="D51" s="161">
        <f t="array" aca="1" ref="D51" ca="1">SUM(IF(Execution!I$2:I$314=A51,IF(Execution!J$2:J$314="Completed",1,0),0))</f>
        <v>0</v>
      </c>
      <c r="E51" s="161">
        <f t="array" aca="1" ref="E51" ca="1">SUM(IF(TODAY()&gt;=A51,C51+D51-B51,NA()))</f>
        <v>0</v>
      </c>
      <c r="F51" s="160" t="e">
        <f ca="1">IF(B51=0,NA(),SUM(B$2:B51))</f>
        <v>#N/A</v>
      </c>
      <c r="G51" s="161" t="e">
        <f ca="1">IF(C51+D51=0,NA(),SUM(D$2:D51,C$2:C51))</f>
        <v>#N/A</v>
      </c>
      <c r="H51" s="162" t="e">
        <f ca="1">IF(E51=0,NA(),SUM(E$2:E51))</f>
        <v>#N/A</v>
      </c>
      <c r="I51" s="163" t="e">
        <f t="shared" ca="1" si="2"/>
        <v>#N/A</v>
      </c>
      <c r="J51" s="164" t="str">
        <f ca="1">IF(Calculations!A$2:A$356=TODAY(),C51+D51,"")</f>
        <v/>
      </c>
      <c r="K51" s="165" t="str">
        <f ca="1">IF(Calculations!A$2:A$356=TODAY()-1,C51+D51,"")</f>
        <v/>
      </c>
      <c r="L51" s="175"/>
      <c r="M51" s="271" t="s">
        <v>19</v>
      </c>
      <c r="N51" s="220"/>
      <c r="O51" s="175"/>
      <c r="P51" s="220"/>
      <c r="Q51" s="269"/>
      <c r="R51" s="151"/>
      <c r="S51" s="151"/>
      <c r="T51" s="151"/>
      <c r="U51" s="151"/>
      <c r="V51" s="408"/>
      <c r="W51" s="247" t="s">
        <v>75</v>
      </c>
      <c r="X51" s="248">
        <f>SUM(X46:X50)</f>
        <v>1087</v>
      </c>
      <c r="Y51" s="249">
        <f>SUM(Y46:Y50)</f>
        <v>702</v>
      </c>
      <c r="Z51" s="246"/>
      <c r="AA51" s="199"/>
      <c r="AB51" s="199"/>
      <c r="AC51" s="199"/>
      <c r="AD51" s="1"/>
      <c r="AE51" s="1"/>
      <c r="AF51" s="1"/>
      <c r="AG51" s="1"/>
      <c r="AH51" s="1"/>
    </row>
    <row r="52" spans="1:34">
      <c r="A52" s="158">
        <f t="shared" ca="1" si="1"/>
        <v>41846</v>
      </c>
      <c r="B52" s="159">
        <f t="array" aca="1" ref="B52" ca="1">COUNTIF(Execution!G$2:G$314,A52)</f>
        <v>0</v>
      </c>
      <c r="C52" s="160">
        <f t="array" aca="1" ref="C52" ca="1">SUM(SUM(IF(Execution!H$2:H$314=A52,IF(Execution!J$2:J$314="In Progress",0.5,0),0)),SUM(IF(Execution!H$2:H$314=A52,IF(Execution!J$2:J$314="Failed",0.5,0),0)))</f>
        <v>0</v>
      </c>
      <c r="D52" s="161">
        <f t="array" aca="1" ref="D52" ca="1">SUM(IF(Execution!I$2:I$314=A52,IF(Execution!J$2:J$314="Completed",1,0),0))</f>
        <v>0</v>
      </c>
      <c r="E52" s="161">
        <f t="array" aca="1" ref="E52" ca="1">SUM(IF(TODAY()&gt;=A52,C52+D52-B52,NA()))</f>
        <v>0</v>
      </c>
      <c r="F52" s="160" t="e">
        <f ca="1">IF(B52=0,NA(),SUM(B$2:B52))</f>
        <v>#N/A</v>
      </c>
      <c r="G52" s="161" t="e">
        <f ca="1">IF(C52+D52=0,NA(),SUM(D$2:D52,C$2:C52))</f>
        <v>#N/A</v>
      </c>
      <c r="H52" s="162" t="e">
        <f ca="1">IF(E52=0,NA(),SUM(E$2:E52))</f>
        <v>#N/A</v>
      </c>
      <c r="I52" s="163" t="e">
        <f t="shared" ca="1" si="2"/>
        <v>#N/A</v>
      </c>
      <c r="J52" s="164" t="str">
        <f ca="1">IF(Calculations!A$2:A$356=TODAY(),C52+D52,"")</f>
        <v/>
      </c>
      <c r="K52" s="165" t="str">
        <f ca="1">IF(Calculations!A$2:A$356=TODAY()-1,C52+D52,"")</f>
        <v/>
      </c>
      <c r="L52" s="175"/>
      <c r="M52" s="270"/>
      <c r="N52" s="220"/>
      <c r="O52" s="267" t="s">
        <v>67</v>
      </c>
      <c r="P52" s="239" t="s">
        <v>58</v>
      </c>
      <c r="Q52" s="269"/>
      <c r="R52" s="151"/>
      <c r="S52" s="151"/>
      <c r="T52" s="151"/>
      <c r="U52" s="151"/>
      <c r="V52" s="151"/>
      <c r="W52" s="198"/>
      <c r="X52" s="199"/>
      <c r="Y52" s="199"/>
      <c r="Z52" s="199"/>
      <c r="AA52" s="199"/>
      <c r="AB52" s="199"/>
      <c r="AC52" s="199"/>
      <c r="AD52" s="1"/>
      <c r="AE52" s="1"/>
      <c r="AF52" s="1"/>
      <c r="AG52" s="1"/>
      <c r="AH52" s="1"/>
    </row>
    <row r="53" spans="1:34">
      <c r="A53" s="158">
        <f t="shared" ca="1" si="1"/>
        <v>41847</v>
      </c>
      <c r="B53" s="159">
        <f t="array" aca="1" ref="B53" ca="1">COUNTIF(Execution!G$2:G$314,A53)</f>
        <v>0</v>
      </c>
      <c r="C53" s="160">
        <f t="array" aca="1" ref="C53" ca="1">SUM(SUM(IF(Execution!H$2:H$314=A53,IF(Execution!J$2:J$314="In Progress",0.5,0),0)),SUM(IF(Execution!H$2:H$314=A53,IF(Execution!J$2:J$314="Failed",0.5,0),0)))</f>
        <v>0</v>
      </c>
      <c r="D53" s="161">
        <f t="array" aca="1" ref="D53" ca="1">SUM(IF(Execution!I$2:I$314=A53,IF(Execution!J$2:J$314="Completed",1,0),0))</f>
        <v>0</v>
      </c>
      <c r="E53" s="161">
        <f t="array" aca="1" ref="E53" ca="1">SUM(IF(TODAY()&gt;=A53,C53+D53-B53,NA()))</f>
        <v>0</v>
      </c>
      <c r="F53" s="160" t="e">
        <f ca="1">IF(B53=0,NA(),SUM(B$2:B53))</f>
        <v>#N/A</v>
      </c>
      <c r="G53" s="161" t="e">
        <f ca="1">IF(C53+D53=0,NA(),SUM(D$2:D53,C$2:C53))</f>
        <v>#N/A</v>
      </c>
      <c r="H53" s="162" t="e">
        <f ca="1">IF(E53=0,NA(),SUM(E$2:E53))</f>
        <v>#N/A</v>
      </c>
      <c r="I53" s="163" t="e">
        <f t="shared" ca="1" si="2"/>
        <v>#N/A</v>
      </c>
      <c r="J53" s="164" t="str">
        <f ca="1">IF(Calculations!A$2:A$356=TODAY(),C53+D53,"")</f>
        <v/>
      </c>
      <c r="K53" s="165" t="str">
        <f ca="1">IF(Calculations!A$2:A$356=TODAY()-1,C53+D53,"")</f>
        <v/>
      </c>
      <c r="L53" s="267" t="s">
        <v>3</v>
      </c>
      <c r="M53" s="31" t="s">
        <v>407</v>
      </c>
      <c r="N53" s="220"/>
      <c r="O53" s="267"/>
      <c r="P53" s="239" t="s">
        <v>59</v>
      </c>
      <c r="Q53" s="269"/>
      <c r="R53" s="151"/>
      <c r="S53" s="151"/>
      <c r="T53" s="151"/>
      <c r="U53" s="151"/>
      <c r="V53" s="151"/>
      <c r="W53" s="198"/>
      <c r="X53" s="199"/>
      <c r="Y53" s="199"/>
      <c r="Z53" s="199"/>
      <c r="AA53" s="199"/>
      <c r="AB53" s="199"/>
      <c r="AC53" s="199"/>
      <c r="AD53" s="1"/>
      <c r="AE53" s="1"/>
      <c r="AF53" s="1"/>
      <c r="AG53" s="1"/>
      <c r="AH53" s="1"/>
    </row>
    <row r="54" spans="1:34" ht="13.5" thickBot="1">
      <c r="A54" s="158">
        <f t="shared" ca="1" si="1"/>
        <v>41848</v>
      </c>
      <c r="B54" s="159">
        <f t="array" aca="1" ref="B54" ca="1">COUNTIF(Execution!G$2:G$314,A54)</f>
        <v>0</v>
      </c>
      <c r="C54" s="160">
        <f t="array" aca="1" ref="C54" ca="1">SUM(SUM(IF(Execution!H$2:H$314=A54,IF(Execution!J$2:J$314="In Progress",0.5,0),0)),SUM(IF(Execution!H$2:H$314=A54,IF(Execution!J$2:J$314="Failed",0.5,0),0)))</f>
        <v>0</v>
      </c>
      <c r="D54" s="161">
        <f t="array" aca="1" ref="D54" ca="1">SUM(IF(Execution!I$2:I$314=A54,IF(Execution!J$2:J$314="Completed",1,0),0))</f>
        <v>0</v>
      </c>
      <c r="E54" s="161">
        <f t="array" aca="1" ref="E54" ca="1">SUM(IF(TODAY()&gt;=A54,C54+D54-B54,NA()))</f>
        <v>0</v>
      </c>
      <c r="F54" s="160" t="e">
        <f ca="1">IF(B54=0,NA(),SUM(B$2:B54))</f>
        <v>#N/A</v>
      </c>
      <c r="G54" s="161" t="e">
        <f ca="1">IF(C54+D54=0,NA(),SUM(D$2:D54,C$2:C54))</f>
        <v>#N/A</v>
      </c>
      <c r="H54" s="162" t="e">
        <f ca="1">IF(E54=0,NA(),SUM(E$2:E54))</f>
        <v>#N/A</v>
      </c>
      <c r="I54" s="163" t="e">
        <f t="shared" ca="1" si="2"/>
        <v>#N/A</v>
      </c>
      <c r="J54" s="164" t="str">
        <f ca="1">IF(Calculations!A$2:A$356=TODAY(),C54+D54,"")</f>
        <v/>
      </c>
      <c r="K54" s="165" t="str">
        <f ca="1">IF(Calculations!A$2:A$356=TODAY()-1,C54+D54,"")</f>
        <v/>
      </c>
      <c r="L54" s="175"/>
      <c r="M54" s="31" t="s">
        <v>408</v>
      </c>
      <c r="N54" s="220"/>
      <c r="O54" s="267"/>
      <c r="P54" s="239" t="s">
        <v>60</v>
      </c>
      <c r="Q54" s="269"/>
      <c r="R54" s="151"/>
      <c r="S54" s="151"/>
      <c r="T54" s="151"/>
      <c r="U54" s="151"/>
      <c r="V54" s="151"/>
      <c r="W54" s="198"/>
      <c r="X54" s="199"/>
      <c r="Y54" s="199"/>
      <c r="Z54" s="199"/>
      <c r="AA54" s="199"/>
      <c r="AB54" s="199"/>
      <c r="AC54" s="199"/>
      <c r="AD54" s="1"/>
      <c r="AE54" s="1"/>
      <c r="AF54" s="1"/>
      <c r="AG54" s="1"/>
      <c r="AH54" s="1"/>
    </row>
    <row r="55" spans="1:34" ht="13.5" thickBot="1">
      <c r="A55" s="158">
        <f t="shared" ca="1" si="1"/>
        <v>41849</v>
      </c>
      <c r="B55" s="159">
        <f t="array" aca="1" ref="B55" ca="1">COUNTIF(Execution!G$2:G$314,A55)</f>
        <v>0</v>
      </c>
      <c r="C55" s="160">
        <f t="array" aca="1" ref="C55" ca="1">SUM(SUM(IF(Execution!H$2:H$314=A55,IF(Execution!J$2:J$314="In Progress",0.5,0),0)),SUM(IF(Execution!H$2:H$314=A55,IF(Execution!J$2:J$314="Failed",0.5,0),0)))</f>
        <v>0</v>
      </c>
      <c r="D55" s="161">
        <f t="array" aca="1" ref="D55" ca="1">SUM(IF(Execution!I$2:I$314=A55,IF(Execution!J$2:J$314="Completed",1,0),0))</f>
        <v>0</v>
      </c>
      <c r="E55" s="161">
        <f t="array" aca="1" ref="E55" ca="1">SUM(IF(TODAY()&gt;=A55,C55+D55-B55,NA()))</f>
        <v>0</v>
      </c>
      <c r="F55" s="160" t="e">
        <f ca="1">IF(B55=0,NA(),SUM(B$2:B55))</f>
        <v>#N/A</v>
      </c>
      <c r="G55" s="161" t="e">
        <f ca="1">IF(C55+D55=0,NA(),SUM(D$2:D55,C$2:C55))</f>
        <v>#N/A</v>
      </c>
      <c r="H55" s="162" t="e">
        <f ca="1">IF(E55=0,NA(),SUM(E$2:E55))</f>
        <v>#N/A</v>
      </c>
      <c r="I55" s="163" t="e">
        <f t="shared" ca="1" si="2"/>
        <v>#N/A</v>
      </c>
      <c r="J55" s="164" t="str">
        <f ca="1">IF(Calculations!A$2:A$356=TODAY(),C55+D55,"")</f>
        <v/>
      </c>
      <c r="K55" s="165" t="str">
        <f ca="1">IF(Calculations!A$2:A$356=TODAY()-1,C55+D55,"")</f>
        <v/>
      </c>
      <c r="L55" s="175"/>
      <c r="M55" s="31"/>
      <c r="N55" s="220"/>
      <c r="O55" s="267"/>
      <c r="P55" s="239" t="s">
        <v>18</v>
      </c>
      <c r="Q55" s="269"/>
      <c r="R55" s="151"/>
      <c r="S55" s="151"/>
      <c r="T55" s="151"/>
      <c r="U55" s="151"/>
      <c r="V55" s="151"/>
      <c r="W55" s="204" t="s">
        <v>86</v>
      </c>
      <c r="X55" s="204" t="s">
        <v>6</v>
      </c>
      <c r="Y55" s="199"/>
      <c r="Z55" s="199"/>
      <c r="AA55" s="199"/>
      <c r="AB55" s="199"/>
      <c r="AC55" s="199"/>
      <c r="AD55" s="1"/>
      <c r="AE55" s="1"/>
      <c r="AF55" s="1"/>
      <c r="AG55" s="1"/>
      <c r="AH55" s="1"/>
    </row>
    <row r="56" spans="1:34">
      <c r="A56" s="158">
        <f t="shared" ca="1" si="1"/>
        <v>41850</v>
      </c>
      <c r="B56" s="159">
        <f t="array" aca="1" ref="B56" ca="1">COUNTIF(Execution!G$2:G$314,A56)</f>
        <v>0</v>
      </c>
      <c r="C56" s="160">
        <f t="array" aca="1" ref="C56" ca="1">SUM(SUM(IF(Execution!H$2:H$314=A56,IF(Execution!J$2:J$314="In Progress",0.5,0),0)),SUM(IF(Execution!H$2:H$314=A56,IF(Execution!J$2:J$314="Failed",0.5,0),0)))</f>
        <v>0</v>
      </c>
      <c r="D56" s="161">
        <f t="array" aca="1" ref="D56" ca="1">SUM(IF(Execution!I$2:I$314=A56,IF(Execution!J$2:J$314="Completed",1,0),0))</f>
        <v>0</v>
      </c>
      <c r="E56" s="161">
        <f t="array" aca="1" ref="E56" ca="1">SUM(IF(TODAY()&gt;=A56,C56+D56-B56,NA()))</f>
        <v>0</v>
      </c>
      <c r="F56" s="160" t="e">
        <f ca="1">IF(B56=0,NA(),SUM(B$2:B56))</f>
        <v>#N/A</v>
      </c>
      <c r="G56" s="161" t="e">
        <f ca="1">IF(C56+D56=0,NA(),SUM(D$2:D56,C$2:C56))</f>
        <v>#N/A</v>
      </c>
      <c r="H56" s="162" t="e">
        <f ca="1">IF(E56=0,NA(),SUM(E$2:E56))</f>
        <v>#N/A</v>
      </c>
      <c r="I56" s="163" t="e">
        <f t="shared" ca="1" si="2"/>
        <v>#N/A</v>
      </c>
      <c r="J56" s="164" t="str">
        <f ca="1">IF(Calculations!A$2:A$356=TODAY(),C56+D56,"")</f>
        <v/>
      </c>
      <c r="K56" s="165" t="str">
        <f ca="1">IF(Calculations!A$2:A$356=TODAY()-1,C56+D56,"")</f>
        <v/>
      </c>
      <c r="L56" s="175"/>
      <c r="M56" s="31"/>
      <c r="N56" s="220"/>
      <c r="O56" s="267"/>
      <c r="P56" s="239" t="s">
        <v>61</v>
      </c>
      <c r="Q56" s="269"/>
      <c r="R56" s="151"/>
      <c r="S56" s="151"/>
      <c r="T56" s="151"/>
      <c r="U56" s="151"/>
      <c r="V56" s="398" t="s">
        <v>368</v>
      </c>
      <c r="W56" s="334">
        <f ca="1">TODAY()</f>
        <v>44105</v>
      </c>
      <c r="X56" s="327">
        <f t="array" aca="1" ref="X56" ca="1">SUM(IF('Defect Dump'!$H$3:$H$10000={"Open","Reopened","Ready For Testing"},(IF('Defect Dump'!$R$3:$R$10000=$W56,1,0))),0)</f>
        <v>0</v>
      </c>
      <c r="Y56" s="199"/>
      <c r="Z56" s="199"/>
      <c r="AA56" s="199"/>
      <c r="AB56" s="199"/>
      <c r="AC56" s="199"/>
      <c r="AD56" s="1"/>
      <c r="AE56" s="1"/>
      <c r="AF56" s="1"/>
      <c r="AG56" s="1"/>
      <c r="AH56" s="1"/>
    </row>
    <row r="57" spans="1:34">
      <c r="A57" s="158">
        <f t="shared" ca="1" si="1"/>
        <v>41851</v>
      </c>
      <c r="B57" s="159">
        <f t="array" aca="1" ref="B57" ca="1">COUNTIF(Execution!G$2:G$314,A57)</f>
        <v>0</v>
      </c>
      <c r="C57" s="160">
        <f t="array" aca="1" ref="C57" ca="1">SUM(SUM(IF(Execution!H$2:H$314=A57,IF(Execution!J$2:J$314="In Progress",0.5,0),0)),SUM(IF(Execution!H$2:H$314=A57,IF(Execution!J$2:J$314="Failed",0.5,0),0)))</f>
        <v>0</v>
      </c>
      <c r="D57" s="161">
        <f t="array" aca="1" ref="D57" ca="1">SUM(IF(Execution!I$2:I$314=A57,IF(Execution!J$2:J$314="Completed",1,0),0))</f>
        <v>0</v>
      </c>
      <c r="E57" s="161">
        <f t="array" aca="1" ref="E57" ca="1">SUM(IF(TODAY()&gt;=A57,C57+D57-B57,NA()))</f>
        <v>0</v>
      </c>
      <c r="F57" s="160" t="e">
        <f ca="1">IF(B57=0,NA(),SUM(B$2:B57))</f>
        <v>#N/A</v>
      </c>
      <c r="G57" s="161" t="e">
        <f ca="1">IF(C57+D57=0,NA(),SUM(D$2:D57,C$2:C57))</f>
        <v>#N/A</v>
      </c>
      <c r="H57" s="162" t="e">
        <f ca="1">IF(E57=0,NA(),SUM(E$2:E57))</f>
        <v>#N/A</v>
      </c>
      <c r="I57" s="163" t="e">
        <f t="shared" ca="1" si="2"/>
        <v>#N/A</v>
      </c>
      <c r="J57" s="164" t="str">
        <f ca="1">IF(Calculations!A$2:A$356=TODAY(),C57+D57,"")</f>
        <v/>
      </c>
      <c r="K57" s="165" t="str">
        <f ca="1">IF(Calculations!A$2:A$356=TODAY()-1,C57+D57,"")</f>
        <v/>
      </c>
      <c r="L57" s="175"/>
      <c r="M57" s="31"/>
      <c r="N57" s="220"/>
      <c r="O57" s="267"/>
      <c r="P57" s="239"/>
      <c r="Q57" s="269"/>
      <c r="R57" s="151"/>
      <c r="S57" s="151"/>
      <c r="T57" s="151"/>
      <c r="U57" s="151"/>
      <c r="V57" s="399"/>
      <c r="W57" s="335">
        <f ca="1">W56-1</f>
        <v>44104</v>
      </c>
      <c r="X57" s="326">
        <f t="array" aca="1" ref="X57" ca="1">SUM(IF('Defect Dump'!$H$3:$H$10000={"Open","Reopened","Ready For Testing"},(IF('Defect Dump'!$R$3:$R$10000=$W57,1,0))),0)</f>
        <v>0</v>
      </c>
      <c r="Y57" s="199"/>
      <c r="Z57" s="199"/>
      <c r="AA57" s="199"/>
      <c r="AB57" s="199"/>
      <c r="AC57" s="199"/>
      <c r="AD57" s="1"/>
      <c r="AE57" s="1"/>
      <c r="AF57" s="1"/>
      <c r="AG57" s="1"/>
      <c r="AH57" s="1"/>
    </row>
    <row r="58" spans="1:34">
      <c r="A58" s="158">
        <f t="shared" ca="1" si="1"/>
        <v>41852</v>
      </c>
      <c r="B58" s="159">
        <f t="array" aca="1" ref="B58" ca="1">COUNTIF(Execution!G$2:G$314,A58)</f>
        <v>0</v>
      </c>
      <c r="C58" s="160">
        <f t="array" aca="1" ref="C58" ca="1">SUM(SUM(IF(Execution!H$2:H$314=A58,IF(Execution!J$2:J$314="In Progress",0.5,0),0)),SUM(IF(Execution!H$2:H$314=A58,IF(Execution!J$2:J$314="Failed",0.5,0),0)))</f>
        <v>0</v>
      </c>
      <c r="D58" s="161">
        <f t="array" aca="1" ref="D58" ca="1">SUM(IF(Execution!I$2:I$314=A58,IF(Execution!J$2:J$314="Completed",1,0),0))</f>
        <v>0</v>
      </c>
      <c r="E58" s="161">
        <f t="array" aca="1" ref="E58" ca="1">SUM(IF(TODAY()&gt;=A58,C58+D58-B58,NA()))</f>
        <v>0</v>
      </c>
      <c r="F58" s="160" t="e">
        <f ca="1">IF(B58=0,NA(),SUM(B$2:B58))</f>
        <v>#N/A</v>
      </c>
      <c r="G58" s="161" t="e">
        <f ca="1">IF(C58+D58=0,NA(),SUM(D$2:D58,C$2:C58))</f>
        <v>#N/A</v>
      </c>
      <c r="H58" s="162" t="e">
        <f ca="1">IF(E58=0,NA(),SUM(E$2:E58))</f>
        <v>#N/A</v>
      </c>
      <c r="I58" s="163" t="e">
        <f t="shared" ca="1" si="2"/>
        <v>#N/A</v>
      </c>
      <c r="J58" s="164" t="str">
        <f ca="1">IF(Calculations!A$2:A$356=TODAY(),C58+D58,"")</f>
        <v/>
      </c>
      <c r="K58" s="165" t="str">
        <f ca="1">IF(Calculations!A$2:A$356=TODAY()-1,C58+D58,"")</f>
        <v/>
      </c>
      <c r="L58" s="175"/>
      <c r="M58" s="31"/>
      <c r="N58" s="220"/>
      <c r="O58" s="267"/>
      <c r="P58" s="220"/>
      <c r="Q58" s="269"/>
      <c r="R58" s="151"/>
      <c r="S58" s="151"/>
      <c r="T58" s="151"/>
      <c r="U58" s="151"/>
      <c r="V58" s="399"/>
      <c r="W58" s="335">
        <f t="shared" ref="W58:W62" ca="1" si="5">W57-1</f>
        <v>44103</v>
      </c>
      <c r="X58" s="326">
        <f t="array" aca="1" ref="X58" ca="1">SUM(IF('Defect Dump'!$H$3:$H$10000={"Open","Reopened","Ready For Testing"},(IF('Defect Dump'!$R$3:$R$10000=$W58,1,0))),0)</f>
        <v>0</v>
      </c>
      <c r="Y58" s="199"/>
      <c r="Z58" s="199"/>
      <c r="AA58" s="199"/>
      <c r="AB58" s="199"/>
      <c r="AC58" s="199"/>
      <c r="AD58" s="1"/>
      <c r="AE58" s="1"/>
      <c r="AF58" s="1"/>
      <c r="AG58" s="1"/>
      <c r="AH58" s="1"/>
    </row>
    <row r="59" spans="1:34">
      <c r="A59" s="158">
        <f t="shared" ca="1" si="1"/>
        <v>41853</v>
      </c>
      <c r="B59" s="159">
        <f t="array" aca="1" ref="B59" ca="1">COUNTIF(Execution!G$2:G$314,A59)</f>
        <v>0</v>
      </c>
      <c r="C59" s="160">
        <f t="array" aca="1" ref="C59" ca="1">SUM(SUM(IF(Execution!H$2:H$314=A59,IF(Execution!J$2:J$314="In Progress",0.5,0),0)),SUM(IF(Execution!H$2:H$314=A59,IF(Execution!J$2:J$314="Failed",0.5,0),0)))</f>
        <v>0</v>
      </c>
      <c r="D59" s="161">
        <f t="array" aca="1" ref="D59" ca="1">SUM(IF(Execution!I$2:I$314=A59,IF(Execution!J$2:J$314="Completed",1,0),0))</f>
        <v>0</v>
      </c>
      <c r="E59" s="161">
        <f t="array" aca="1" ref="E59" ca="1">SUM(IF(TODAY()&gt;=A59,C59+D59-B59,NA()))</f>
        <v>0</v>
      </c>
      <c r="F59" s="160" t="e">
        <f ca="1">IF(B59=0,NA(),SUM(B$2:B59))</f>
        <v>#N/A</v>
      </c>
      <c r="G59" s="161" t="e">
        <f ca="1">IF(C59+D59=0,NA(),SUM(D$2:D59,C$2:C59))</f>
        <v>#N/A</v>
      </c>
      <c r="H59" s="162" t="e">
        <f ca="1">IF(E59=0,NA(),SUM(E$2:E59))</f>
        <v>#N/A</v>
      </c>
      <c r="I59" s="163" t="e">
        <f t="shared" ca="1" si="2"/>
        <v>#N/A</v>
      </c>
      <c r="J59" s="164" t="str">
        <f ca="1">IF(Calculations!A$2:A$356=TODAY(),C59+D59,"")</f>
        <v/>
      </c>
      <c r="K59" s="165" t="str">
        <f ca="1">IF(Calculations!A$2:A$356=TODAY()-1,C59+D59,"")</f>
        <v/>
      </c>
      <c r="L59" s="175"/>
      <c r="M59" s="31"/>
      <c r="N59" s="220"/>
      <c r="O59" s="267"/>
      <c r="P59" s="220"/>
      <c r="Q59" s="269"/>
      <c r="R59" s="151"/>
      <c r="S59" s="151"/>
      <c r="T59" s="151"/>
      <c r="U59" s="151"/>
      <c r="V59" s="399"/>
      <c r="W59" s="335">
        <f t="shared" ca="1" si="5"/>
        <v>44102</v>
      </c>
      <c r="X59" s="326">
        <f t="array" aca="1" ref="X59" ca="1">SUM(IF('Defect Dump'!$H$3:$H$10000={"Open","Reopened","Ready For Testing"},(IF('Defect Dump'!$R$3:$R$10000=$W59,1,0))),0)</f>
        <v>0</v>
      </c>
      <c r="Y59" s="199"/>
      <c r="Z59" s="199"/>
      <c r="AA59" s="199"/>
      <c r="AB59" s="199"/>
      <c r="AC59" s="199"/>
      <c r="AD59" s="1"/>
      <c r="AE59" s="1"/>
      <c r="AF59" s="1"/>
      <c r="AG59" s="1"/>
      <c r="AH59" s="1"/>
    </row>
    <row r="60" spans="1:34">
      <c r="A60" s="158">
        <f t="shared" ca="1" si="1"/>
        <v>41854</v>
      </c>
      <c r="B60" s="159">
        <f t="array" aca="1" ref="B60" ca="1">COUNTIF(Execution!G$2:G$314,A60)</f>
        <v>0</v>
      </c>
      <c r="C60" s="160">
        <f t="array" aca="1" ref="C60" ca="1">SUM(SUM(IF(Execution!H$2:H$314=A60,IF(Execution!J$2:J$314="In Progress",0.5,0),0)),SUM(IF(Execution!H$2:H$314=A60,IF(Execution!J$2:J$314="Failed",0.5,0),0)))</f>
        <v>0</v>
      </c>
      <c r="D60" s="161">
        <f t="array" aca="1" ref="D60" ca="1">SUM(IF(Execution!I$2:I$314=A60,IF(Execution!J$2:J$314="Completed",1,0),0))</f>
        <v>0</v>
      </c>
      <c r="E60" s="161">
        <f t="array" aca="1" ref="E60" ca="1">SUM(IF(TODAY()&gt;=A60,C60+D60-B60,NA()))</f>
        <v>0</v>
      </c>
      <c r="F60" s="160" t="e">
        <f ca="1">IF(B60=0,NA(),SUM(B$2:B60))</f>
        <v>#N/A</v>
      </c>
      <c r="G60" s="161" t="e">
        <f ca="1">IF(C60+D60=0,NA(),SUM(D$2:D60,C$2:C60))</f>
        <v>#N/A</v>
      </c>
      <c r="H60" s="162" t="e">
        <f ca="1">IF(E60=0,NA(),SUM(E$2:E60))</f>
        <v>#N/A</v>
      </c>
      <c r="I60" s="163" t="e">
        <f t="shared" ca="1" si="2"/>
        <v>#N/A</v>
      </c>
      <c r="J60" s="164" t="str">
        <f ca="1">IF(Calculations!A$2:A$356=TODAY(),C60+D60,"")</f>
        <v/>
      </c>
      <c r="K60" s="165" t="str">
        <f ca="1">IF(Calculations!A$2:A$356=TODAY()-1,C60+D60,"")</f>
        <v/>
      </c>
      <c r="L60" s="175"/>
      <c r="M60" s="31"/>
      <c r="N60" s="220"/>
      <c r="O60" s="267"/>
      <c r="P60" s="220"/>
      <c r="Q60" s="269"/>
      <c r="R60" s="151"/>
      <c r="S60" s="151"/>
      <c r="T60" s="151"/>
      <c r="U60" s="151"/>
      <c r="V60" s="399"/>
      <c r="W60" s="335">
        <f t="shared" ca="1" si="5"/>
        <v>44101</v>
      </c>
      <c r="X60" s="326">
        <f t="array" aca="1" ref="X60" ca="1">SUM(IF('Defect Dump'!$H$3:$H$10000={"Open","Reopened","Ready For Testing"},(IF('Defect Dump'!$R$3:$R$10000=$W60,1,0))),0)</f>
        <v>0</v>
      </c>
      <c r="Y60" s="199"/>
      <c r="Z60" s="199"/>
      <c r="AA60" s="199"/>
      <c r="AB60" s="199"/>
      <c r="AC60" s="199"/>
      <c r="AD60" s="1"/>
      <c r="AE60" s="1"/>
      <c r="AF60" s="1"/>
      <c r="AG60" s="1"/>
      <c r="AH60" s="1"/>
    </row>
    <row r="61" spans="1:34">
      <c r="A61" s="158">
        <f t="shared" ca="1" si="1"/>
        <v>41855</v>
      </c>
      <c r="B61" s="159">
        <f t="array" aca="1" ref="B61" ca="1">COUNTIF(Execution!G$2:G$314,A61)</f>
        <v>0</v>
      </c>
      <c r="C61" s="160">
        <f t="array" aca="1" ref="C61" ca="1">SUM(SUM(IF(Execution!H$2:H$314=A61,IF(Execution!J$2:J$314="In Progress",0.5,0),0)),SUM(IF(Execution!H$2:H$314=A61,IF(Execution!J$2:J$314="Failed",0.5,0),0)))</f>
        <v>0</v>
      </c>
      <c r="D61" s="161">
        <f t="array" aca="1" ref="D61" ca="1">SUM(IF(Execution!I$2:I$314=A61,IF(Execution!J$2:J$314="Completed",1,0),0))</f>
        <v>0</v>
      </c>
      <c r="E61" s="161">
        <f t="array" aca="1" ref="E61" ca="1">SUM(IF(TODAY()&gt;=A61,C61+D61-B61,NA()))</f>
        <v>0</v>
      </c>
      <c r="F61" s="160" t="e">
        <f ca="1">IF(B61=0,NA(),SUM(B$2:B61))</f>
        <v>#N/A</v>
      </c>
      <c r="G61" s="161" t="e">
        <f ca="1">IF(C61+D61=0,NA(),SUM(D$2:D61,C$2:C61))</f>
        <v>#N/A</v>
      </c>
      <c r="H61" s="162" t="e">
        <f ca="1">IF(E61=0,NA(),SUM(E$2:E61))</f>
        <v>#N/A</v>
      </c>
      <c r="I61" s="163" t="e">
        <f t="shared" ca="1" si="2"/>
        <v>#N/A</v>
      </c>
      <c r="J61" s="164" t="str">
        <f ca="1">IF(Calculations!A$2:A$356=TODAY(),C61+D61,"")</f>
        <v/>
      </c>
      <c r="K61" s="165" t="str">
        <f ca="1">IF(Calculations!A$2:A$356=TODAY()-1,C61+D61,"")</f>
        <v/>
      </c>
      <c r="L61" s="175"/>
      <c r="M61" s="31"/>
      <c r="N61" s="220"/>
      <c r="O61" s="267"/>
      <c r="P61" s="220"/>
      <c r="Q61" s="269"/>
      <c r="R61" s="151"/>
      <c r="S61" s="151"/>
      <c r="T61" s="151"/>
      <c r="U61" s="151"/>
      <c r="V61" s="399"/>
      <c r="W61" s="335">
        <f t="shared" ca="1" si="5"/>
        <v>44100</v>
      </c>
      <c r="X61" s="326">
        <f t="array" aca="1" ref="X61" ca="1">SUM(IF('Defect Dump'!$H$3:$H$10000={"Open","Reopened","Ready For Testing"},(IF('Defect Dump'!$R$3:$R$10000=$W61,1,0))),0)</f>
        <v>0</v>
      </c>
      <c r="Y61" s="199"/>
      <c r="Z61" s="199"/>
      <c r="AA61" s="199"/>
      <c r="AB61" s="199"/>
      <c r="AC61" s="199"/>
      <c r="AD61" s="1"/>
      <c r="AE61" s="1"/>
      <c r="AF61" s="1"/>
      <c r="AG61" s="1"/>
      <c r="AH61" s="1"/>
    </row>
    <row r="62" spans="1:34" ht="13.5" thickBot="1">
      <c r="A62" s="158">
        <f t="shared" ca="1" si="1"/>
        <v>41856</v>
      </c>
      <c r="B62" s="159">
        <f t="array" aca="1" ref="B62" ca="1">COUNTIF(Execution!G$2:G$314,A62)</f>
        <v>0</v>
      </c>
      <c r="C62" s="160">
        <f t="array" aca="1" ref="C62" ca="1">SUM(SUM(IF(Execution!H$2:H$314=A62,IF(Execution!J$2:J$314="In Progress",0.5,0),0)),SUM(IF(Execution!H$2:H$314=A62,IF(Execution!J$2:J$314="Failed",0.5,0),0)))</f>
        <v>0</v>
      </c>
      <c r="D62" s="161">
        <f t="array" aca="1" ref="D62" ca="1">SUM(IF(Execution!I$2:I$314=A62,IF(Execution!J$2:J$314="Completed",1,0),0))</f>
        <v>0</v>
      </c>
      <c r="E62" s="161">
        <f t="array" aca="1" ref="E62" ca="1">SUM(IF(TODAY()&gt;=A62,C62+D62-B62,NA()))</f>
        <v>0</v>
      </c>
      <c r="F62" s="160" t="e">
        <f ca="1">IF(B62=0,NA(),SUM(B$2:B62))</f>
        <v>#N/A</v>
      </c>
      <c r="G62" s="161" t="e">
        <f ca="1">IF(C62+D62=0,NA(),SUM(D$2:D62,C$2:C62))</f>
        <v>#N/A</v>
      </c>
      <c r="H62" s="162" t="e">
        <f ca="1">IF(E62=0,NA(),SUM(E$2:E62))</f>
        <v>#N/A</v>
      </c>
      <c r="I62" s="163" t="e">
        <f t="shared" ca="1" si="2"/>
        <v>#N/A</v>
      </c>
      <c r="J62" s="164" t="str">
        <f ca="1">IF(Calculations!A$2:A$356=TODAY(),C62+D62,"")</f>
        <v/>
      </c>
      <c r="K62" s="165" t="str">
        <f ca="1">IF(Calculations!A$2:A$356=TODAY()-1,C62+D62,"")</f>
        <v/>
      </c>
      <c r="L62" s="175"/>
      <c r="M62" s="31"/>
      <c r="N62" s="220"/>
      <c r="O62" s="267"/>
      <c r="P62" s="220"/>
      <c r="Q62" s="269"/>
      <c r="R62" s="151"/>
      <c r="S62" s="151"/>
      <c r="T62" s="151"/>
      <c r="U62" s="151"/>
      <c r="V62" s="400"/>
      <c r="W62" s="336">
        <f t="shared" ca="1" si="5"/>
        <v>44099</v>
      </c>
      <c r="X62" s="328">
        <f t="array" aca="1" ref="X62" ca="1">SUM(IF('Defect Dump'!$H$3:$H$10000={"Open","Reopened","Ready For Testing"},(IF('Defect Dump'!$R$3:$R$10000=$W62,1,0))),0)</f>
        <v>0</v>
      </c>
      <c r="Y62" s="199"/>
      <c r="Z62" s="199"/>
      <c r="AA62" s="199"/>
      <c r="AB62" s="199"/>
      <c r="AC62" s="199"/>
      <c r="AD62" s="1"/>
      <c r="AE62" s="1"/>
      <c r="AF62" s="1"/>
      <c r="AG62" s="1"/>
      <c r="AH62" s="1"/>
    </row>
    <row r="63" spans="1:34">
      <c r="A63" s="158">
        <f t="shared" ca="1" si="1"/>
        <v>41857</v>
      </c>
      <c r="B63" s="159">
        <f t="array" aca="1" ref="B63" ca="1">COUNTIF(Execution!G$2:G$314,A63)</f>
        <v>0</v>
      </c>
      <c r="C63" s="160">
        <f t="array" aca="1" ref="C63" ca="1">SUM(SUM(IF(Execution!H$2:H$314=A63,IF(Execution!J$2:J$314="In Progress",0.5,0),0)),SUM(IF(Execution!H$2:H$314=A63,IF(Execution!J$2:J$314="Failed",0.5,0),0)))</f>
        <v>0</v>
      </c>
      <c r="D63" s="161">
        <f t="array" aca="1" ref="D63" ca="1">SUM(IF(Execution!I$2:I$314=A63,IF(Execution!J$2:J$314="Completed",1,0),0))</f>
        <v>0</v>
      </c>
      <c r="E63" s="161">
        <f t="array" aca="1" ref="E63" ca="1">SUM(IF(TODAY()&gt;=A63,C63+D63-B63,NA()))</f>
        <v>0</v>
      </c>
      <c r="F63" s="160" t="e">
        <f ca="1">IF(B63=0,NA(),SUM(B$2:B63))</f>
        <v>#N/A</v>
      </c>
      <c r="G63" s="161" t="e">
        <f ca="1">IF(C63+D63=0,NA(),SUM(D$2:D63,C$2:C63))</f>
        <v>#N/A</v>
      </c>
      <c r="H63" s="162" t="e">
        <f ca="1">IF(E63=0,NA(),SUM(E$2:E63))</f>
        <v>#N/A</v>
      </c>
      <c r="I63" s="163" t="e">
        <f t="shared" ca="1" si="2"/>
        <v>#N/A</v>
      </c>
      <c r="J63" s="164" t="str">
        <f ca="1">IF(Calculations!A$2:A$356=TODAY(),C63+D63,"")</f>
        <v/>
      </c>
      <c r="K63" s="165" t="str">
        <f ca="1">IF(Calculations!A$2:A$356=TODAY()-1,C63+D63,"")</f>
        <v/>
      </c>
      <c r="L63" s="175"/>
      <c r="M63" s="31"/>
      <c r="N63" s="220"/>
      <c r="O63" s="175"/>
      <c r="P63" s="220"/>
      <c r="Q63" s="269"/>
      <c r="R63" s="151"/>
      <c r="S63" s="151"/>
      <c r="T63" s="151"/>
      <c r="U63" s="151"/>
      <c r="V63" s="151"/>
      <c r="W63" s="198"/>
      <c r="X63" s="199"/>
      <c r="Y63" s="199"/>
      <c r="Z63" s="199"/>
      <c r="AA63" s="199"/>
      <c r="AB63" s="199"/>
      <c r="AC63" s="199"/>
      <c r="AD63" s="1"/>
      <c r="AE63" s="1"/>
      <c r="AF63" s="1"/>
      <c r="AG63" s="1"/>
      <c r="AH63" s="1"/>
    </row>
    <row r="64" spans="1:34">
      <c r="A64" s="158">
        <f t="shared" ca="1" si="1"/>
        <v>41858</v>
      </c>
      <c r="B64" s="159">
        <f t="array" aca="1" ref="B64" ca="1">COUNTIF(Execution!G$2:G$314,A64)</f>
        <v>0</v>
      </c>
      <c r="C64" s="160">
        <f t="array" aca="1" ref="C64" ca="1">SUM(SUM(IF(Execution!H$2:H$314=A64,IF(Execution!J$2:J$314="In Progress",0.5,0),0)),SUM(IF(Execution!H$2:H$314=A64,IF(Execution!J$2:J$314="Failed",0.5,0),0)))</f>
        <v>0</v>
      </c>
      <c r="D64" s="161">
        <f t="array" aca="1" ref="D64" ca="1">SUM(IF(Execution!I$2:I$314=A64,IF(Execution!J$2:J$314="Completed",1,0),0))</f>
        <v>0</v>
      </c>
      <c r="E64" s="161">
        <f t="array" aca="1" ref="E64" ca="1">SUM(IF(TODAY()&gt;=A64,C64+D64-B64,NA()))</f>
        <v>0</v>
      </c>
      <c r="F64" s="160" t="e">
        <f ca="1">IF(B64=0,NA(),SUM(B$2:B64))</f>
        <v>#N/A</v>
      </c>
      <c r="G64" s="161" t="e">
        <f ca="1">IF(C64+D64=0,NA(),SUM(D$2:D64,C$2:C64))</f>
        <v>#N/A</v>
      </c>
      <c r="H64" s="162" t="e">
        <f ca="1">IF(E64=0,NA(),SUM(E$2:E64))</f>
        <v>#N/A</v>
      </c>
      <c r="I64" s="163" t="e">
        <f t="shared" ca="1" si="2"/>
        <v>#N/A</v>
      </c>
      <c r="J64" s="164" t="str">
        <f ca="1">IF(Calculations!A$2:A$356=TODAY(),C64+D64,"")</f>
        <v/>
      </c>
      <c r="K64" s="165" t="str">
        <f ca="1">IF(Calculations!A$2:A$356=TODAY()-1,C64+D64,"")</f>
        <v/>
      </c>
      <c r="L64" s="175"/>
      <c r="M64" s="31"/>
      <c r="N64" s="220"/>
      <c r="O64" s="175"/>
      <c r="P64" s="220"/>
      <c r="Q64" s="269"/>
      <c r="R64" s="151"/>
      <c r="S64" s="151"/>
      <c r="T64" s="151"/>
      <c r="U64" s="151"/>
      <c r="V64" s="151"/>
      <c r="W64" s="198"/>
      <c r="X64" s="199"/>
      <c r="Y64" s="199"/>
      <c r="Z64" s="199"/>
      <c r="AA64" s="199"/>
      <c r="AB64" s="199"/>
      <c r="AC64" s="199"/>
      <c r="AD64" s="1"/>
      <c r="AE64" s="1"/>
      <c r="AF64" s="1"/>
      <c r="AG64" s="1"/>
      <c r="AH64" s="1"/>
    </row>
    <row r="65" spans="1:34">
      <c r="A65" s="158">
        <f t="shared" ca="1" si="1"/>
        <v>41859</v>
      </c>
      <c r="B65" s="159">
        <f t="array" aca="1" ref="B65" ca="1">COUNTIF(Execution!G$2:G$314,A65)</f>
        <v>0</v>
      </c>
      <c r="C65" s="160">
        <f t="array" aca="1" ref="C65" ca="1">SUM(SUM(IF(Execution!H$2:H$314=A65,IF(Execution!J$2:J$314="In Progress",0.5,0),0)),SUM(IF(Execution!H$2:H$314=A65,IF(Execution!J$2:J$314="Failed",0.5,0),0)))</f>
        <v>0</v>
      </c>
      <c r="D65" s="161">
        <f t="array" aca="1" ref="D65" ca="1">SUM(IF(Execution!I$2:I$314=A65,IF(Execution!J$2:J$314="Completed",1,0),0))</f>
        <v>0</v>
      </c>
      <c r="E65" s="161">
        <f t="array" aca="1" ref="E65" ca="1">SUM(IF(TODAY()&gt;=A65,C65+D65-B65,NA()))</f>
        <v>0</v>
      </c>
      <c r="F65" s="160" t="e">
        <f ca="1">IF(B65=0,NA(),SUM(B$2:B65))</f>
        <v>#N/A</v>
      </c>
      <c r="G65" s="161" t="e">
        <f ca="1">IF(C65+D65=0,NA(),SUM(D$2:D65,C$2:C65))</f>
        <v>#N/A</v>
      </c>
      <c r="H65" s="162" t="e">
        <f ca="1">IF(E65=0,NA(),SUM(E$2:E65))</f>
        <v>#N/A</v>
      </c>
      <c r="I65" s="163" t="e">
        <f t="shared" ca="1" si="2"/>
        <v>#N/A</v>
      </c>
      <c r="J65" s="164" t="str">
        <f ca="1">IF(Calculations!A$2:A$356=TODAY(),C65+D65,"")</f>
        <v/>
      </c>
      <c r="K65" s="165" t="str">
        <f ca="1">IF(Calculations!A$2:A$356=TODAY()-1,C65+D65,"")</f>
        <v/>
      </c>
      <c r="L65" s="175"/>
      <c r="M65" s="31"/>
      <c r="N65" s="220"/>
      <c r="O65" s="175"/>
      <c r="P65" s="220"/>
      <c r="Q65" s="269"/>
      <c r="R65" s="151"/>
      <c r="S65" s="151"/>
      <c r="T65" s="151"/>
      <c r="U65" s="151"/>
      <c r="V65" s="151"/>
      <c r="W65" s="198"/>
      <c r="X65" s="199"/>
      <c r="Y65" s="199"/>
      <c r="Z65" s="199"/>
      <c r="AA65" s="199"/>
      <c r="AB65" s="199"/>
      <c r="AC65" s="199"/>
      <c r="AD65" s="1"/>
      <c r="AE65" s="1"/>
      <c r="AF65" s="1"/>
      <c r="AG65" s="1"/>
      <c r="AH65" s="1"/>
    </row>
    <row r="66" spans="1:34">
      <c r="A66" s="158">
        <f t="shared" ca="1" si="1"/>
        <v>41860</v>
      </c>
      <c r="B66" s="159">
        <f t="array" aca="1" ref="B66" ca="1">COUNTIF(Execution!G$2:G$314,A66)</f>
        <v>0</v>
      </c>
      <c r="C66" s="160">
        <f t="array" aca="1" ref="C66" ca="1">SUM(SUM(IF(Execution!H$2:H$314=A66,IF(Execution!J$2:J$314="In Progress",0.5,0),0)),SUM(IF(Execution!H$2:H$314=A66,IF(Execution!J$2:J$314="Failed",0.5,0),0)))</f>
        <v>0</v>
      </c>
      <c r="D66" s="161">
        <f t="array" aca="1" ref="D66" ca="1">SUM(IF(Execution!I$2:I$314=A66,IF(Execution!J$2:J$314="Completed",1,0),0))</f>
        <v>0</v>
      </c>
      <c r="E66" s="161">
        <f t="array" aca="1" ref="E66" ca="1">SUM(IF(TODAY()&gt;=A66,C66+D66-B66,NA()))</f>
        <v>0</v>
      </c>
      <c r="F66" s="160" t="e">
        <f ca="1">IF(B66=0,NA(),SUM(B$2:B66))</f>
        <v>#N/A</v>
      </c>
      <c r="G66" s="161" t="e">
        <f ca="1">IF(C66+D66=0,NA(),SUM(D$2:D66,C$2:C66))</f>
        <v>#N/A</v>
      </c>
      <c r="H66" s="162" t="e">
        <f ca="1">IF(E66=0,NA(),SUM(E$2:E66))</f>
        <v>#N/A</v>
      </c>
      <c r="I66" s="163" t="e">
        <f t="shared" ca="1" si="2"/>
        <v>#N/A</v>
      </c>
      <c r="J66" s="164" t="str">
        <f ca="1">IF(Calculations!A$2:A$356=TODAY(),C66+D66,"")</f>
        <v/>
      </c>
      <c r="K66" s="165" t="str">
        <f ca="1">IF(Calculations!A$2:A$356=TODAY()-1,C66+D66,"")</f>
        <v/>
      </c>
      <c r="L66" s="175"/>
      <c r="M66" s="41"/>
      <c r="N66" s="220"/>
      <c r="O66" s="175"/>
      <c r="P66" s="220"/>
      <c r="Q66" s="269"/>
      <c r="R66" s="151"/>
      <c r="S66" s="151"/>
      <c r="T66" s="151"/>
      <c r="U66" s="151"/>
      <c r="V66" s="151"/>
      <c r="W66" s="198"/>
      <c r="X66" s="199"/>
      <c r="Y66" s="199"/>
      <c r="Z66" s="199"/>
      <c r="AA66" s="199"/>
      <c r="AB66" s="199"/>
      <c r="AC66" s="199"/>
      <c r="AD66" s="1"/>
      <c r="AE66" s="1"/>
      <c r="AF66" s="1"/>
      <c r="AG66" s="1"/>
      <c r="AH66" s="1"/>
    </row>
    <row r="67" spans="1:34">
      <c r="A67" s="158">
        <f t="shared" ca="1" si="1"/>
        <v>41861</v>
      </c>
      <c r="B67" s="159">
        <f t="array" aca="1" ref="B67" ca="1">COUNTIF(Execution!G$2:G$314,A67)</f>
        <v>0</v>
      </c>
      <c r="C67" s="160">
        <f t="array" aca="1" ref="C67" ca="1">SUM(SUM(IF(Execution!H$2:H$314=A67,IF(Execution!J$2:J$314="In Progress",0.5,0),0)),SUM(IF(Execution!H$2:H$314=A67,IF(Execution!J$2:J$314="Failed",0.5,0),0)))</f>
        <v>0</v>
      </c>
      <c r="D67" s="161">
        <f t="array" aca="1" ref="D67" ca="1">SUM(IF(Execution!I$2:I$314=A67,IF(Execution!J$2:J$314="Completed",1,0),0))</f>
        <v>0</v>
      </c>
      <c r="E67" s="161">
        <f t="array" aca="1" ref="E67" ca="1">SUM(IF(TODAY()&gt;=A67,C67+D67-B67,NA()))</f>
        <v>0</v>
      </c>
      <c r="F67" s="160" t="e">
        <f ca="1">IF(B67=0,NA(),SUM(B$2:B67))</f>
        <v>#N/A</v>
      </c>
      <c r="G67" s="161" t="e">
        <f ca="1">IF(C67+D67=0,NA(),SUM(D$2:D67,C$2:C67))</f>
        <v>#N/A</v>
      </c>
      <c r="H67" s="162" t="e">
        <f ca="1">IF(E67=0,NA(),SUM(E$2:E67))</f>
        <v>#N/A</v>
      </c>
      <c r="I67" s="163" t="e">
        <f t="shared" ca="1" si="2"/>
        <v>#N/A</v>
      </c>
      <c r="J67" s="164" t="str">
        <f ca="1">IF(Calculations!A$2:A$356=TODAY(),C67+D67,"")</f>
        <v/>
      </c>
      <c r="K67" s="165" t="str">
        <f ca="1">IF(Calculations!A$2:A$356=TODAY()-1,C67+D67,"")</f>
        <v/>
      </c>
      <c r="L67" s="175"/>
      <c r="M67" s="41"/>
      <c r="N67" s="220"/>
      <c r="O67" s="175"/>
      <c r="P67" s="220"/>
      <c r="Q67" s="269"/>
      <c r="R67" s="151"/>
      <c r="S67" s="151"/>
      <c r="T67" s="151"/>
      <c r="U67" s="151"/>
      <c r="V67" s="151"/>
      <c r="W67" s="198"/>
      <c r="X67" s="199"/>
      <c r="Y67" s="199"/>
      <c r="Z67" s="199"/>
      <c r="AA67" s="199"/>
      <c r="AB67" s="199"/>
      <c r="AC67" s="199"/>
      <c r="AD67" s="1"/>
      <c r="AE67" s="1"/>
      <c r="AF67" s="1"/>
      <c r="AG67" s="1"/>
      <c r="AH67" s="1"/>
    </row>
    <row r="68" spans="1:34">
      <c r="A68" s="158">
        <f t="shared" ref="A68:A82" ca="1" si="6">INDIRECT("A"&amp;(ROW())-1)+1</f>
        <v>41862</v>
      </c>
      <c r="B68" s="159">
        <f t="array" aca="1" ref="B68" ca="1">COUNTIF(Execution!G$2:G$314,A68)</f>
        <v>0</v>
      </c>
      <c r="C68" s="160">
        <f t="array" aca="1" ref="C68" ca="1">SUM(SUM(IF(Execution!H$2:H$314=A68,IF(Execution!J$2:J$314="In Progress",0.5,0),0)),SUM(IF(Execution!H$2:H$314=A68,IF(Execution!J$2:J$314="Failed",0.5,0),0)))</f>
        <v>0</v>
      </c>
      <c r="D68" s="161">
        <f t="array" aca="1" ref="D68" ca="1">SUM(IF(Execution!I$2:I$314=A68,IF(Execution!J$2:J$314="Completed",1,0),0))</f>
        <v>0</v>
      </c>
      <c r="E68" s="161">
        <f t="array" aca="1" ref="E68" ca="1">SUM(IF(TODAY()&gt;=A68,C68+D68-B68,NA()))</f>
        <v>0</v>
      </c>
      <c r="F68" s="160" t="e">
        <f ca="1">IF(B68=0,NA(),SUM(B$2:B68))</f>
        <v>#N/A</v>
      </c>
      <c r="G68" s="161" t="e">
        <f ca="1">IF(C68+D68=0,NA(),SUM(D$2:D68,C$2:C68))</f>
        <v>#N/A</v>
      </c>
      <c r="H68" s="162" t="e">
        <f ca="1">IF(E68=0,NA(),SUM(E$2:E68))</f>
        <v>#N/A</v>
      </c>
      <c r="I68" s="163" t="e">
        <f t="shared" ref="I68:I82" ca="1" si="7">IF(ISERROR((G68-F68)/F68),I67,(G68-F68)/F68)</f>
        <v>#N/A</v>
      </c>
      <c r="J68" s="164" t="str">
        <f ca="1">IF(Calculations!A$2:A$356=TODAY(),C68+D68,"")</f>
        <v/>
      </c>
      <c r="K68" s="165" t="str">
        <f ca="1">IF(Calculations!A$2:A$356=TODAY()-1,C68+D68,"")</f>
        <v/>
      </c>
      <c r="L68" s="175"/>
      <c r="M68" s="220"/>
      <c r="N68" s="220"/>
      <c r="O68" s="175"/>
      <c r="P68" s="220"/>
      <c r="Q68" s="269"/>
      <c r="R68" s="151"/>
      <c r="S68" s="151"/>
      <c r="T68" s="151"/>
      <c r="U68" s="151"/>
      <c r="V68" s="151"/>
      <c r="W68" s="198"/>
      <c r="X68" s="199"/>
      <c r="Y68" s="199"/>
      <c r="Z68" s="199"/>
      <c r="AA68" s="199"/>
      <c r="AB68" s="199"/>
      <c r="AC68" s="199"/>
      <c r="AD68" s="1"/>
      <c r="AE68" s="1"/>
      <c r="AF68" s="1"/>
      <c r="AG68" s="1"/>
      <c r="AH68" s="1"/>
    </row>
    <row r="69" spans="1:34">
      <c r="A69" s="158">
        <f t="shared" ca="1" si="6"/>
        <v>41863</v>
      </c>
      <c r="B69" s="159">
        <f t="array" aca="1" ref="B69" ca="1">COUNTIF(Execution!G$2:G$314,A69)</f>
        <v>0</v>
      </c>
      <c r="C69" s="160">
        <f t="array" aca="1" ref="C69" ca="1">SUM(SUM(IF(Execution!H$2:H$314=A69,IF(Execution!J$2:J$314="In Progress",0.5,0),0)),SUM(IF(Execution!H$2:H$314=A69,IF(Execution!J$2:J$314="Failed",0.5,0),0)))</f>
        <v>0</v>
      </c>
      <c r="D69" s="161">
        <f t="array" aca="1" ref="D69" ca="1">SUM(IF(Execution!I$2:I$314=A69,IF(Execution!J$2:J$314="Completed",1,0),0))</f>
        <v>0</v>
      </c>
      <c r="E69" s="161">
        <f t="array" aca="1" ref="E69" ca="1">SUM(IF(TODAY()&gt;=A69,C69+D69-B69,NA()))</f>
        <v>0</v>
      </c>
      <c r="F69" s="160" t="e">
        <f ca="1">IF(B69=0,NA(),SUM(B$2:B69))</f>
        <v>#N/A</v>
      </c>
      <c r="G69" s="161" t="e">
        <f ca="1">IF(C69+D69=0,NA(),SUM(D$2:D69,C$2:C69))</f>
        <v>#N/A</v>
      </c>
      <c r="H69" s="162" t="e">
        <f ca="1">IF(E69=0,NA(),SUM(E$2:E69))</f>
        <v>#N/A</v>
      </c>
      <c r="I69" s="163" t="e">
        <f t="shared" ca="1" si="7"/>
        <v>#N/A</v>
      </c>
      <c r="J69" s="164" t="str">
        <f ca="1">IF(Calculations!A$2:A$356=TODAY(),C69+D69,"")</f>
        <v/>
      </c>
      <c r="K69" s="165" t="str">
        <f ca="1">IF(Calculations!A$2:A$356=TODAY()-1,C69+D69,"")</f>
        <v/>
      </c>
      <c r="L69" s="175"/>
      <c r="M69" s="220"/>
      <c r="N69" s="220"/>
      <c r="O69" s="175"/>
      <c r="P69" s="220"/>
      <c r="Q69" s="269"/>
      <c r="R69" s="151"/>
      <c r="S69" s="151"/>
      <c r="T69" s="151"/>
      <c r="U69" s="151"/>
      <c r="V69" s="151"/>
      <c r="W69" s="198"/>
      <c r="X69" s="199"/>
      <c r="Y69" s="199"/>
      <c r="Z69" s="199"/>
      <c r="AA69" s="199"/>
      <c r="AB69" s="199"/>
      <c r="AC69" s="199"/>
      <c r="AD69" s="1"/>
      <c r="AE69" s="1"/>
      <c r="AF69" s="1"/>
      <c r="AG69" s="1"/>
      <c r="AH69" s="1"/>
    </row>
    <row r="70" spans="1:34">
      <c r="A70" s="158">
        <f t="shared" ca="1" si="6"/>
        <v>41864</v>
      </c>
      <c r="B70" s="159">
        <f t="array" aca="1" ref="B70" ca="1">COUNTIF(Execution!G$2:G$314,A70)</f>
        <v>0</v>
      </c>
      <c r="C70" s="160">
        <f t="array" aca="1" ref="C70" ca="1">SUM(SUM(IF(Execution!H$2:H$314=A70,IF(Execution!J$2:J$314="In Progress",0.5,0),0)),SUM(IF(Execution!H$2:H$314=A70,IF(Execution!J$2:J$314="Failed",0.5,0),0)))</f>
        <v>0</v>
      </c>
      <c r="D70" s="161">
        <f t="array" aca="1" ref="D70" ca="1">SUM(IF(Execution!I$2:I$314=A70,IF(Execution!J$2:J$314="Completed",1,0),0))</f>
        <v>0</v>
      </c>
      <c r="E70" s="161">
        <f t="array" aca="1" ref="E70" ca="1">SUM(IF(TODAY()&gt;=A70,C70+D70-B70,NA()))</f>
        <v>0</v>
      </c>
      <c r="F70" s="160" t="e">
        <f ca="1">IF(B70=0,NA(),SUM(B$2:B70))</f>
        <v>#N/A</v>
      </c>
      <c r="G70" s="161" t="e">
        <f ca="1">IF(C70+D70=0,NA(),SUM(D$2:D70,C$2:C70))</f>
        <v>#N/A</v>
      </c>
      <c r="H70" s="162" t="e">
        <f ca="1">IF(E70=0,NA(),SUM(E$2:E70))</f>
        <v>#N/A</v>
      </c>
      <c r="I70" s="163" t="e">
        <f t="shared" ca="1" si="7"/>
        <v>#N/A</v>
      </c>
      <c r="J70" s="164" t="str">
        <f ca="1">IF(Calculations!A$2:A$356=TODAY(),C70+D70,"")</f>
        <v/>
      </c>
      <c r="K70" s="165" t="str">
        <f ca="1">IF(Calculations!A$2:A$356=TODAY()-1,C70+D70,"")</f>
        <v/>
      </c>
      <c r="L70" s="267" t="s">
        <v>45</v>
      </c>
      <c r="M70" s="172" t="s">
        <v>133</v>
      </c>
      <c r="N70" s="220"/>
      <c r="O70" s="175"/>
      <c r="P70" s="220"/>
      <c r="Q70" s="269"/>
      <c r="R70" s="151"/>
      <c r="S70" s="151"/>
      <c r="T70" s="151"/>
      <c r="U70" s="151"/>
      <c r="V70" s="151"/>
      <c r="W70" s="198"/>
      <c r="X70" s="199"/>
      <c r="Y70" s="199"/>
      <c r="Z70" s="199"/>
      <c r="AA70" s="199"/>
      <c r="AB70" s="199"/>
      <c r="AC70" s="199"/>
      <c r="AD70" s="1"/>
      <c r="AE70" s="1"/>
      <c r="AF70" s="1"/>
      <c r="AG70" s="1"/>
      <c r="AH70" s="1"/>
    </row>
    <row r="71" spans="1:34">
      <c r="A71" s="158">
        <f t="shared" ca="1" si="6"/>
        <v>41865</v>
      </c>
      <c r="B71" s="159">
        <f t="array" aca="1" ref="B71" ca="1">COUNTIF(Execution!G$2:G$314,A71)</f>
        <v>0</v>
      </c>
      <c r="C71" s="160">
        <f t="array" aca="1" ref="C71" ca="1">SUM(SUM(IF(Execution!H$2:H$314=A71,IF(Execution!J$2:J$314="In Progress",0.5,0),0)),SUM(IF(Execution!H$2:H$314=A71,IF(Execution!J$2:J$314="Failed",0.5,0),0)))</f>
        <v>0</v>
      </c>
      <c r="D71" s="161">
        <f t="array" aca="1" ref="D71" ca="1">SUM(IF(Execution!I$2:I$314=A71,IF(Execution!J$2:J$314="Completed",1,0),0))</f>
        <v>0</v>
      </c>
      <c r="E71" s="161">
        <f t="array" aca="1" ref="E71" ca="1">SUM(IF(TODAY()&gt;=A71,C71+D71-B71,NA()))</f>
        <v>0</v>
      </c>
      <c r="F71" s="160" t="e">
        <f ca="1">IF(B71=0,NA(),SUM(B$2:B71))</f>
        <v>#N/A</v>
      </c>
      <c r="G71" s="161" t="e">
        <f ca="1">IF(C71+D71=0,NA(),SUM(D$2:D71,C$2:C71))</f>
        <v>#N/A</v>
      </c>
      <c r="H71" s="162" t="e">
        <f ca="1">IF(E71=0,NA(),SUM(E$2:E71))</f>
        <v>#N/A</v>
      </c>
      <c r="I71" s="163" t="e">
        <f t="shared" ca="1" si="7"/>
        <v>#N/A</v>
      </c>
      <c r="J71" s="164" t="str">
        <f ca="1">IF(Calculations!A$2:A$356=TODAY(),C71+D71,"")</f>
        <v/>
      </c>
      <c r="K71" s="165" t="str">
        <f ca="1">IF(Calculations!A$2:A$356=TODAY()-1,C71+D71,"")</f>
        <v/>
      </c>
      <c r="L71" s="175"/>
      <c r="M71" s="172" t="s">
        <v>129</v>
      </c>
      <c r="N71" s="220"/>
      <c r="O71" s="175"/>
      <c r="P71" s="220"/>
      <c r="Q71" s="269"/>
      <c r="R71" s="151"/>
      <c r="S71" s="151"/>
      <c r="T71" s="151"/>
      <c r="U71" s="151"/>
      <c r="V71" s="151"/>
      <c r="W71" s="198"/>
      <c r="X71" s="199"/>
      <c r="Y71" s="199"/>
      <c r="Z71" s="199"/>
      <c r="AA71" s="199"/>
      <c r="AB71" s="199"/>
      <c r="AC71" s="199"/>
      <c r="AD71" s="1"/>
      <c r="AE71" s="1"/>
      <c r="AF71" s="1"/>
      <c r="AG71" s="1"/>
      <c r="AH71" s="1"/>
    </row>
    <row r="72" spans="1:34">
      <c r="A72" s="158">
        <f t="shared" ca="1" si="6"/>
        <v>41866</v>
      </c>
      <c r="B72" s="159">
        <f t="array" aca="1" ref="B72" ca="1">COUNTIF(Execution!G$2:G$314,A72)</f>
        <v>0</v>
      </c>
      <c r="C72" s="160">
        <f t="array" aca="1" ref="C72" ca="1">SUM(SUM(IF(Execution!H$2:H$314=A72,IF(Execution!J$2:J$314="In Progress",0.5,0),0)),SUM(IF(Execution!H$2:H$314=A72,IF(Execution!J$2:J$314="Failed",0.5,0),0)))</f>
        <v>0</v>
      </c>
      <c r="D72" s="161">
        <f t="array" aca="1" ref="D72" ca="1">SUM(IF(Execution!I$2:I$314=A72,IF(Execution!J$2:J$314="Completed",1,0),0))</f>
        <v>0</v>
      </c>
      <c r="E72" s="161">
        <f t="array" aca="1" ref="E72" ca="1">SUM(IF(TODAY()&gt;=A72,C72+D72-B72,NA()))</f>
        <v>0</v>
      </c>
      <c r="F72" s="160" t="e">
        <f ca="1">IF(B72=0,NA(),SUM(B$2:B72))</f>
        <v>#N/A</v>
      </c>
      <c r="G72" s="161" t="e">
        <f ca="1">IF(C72+D72=0,NA(),SUM(D$2:D72,C$2:C72))</f>
        <v>#N/A</v>
      </c>
      <c r="H72" s="162" t="e">
        <f ca="1">IF(E72=0,NA(),SUM(E$2:E72))</f>
        <v>#N/A</v>
      </c>
      <c r="I72" s="163" t="e">
        <f t="shared" ca="1" si="7"/>
        <v>#N/A</v>
      </c>
      <c r="J72" s="164" t="str">
        <f ca="1">IF(Calculations!A$2:A$356=TODAY(),C72+D72,"")</f>
        <v/>
      </c>
      <c r="K72" s="165" t="str">
        <f ca="1">IF(Calculations!A$2:A$356=TODAY()-1,C72+D72,"")</f>
        <v/>
      </c>
      <c r="L72" s="175"/>
      <c r="M72" s="172" t="s">
        <v>130</v>
      </c>
      <c r="N72" s="220"/>
      <c r="O72" s="175"/>
      <c r="P72" s="220"/>
      <c r="Q72" s="269"/>
      <c r="R72" s="151"/>
      <c r="S72" s="151"/>
      <c r="T72" s="151"/>
      <c r="U72" s="151"/>
      <c r="V72" s="151"/>
      <c r="W72" s="198"/>
      <c r="X72" s="199"/>
      <c r="Y72" s="199"/>
      <c r="Z72" s="199"/>
      <c r="AA72" s="199"/>
      <c r="AB72" s="199"/>
      <c r="AC72" s="199"/>
      <c r="AD72" s="1"/>
      <c r="AE72" s="1"/>
      <c r="AF72" s="1"/>
      <c r="AG72" s="1"/>
      <c r="AH72" s="1"/>
    </row>
    <row r="73" spans="1:34">
      <c r="A73" s="158">
        <f t="shared" ca="1" si="6"/>
        <v>41867</v>
      </c>
      <c r="B73" s="159">
        <f t="array" aca="1" ref="B73" ca="1">COUNTIF(Execution!G$2:G$314,A73)</f>
        <v>0</v>
      </c>
      <c r="C73" s="160">
        <f t="array" aca="1" ref="C73" ca="1">SUM(SUM(IF(Execution!H$2:H$314=A73,IF(Execution!J$2:J$314="In Progress",0.5,0),0)),SUM(IF(Execution!H$2:H$314=A73,IF(Execution!J$2:J$314="Failed",0.5,0),0)))</f>
        <v>0</v>
      </c>
      <c r="D73" s="161">
        <f t="array" aca="1" ref="D73" ca="1">SUM(IF(Execution!I$2:I$314=A73,IF(Execution!J$2:J$314="Completed",1,0),0))</f>
        <v>0</v>
      </c>
      <c r="E73" s="161">
        <f t="array" aca="1" ref="E73" ca="1">SUM(IF(TODAY()&gt;=A73,C73+D73-B73,NA()))</f>
        <v>0</v>
      </c>
      <c r="F73" s="160" t="e">
        <f ca="1">IF(B73=0,NA(),SUM(B$2:B73))</f>
        <v>#N/A</v>
      </c>
      <c r="G73" s="161" t="e">
        <f ca="1">IF(C73+D73=0,NA(),SUM(D$2:D73,C$2:C73))</f>
        <v>#N/A</v>
      </c>
      <c r="H73" s="162" t="e">
        <f ca="1">IF(E73=0,NA(),SUM(E$2:E73))</f>
        <v>#N/A</v>
      </c>
      <c r="I73" s="163" t="e">
        <f t="shared" ca="1" si="7"/>
        <v>#N/A</v>
      </c>
      <c r="J73" s="164" t="str">
        <f ca="1">IF(Calculations!A$2:A$356=TODAY(),C73+D73,"")</f>
        <v/>
      </c>
      <c r="K73" s="165" t="str">
        <f ca="1">IF(Calculations!A$2:A$356=TODAY()-1,C73+D73,"")</f>
        <v/>
      </c>
      <c r="L73" s="175"/>
      <c r="M73" s="172" t="s">
        <v>134</v>
      </c>
      <c r="N73" s="220"/>
      <c r="O73" s="175"/>
      <c r="P73" s="220"/>
      <c r="Q73" s="269"/>
      <c r="R73" s="151"/>
      <c r="S73" s="151"/>
      <c r="T73" s="151"/>
      <c r="U73" s="151"/>
      <c r="V73" s="151"/>
      <c r="W73" s="198"/>
      <c r="X73" s="199"/>
      <c r="Y73" s="199"/>
      <c r="Z73" s="199"/>
      <c r="AA73" s="199"/>
      <c r="AB73" s="199"/>
      <c r="AC73" s="199"/>
      <c r="AD73" s="1"/>
      <c r="AE73" s="1"/>
      <c r="AF73" s="1"/>
      <c r="AG73" s="1"/>
      <c r="AH73" s="1"/>
    </row>
    <row r="74" spans="1:34">
      <c r="A74" s="158">
        <f t="shared" ca="1" si="6"/>
        <v>41868</v>
      </c>
      <c r="B74" s="159">
        <f t="array" aca="1" ref="B74" ca="1">COUNTIF(Execution!G$2:G$314,A74)</f>
        <v>0</v>
      </c>
      <c r="C74" s="160">
        <f t="array" aca="1" ref="C74" ca="1">SUM(SUM(IF(Execution!H$2:H$314=A74,IF(Execution!J$2:J$314="In Progress",0.5,0),0)),SUM(IF(Execution!H$2:H$314=A74,IF(Execution!J$2:J$314="Failed",0.5,0),0)))</f>
        <v>0</v>
      </c>
      <c r="D74" s="161">
        <f t="array" aca="1" ref="D74" ca="1">SUM(IF(Execution!I$2:I$314=A74,IF(Execution!J$2:J$314="Completed",1,0),0))</f>
        <v>0</v>
      </c>
      <c r="E74" s="161">
        <f t="array" aca="1" ref="E74" ca="1">SUM(IF(TODAY()&gt;=A74,C74+D74-B74,NA()))</f>
        <v>0</v>
      </c>
      <c r="F74" s="160" t="e">
        <f ca="1">IF(B74=0,NA(),SUM(B$2:B74))</f>
        <v>#N/A</v>
      </c>
      <c r="G74" s="161" t="e">
        <f ca="1">IF(C74+D74=0,NA(),SUM(D$2:D74,C$2:C74))</f>
        <v>#N/A</v>
      </c>
      <c r="H74" s="162" t="e">
        <f ca="1">IF(E74=0,NA(),SUM(E$2:E74))</f>
        <v>#N/A</v>
      </c>
      <c r="I74" s="163" t="e">
        <f t="shared" ca="1" si="7"/>
        <v>#N/A</v>
      </c>
      <c r="J74" s="164" t="str">
        <f ca="1">IF(Calculations!A$2:A$356=TODAY(),C74+D74,"")</f>
        <v/>
      </c>
      <c r="K74" s="165" t="str">
        <f ca="1">IF(Calculations!A$2:A$356=TODAY()-1,C74+D74,"")</f>
        <v/>
      </c>
      <c r="L74" s="175"/>
      <c r="M74" s="172" t="s">
        <v>131</v>
      </c>
      <c r="N74" s="220"/>
      <c r="O74" s="175"/>
      <c r="P74" s="220"/>
      <c r="Q74" s="269"/>
      <c r="R74" s="151"/>
      <c r="S74" s="151"/>
      <c r="T74" s="151"/>
      <c r="U74" s="151"/>
      <c r="V74" s="151"/>
      <c r="W74" s="198"/>
      <c r="X74" s="199"/>
      <c r="Y74" s="199"/>
      <c r="Z74" s="199"/>
      <c r="AA74" s="199"/>
      <c r="AB74" s="199"/>
      <c r="AC74" s="199"/>
      <c r="AD74" s="1"/>
      <c r="AE74" s="1"/>
      <c r="AF74" s="1"/>
      <c r="AG74" s="1"/>
      <c r="AH74" s="1"/>
    </row>
    <row r="75" spans="1:34">
      <c r="A75" s="158">
        <f t="shared" ca="1" si="6"/>
        <v>41869</v>
      </c>
      <c r="B75" s="159">
        <f t="array" aca="1" ref="B75" ca="1">COUNTIF(Execution!G$2:G$314,A75)</f>
        <v>0</v>
      </c>
      <c r="C75" s="160">
        <f t="array" aca="1" ref="C75" ca="1">SUM(SUM(IF(Execution!H$2:H$314=A75,IF(Execution!J$2:J$314="In Progress",0.5,0),0)),SUM(IF(Execution!H$2:H$314=A75,IF(Execution!J$2:J$314="Failed",0.5,0),0)))</f>
        <v>0</v>
      </c>
      <c r="D75" s="161">
        <f t="array" aca="1" ref="D75" ca="1">SUM(IF(Execution!I$2:I$314=A75,IF(Execution!J$2:J$314="Completed",1,0),0))</f>
        <v>0</v>
      </c>
      <c r="E75" s="161">
        <f t="array" aca="1" ref="E75" ca="1">SUM(IF(TODAY()&gt;=A75,C75+D75-B75,NA()))</f>
        <v>0</v>
      </c>
      <c r="F75" s="160" t="e">
        <f ca="1">IF(B75=0,NA(),SUM(B$2:B75))</f>
        <v>#N/A</v>
      </c>
      <c r="G75" s="161" t="e">
        <f ca="1">IF(C75+D75=0,NA(),SUM(D$2:D75,C$2:C75))</f>
        <v>#N/A</v>
      </c>
      <c r="H75" s="162" t="e">
        <f ca="1">IF(E75=0,NA(),SUM(E$2:E75))</f>
        <v>#N/A</v>
      </c>
      <c r="I75" s="163" t="e">
        <f t="shared" ca="1" si="7"/>
        <v>#N/A</v>
      </c>
      <c r="J75" s="164" t="str">
        <f ca="1">IF(Calculations!A$2:A$356=TODAY(),C75+D75,"")</f>
        <v/>
      </c>
      <c r="K75" s="165" t="str">
        <f ca="1">IF(Calculations!A$2:A$356=TODAY()-1,C75+D75,"")</f>
        <v/>
      </c>
      <c r="L75" s="175"/>
      <c r="M75" s="183" t="s">
        <v>132</v>
      </c>
      <c r="N75" s="220"/>
      <c r="O75" s="175"/>
      <c r="P75" s="220"/>
      <c r="Q75" s="269"/>
      <c r="R75" s="151"/>
      <c r="S75" s="151"/>
      <c r="T75" s="151"/>
      <c r="U75" s="151"/>
      <c r="V75" s="151"/>
      <c r="W75" s="198"/>
      <c r="X75" s="199"/>
      <c r="Y75" s="199"/>
      <c r="Z75" s="199"/>
      <c r="AA75" s="199"/>
      <c r="AB75" s="199"/>
      <c r="AC75" s="199"/>
      <c r="AD75" s="1"/>
      <c r="AE75" s="1"/>
      <c r="AF75" s="1"/>
      <c r="AG75" s="1"/>
      <c r="AH75" s="1"/>
    </row>
    <row r="76" spans="1:34">
      <c r="A76" s="158">
        <f t="shared" ca="1" si="6"/>
        <v>41870</v>
      </c>
      <c r="B76" s="159">
        <f t="array" aca="1" ref="B76" ca="1">COUNTIF(Execution!G$2:G$314,A76)</f>
        <v>0</v>
      </c>
      <c r="C76" s="160">
        <f t="array" aca="1" ref="C76" ca="1">SUM(SUM(IF(Execution!H$2:H$314=A76,IF(Execution!J$2:J$314="In Progress",0.5,0),0)),SUM(IF(Execution!H$2:H$314=A76,IF(Execution!J$2:J$314="Failed",0.5,0),0)))</f>
        <v>0</v>
      </c>
      <c r="D76" s="161">
        <f t="array" aca="1" ref="D76" ca="1">SUM(IF(Execution!I$2:I$314=A76,IF(Execution!J$2:J$314="Completed",1,0),0))</f>
        <v>0</v>
      </c>
      <c r="E76" s="161">
        <f t="array" aca="1" ref="E76" ca="1">SUM(IF(TODAY()&gt;=A76,C76+D76-B76,NA()))</f>
        <v>0</v>
      </c>
      <c r="F76" s="160" t="e">
        <f ca="1">IF(B76=0,NA(),SUM(B$2:B76))</f>
        <v>#N/A</v>
      </c>
      <c r="G76" s="161" t="e">
        <f ca="1">IF(C76+D76=0,NA(),SUM(D$2:D76,C$2:C76))</f>
        <v>#N/A</v>
      </c>
      <c r="H76" s="162" t="e">
        <f ca="1">IF(E76=0,NA(),SUM(E$2:E76))</f>
        <v>#N/A</v>
      </c>
      <c r="I76" s="163" t="e">
        <f t="shared" ca="1" si="7"/>
        <v>#N/A</v>
      </c>
      <c r="J76" s="164" t="str">
        <f ca="1">IF(Calculations!A$2:A$356=TODAY(),C76+D76,"")</f>
        <v/>
      </c>
      <c r="K76" s="165" t="str">
        <f ca="1">IF(Calculations!A$2:A$356=TODAY()-1,C76+D76,"")</f>
        <v/>
      </c>
      <c r="L76" s="175"/>
      <c r="M76" s="172"/>
      <c r="N76" s="220"/>
      <c r="O76" s="175"/>
      <c r="P76" s="220"/>
      <c r="Q76" s="269"/>
      <c r="R76" s="151"/>
      <c r="S76" s="151"/>
      <c r="T76" s="151"/>
      <c r="U76" s="151"/>
      <c r="V76" s="151"/>
      <c r="W76" s="198"/>
      <c r="X76" s="199"/>
      <c r="Y76" s="199"/>
      <c r="Z76" s="199"/>
      <c r="AA76" s="199"/>
      <c r="AB76" s="199"/>
      <c r="AC76" s="199"/>
      <c r="AD76" s="1"/>
      <c r="AE76" s="1"/>
      <c r="AF76" s="1"/>
      <c r="AG76" s="1"/>
      <c r="AH76" s="1"/>
    </row>
    <row r="77" spans="1:34">
      <c r="A77" s="158">
        <f t="shared" ca="1" si="6"/>
        <v>41871</v>
      </c>
      <c r="B77" s="159">
        <f t="array" aca="1" ref="B77" ca="1">COUNTIF(Execution!G$2:G$314,A77)</f>
        <v>0</v>
      </c>
      <c r="C77" s="160">
        <f t="array" aca="1" ref="C77" ca="1">SUM(SUM(IF(Execution!H$2:H$314=A77,IF(Execution!J$2:J$314="In Progress",0.5,0),0)),SUM(IF(Execution!H$2:H$314=A77,IF(Execution!J$2:J$314="Failed",0.5,0),0)))</f>
        <v>0</v>
      </c>
      <c r="D77" s="161">
        <f t="array" aca="1" ref="D77" ca="1">SUM(IF(Execution!I$2:I$314=A77,IF(Execution!J$2:J$314="Completed",1,0),0))</f>
        <v>0</v>
      </c>
      <c r="E77" s="161">
        <f t="array" aca="1" ref="E77" ca="1">SUM(IF(TODAY()&gt;=A77,C77+D77-B77,NA()))</f>
        <v>0</v>
      </c>
      <c r="F77" s="160" t="e">
        <f ca="1">IF(B77=0,NA(),SUM(B$2:B77))</f>
        <v>#N/A</v>
      </c>
      <c r="G77" s="161" t="e">
        <f ca="1">IF(C77+D77=0,NA(),SUM(D$2:D77,C$2:C77))</f>
        <v>#N/A</v>
      </c>
      <c r="H77" s="162" t="e">
        <f ca="1">IF(E77=0,NA(),SUM(E$2:E77))</f>
        <v>#N/A</v>
      </c>
      <c r="I77" s="163" t="e">
        <f t="shared" ca="1" si="7"/>
        <v>#N/A</v>
      </c>
      <c r="J77" s="164" t="str">
        <f ca="1">IF(Calculations!A$2:A$356=TODAY(),C77+D77,"")</f>
        <v/>
      </c>
      <c r="K77" s="165" t="str">
        <f ca="1">IF(Calculations!A$2:A$356=TODAY()-1,C77+D77,"")</f>
        <v/>
      </c>
      <c r="L77" s="175"/>
      <c r="M77" s="220"/>
      <c r="N77" s="220"/>
      <c r="O77" s="175"/>
      <c r="P77" s="220"/>
      <c r="Q77" s="269"/>
      <c r="R77" s="151"/>
      <c r="S77" s="151"/>
      <c r="T77" s="151"/>
      <c r="U77" s="151"/>
      <c r="V77" s="151"/>
      <c r="W77" s="198"/>
      <c r="X77" s="199"/>
      <c r="Y77" s="199"/>
      <c r="Z77" s="199"/>
      <c r="AA77" s="199"/>
      <c r="AB77" s="199"/>
      <c r="AC77" s="199"/>
      <c r="AD77" s="1"/>
      <c r="AE77" s="1"/>
      <c r="AF77" s="1"/>
      <c r="AG77" s="1"/>
      <c r="AH77" s="1"/>
    </row>
    <row r="78" spans="1:34">
      <c r="A78" s="158">
        <f t="shared" ca="1" si="6"/>
        <v>41872</v>
      </c>
      <c r="B78" s="159">
        <f t="array" aca="1" ref="B78" ca="1">COUNTIF(Execution!G$2:G$314,A78)</f>
        <v>0</v>
      </c>
      <c r="C78" s="160">
        <f t="array" aca="1" ref="C78" ca="1">SUM(SUM(IF(Execution!H$2:H$314=A78,IF(Execution!J$2:J$314="In Progress",0.5,0),0)),SUM(IF(Execution!H$2:H$314=A78,IF(Execution!J$2:J$314="Failed",0.5,0),0)))</f>
        <v>0</v>
      </c>
      <c r="D78" s="161">
        <f t="array" aca="1" ref="D78" ca="1">SUM(IF(Execution!I$2:I$314=A78,IF(Execution!J$2:J$314="Completed",1,0),0))</f>
        <v>0</v>
      </c>
      <c r="E78" s="161">
        <f t="array" aca="1" ref="E78" ca="1">SUM(IF(TODAY()&gt;=A78,C78+D78-B78,NA()))</f>
        <v>0</v>
      </c>
      <c r="F78" s="160" t="e">
        <f ca="1">IF(B78=0,NA(),SUM(B$2:B78))</f>
        <v>#N/A</v>
      </c>
      <c r="G78" s="161" t="e">
        <f ca="1">IF(C78+D78=0,NA(),SUM(D$2:D78,C$2:C78))</f>
        <v>#N/A</v>
      </c>
      <c r="H78" s="162" t="e">
        <f ca="1">IF(E78=0,NA(),SUM(E$2:E78))</f>
        <v>#N/A</v>
      </c>
      <c r="I78" s="163" t="e">
        <f t="shared" ca="1" si="7"/>
        <v>#N/A</v>
      </c>
      <c r="J78" s="164" t="str">
        <f ca="1">IF(Calculations!A$2:A$356=TODAY(),C78+D78,"")</f>
        <v/>
      </c>
      <c r="K78" s="165" t="str">
        <f ca="1">IF(Calculations!A$2:A$356=TODAY()-1,C78+D78,"")</f>
        <v/>
      </c>
      <c r="L78" s="220"/>
      <c r="M78" s="273"/>
      <c r="N78" s="220"/>
      <c r="O78" s="220"/>
      <c r="P78" s="220"/>
      <c r="Q78" s="220"/>
      <c r="R78" s="151"/>
      <c r="S78" s="151"/>
      <c r="T78" s="151"/>
      <c r="U78" s="151"/>
      <c r="V78" s="151"/>
      <c r="W78" s="198"/>
      <c r="X78" s="199"/>
      <c r="Y78" s="199"/>
      <c r="Z78" s="199"/>
      <c r="AA78" s="199"/>
      <c r="AB78" s="199"/>
      <c r="AC78" s="199"/>
      <c r="AD78" s="1"/>
      <c r="AE78" s="1"/>
      <c r="AF78" s="1"/>
      <c r="AG78" s="1"/>
      <c r="AH78" s="1"/>
    </row>
    <row r="79" spans="1:34">
      <c r="A79" s="158">
        <f t="shared" ca="1" si="6"/>
        <v>41873</v>
      </c>
      <c r="B79" s="159">
        <f t="array" aca="1" ref="B79" ca="1">COUNTIF(Execution!G$2:G$314,A79)</f>
        <v>0</v>
      </c>
      <c r="C79" s="160">
        <f t="array" aca="1" ref="C79" ca="1">SUM(SUM(IF(Execution!H$2:H$314=A79,IF(Execution!J$2:J$314="In Progress",0.5,0),0)),SUM(IF(Execution!H$2:H$314=A79,IF(Execution!J$2:J$314="Failed",0.5,0),0)))</f>
        <v>0</v>
      </c>
      <c r="D79" s="161">
        <f t="array" aca="1" ref="D79" ca="1">SUM(IF(Execution!I$2:I$314=A79,IF(Execution!J$2:J$314="Completed",1,0),0))</f>
        <v>0</v>
      </c>
      <c r="E79" s="161">
        <f t="array" aca="1" ref="E79" ca="1">SUM(IF(TODAY()&gt;=A79,C79+D79-B79,NA()))</f>
        <v>0</v>
      </c>
      <c r="F79" s="160" t="e">
        <f ca="1">IF(B79=0,NA(),SUM(B$2:B79))</f>
        <v>#N/A</v>
      </c>
      <c r="G79" s="161" t="e">
        <f ca="1">IF(C79+D79=0,NA(),SUM(D$2:D79,C$2:C79))</f>
        <v>#N/A</v>
      </c>
      <c r="H79" s="162" t="e">
        <f ca="1">IF(E79=0,NA(),SUM(E$2:E79))</f>
        <v>#N/A</v>
      </c>
      <c r="I79" s="163" t="e">
        <f t="shared" ca="1" si="7"/>
        <v>#N/A</v>
      </c>
      <c r="J79" s="164" t="str">
        <f ca="1">IF(Calculations!A$2:A$356=TODAY(),C79+D79,"")</f>
        <v/>
      </c>
      <c r="K79" s="165" t="str">
        <f ca="1">IF(Calculations!A$2:A$356=TODAY()-1,C79+D79,"")</f>
        <v/>
      </c>
      <c r="L79" s="151"/>
      <c r="M79" s="274"/>
      <c r="N79" s="151"/>
      <c r="O79" s="151"/>
      <c r="P79" s="151"/>
      <c r="Q79" s="151"/>
      <c r="R79" s="151"/>
      <c r="S79" s="151"/>
      <c r="T79" s="151"/>
      <c r="U79" s="151"/>
      <c r="V79" s="151"/>
      <c r="W79" s="198"/>
      <c r="X79" s="199"/>
      <c r="Y79" s="199"/>
      <c r="Z79" s="199"/>
      <c r="AA79" s="199"/>
      <c r="AB79" s="199"/>
      <c r="AC79" s="199"/>
      <c r="AD79" s="1"/>
      <c r="AE79" s="1"/>
      <c r="AF79" s="1"/>
      <c r="AG79" s="1"/>
      <c r="AH79" s="1"/>
    </row>
    <row r="80" spans="1:34">
      <c r="A80" s="158">
        <f t="shared" ca="1" si="6"/>
        <v>41874</v>
      </c>
      <c r="B80" s="159">
        <f t="array" aca="1" ref="B80" ca="1">COUNTIF(Execution!G$2:G$314,A80)</f>
        <v>0</v>
      </c>
      <c r="C80" s="160">
        <f t="array" aca="1" ref="C80" ca="1">SUM(SUM(IF(Execution!H$2:H$314=A80,IF(Execution!J$2:J$314="In Progress",0.5,0),0)),SUM(IF(Execution!H$2:H$314=A80,IF(Execution!J$2:J$314="Failed",0.5,0),0)))</f>
        <v>0</v>
      </c>
      <c r="D80" s="161">
        <f t="array" aca="1" ref="D80" ca="1">SUM(IF(Execution!I$2:I$314=A80,IF(Execution!J$2:J$314="Completed",1,0),0))</f>
        <v>0</v>
      </c>
      <c r="E80" s="161">
        <f t="array" aca="1" ref="E80" ca="1">SUM(IF(TODAY()&gt;=A80,C80+D80-B80,NA()))</f>
        <v>0</v>
      </c>
      <c r="F80" s="160" t="e">
        <f ca="1">IF(B80=0,NA(),SUM(B$2:B80))</f>
        <v>#N/A</v>
      </c>
      <c r="G80" s="161" t="e">
        <f ca="1">IF(C80+D80=0,NA(),SUM(D$2:D80,C$2:C80))</f>
        <v>#N/A</v>
      </c>
      <c r="H80" s="162" t="e">
        <f ca="1">IF(E80=0,NA(),SUM(E$2:E80))</f>
        <v>#N/A</v>
      </c>
      <c r="I80" s="163" t="e">
        <f t="shared" ca="1" si="7"/>
        <v>#N/A</v>
      </c>
      <c r="J80" s="164" t="str">
        <f ca="1">IF(Calculations!A$2:A$356=TODAY(),C80+D80,"")</f>
        <v/>
      </c>
      <c r="K80" s="165" t="str">
        <f ca="1">IF(Calculations!A$2:A$356=TODAY()-1,C80+D80,"")</f>
        <v/>
      </c>
      <c r="L80" s="151"/>
      <c r="M80" s="274"/>
      <c r="N80" s="151"/>
      <c r="O80" s="151"/>
      <c r="P80" s="151"/>
      <c r="Q80" s="151"/>
      <c r="R80" s="151"/>
      <c r="S80" s="151"/>
      <c r="T80" s="151"/>
      <c r="U80" s="151"/>
      <c r="V80" s="151"/>
      <c r="W80" s="198"/>
      <c r="X80" s="199"/>
      <c r="Y80" s="199"/>
      <c r="Z80" s="199"/>
      <c r="AA80" s="199"/>
      <c r="AB80" s="199"/>
      <c r="AC80" s="199"/>
      <c r="AD80" s="1"/>
      <c r="AE80" s="1"/>
      <c r="AF80" s="1"/>
      <c r="AG80" s="1"/>
      <c r="AH80" s="1"/>
    </row>
    <row r="81" spans="1:34">
      <c r="A81" s="158">
        <f t="shared" ca="1" si="6"/>
        <v>41875</v>
      </c>
      <c r="B81" s="159">
        <f t="array" aca="1" ref="B81" ca="1">COUNTIF(Execution!G$2:G$314,A81)</f>
        <v>0</v>
      </c>
      <c r="C81" s="160">
        <f t="array" aca="1" ref="C81" ca="1">SUM(SUM(IF(Execution!H$2:H$314=A81,IF(Execution!J$2:J$314="In Progress",0.5,0),0)),SUM(IF(Execution!H$2:H$314=A81,IF(Execution!J$2:J$314="Failed",0.5,0),0)))</f>
        <v>0</v>
      </c>
      <c r="D81" s="161">
        <f t="array" aca="1" ref="D81" ca="1">SUM(IF(Execution!I$2:I$314=A81,IF(Execution!J$2:J$314="Completed",1,0),0))</f>
        <v>0</v>
      </c>
      <c r="E81" s="161">
        <f t="array" aca="1" ref="E81" ca="1">SUM(IF(TODAY()&gt;=A81,C81+D81-B81,NA()))</f>
        <v>0</v>
      </c>
      <c r="F81" s="160" t="e">
        <f ca="1">IF(B81=0,NA(),SUM(B$2:B81))</f>
        <v>#N/A</v>
      </c>
      <c r="G81" s="161" t="e">
        <f ca="1">IF(C81+D81=0,NA(),SUM(D$2:D81,C$2:C81))</f>
        <v>#N/A</v>
      </c>
      <c r="H81" s="162" t="e">
        <f ca="1">IF(E81=0,NA(),SUM(E$2:E81))</f>
        <v>#N/A</v>
      </c>
      <c r="I81" s="163" t="e">
        <f t="shared" ca="1" si="7"/>
        <v>#N/A</v>
      </c>
      <c r="J81" s="164" t="str">
        <f ca="1">IF(Calculations!A$2:A$356=TODAY(),C81+D81,"")</f>
        <v/>
      </c>
      <c r="K81" s="165" t="str">
        <f ca="1">IF(Calculations!A$2:A$356=TODAY()-1,C81+D81,"")</f>
        <v/>
      </c>
      <c r="L81" s="151"/>
      <c r="M81" s="274"/>
      <c r="N81" s="151"/>
      <c r="O81" s="151"/>
      <c r="P81" s="151"/>
      <c r="Q81" s="151"/>
      <c r="R81" s="151"/>
      <c r="S81" s="151"/>
      <c r="T81" s="151"/>
      <c r="U81" s="151"/>
      <c r="V81" s="151"/>
      <c r="W81" s="198"/>
      <c r="X81" s="199"/>
      <c r="Y81" s="199"/>
      <c r="Z81" s="199"/>
      <c r="AA81" s="199"/>
      <c r="AB81" s="199"/>
      <c r="AC81" s="199"/>
      <c r="AD81" s="1"/>
      <c r="AE81" s="1"/>
      <c r="AF81" s="1"/>
      <c r="AG81" s="1"/>
      <c r="AH81" s="1"/>
    </row>
    <row r="82" spans="1:34">
      <c r="A82" s="158">
        <f t="shared" ca="1" si="6"/>
        <v>41876</v>
      </c>
      <c r="B82" s="159">
        <f t="array" aca="1" ref="B82" ca="1">COUNTIF(Execution!G$2:G$314,A82)</f>
        <v>0</v>
      </c>
      <c r="C82" s="160">
        <f t="array" aca="1" ref="C82" ca="1">SUM(SUM(IF(Execution!H$2:H$314=A82,IF(Execution!J$2:J$314="In Progress",0.5,0),0)),SUM(IF(Execution!H$2:H$314=A82,IF(Execution!J$2:J$314="Failed",0.5,0),0)))</f>
        <v>0</v>
      </c>
      <c r="D82" s="161">
        <f t="array" aca="1" ref="D82" ca="1">SUM(IF(Execution!I$2:I$314=A82,IF(Execution!J$2:J$314="Completed",1,0),0))</f>
        <v>0</v>
      </c>
      <c r="E82" s="161">
        <f t="array" aca="1" ref="E82" ca="1">SUM(IF(TODAY()&gt;=A82,C82+D82-B82,NA()))</f>
        <v>0</v>
      </c>
      <c r="F82" s="160" t="e">
        <f ca="1">IF(B82=0,NA(),SUM(B$2:B82))</f>
        <v>#N/A</v>
      </c>
      <c r="G82" s="161" t="e">
        <f ca="1">IF(C82+D82=0,NA(),SUM(D$2:D82,C$2:C82))</f>
        <v>#N/A</v>
      </c>
      <c r="H82" s="162" t="e">
        <f ca="1">IF(E82=0,NA(),SUM(E$2:E82))</f>
        <v>#N/A</v>
      </c>
      <c r="I82" s="163" t="e">
        <f t="shared" ca="1" si="7"/>
        <v>#N/A</v>
      </c>
      <c r="J82" s="164" t="str">
        <f ca="1">IF(Calculations!A$2:A$356=TODAY(),C82+D82,"")</f>
        <v/>
      </c>
      <c r="K82" s="165" t="str">
        <f ca="1">IF(Calculations!A$2:A$356=TODAY()-1,C82+D82,"")</f>
        <v/>
      </c>
      <c r="L82" s="151"/>
      <c r="M82" s="274"/>
      <c r="N82" s="151"/>
      <c r="O82" s="151"/>
      <c r="P82" s="151"/>
      <c r="Q82" s="151"/>
      <c r="R82" s="151"/>
      <c r="S82" s="151"/>
      <c r="T82" s="151"/>
      <c r="U82" s="151"/>
      <c r="V82" s="151"/>
      <c r="W82" s="198"/>
      <c r="X82" s="199"/>
      <c r="Y82" s="199"/>
      <c r="Z82" s="199"/>
      <c r="AA82" s="199"/>
      <c r="AB82" s="199"/>
      <c r="AC82" s="199"/>
      <c r="AD82" s="1"/>
      <c r="AE82" s="1"/>
      <c r="AF82" s="1"/>
      <c r="AG82" s="1"/>
      <c r="AH82" s="1"/>
    </row>
    <row r="83" spans="1:34">
      <c r="A83" s="158"/>
      <c r="B83" s="159"/>
      <c r="C83" s="160"/>
      <c r="D83" s="161"/>
      <c r="E83" s="161"/>
      <c r="F83" s="160"/>
      <c r="G83" s="161"/>
      <c r="H83" s="162"/>
      <c r="I83" s="163"/>
      <c r="J83" s="164" t="str">
        <f ca="1">IF(Calculations!A$2:A$356=TODAY(),C83+D83,"")</f>
        <v/>
      </c>
      <c r="K83" s="165" t="str">
        <f ca="1">IF(Calculations!A$2:A$356=TODAY()-1,C83+D83,"")</f>
        <v/>
      </c>
      <c r="L83" s="151"/>
      <c r="M83" s="274"/>
      <c r="N83" s="151"/>
      <c r="O83" s="151"/>
      <c r="P83" s="151"/>
      <c r="Q83" s="151"/>
      <c r="R83" s="151"/>
      <c r="S83" s="151"/>
      <c r="T83" s="151"/>
      <c r="U83" s="151"/>
      <c r="V83" s="151"/>
      <c r="W83" s="198"/>
      <c r="X83" s="199"/>
      <c r="Y83" s="199"/>
      <c r="Z83" s="199"/>
      <c r="AA83" s="199"/>
      <c r="AB83" s="199"/>
      <c r="AC83" s="199"/>
      <c r="AD83" s="1"/>
      <c r="AE83" s="1"/>
      <c r="AF83" s="1"/>
      <c r="AG83" s="1"/>
      <c r="AH83" s="1"/>
    </row>
    <row r="84" spans="1:34">
      <c r="A84" s="158"/>
      <c r="B84" s="159"/>
      <c r="C84" s="160"/>
      <c r="D84" s="161"/>
      <c r="E84" s="161"/>
      <c r="F84" s="160"/>
      <c r="G84" s="161"/>
      <c r="H84" s="162"/>
      <c r="I84" s="163"/>
      <c r="J84" s="164" t="str">
        <f ca="1">IF(Calculations!A$2:A$356=TODAY(),C84+D84,"")</f>
        <v/>
      </c>
      <c r="K84" s="165" t="str">
        <f ca="1">IF(Calculations!A$2:A$356=TODAY()-1,C84+D84,"")</f>
        <v/>
      </c>
      <c r="L84" s="151"/>
      <c r="M84" s="274"/>
      <c r="N84" s="151"/>
      <c r="O84" s="151"/>
      <c r="P84" s="151"/>
      <c r="Q84" s="151"/>
      <c r="R84" s="151"/>
      <c r="S84" s="151"/>
      <c r="T84" s="151"/>
      <c r="U84" s="151"/>
      <c r="V84" s="151"/>
      <c r="W84" s="198"/>
      <c r="X84" s="199"/>
      <c r="Y84" s="199"/>
      <c r="Z84" s="199"/>
      <c r="AA84" s="199"/>
      <c r="AB84" s="199"/>
      <c r="AC84" s="199"/>
      <c r="AD84" s="1"/>
      <c r="AE84" s="1"/>
      <c r="AF84" s="1"/>
      <c r="AG84" s="1"/>
      <c r="AH84" s="1"/>
    </row>
    <row r="85" spans="1:34">
      <c r="A85" s="158"/>
      <c r="B85" s="159"/>
      <c r="C85" s="160"/>
      <c r="D85" s="161"/>
      <c r="E85" s="161"/>
      <c r="F85" s="160"/>
      <c r="G85" s="161"/>
      <c r="H85" s="162"/>
      <c r="I85" s="163"/>
      <c r="J85" s="164" t="str">
        <f ca="1">IF(Calculations!A$2:A$356=TODAY(),C85+D85,"")</f>
        <v/>
      </c>
      <c r="K85" s="165" t="str">
        <f ca="1">IF(Calculations!A$2:A$356=TODAY()-1,C85+D85,"")</f>
        <v/>
      </c>
      <c r="L85" s="151"/>
      <c r="M85" s="274"/>
      <c r="N85" s="151"/>
      <c r="O85" s="151"/>
      <c r="P85" s="151"/>
      <c r="Q85" s="151"/>
      <c r="R85" s="151"/>
      <c r="S85" s="151"/>
      <c r="T85" s="151"/>
      <c r="U85" s="151"/>
      <c r="V85" s="151"/>
      <c r="W85" s="198"/>
      <c r="X85" s="199"/>
      <c r="Y85" s="199"/>
      <c r="Z85" s="199"/>
      <c r="AA85" s="199"/>
      <c r="AB85" s="199"/>
      <c r="AC85" s="199"/>
      <c r="AD85" s="1"/>
      <c r="AE85" s="1"/>
      <c r="AF85" s="1"/>
      <c r="AG85" s="1"/>
      <c r="AH85" s="1"/>
    </row>
    <row r="86" spans="1:34">
      <c r="A86" s="158"/>
      <c r="B86" s="159"/>
      <c r="C86" s="160"/>
      <c r="D86" s="161"/>
      <c r="E86" s="161"/>
      <c r="F86" s="160"/>
      <c r="G86" s="161"/>
      <c r="H86" s="162"/>
      <c r="I86" s="163"/>
      <c r="J86" s="164" t="str">
        <f ca="1">IF(Calculations!A$2:A$356=TODAY(),C86+D86,"")</f>
        <v/>
      </c>
      <c r="K86" s="165" t="str">
        <f ca="1">IF(Calculations!A$2:A$356=TODAY()-1,C86+D86,"")</f>
        <v/>
      </c>
      <c r="L86" s="151"/>
      <c r="M86" s="274"/>
      <c r="N86" s="151"/>
      <c r="O86" s="151"/>
      <c r="P86" s="151"/>
      <c r="Q86" s="151"/>
      <c r="R86" s="151"/>
      <c r="S86" s="151"/>
      <c r="T86" s="151"/>
      <c r="U86" s="151"/>
      <c r="V86" s="151"/>
      <c r="W86" s="198"/>
      <c r="X86" s="199"/>
      <c r="Y86" s="199"/>
      <c r="Z86" s="199"/>
      <c r="AA86" s="199"/>
      <c r="AB86" s="199"/>
      <c r="AC86" s="199"/>
      <c r="AD86" s="1"/>
      <c r="AE86" s="1"/>
      <c r="AF86" s="1"/>
      <c r="AG86" s="1"/>
      <c r="AH86" s="1"/>
    </row>
    <row r="87" spans="1:34">
      <c r="A87" s="158"/>
      <c r="B87" s="159"/>
      <c r="C87" s="160"/>
      <c r="D87" s="161"/>
      <c r="E87" s="161"/>
      <c r="F87" s="160"/>
      <c r="G87" s="161"/>
      <c r="H87" s="162"/>
      <c r="I87" s="163"/>
      <c r="J87" s="164" t="str">
        <f ca="1">IF(Calculations!A$2:A$356=TODAY(),C87+D87,"")</f>
        <v/>
      </c>
      <c r="K87" s="165" t="str">
        <f ca="1">IF(Calculations!A$2:A$356=TODAY()-1,C87+D87,"")</f>
        <v/>
      </c>
      <c r="L87" s="151"/>
      <c r="M87" s="274"/>
      <c r="N87" s="151"/>
      <c r="O87" s="151"/>
      <c r="P87" s="151"/>
      <c r="Q87" s="151"/>
      <c r="R87" s="151"/>
      <c r="S87" s="151"/>
      <c r="T87" s="151"/>
      <c r="U87" s="151"/>
      <c r="V87" s="151"/>
      <c r="W87" s="198"/>
      <c r="X87" s="199"/>
      <c r="Y87" s="199"/>
      <c r="Z87" s="199"/>
      <c r="AA87" s="199"/>
      <c r="AB87" s="199"/>
      <c r="AC87" s="199"/>
      <c r="AD87" s="1"/>
      <c r="AE87" s="1"/>
      <c r="AF87" s="1"/>
      <c r="AG87" s="1"/>
      <c r="AH87" s="1"/>
    </row>
    <row r="88" spans="1:34">
      <c r="A88" s="158"/>
      <c r="B88" s="159"/>
      <c r="C88" s="160"/>
      <c r="D88" s="161"/>
      <c r="E88" s="161"/>
      <c r="F88" s="160"/>
      <c r="G88" s="161"/>
      <c r="H88" s="162"/>
      <c r="I88" s="163"/>
      <c r="J88" s="164" t="str">
        <f ca="1">IF(Calculations!A$2:A$356=TODAY(),C88+D88,"")</f>
        <v/>
      </c>
      <c r="K88" s="165" t="str">
        <f ca="1">IF(Calculations!A$2:A$356=TODAY()-1,C88+D88,"")</f>
        <v/>
      </c>
      <c r="L88" s="151"/>
      <c r="M88" s="274"/>
      <c r="N88" s="151"/>
      <c r="O88" s="151"/>
      <c r="P88" s="151"/>
      <c r="Q88" s="151"/>
      <c r="R88" s="151"/>
      <c r="S88" s="151"/>
      <c r="T88" s="151"/>
      <c r="U88" s="151"/>
      <c r="V88" s="151"/>
      <c r="W88" s="198"/>
      <c r="X88" s="199"/>
      <c r="Y88" s="199"/>
      <c r="Z88" s="199"/>
      <c r="AA88" s="199"/>
      <c r="AB88" s="199"/>
      <c r="AC88" s="199"/>
      <c r="AD88" s="1"/>
      <c r="AE88" s="1"/>
      <c r="AF88" s="1"/>
      <c r="AG88" s="1"/>
      <c r="AH88" s="1"/>
    </row>
    <row r="89" spans="1:34">
      <c r="A89" s="158"/>
      <c r="B89" s="159"/>
      <c r="C89" s="160"/>
      <c r="D89" s="161"/>
      <c r="E89" s="161"/>
      <c r="F89" s="160"/>
      <c r="G89" s="161"/>
      <c r="H89" s="162"/>
      <c r="I89" s="163"/>
      <c r="J89" s="164" t="str">
        <f ca="1">IF(Calculations!A$2:A$356=TODAY(),C89+D89,"")</f>
        <v/>
      </c>
      <c r="K89" s="165" t="str">
        <f ca="1">IF(Calculations!A$2:A$356=TODAY()-1,C89+D89,"")</f>
        <v/>
      </c>
      <c r="L89" s="151"/>
      <c r="M89" s="274"/>
      <c r="N89" s="151"/>
      <c r="O89" s="151"/>
      <c r="P89" s="151"/>
      <c r="Q89" s="151"/>
      <c r="R89" s="151"/>
      <c r="S89" s="151"/>
      <c r="T89" s="151"/>
      <c r="U89" s="151"/>
      <c r="V89" s="151"/>
      <c r="W89" s="198"/>
      <c r="X89" s="199"/>
      <c r="Y89" s="199"/>
      <c r="Z89" s="199"/>
      <c r="AA89" s="199"/>
      <c r="AB89" s="199"/>
      <c r="AC89" s="199"/>
      <c r="AD89" s="1"/>
      <c r="AE89" s="1"/>
      <c r="AF89" s="1"/>
      <c r="AG89" s="1"/>
      <c r="AH89" s="1"/>
    </row>
    <row r="90" spans="1:34">
      <c r="A90" s="158"/>
      <c r="B90" s="159"/>
      <c r="C90" s="160"/>
      <c r="D90" s="161"/>
      <c r="E90" s="161"/>
      <c r="F90" s="160"/>
      <c r="G90" s="161"/>
      <c r="H90" s="162"/>
      <c r="I90" s="163"/>
      <c r="J90" s="164" t="str">
        <f ca="1">IF(Calculations!A$2:A$356=TODAY(),C90+D90,"")</f>
        <v/>
      </c>
      <c r="K90" s="165" t="str">
        <f ca="1">IF(Calculations!A$2:A$356=TODAY()-1,C90+D90,"")</f>
        <v/>
      </c>
      <c r="L90" s="151"/>
      <c r="M90" s="151"/>
      <c r="N90" s="151"/>
      <c r="O90" s="151"/>
      <c r="P90" s="151"/>
      <c r="Q90" s="151"/>
      <c r="R90" s="151"/>
      <c r="S90" s="151"/>
      <c r="T90" s="151"/>
      <c r="U90" s="151"/>
      <c r="V90" s="151"/>
      <c r="W90" s="198"/>
      <c r="X90" s="199"/>
      <c r="Y90" s="199"/>
      <c r="Z90" s="199"/>
      <c r="AA90" s="199"/>
      <c r="AB90" s="199"/>
      <c r="AC90" s="199"/>
      <c r="AD90" s="1"/>
      <c r="AE90" s="1"/>
      <c r="AF90" s="1"/>
      <c r="AG90" s="1"/>
      <c r="AH90" s="1"/>
    </row>
    <row r="91" spans="1:34">
      <c r="A91" s="158"/>
      <c r="B91" s="159"/>
      <c r="C91" s="160"/>
      <c r="D91" s="161"/>
      <c r="E91" s="161"/>
      <c r="F91" s="160"/>
      <c r="G91" s="161"/>
      <c r="H91" s="162"/>
      <c r="I91" s="163"/>
      <c r="J91" s="164" t="str">
        <f ca="1">IF(Calculations!A$2:A$356=TODAY(),C91+D91,"")</f>
        <v/>
      </c>
      <c r="K91" s="165" t="str">
        <f ca="1">IF(Calculations!A$2:A$356=TODAY()-1,C91+D91,"")</f>
        <v/>
      </c>
      <c r="L91" s="151"/>
      <c r="M91" s="151"/>
      <c r="N91" s="151"/>
      <c r="O91" s="151"/>
      <c r="P91" s="151"/>
      <c r="Q91" s="151"/>
      <c r="R91" s="151"/>
      <c r="S91" s="151"/>
      <c r="T91" s="151"/>
      <c r="U91" s="151"/>
      <c r="V91" s="151"/>
      <c r="W91" s="198"/>
      <c r="X91" s="199"/>
      <c r="Y91" s="199"/>
      <c r="Z91" s="199"/>
      <c r="AA91" s="199"/>
      <c r="AB91" s="199"/>
      <c r="AC91" s="199"/>
      <c r="AD91" s="1"/>
      <c r="AE91" s="1"/>
      <c r="AF91" s="1"/>
      <c r="AG91" s="1"/>
      <c r="AH91" s="1"/>
    </row>
    <row r="92" spans="1:34">
      <c r="A92" s="158"/>
      <c r="B92" s="159"/>
      <c r="C92" s="160"/>
      <c r="D92" s="161"/>
      <c r="E92" s="161"/>
      <c r="F92" s="160"/>
      <c r="G92" s="161"/>
      <c r="H92" s="162"/>
      <c r="I92" s="163"/>
      <c r="J92" s="164" t="str">
        <f ca="1">IF(Calculations!A$2:A$356=TODAY(),C92+D92,"")</f>
        <v/>
      </c>
      <c r="K92" s="165" t="str">
        <f ca="1">IF(Calculations!A$2:A$356=TODAY()-1,C92+D92,"")</f>
        <v/>
      </c>
      <c r="L92" s="151"/>
      <c r="M92" s="274"/>
      <c r="N92" s="151"/>
      <c r="O92" s="151"/>
      <c r="P92" s="151"/>
      <c r="Q92" s="151"/>
      <c r="R92" s="151"/>
      <c r="S92" s="151"/>
      <c r="T92" s="151"/>
      <c r="U92" s="151"/>
      <c r="V92" s="151"/>
      <c r="W92" s="198"/>
      <c r="X92" s="199"/>
      <c r="Y92" s="199"/>
      <c r="Z92" s="199"/>
      <c r="AA92" s="199"/>
      <c r="AB92" s="199"/>
      <c r="AC92" s="199"/>
      <c r="AD92" s="1"/>
      <c r="AE92" s="1"/>
      <c r="AF92" s="1"/>
      <c r="AG92" s="1"/>
      <c r="AH92" s="1"/>
    </row>
    <row r="93" spans="1:34">
      <c r="A93" s="158"/>
      <c r="B93" s="159"/>
      <c r="C93" s="160"/>
      <c r="D93" s="161"/>
      <c r="E93" s="161"/>
      <c r="F93" s="160"/>
      <c r="G93" s="161"/>
      <c r="H93" s="162"/>
      <c r="I93" s="163"/>
      <c r="J93" s="164" t="str">
        <f ca="1">IF(Calculations!A$2:A$356=TODAY(),C93+D93,"")</f>
        <v/>
      </c>
      <c r="K93" s="165" t="str">
        <f ca="1">IF(Calculations!A$2:A$356=TODAY()-1,C93+D93,"")</f>
        <v/>
      </c>
      <c r="L93" s="151"/>
      <c r="M93" s="274"/>
      <c r="N93" s="151"/>
      <c r="O93" s="151"/>
      <c r="P93" s="151"/>
      <c r="Q93" s="151"/>
      <c r="R93" s="151"/>
      <c r="S93" s="151"/>
      <c r="T93" s="151"/>
      <c r="U93" s="151"/>
      <c r="V93" s="151"/>
      <c r="W93" s="198"/>
      <c r="X93" s="199"/>
      <c r="Y93" s="199"/>
      <c r="Z93" s="199"/>
      <c r="AA93" s="199"/>
      <c r="AB93" s="199"/>
      <c r="AC93" s="199"/>
      <c r="AD93" s="1"/>
      <c r="AE93" s="1"/>
      <c r="AF93" s="1"/>
      <c r="AG93" s="1"/>
      <c r="AH93" s="1"/>
    </row>
    <row r="94" spans="1:34">
      <c r="A94" s="158"/>
      <c r="B94" s="159"/>
      <c r="C94" s="160"/>
      <c r="D94" s="161"/>
      <c r="E94" s="161"/>
      <c r="F94" s="160"/>
      <c r="G94" s="161"/>
      <c r="H94" s="162"/>
      <c r="I94" s="163"/>
      <c r="J94" s="164" t="str">
        <f ca="1">IF(Calculations!A$2:A$356=TODAY(),C94+D94,"")</f>
        <v/>
      </c>
      <c r="K94" s="165" t="str">
        <f ca="1">IF(Calculations!A$2:A$356=TODAY()-1,C94+D94,"")</f>
        <v/>
      </c>
      <c r="L94" s="151"/>
      <c r="M94" s="274"/>
      <c r="N94" s="151"/>
      <c r="O94" s="151"/>
      <c r="P94" s="151"/>
      <c r="Q94" s="151"/>
      <c r="R94" s="151"/>
      <c r="S94" s="151"/>
      <c r="T94" s="151"/>
      <c r="U94" s="151"/>
      <c r="V94" s="151"/>
      <c r="W94" s="198"/>
      <c r="X94" s="199"/>
      <c r="Y94" s="199"/>
      <c r="Z94" s="199"/>
      <c r="AA94" s="199"/>
      <c r="AB94" s="199"/>
      <c r="AC94" s="199"/>
      <c r="AD94" s="1"/>
      <c r="AE94" s="1"/>
      <c r="AF94" s="1"/>
      <c r="AG94" s="1"/>
      <c r="AH94" s="1"/>
    </row>
    <row r="95" spans="1:34">
      <c r="A95" s="158"/>
      <c r="B95" s="159"/>
      <c r="C95" s="160"/>
      <c r="D95" s="161"/>
      <c r="E95" s="161"/>
      <c r="F95" s="160"/>
      <c r="G95" s="161"/>
      <c r="H95" s="162"/>
      <c r="I95" s="163"/>
      <c r="J95" s="164" t="str">
        <f ca="1">IF(Calculations!A$2:A$356=TODAY(),C95+D95,"")</f>
        <v/>
      </c>
      <c r="K95" s="165" t="str">
        <f ca="1">IF(Calculations!A$2:A$356=TODAY()-1,C95+D95,"")</f>
        <v/>
      </c>
      <c r="L95" s="151"/>
      <c r="M95" s="151"/>
      <c r="N95" s="151"/>
      <c r="O95" s="151"/>
      <c r="P95" s="151"/>
      <c r="Q95" s="151"/>
      <c r="R95" s="151"/>
      <c r="S95" s="151"/>
      <c r="T95" s="151"/>
      <c r="U95" s="151"/>
      <c r="V95" s="151"/>
      <c r="W95" s="198"/>
      <c r="X95" s="199"/>
      <c r="Y95" s="199"/>
      <c r="Z95" s="199"/>
      <c r="AA95" s="199"/>
      <c r="AB95" s="199"/>
      <c r="AC95" s="199"/>
      <c r="AD95" s="1"/>
      <c r="AE95" s="1"/>
      <c r="AF95" s="1"/>
      <c r="AG95" s="1"/>
      <c r="AH95" s="1"/>
    </row>
    <row r="96" spans="1:34">
      <c r="A96" s="158"/>
      <c r="B96" s="159"/>
      <c r="C96" s="160"/>
      <c r="D96" s="161"/>
      <c r="E96" s="161"/>
      <c r="F96" s="160"/>
      <c r="G96" s="161"/>
      <c r="H96" s="162"/>
      <c r="I96" s="163"/>
      <c r="J96" s="164" t="str">
        <f ca="1">IF(Calculations!A$2:A$356=TODAY(),C96+D96,"")</f>
        <v/>
      </c>
      <c r="K96" s="165" t="str">
        <f ca="1">IF(Calculations!A$2:A$356=TODAY()-1,C96+D96,"")</f>
        <v/>
      </c>
      <c r="L96" s="151"/>
      <c r="M96" s="151"/>
      <c r="N96" s="151"/>
      <c r="O96" s="151"/>
      <c r="P96" s="151"/>
      <c r="Q96" s="151"/>
      <c r="R96" s="151"/>
      <c r="S96" s="151"/>
      <c r="T96" s="151"/>
      <c r="U96" s="151"/>
      <c r="V96" s="151"/>
      <c r="W96" s="198"/>
      <c r="X96" s="199"/>
      <c r="Y96" s="199"/>
      <c r="Z96" s="199"/>
      <c r="AA96" s="199"/>
      <c r="AB96" s="199"/>
      <c r="AC96" s="199"/>
      <c r="AD96" s="1"/>
      <c r="AE96" s="1"/>
      <c r="AF96" s="1"/>
      <c r="AG96" s="1"/>
      <c r="AH96" s="1"/>
    </row>
    <row r="97" spans="1:34">
      <c r="A97" s="158"/>
      <c r="B97" s="159"/>
      <c r="C97" s="160"/>
      <c r="D97" s="161"/>
      <c r="E97" s="161"/>
      <c r="F97" s="160"/>
      <c r="G97" s="161"/>
      <c r="H97" s="162"/>
      <c r="I97" s="163"/>
      <c r="J97" s="164" t="str">
        <f ca="1">IF(Calculations!A$2:A$356=TODAY(),C97+D97,"")</f>
        <v/>
      </c>
      <c r="K97" s="165" t="str">
        <f ca="1">IF(Calculations!A$2:A$356=TODAY()-1,C97+D97,"")</f>
        <v/>
      </c>
      <c r="L97" s="151"/>
      <c r="M97" s="274"/>
      <c r="N97" s="151"/>
      <c r="O97" s="151"/>
      <c r="P97" s="151"/>
      <c r="Q97" s="151"/>
      <c r="R97" s="151"/>
      <c r="S97" s="151"/>
      <c r="T97" s="151"/>
      <c r="U97" s="151"/>
      <c r="V97" s="151"/>
      <c r="W97" s="198"/>
      <c r="X97" s="199"/>
      <c r="Y97" s="199"/>
      <c r="Z97" s="199"/>
      <c r="AA97" s="199"/>
      <c r="AB97" s="199"/>
      <c r="AC97" s="199"/>
      <c r="AD97" s="1"/>
      <c r="AE97" s="1"/>
      <c r="AF97" s="1"/>
      <c r="AG97" s="1"/>
      <c r="AH97" s="1"/>
    </row>
    <row r="98" spans="1:34">
      <c r="A98" s="158"/>
      <c r="B98" s="159"/>
      <c r="C98" s="160"/>
      <c r="D98" s="161"/>
      <c r="E98" s="161"/>
      <c r="F98" s="160"/>
      <c r="G98" s="161"/>
      <c r="H98" s="162"/>
      <c r="I98" s="163"/>
      <c r="J98" s="164" t="str">
        <f ca="1">IF(Calculations!A$2:A$356=TODAY(),C98+D98,"")</f>
        <v/>
      </c>
      <c r="K98" s="165" t="str">
        <f ca="1">IF(Calculations!A$2:A$356=TODAY()-1,C98+D98,"")</f>
        <v/>
      </c>
      <c r="L98" s="151"/>
      <c r="M98" s="274"/>
      <c r="N98" s="151"/>
      <c r="O98" s="151"/>
      <c r="P98" s="151"/>
      <c r="Q98" s="151"/>
      <c r="R98" s="151"/>
      <c r="S98" s="151"/>
      <c r="T98" s="151"/>
      <c r="U98" s="151"/>
      <c r="V98" s="151"/>
      <c r="W98" s="198"/>
      <c r="X98" s="199"/>
      <c r="Y98" s="199"/>
      <c r="Z98" s="199"/>
      <c r="AA98" s="199"/>
      <c r="AB98" s="199"/>
      <c r="AC98" s="199"/>
      <c r="AD98" s="1"/>
      <c r="AE98" s="1"/>
      <c r="AF98" s="1"/>
      <c r="AG98" s="1"/>
      <c r="AH98" s="1"/>
    </row>
    <row r="99" spans="1:34">
      <c r="A99" s="158"/>
      <c r="B99" s="159"/>
      <c r="C99" s="160"/>
      <c r="D99" s="161"/>
      <c r="E99" s="161"/>
      <c r="F99" s="160"/>
      <c r="G99" s="161"/>
      <c r="H99" s="162"/>
      <c r="I99" s="163"/>
      <c r="J99" s="164" t="str">
        <f ca="1">IF(Calculations!A$2:A$356=TODAY(),C99+D99,"")</f>
        <v/>
      </c>
      <c r="K99" s="165" t="str">
        <f ca="1">IF(Calculations!A$2:A$356=TODAY()-1,C99+D99,"")</f>
        <v/>
      </c>
      <c r="L99" s="151"/>
      <c r="M99" s="274"/>
      <c r="N99" s="151"/>
      <c r="O99" s="151"/>
      <c r="P99" s="151"/>
      <c r="Q99" s="151"/>
      <c r="R99" s="151"/>
      <c r="S99" s="151"/>
      <c r="T99" s="151"/>
      <c r="U99" s="151"/>
      <c r="V99" s="151"/>
      <c r="W99" s="198"/>
      <c r="X99" s="199"/>
      <c r="Y99" s="199"/>
      <c r="Z99" s="199"/>
      <c r="AA99" s="199"/>
      <c r="AB99" s="199"/>
      <c r="AC99" s="199"/>
      <c r="AD99" s="1"/>
      <c r="AE99" s="1"/>
      <c r="AF99" s="1"/>
      <c r="AG99" s="1"/>
      <c r="AH99" s="1"/>
    </row>
    <row r="100" spans="1:34">
      <c r="A100" s="158"/>
      <c r="B100" s="159"/>
      <c r="C100" s="160"/>
      <c r="D100" s="161"/>
      <c r="E100" s="161"/>
      <c r="F100" s="160"/>
      <c r="G100" s="161"/>
      <c r="H100" s="162"/>
      <c r="I100" s="163"/>
      <c r="J100" s="164" t="str">
        <f ca="1">IF(Calculations!A$2:A$356=TODAY(),C100+D100,"")</f>
        <v/>
      </c>
      <c r="K100" s="165" t="str">
        <f ca="1">IF(Calculations!A$2:A$356=TODAY()-1,C100+D100,"")</f>
        <v/>
      </c>
      <c r="L100" s="151"/>
      <c r="M100" s="274"/>
      <c r="N100" s="151"/>
      <c r="O100" s="151"/>
      <c r="P100" s="151"/>
      <c r="Q100" s="151"/>
      <c r="R100" s="151"/>
      <c r="S100" s="151"/>
      <c r="T100" s="151"/>
      <c r="U100" s="151"/>
      <c r="V100" s="151"/>
      <c r="W100" s="198"/>
      <c r="X100" s="199"/>
      <c r="Y100" s="199"/>
      <c r="Z100" s="199"/>
      <c r="AA100" s="199"/>
      <c r="AB100" s="199"/>
      <c r="AC100" s="199"/>
      <c r="AD100" s="1"/>
      <c r="AE100" s="1"/>
      <c r="AF100" s="1"/>
      <c r="AG100" s="1"/>
      <c r="AH100" s="1"/>
    </row>
    <row r="101" spans="1:34">
      <c r="A101" s="158"/>
      <c r="B101" s="159"/>
      <c r="C101" s="160"/>
      <c r="D101" s="161"/>
      <c r="E101" s="161"/>
      <c r="F101" s="160"/>
      <c r="G101" s="161"/>
      <c r="H101" s="162"/>
      <c r="I101" s="163"/>
      <c r="J101" s="164" t="str">
        <f ca="1">IF(Calculations!A$2:A$356=TODAY(),C101+D101,"")</f>
        <v/>
      </c>
      <c r="K101" s="165" t="str">
        <f ca="1">IF(Calculations!A$2:A$356=TODAY()-1,C101+D101,"")</f>
        <v/>
      </c>
      <c r="L101" s="151"/>
      <c r="M101" s="274"/>
      <c r="N101" s="151"/>
      <c r="O101" s="151"/>
      <c r="P101" s="151"/>
      <c r="Q101" s="151"/>
      <c r="R101" s="151"/>
      <c r="S101" s="151"/>
      <c r="T101" s="151"/>
      <c r="U101" s="151"/>
      <c r="V101" s="151"/>
      <c r="W101" s="198"/>
      <c r="X101" s="199"/>
      <c r="Y101" s="199"/>
      <c r="Z101" s="199"/>
      <c r="AA101" s="199"/>
      <c r="AB101" s="199"/>
      <c r="AC101" s="199"/>
      <c r="AD101" s="1"/>
      <c r="AE101" s="1"/>
      <c r="AF101" s="1"/>
      <c r="AG101" s="1"/>
      <c r="AH101" s="1"/>
    </row>
    <row r="102" spans="1:34">
      <c r="A102" s="158"/>
      <c r="B102" s="159"/>
      <c r="C102" s="160"/>
      <c r="D102" s="161"/>
      <c r="E102" s="161"/>
      <c r="F102" s="160"/>
      <c r="G102" s="161"/>
      <c r="H102" s="162"/>
      <c r="I102" s="163"/>
      <c r="J102" s="164" t="str">
        <f ca="1">IF(Calculations!A$2:A$356=TODAY(),C102+D102,"")</f>
        <v/>
      </c>
      <c r="K102" s="165" t="str">
        <f ca="1">IF(Calculations!A$2:A$356=TODAY()-1,C102+D102,"")</f>
        <v/>
      </c>
      <c r="L102" s="151"/>
      <c r="M102" s="151"/>
      <c r="N102" s="151"/>
      <c r="O102" s="151"/>
      <c r="P102" s="151"/>
      <c r="Q102" s="151"/>
      <c r="R102" s="151"/>
      <c r="S102" s="151"/>
      <c r="T102" s="151"/>
      <c r="U102" s="151"/>
      <c r="V102" s="151"/>
      <c r="W102" s="198"/>
      <c r="X102" s="199"/>
      <c r="Y102" s="199"/>
      <c r="Z102" s="199"/>
      <c r="AA102" s="199"/>
      <c r="AB102" s="199"/>
      <c r="AC102" s="199"/>
      <c r="AD102" s="1"/>
      <c r="AE102" s="1"/>
      <c r="AF102" s="1"/>
      <c r="AG102" s="1"/>
      <c r="AH102" s="1"/>
    </row>
    <row r="103" spans="1:34">
      <c r="A103" s="158"/>
      <c r="B103" s="159"/>
      <c r="C103" s="160"/>
      <c r="D103" s="161"/>
      <c r="E103" s="161"/>
      <c r="F103" s="160"/>
      <c r="G103" s="161"/>
      <c r="H103" s="162"/>
      <c r="I103" s="163"/>
      <c r="J103" s="164" t="str">
        <f ca="1">IF(Calculations!A$2:A$356=TODAY(),C103+D103,"")</f>
        <v/>
      </c>
      <c r="K103" s="165" t="str">
        <f ca="1">IF(Calculations!A$2:A$356=TODAY()-1,C103+D103,"")</f>
        <v/>
      </c>
      <c r="L103" s="151"/>
      <c r="M103" s="274"/>
      <c r="N103" s="151"/>
      <c r="O103" s="151"/>
      <c r="P103" s="151"/>
      <c r="Q103" s="151"/>
      <c r="R103" s="151"/>
      <c r="S103" s="151"/>
      <c r="T103" s="151"/>
      <c r="U103" s="151"/>
      <c r="V103" s="151"/>
      <c r="W103" s="198"/>
      <c r="X103" s="199"/>
      <c r="Y103" s="199"/>
      <c r="Z103" s="199"/>
      <c r="AA103" s="199"/>
      <c r="AB103" s="199"/>
      <c r="AC103" s="199"/>
      <c r="AD103" s="1"/>
      <c r="AE103" s="1"/>
      <c r="AF103" s="1"/>
      <c r="AG103" s="1"/>
      <c r="AH103" s="1"/>
    </row>
    <row r="104" spans="1:34">
      <c r="A104" s="158"/>
      <c r="B104" s="159"/>
      <c r="C104" s="160"/>
      <c r="D104" s="161"/>
      <c r="E104" s="161"/>
      <c r="F104" s="160"/>
      <c r="G104" s="161"/>
      <c r="H104" s="162"/>
      <c r="I104" s="163"/>
      <c r="J104" s="164" t="str">
        <f ca="1">IF(Calculations!A$2:A$356=TODAY(),C104+D104,"")</f>
        <v/>
      </c>
      <c r="K104" s="165" t="str">
        <f ca="1">IF(Calculations!A$2:A$356=TODAY()-1,C104+D104,"")</f>
        <v/>
      </c>
      <c r="L104" s="151"/>
      <c r="M104" s="274"/>
      <c r="N104" s="151"/>
      <c r="O104" s="151"/>
      <c r="P104" s="151"/>
      <c r="Q104" s="151"/>
      <c r="R104" s="151"/>
      <c r="S104" s="151"/>
      <c r="T104" s="151"/>
      <c r="U104" s="151"/>
      <c r="V104" s="151"/>
      <c r="W104" s="198"/>
      <c r="X104" s="199"/>
      <c r="Y104" s="199"/>
      <c r="Z104" s="199"/>
      <c r="AA104" s="199"/>
      <c r="AB104" s="199"/>
      <c r="AC104" s="199"/>
      <c r="AD104" s="1"/>
      <c r="AE104" s="1"/>
      <c r="AF104" s="1"/>
      <c r="AG104" s="1"/>
      <c r="AH104" s="1"/>
    </row>
    <row r="105" spans="1:34">
      <c r="A105" s="158"/>
      <c r="B105" s="159"/>
      <c r="C105" s="160"/>
      <c r="D105" s="161"/>
      <c r="E105" s="161"/>
      <c r="F105" s="160"/>
      <c r="G105" s="161"/>
      <c r="H105" s="162"/>
      <c r="I105" s="163"/>
      <c r="J105" s="164" t="str">
        <f ca="1">IF(Calculations!A$2:A$356=TODAY(),C105+D105,"")</f>
        <v/>
      </c>
      <c r="K105" s="165" t="str">
        <f ca="1">IF(Calculations!A$2:A$356=TODAY()-1,C105+D105,"")</f>
        <v/>
      </c>
      <c r="L105" s="151"/>
      <c r="M105" s="274"/>
      <c r="N105" s="151"/>
      <c r="O105" s="151"/>
      <c r="P105" s="151"/>
      <c r="Q105" s="151"/>
      <c r="R105" s="151"/>
      <c r="S105" s="151"/>
      <c r="T105" s="151"/>
      <c r="U105" s="151"/>
      <c r="V105" s="151"/>
      <c r="W105" s="198"/>
      <c r="X105" s="199"/>
      <c r="Y105" s="199"/>
      <c r="Z105" s="199"/>
      <c r="AA105" s="199"/>
      <c r="AB105" s="199"/>
      <c r="AC105" s="199"/>
      <c r="AD105" s="1"/>
      <c r="AE105" s="1"/>
      <c r="AF105" s="1"/>
      <c r="AG105" s="1"/>
      <c r="AH105" s="1"/>
    </row>
    <row r="106" spans="1:34">
      <c r="A106" s="158"/>
      <c r="B106" s="159"/>
      <c r="C106" s="160"/>
      <c r="D106" s="161"/>
      <c r="E106" s="161"/>
      <c r="F106" s="160"/>
      <c r="G106" s="161"/>
      <c r="H106" s="162"/>
      <c r="I106" s="163"/>
      <c r="J106" s="164" t="str">
        <f ca="1">IF(Calculations!A$2:A$356=TODAY(),C106+D106,"")</f>
        <v/>
      </c>
      <c r="K106" s="165" t="str">
        <f ca="1">IF(Calculations!A$2:A$356=TODAY()-1,C106+D106,"")</f>
        <v/>
      </c>
      <c r="L106" s="151"/>
      <c r="M106" s="274"/>
      <c r="N106" s="151"/>
      <c r="O106" s="151"/>
      <c r="P106" s="151"/>
      <c r="Q106" s="151"/>
      <c r="R106" s="151"/>
      <c r="S106" s="151"/>
      <c r="T106" s="151"/>
      <c r="U106" s="151"/>
      <c r="V106" s="151"/>
      <c r="W106" s="198"/>
      <c r="X106" s="199"/>
      <c r="Y106" s="199"/>
      <c r="Z106" s="199"/>
      <c r="AA106" s="199"/>
      <c r="AB106" s="199"/>
      <c r="AC106" s="199"/>
      <c r="AD106" s="1"/>
      <c r="AE106" s="1"/>
      <c r="AF106" s="1"/>
      <c r="AG106" s="1"/>
      <c r="AH106" s="1"/>
    </row>
    <row r="107" spans="1:34">
      <c r="A107" s="158"/>
      <c r="B107" s="159"/>
      <c r="C107" s="160"/>
      <c r="D107" s="161"/>
      <c r="E107" s="161"/>
      <c r="F107" s="160"/>
      <c r="G107" s="161"/>
      <c r="H107" s="162"/>
      <c r="I107" s="163"/>
      <c r="J107" s="164" t="str">
        <f ca="1">IF(Calculations!A$2:A$356=TODAY(),C107+D107,"")</f>
        <v/>
      </c>
      <c r="K107" s="165" t="str">
        <f ca="1">IF(Calculations!A$2:A$356=TODAY()-1,C107+D107,"")</f>
        <v/>
      </c>
      <c r="L107" s="151"/>
      <c r="M107" s="274"/>
      <c r="N107" s="151"/>
      <c r="O107" s="151"/>
      <c r="P107" s="151"/>
      <c r="Q107" s="151"/>
      <c r="R107" s="151"/>
      <c r="S107" s="151"/>
      <c r="T107" s="151"/>
      <c r="U107" s="151"/>
      <c r="V107" s="189"/>
      <c r="W107" s="250"/>
      <c r="X107" s="209"/>
      <c r="Y107" s="209"/>
      <c r="Z107" s="199"/>
      <c r="AA107" s="199"/>
      <c r="AB107" s="199"/>
      <c r="AC107" s="199"/>
      <c r="AD107" s="1"/>
      <c r="AE107" s="1"/>
      <c r="AF107" s="1"/>
      <c r="AG107" s="1"/>
      <c r="AH107" s="1"/>
    </row>
    <row r="108" spans="1:34">
      <c r="A108" s="158"/>
      <c r="B108" s="159"/>
      <c r="C108" s="160"/>
      <c r="D108" s="161"/>
      <c r="E108" s="161"/>
      <c r="F108" s="160"/>
      <c r="G108" s="161"/>
      <c r="H108" s="162"/>
      <c r="I108" s="163"/>
      <c r="J108" s="164" t="str">
        <f ca="1">IF(Calculations!A$2:A$356=TODAY(),C108+D108,"")</f>
        <v/>
      </c>
      <c r="K108" s="165" t="str">
        <f ca="1">IF(Calculations!A$2:A$356=TODAY()-1,C108+D108,"")</f>
        <v/>
      </c>
      <c r="L108" s="189"/>
      <c r="M108" s="189"/>
      <c r="N108" s="189"/>
      <c r="O108" s="189"/>
      <c r="P108" s="189"/>
      <c r="Q108" s="189"/>
      <c r="R108" s="189"/>
      <c r="S108" s="189"/>
      <c r="T108" s="189"/>
      <c r="U108" s="189"/>
      <c r="V108" s="189"/>
      <c r="W108" s="250"/>
      <c r="X108" s="209"/>
      <c r="Y108" s="209"/>
      <c r="Z108" s="209"/>
      <c r="AA108" s="209"/>
      <c r="AB108" s="209"/>
      <c r="AC108" s="209"/>
    </row>
    <row r="109" spans="1:34">
      <c r="A109" s="158"/>
      <c r="B109" s="159"/>
      <c r="C109" s="160"/>
      <c r="D109" s="161"/>
      <c r="E109" s="161"/>
      <c r="F109" s="160"/>
      <c r="G109" s="161"/>
      <c r="H109" s="162"/>
      <c r="I109" s="163"/>
      <c r="J109" s="164" t="str">
        <f ca="1">IF(Calculations!A$2:A$356=TODAY(),C109+D109,"")</f>
        <v/>
      </c>
      <c r="K109" s="165" t="str">
        <f ca="1">IF(Calculations!A$2:A$356=TODAY()-1,C109+D109,"")</f>
        <v/>
      </c>
      <c r="L109" s="189"/>
      <c r="M109" s="189"/>
      <c r="N109" s="189"/>
      <c r="O109" s="189"/>
      <c r="P109" s="189"/>
      <c r="Q109" s="189"/>
      <c r="R109" s="189"/>
      <c r="S109" s="189"/>
      <c r="T109" s="189"/>
      <c r="U109" s="189"/>
      <c r="V109" s="189"/>
      <c r="W109" s="250"/>
      <c r="X109" s="209"/>
      <c r="Y109" s="209"/>
      <c r="Z109" s="209"/>
      <c r="AA109" s="209"/>
      <c r="AB109" s="209"/>
      <c r="AC109" s="209"/>
    </row>
    <row r="110" spans="1:34">
      <c r="A110" s="158"/>
      <c r="B110" s="159"/>
      <c r="C110" s="160"/>
      <c r="D110" s="161"/>
      <c r="E110" s="161"/>
      <c r="F110" s="160"/>
      <c r="G110" s="161"/>
      <c r="H110" s="162"/>
      <c r="I110" s="163"/>
      <c r="J110" s="164" t="str">
        <f ca="1">IF(Calculations!A$2:A$356=TODAY(),C110+D110,"")</f>
        <v/>
      </c>
      <c r="K110" s="165" t="str">
        <f ca="1">IF(Calculations!A$2:A$356=TODAY()-1,C110+D110,"")</f>
        <v/>
      </c>
      <c r="L110" s="189"/>
      <c r="M110" s="189"/>
      <c r="N110" s="189"/>
      <c r="O110" s="189"/>
      <c r="P110" s="189"/>
      <c r="Q110" s="189"/>
      <c r="R110" s="189"/>
      <c r="S110" s="189"/>
      <c r="T110" s="189"/>
      <c r="U110" s="189"/>
      <c r="V110" s="189"/>
      <c r="W110" s="250"/>
      <c r="X110" s="209"/>
      <c r="Y110" s="209"/>
      <c r="Z110" s="209"/>
      <c r="AA110" s="209"/>
      <c r="AB110" s="209"/>
      <c r="AC110" s="209"/>
    </row>
    <row r="111" spans="1:34">
      <c r="A111" s="158"/>
      <c r="B111" s="159"/>
      <c r="C111" s="160"/>
      <c r="D111" s="161"/>
      <c r="E111" s="161"/>
      <c r="F111" s="160"/>
      <c r="G111" s="161"/>
      <c r="H111" s="162"/>
      <c r="I111" s="163"/>
      <c r="J111" s="164" t="str">
        <f ca="1">IF(Calculations!A$2:A$356=TODAY(),C111+D111,"")</f>
        <v/>
      </c>
      <c r="K111" s="165" t="str">
        <f ca="1">IF(Calculations!A$2:A$356=TODAY()-1,C111+D111,"")</f>
        <v/>
      </c>
      <c r="L111" s="189"/>
      <c r="M111" s="189"/>
      <c r="N111" s="189"/>
      <c r="O111" s="189"/>
      <c r="P111" s="189"/>
      <c r="Q111" s="189"/>
      <c r="R111" s="189"/>
      <c r="S111" s="189"/>
      <c r="T111" s="189"/>
      <c r="U111" s="189"/>
      <c r="V111" s="189"/>
      <c r="W111" s="250"/>
      <c r="X111" s="209"/>
      <c r="Y111" s="209"/>
      <c r="Z111" s="209"/>
      <c r="AA111" s="209"/>
      <c r="AB111" s="209"/>
      <c r="AC111" s="209"/>
    </row>
    <row r="112" spans="1:34">
      <c r="A112" s="158"/>
      <c r="B112" s="159"/>
      <c r="C112" s="160"/>
      <c r="D112" s="161"/>
      <c r="E112" s="161"/>
      <c r="F112" s="160"/>
      <c r="G112" s="161"/>
      <c r="H112" s="162"/>
      <c r="I112" s="163"/>
      <c r="J112" s="164" t="str">
        <f ca="1">IF(Calculations!A$2:A$356=TODAY(),C112+D112,"")</f>
        <v/>
      </c>
      <c r="K112" s="165" t="str">
        <f ca="1">IF(Calculations!A$2:A$356=TODAY()-1,C112+D112,"")</f>
        <v/>
      </c>
      <c r="L112" s="189"/>
      <c r="M112" s="189"/>
      <c r="N112" s="189"/>
      <c r="O112" s="189"/>
      <c r="P112" s="189"/>
      <c r="Q112" s="189"/>
      <c r="R112" s="189"/>
      <c r="S112" s="189"/>
      <c r="T112" s="189"/>
      <c r="U112" s="189"/>
      <c r="V112" s="189"/>
      <c r="W112" s="250"/>
      <c r="X112" s="209"/>
      <c r="Y112" s="209"/>
      <c r="Z112" s="209"/>
      <c r="AA112" s="209"/>
      <c r="AB112" s="209"/>
      <c r="AC112" s="209"/>
    </row>
    <row r="113" spans="1:29">
      <c r="A113" s="158"/>
      <c r="B113" s="159"/>
      <c r="C113" s="160"/>
      <c r="D113" s="161"/>
      <c r="E113" s="161"/>
      <c r="F113" s="160"/>
      <c r="G113" s="161"/>
      <c r="H113" s="162"/>
      <c r="I113" s="163"/>
      <c r="J113" s="164" t="str">
        <f ca="1">IF(Calculations!A$2:A$356=TODAY(),C113+D113,"")</f>
        <v/>
      </c>
      <c r="K113" s="165" t="str">
        <f ca="1">IF(Calculations!A$2:A$356=TODAY()-1,C113+D113,"")</f>
        <v/>
      </c>
      <c r="L113" s="189"/>
      <c r="M113" s="189"/>
      <c r="N113" s="189"/>
      <c r="O113" s="189"/>
      <c r="P113" s="189"/>
      <c r="Q113" s="189"/>
      <c r="R113" s="189"/>
      <c r="S113" s="189"/>
      <c r="T113" s="189"/>
      <c r="U113" s="189"/>
      <c r="V113" s="189"/>
      <c r="W113" s="250"/>
      <c r="X113" s="209"/>
      <c r="Y113" s="209"/>
      <c r="Z113" s="209"/>
      <c r="AA113" s="209"/>
      <c r="AB113" s="209"/>
      <c r="AC113" s="209"/>
    </row>
    <row r="114" spans="1:29">
      <c r="A114" s="158"/>
      <c r="B114" s="159"/>
      <c r="C114" s="160"/>
      <c r="D114" s="161"/>
      <c r="E114" s="161"/>
      <c r="F114" s="160"/>
      <c r="G114" s="161"/>
      <c r="H114" s="162"/>
      <c r="I114" s="163"/>
      <c r="J114" s="164" t="str">
        <f ca="1">IF(Calculations!A$2:A$356=TODAY(),C114+D114,"")</f>
        <v/>
      </c>
      <c r="K114" s="165" t="str">
        <f ca="1">IF(Calculations!A$2:A$356=TODAY()-1,C114+D114,"")</f>
        <v/>
      </c>
      <c r="L114" s="189"/>
      <c r="M114" s="189"/>
      <c r="N114" s="189"/>
      <c r="O114" s="189"/>
      <c r="P114" s="189"/>
      <c r="Q114" s="189"/>
      <c r="R114" s="189"/>
      <c r="S114" s="189"/>
      <c r="T114" s="189"/>
      <c r="U114" s="189"/>
      <c r="V114" s="189"/>
      <c r="W114" s="250"/>
      <c r="X114" s="209"/>
      <c r="Y114" s="209"/>
      <c r="Z114" s="209"/>
      <c r="AA114" s="209"/>
      <c r="AB114" s="209"/>
      <c r="AC114" s="209"/>
    </row>
    <row r="115" spans="1:29">
      <c r="A115" s="158"/>
      <c r="B115" s="159"/>
      <c r="C115" s="160"/>
      <c r="D115" s="161"/>
      <c r="E115" s="161"/>
      <c r="F115" s="160"/>
      <c r="G115" s="161"/>
      <c r="H115" s="162"/>
      <c r="I115" s="163"/>
      <c r="J115" s="164" t="str">
        <f ca="1">IF(Calculations!A$2:A$356=TODAY(),C115+D115,"")</f>
        <v/>
      </c>
      <c r="K115" s="165" t="str">
        <f ca="1">IF(Calculations!A$2:A$356=TODAY()-1,C115+D115,"")</f>
        <v/>
      </c>
      <c r="L115" s="189"/>
      <c r="M115" s="189"/>
      <c r="N115" s="189"/>
      <c r="O115" s="189"/>
      <c r="P115" s="189"/>
      <c r="Q115" s="189"/>
      <c r="R115" s="189"/>
      <c r="S115" s="189"/>
      <c r="T115" s="189"/>
      <c r="U115" s="189"/>
      <c r="V115" s="189"/>
      <c r="W115" s="250"/>
      <c r="X115" s="209"/>
      <c r="Y115" s="209"/>
      <c r="Z115" s="209"/>
      <c r="AA115" s="209"/>
      <c r="AB115" s="209"/>
      <c r="AC115" s="209"/>
    </row>
    <row r="116" spans="1:29">
      <c r="A116" s="158"/>
      <c r="B116" s="159"/>
      <c r="C116" s="160"/>
      <c r="D116" s="161"/>
      <c r="E116" s="161"/>
      <c r="F116" s="160"/>
      <c r="G116" s="161"/>
      <c r="H116" s="162"/>
      <c r="I116" s="163"/>
      <c r="J116" s="164" t="str">
        <f ca="1">IF(Calculations!A$2:A$356=TODAY(),C116+D116,"")</f>
        <v/>
      </c>
      <c r="K116" s="165" t="str">
        <f ca="1">IF(Calculations!A$2:A$356=TODAY()-1,C116+D116,"")</f>
        <v/>
      </c>
      <c r="L116" s="189"/>
      <c r="M116" s="189"/>
      <c r="N116" s="189"/>
      <c r="O116" s="189"/>
      <c r="P116" s="189"/>
      <c r="Q116" s="189"/>
      <c r="R116" s="189"/>
      <c r="S116" s="189"/>
      <c r="T116" s="189"/>
      <c r="U116" s="189"/>
      <c r="V116" s="189"/>
      <c r="W116" s="250"/>
      <c r="X116" s="209"/>
      <c r="Y116" s="209"/>
      <c r="Z116" s="209"/>
      <c r="AA116" s="209"/>
      <c r="AB116" s="209"/>
      <c r="AC116" s="209"/>
    </row>
    <row r="117" spans="1:29">
      <c r="A117" s="158"/>
      <c r="B117" s="159"/>
      <c r="C117" s="160"/>
      <c r="D117" s="161"/>
      <c r="E117" s="161"/>
      <c r="F117" s="160"/>
      <c r="G117" s="161"/>
      <c r="H117" s="162"/>
      <c r="I117" s="163"/>
      <c r="J117" s="164" t="str">
        <f ca="1">IF(Calculations!A$2:A$356=TODAY(),C117+D117,"")</f>
        <v/>
      </c>
      <c r="K117" s="165" t="str">
        <f ca="1">IF(Calculations!A$2:A$356=TODAY()-1,C117+D117,"")</f>
        <v/>
      </c>
      <c r="L117" s="189"/>
      <c r="M117" s="189"/>
      <c r="N117" s="189"/>
      <c r="O117" s="189"/>
      <c r="P117" s="189"/>
      <c r="Q117" s="189"/>
      <c r="R117" s="189"/>
      <c r="S117" s="189"/>
      <c r="T117" s="189"/>
      <c r="U117" s="189"/>
      <c r="V117" s="189"/>
      <c r="W117" s="250"/>
      <c r="X117" s="209"/>
      <c r="Y117" s="209"/>
      <c r="Z117" s="209"/>
      <c r="AA117" s="209"/>
      <c r="AB117" s="209"/>
      <c r="AC117" s="209"/>
    </row>
    <row r="118" spans="1:29">
      <c r="A118" s="158"/>
      <c r="B118" s="159"/>
      <c r="C118" s="160"/>
      <c r="D118" s="161"/>
      <c r="E118" s="161"/>
      <c r="F118" s="160"/>
      <c r="G118" s="161"/>
      <c r="H118" s="162"/>
      <c r="I118" s="163"/>
      <c r="J118" s="164" t="str">
        <f ca="1">IF(Calculations!A$2:A$356=TODAY(),C118+D118,"")</f>
        <v/>
      </c>
      <c r="K118" s="165" t="str">
        <f ca="1">IF(Calculations!A$2:A$356=TODAY()-1,C118+D118,"")</f>
        <v/>
      </c>
      <c r="L118" s="189"/>
      <c r="M118" s="189"/>
      <c r="N118" s="189"/>
      <c r="O118" s="189"/>
      <c r="P118" s="189"/>
      <c r="Q118" s="189"/>
      <c r="R118" s="189"/>
      <c r="S118" s="189"/>
      <c r="T118" s="189"/>
      <c r="U118" s="189"/>
      <c r="V118" s="189"/>
      <c r="W118" s="250"/>
      <c r="X118" s="209"/>
      <c r="Y118" s="209"/>
      <c r="Z118" s="209"/>
      <c r="AA118" s="209"/>
      <c r="AB118" s="209"/>
      <c r="AC118" s="209"/>
    </row>
    <row r="119" spans="1:29">
      <c r="A119" s="158"/>
      <c r="B119" s="159"/>
      <c r="C119" s="160"/>
      <c r="D119" s="161"/>
      <c r="E119" s="161"/>
      <c r="F119" s="160"/>
      <c r="G119" s="161"/>
      <c r="H119" s="162"/>
      <c r="I119" s="163"/>
      <c r="J119" s="164" t="str">
        <f ca="1">IF(Calculations!A$2:A$356=TODAY(),C119+D119,"")</f>
        <v/>
      </c>
      <c r="K119" s="165" t="str">
        <f ca="1">IF(Calculations!A$2:A$356=TODAY()-1,C119+D119,"")</f>
        <v/>
      </c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250"/>
      <c r="X119" s="209"/>
      <c r="Y119" s="209"/>
      <c r="Z119" s="209"/>
      <c r="AA119" s="209"/>
      <c r="AB119" s="209"/>
      <c r="AC119" s="209"/>
    </row>
    <row r="120" spans="1:29">
      <c r="A120" s="158"/>
      <c r="B120" s="159"/>
      <c r="C120" s="160"/>
      <c r="D120" s="161"/>
      <c r="E120" s="161"/>
      <c r="F120" s="160"/>
      <c r="G120" s="161"/>
      <c r="H120" s="162"/>
      <c r="I120" s="163"/>
      <c r="J120" s="164" t="str">
        <f ca="1">IF(Calculations!A$2:A$356=TODAY(),C120+D120,"")</f>
        <v/>
      </c>
      <c r="K120" s="165" t="str">
        <f ca="1">IF(Calculations!A$2:A$356=TODAY()-1,C120+D120,"")</f>
        <v/>
      </c>
      <c r="L120" s="189"/>
      <c r="M120" s="189"/>
      <c r="N120" s="189"/>
      <c r="O120" s="189"/>
      <c r="P120" s="189"/>
      <c r="Q120" s="189"/>
      <c r="R120" s="189"/>
      <c r="S120" s="189"/>
      <c r="T120" s="189"/>
      <c r="U120" s="189"/>
      <c r="V120" s="189"/>
      <c r="W120" s="250"/>
      <c r="X120" s="209"/>
      <c r="Y120" s="209"/>
      <c r="Z120" s="209"/>
      <c r="AA120" s="209"/>
      <c r="AB120" s="209"/>
      <c r="AC120" s="209"/>
    </row>
    <row r="121" spans="1:29">
      <c r="A121" s="158"/>
      <c r="B121" s="159"/>
      <c r="C121" s="160"/>
      <c r="D121" s="161"/>
      <c r="E121" s="161"/>
      <c r="F121" s="160"/>
      <c r="G121" s="161"/>
      <c r="H121" s="162"/>
      <c r="I121" s="163"/>
      <c r="J121" s="164" t="str">
        <f ca="1">IF(Calculations!A$2:A$356=TODAY(),C121+D121,"")</f>
        <v/>
      </c>
      <c r="K121" s="165" t="str">
        <f ca="1">IF(Calculations!A$2:A$356=TODAY()-1,C121+D121,"")</f>
        <v/>
      </c>
      <c r="L121" s="189"/>
      <c r="M121" s="189"/>
      <c r="N121" s="189"/>
      <c r="O121" s="189"/>
      <c r="P121" s="189"/>
      <c r="Q121" s="189"/>
      <c r="R121" s="189"/>
      <c r="S121" s="189"/>
      <c r="T121" s="189"/>
      <c r="U121" s="189"/>
      <c r="V121" s="189"/>
      <c r="W121" s="250"/>
      <c r="X121" s="209"/>
      <c r="Y121" s="209"/>
      <c r="Z121" s="209"/>
      <c r="AA121" s="209"/>
      <c r="AB121" s="209"/>
      <c r="AC121" s="209"/>
    </row>
    <row r="122" spans="1:29">
      <c r="A122" s="158"/>
      <c r="B122" s="159"/>
      <c r="C122" s="160"/>
      <c r="D122" s="161"/>
      <c r="E122" s="161"/>
      <c r="F122" s="160"/>
      <c r="G122" s="161"/>
      <c r="H122" s="162"/>
      <c r="I122" s="163"/>
      <c r="J122" s="164" t="str">
        <f ca="1">IF(Calculations!A$2:A$356=TODAY(),C122+D122,"")</f>
        <v/>
      </c>
      <c r="K122" s="165" t="str">
        <f ca="1">IF(Calculations!A$2:A$356=TODAY()-1,C122+D122,"")</f>
        <v/>
      </c>
      <c r="L122" s="189"/>
      <c r="M122" s="189"/>
      <c r="N122" s="189"/>
      <c r="O122" s="189"/>
      <c r="P122" s="189"/>
      <c r="Q122" s="189"/>
      <c r="R122" s="189"/>
      <c r="S122" s="189"/>
      <c r="T122" s="189"/>
      <c r="U122" s="189"/>
      <c r="V122" s="189"/>
      <c r="W122" s="250"/>
      <c r="X122" s="209"/>
      <c r="Y122" s="209"/>
      <c r="Z122" s="209"/>
      <c r="AA122" s="209"/>
      <c r="AB122" s="209"/>
      <c r="AC122" s="209"/>
    </row>
    <row r="123" spans="1:29">
      <c r="A123" s="158"/>
      <c r="B123" s="159"/>
      <c r="C123" s="160"/>
      <c r="D123" s="161"/>
      <c r="E123" s="161"/>
      <c r="F123" s="160"/>
      <c r="G123" s="161"/>
      <c r="H123" s="162"/>
      <c r="I123" s="163"/>
      <c r="J123" s="164" t="str">
        <f ca="1">IF(Calculations!A$2:A$356=TODAY(),C123+D123,"")</f>
        <v/>
      </c>
      <c r="K123" s="165" t="str">
        <f ca="1">IF(Calculations!A$2:A$356=TODAY()-1,C123+D123,"")</f>
        <v/>
      </c>
      <c r="L123" s="189"/>
      <c r="M123" s="189"/>
      <c r="N123" s="189"/>
      <c r="O123" s="189"/>
      <c r="P123" s="189"/>
      <c r="Q123" s="189"/>
      <c r="R123" s="189"/>
      <c r="S123" s="189"/>
      <c r="T123" s="189"/>
      <c r="U123" s="189"/>
      <c r="V123" s="189"/>
      <c r="W123" s="250"/>
      <c r="X123" s="209"/>
      <c r="Y123" s="209"/>
      <c r="Z123" s="209"/>
      <c r="AA123" s="209"/>
      <c r="AB123" s="209"/>
      <c r="AC123" s="209"/>
    </row>
    <row r="124" spans="1:29">
      <c r="A124" s="158"/>
      <c r="B124" s="159"/>
      <c r="C124" s="160"/>
      <c r="D124" s="161"/>
      <c r="E124" s="161"/>
      <c r="F124" s="160"/>
      <c r="G124" s="161"/>
      <c r="H124" s="162"/>
      <c r="I124" s="163"/>
      <c r="J124" s="164" t="str">
        <f ca="1">IF(Calculations!A$2:A$356=TODAY(),C124+D124,"")</f>
        <v/>
      </c>
      <c r="K124" s="165" t="str">
        <f ca="1">IF(Calculations!A$2:A$356=TODAY()-1,C124+D124,"")</f>
        <v/>
      </c>
      <c r="L124" s="189"/>
      <c r="M124" s="189"/>
      <c r="N124" s="189"/>
      <c r="O124" s="189"/>
      <c r="P124" s="189"/>
      <c r="Q124" s="189"/>
      <c r="R124" s="189"/>
      <c r="S124" s="189"/>
      <c r="T124" s="189"/>
      <c r="U124" s="189"/>
      <c r="V124" s="189"/>
      <c r="W124" s="250"/>
      <c r="X124" s="209"/>
      <c r="Y124" s="209"/>
      <c r="Z124" s="209"/>
      <c r="AA124" s="209"/>
      <c r="AB124" s="209"/>
      <c r="AC124" s="209"/>
    </row>
    <row r="125" spans="1:29">
      <c r="A125" s="158"/>
      <c r="B125" s="159"/>
      <c r="C125" s="160"/>
      <c r="D125" s="161"/>
      <c r="E125" s="161"/>
      <c r="F125" s="160"/>
      <c r="G125" s="161"/>
      <c r="H125" s="162"/>
      <c r="I125" s="163"/>
      <c r="J125" s="164" t="str">
        <f ca="1">IF(Calculations!A$2:A$356=TODAY(),C125+D125,"")</f>
        <v/>
      </c>
      <c r="K125" s="165" t="str">
        <f ca="1">IF(Calculations!A$2:A$356=TODAY()-1,C125+D125,"")</f>
        <v/>
      </c>
      <c r="L125" s="189"/>
      <c r="M125" s="189"/>
      <c r="N125" s="189"/>
      <c r="O125" s="189"/>
      <c r="P125" s="189"/>
      <c r="Q125" s="189"/>
      <c r="R125" s="189"/>
      <c r="S125" s="189"/>
      <c r="T125" s="189"/>
      <c r="U125" s="189"/>
      <c r="V125" s="189"/>
      <c r="W125" s="250"/>
      <c r="X125" s="209"/>
      <c r="Y125" s="209"/>
      <c r="Z125" s="209"/>
      <c r="AA125" s="209"/>
      <c r="AB125" s="209"/>
      <c r="AC125" s="209"/>
    </row>
    <row r="126" spans="1:29">
      <c r="A126" s="158"/>
      <c r="B126" s="159"/>
      <c r="C126" s="160"/>
      <c r="D126" s="161"/>
      <c r="E126" s="161"/>
      <c r="F126" s="160"/>
      <c r="G126" s="161"/>
      <c r="H126" s="162"/>
      <c r="I126" s="163"/>
      <c r="J126" s="164" t="str">
        <f ca="1">IF(Calculations!A$2:A$356=TODAY(),C126+D126,"")</f>
        <v/>
      </c>
      <c r="K126" s="165" t="str">
        <f ca="1">IF(Calculations!A$2:A$356=TODAY()-1,C126+D126,"")</f>
        <v/>
      </c>
      <c r="L126" s="189"/>
      <c r="M126" s="189"/>
      <c r="N126" s="189"/>
      <c r="O126" s="189"/>
      <c r="P126" s="189"/>
      <c r="Q126" s="189"/>
      <c r="R126" s="189"/>
      <c r="S126" s="189"/>
      <c r="T126" s="189"/>
      <c r="U126" s="189"/>
      <c r="V126" s="189"/>
      <c r="W126" s="250"/>
      <c r="X126" s="209"/>
      <c r="Y126" s="209"/>
      <c r="Z126" s="209"/>
      <c r="AA126" s="209"/>
      <c r="AB126" s="209"/>
      <c r="AC126" s="209"/>
    </row>
    <row r="127" spans="1:29">
      <c r="A127" s="158"/>
      <c r="B127" s="159"/>
      <c r="C127" s="160"/>
      <c r="D127" s="161"/>
      <c r="E127" s="161"/>
      <c r="F127" s="160"/>
      <c r="G127" s="161"/>
      <c r="H127" s="162"/>
      <c r="I127" s="163"/>
      <c r="J127" s="164" t="str">
        <f ca="1">IF(Calculations!A$2:A$356=TODAY(),C127+D127,"")</f>
        <v/>
      </c>
      <c r="K127" s="165" t="str">
        <f ca="1">IF(Calculations!A$2:A$356=TODAY()-1,C127+D127,"")</f>
        <v/>
      </c>
      <c r="L127" s="189"/>
      <c r="M127" s="189"/>
      <c r="N127" s="189"/>
      <c r="O127" s="189"/>
      <c r="P127" s="189"/>
      <c r="Q127" s="189"/>
      <c r="R127" s="189"/>
      <c r="S127" s="189"/>
      <c r="T127" s="189"/>
      <c r="U127" s="189"/>
      <c r="V127" s="189"/>
      <c r="W127" s="250"/>
      <c r="X127" s="209"/>
      <c r="Y127" s="209"/>
      <c r="Z127" s="209"/>
      <c r="AA127" s="209"/>
      <c r="AB127" s="209"/>
      <c r="AC127" s="209"/>
    </row>
    <row r="128" spans="1:29">
      <c r="A128" s="158"/>
      <c r="B128" s="159"/>
      <c r="C128" s="160"/>
      <c r="D128" s="161"/>
      <c r="E128" s="161"/>
      <c r="F128" s="160"/>
      <c r="G128" s="161"/>
      <c r="H128" s="162"/>
      <c r="I128" s="163"/>
      <c r="J128" s="164" t="str">
        <f ca="1">IF(Calculations!A$2:A$356=TODAY(),C128+D128,"")</f>
        <v/>
      </c>
      <c r="K128" s="165" t="str">
        <f ca="1">IF(Calculations!A$2:A$356=TODAY()-1,C128+D128,"")</f>
        <v/>
      </c>
      <c r="L128" s="189"/>
      <c r="M128" s="189"/>
      <c r="N128" s="189"/>
      <c r="O128" s="189"/>
      <c r="P128" s="189"/>
      <c r="Q128" s="189"/>
      <c r="R128" s="189"/>
      <c r="S128" s="189"/>
      <c r="T128" s="189"/>
      <c r="U128" s="189"/>
      <c r="V128" s="189"/>
      <c r="W128" s="250"/>
      <c r="X128" s="209"/>
      <c r="Y128" s="209"/>
      <c r="Z128" s="209"/>
      <c r="AA128" s="209"/>
      <c r="AB128" s="209"/>
      <c r="AC128" s="209"/>
    </row>
    <row r="129" spans="1:29">
      <c r="A129" s="158"/>
      <c r="B129" s="159"/>
      <c r="C129" s="160"/>
      <c r="D129" s="161"/>
      <c r="E129" s="161"/>
      <c r="F129" s="160"/>
      <c r="G129" s="161"/>
      <c r="H129" s="162"/>
      <c r="I129" s="163"/>
      <c r="J129" s="164" t="str">
        <f ca="1">IF(Calculations!A$2:A$356=TODAY(),C129+D129,"")</f>
        <v/>
      </c>
      <c r="K129" s="165" t="str">
        <f ca="1">IF(Calculations!A$2:A$356=TODAY()-1,C129+D129,"")</f>
        <v/>
      </c>
      <c r="L129" s="189"/>
      <c r="M129" s="189"/>
      <c r="N129" s="189"/>
      <c r="O129" s="189"/>
      <c r="P129" s="189"/>
      <c r="Q129" s="189"/>
      <c r="R129" s="189"/>
      <c r="S129" s="189"/>
      <c r="T129" s="189"/>
      <c r="U129" s="189"/>
      <c r="V129" s="189"/>
      <c r="W129" s="250"/>
      <c r="X129" s="209"/>
      <c r="Y129" s="209"/>
      <c r="Z129" s="209"/>
      <c r="AA129" s="209"/>
      <c r="AB129" s="209"/>
      <c r="AC129" s="209"/>
    </row>
    <row r="130" spans="1:29">
      <c r="A130" s="158"/>
      <c r="B130" s="159"/>
      <c r="C130" s="160"/>
      <c r="D130" s="161"/>
      <c r="E130" s="161"/>
      <c r="F130" s="160"/>
      <c r="G130" s="161"/>
      <c r="H130" s="162"/>
      <c r="I130" s="163"/>
      <c r="J130" s="164" t="str">
        <f ca="1">IF(Calculations!A$2:A$356=TODAY(),C130+D130,"")</f>
        <v/>
      </c>
      <c r="K130" s="165" t="str">
        <f ca="1">IF(Calculations!A$2:A$356=TODAY()-1,C130+D130,"")</f>
        <v/>
      </c>
      <c r="L130" s="189"/>
      <c r="M130" s="189"/>
      <c r="N130" s="189"/>
      <c r="O130" s="189"/>
      <c r="P130" s="189"/>
      <c r="Q130" s="189"/>
      <c r="R130" s="189"/>
      <c r="S130" s="189"/>
      <c r="T130" s="189"/>
      <c r="U130" s="189"/>
      <c r="V130" s="189"/>
      <c r="W130" s="250"/>
      <c r="X130" s="209"/>
      <c r="Y130" s="209"/>
      <c r="Z130" s="209"/>
      <c r="AA130" s="209"/>
      <c r="AB130" s="209"/>
      <c r="AC130" s="209"/>
    </row>
    <row r="131" spans="1:29">
      <c r="A131" s="158"/>
      <c r="B131" s="159"/>
      <c r="C131" s="160"/>
      <c r="D131" s="161"/>
      <c r="E131" s="161"/>
      <c r="F131" s="160"/>
      <c r="G131" s="161"/>
      <c r="H131" s="162"/>
      <c r="I131" s="163"/>
      <c r="J131" s="164" t="str">
        <f ca="1">IF(Calculations!A$2:A$356=TODAY(),C131+D131,"")</f>
        <v/>
      </c>
      <c r="K131" s="165" t="str">
        <f ca="1">IF(Calculations!A$2:A$356=TODAY()-1,C131+D131,"")</f>
        <v/>
      </c>
      <c r="L131" s="189"/>
      <c r="M131" s="189"/>
      <c r="N131" s="189"/>
      <c r="O131" s="189"/>
      <c r="P131" s="189"/>
      <c r="Q131" s="189"/>
      <c r="R131" s="189"/>
      <c r="S131" s="189"/>
      <c r="T131" s="189"/>
      <c r="U131" s="189"/>
      <c r="V131" s="189"/>
      <c r="W131" s="250"/>
      <c r="X131" s="209"/>
      <c r="Y131" s="209"/>
      <c r="Z131" s="209"/>
      <c r="AA131" s="209"/>
      <c r="AB131" s="209"/>
      <c r="AC131" s="209"/>
    </row>
    <row r="132" spans="1:29">
      <c r="A132" s="158"/>
      <c r="B132" s="159"/>
      <c r="C132" s="160"/>
      <c r="D132" s="161"/>
      <c r="E132" s="161"/>
      <c r="F132" s="160"/>
      <c r="G132" s="161"/>
      <c r="H132" s="162"/>
      <c r="I132" s="163"/>
      <c r="J132" s="164" t="str">
        <f ca="1">IF(Calculations!A$2:A$356=TODAY(),C132+D132,"")</f>
        <v/>
      </c>
      <c r="K132" s="165" t="str">
        <f ca="1">IF(Calculations!A$2:A$356=TODAY()-1,C132+D132,"")</f>
        <v/>
      </c>
      <c r="L132" s="189"/>
      <c r="M132" s="189"/>
      <c r="N132" s="189"/>
      <c r="O132" s="189"/>
      <c r="P132" s="189"/>
      <c r="Q132" s="189"/>
      <c r="R132" s="189"/>
      <c r="S132" s="189"/>
      <c r="T132" s="189"/>
      <c r="U132" s="189"/>
      <c r="V132" s="189"/>
      <c r="W132" s="250"/>
      <c r="X132" s="209"/>
      <c r="Y132" s="209"/>
      <c r="Z132" s="209"/>
      <c r="AA132" s="209"/>
      <c r="AB132" s="209"/>
      <c r="AC132" s="209"/>
    </row>
    <row r="133" spans="1:29">
      <c r="A133" s="158"/>
      <c r="B133" s="159"/>
      <c r="C133" s="160"/>
      <c r="D133" s="161"/>
      <c r="E133" s="161"/>
      <c r="F133" s="160"/>
      <c r="G133" s="161"/>
      <c r="H133" s="162"/>
      <c r="I133" s="163"/>
      <c r="J133" s="164" t="str">
        <f ca="1">IF(Calculations!A$2:A$356=TODAY(),C133+D133,"")</f>
        <v/>
      </c>
      <c r="K133" s="165" t="str">
        <f ca="1">IF(Calculations!A$2:A$356=TODAY()-1,C133+D133,"")</f>
        <v/>
      </c>
      <c r="L133" s="189"/>
      <c r="M133" s="189"/>
      <c r="N133" s="189"/>
      <c r="O133" s="189"/>
      <c r="P133" s="189"/>
      <c r="Q133" s="189"/>
      <c r="R133" s="189"/>
      <c r="S133" s="189"/>
      <c r="T133" s="189"/>
      <c r="U133" s="189"/>
      <c r="V133" s="189"/>
      <c r="W133" s="250"/>
      <c r="X133" s="209"/>
      <c r="Y133" s="209"/>
      <c r="Z133" s="209"/>
      <c r="AA133" s="209"/>
      <c r="AB133" s="209"/>
      <c r="AC133" s="209"/>
    </row>
    <row r="134" spans="1:29">
      <c r="A134" s="158"/>
      <c r="B134" s="159"/>
      <c r="C134" s="160"/>
      <c r="D134" s="161"/>
      <c r="E134" s="161"/>
      <c r="F134" s="160"/>
      <c r="G134" s="161"/>
      <c r="H134" s="162"/>
      <c r="I134" s="163"/>
      <c r="J134" s="164" t="str">
        <f ca="1">IF(Calculations!A$2:A$356=TODAY(),C134+D134,"")</f>
        <v/>
      </c>
      <c r="K134" s="165" t="str">
        <f ca="1">IF(Calculations!A$2:A$356=TODAY()-1,C134+D134,"")</f>
        <v/>
      </c>
      <c r="L134" s="189"/>
      <c r="M134" s="189"/>
      <c r="N134" s="189"/>
      <c r="O134" s="189"/>
      <c r="P134" s="189"/>
      <c r="Q134" s="189"/>
      <c r="R134" s="189"/>
      <c r="S134" s="189"/>
      <c r="T134" s="189"/>
      <c r="U134" s="189"/>
      <c r="V134" s="189"/>
      <c r="W134" s="250"/>
      <c r="X134" s="209"/>
      <c r="Y134" s="209"/>
      <c r="Z134" s="209"/>
      <c r="AA134" s="209"/>
      <c r="AB134" s="209"/>
      <c r="AC134" s="209"/>
    </row>
    <row r="135" spans="1:29">
      <c r="A135" s="158"/>
      <c r="B135" s="159"/>
      <c r="C135" s="160"/>
      <c r="D135" s="161"/>
      <c r="E135" s="161"/>
      <c r="F135" s="160"/>
      <c r="G135" s="161"/>
      <c r="H135" s="162"/>
      <c r="I135" s="163"/>
      <c r="J135" s="164" t="str">
        <f ca="1">IF(Calculations!A$2:A$356=TODAY(),C135+D135,"")</f>
        <v/>
      </c>
      <c r="K135" s="165" t="str">
        <f ca="1">IF(Calculations!A$2:A$356=TODAY()-1,C135+D135,"")</f>
        <v/>
      </c>
      <c r="L135" s="189"/>
      <c r="M135" s="189"/>
      <c r="N135" s="189"/>
      <c r="O135" s="189"/>
      <c r="P135" s="189"/>
      <c r="Q135" s="189"/>
      <c r="R135" s="189"/>
      <c r="S135" s="189"/>
      <c r="T135" s="189"/>
      <c r="U135" s="189"/>
      <c r="V135" s="189"/>
      <c r="W135" s="250"/>
      <c r="X135" s="209"/>
      <c r="Y135" s="209"/>
      <c r="Z135" s="209"/>
      <c r="AA135" s="209"/>
      <c r="AB135" s="209"/>
      <c r="AC135" s="209"/>
    </row>
    <row r="136" spans="1:29">
      <c r="A136" s="158"/>
      <c r="B136" s="159"/>
      <c r="C136" s="160"/>
      <c r="D136" s="161"/>
      <c r="E136" s="161"/>
      <c r="F136" s="160"/>
      <c r="G136" s="161"/>
      <c r="H136" s="162"/>
      <c r="I136" s="163"/>
      <c r="J136" s="164" t="str">
        <f ca="1">IF(Calculations!A$2:A$356=TODAY(),C136+D136,"")</f>
        <v/>
      </c>
      <c r="K136" s="165" t="str">
        <f ca="1">IF(Calculations!A$2:A$356=TODAY()-1,C136+D136,"")</f>
        <v/>
      </c>
      <c r="L136" s="189"/>
      <c r="M136" s="189"/>
      <c r="N136" s="189"/>
      <c r="O136" s="189"/>
      <c r="P136" s="189"/>
      <c r="Q136" s="189"/>
      <c r="R136" s="189"/>
      <c r="S136" s="189"/>
      <c r="T136" s="189"/>
      <c r="U136" s="189"/>
      <c r="V136" s="189"/>
      <c r="W136" s="250"/>
      <c r="X136" s="209"/>
      <c r="Y136" s="209"/>
      <c r="Z136" s="209"/>
      <c r="AA136" s="209"/>
      <c r="AB136" s="209"/>
      <c r="AC136" s="209"/>
    </row>
    <row r="137" spans="1:29">
      <c r="A137" s="158"/>
      <c r="B137" s="159"/>
      <c r="C137" s="160"/>
      <c r="D137" s="161"/>
      <c r="E137" s="161"/>
      <c r="F137" s="160"/>
      <c r="G137" s="161"/>
      <c r="H137" s="162"/>
      <c r="I137" s="163"/>
      <c r="J137" s="164" t="str">
        <f ca="1">IF(Calculations!A$2:A$356=TODAY(),C137+D137,"")</f>
        <v/>
      </c>
      <c r="K137" s="165" t="str">
        <f ca="1">IF(Calculations!A$2:A$356=TODAY()-1,C137+D137,"")</f>
        <v/>
      </c>
      <c r="L137" s="189"/>
      <c r="M137" s="189"/>
      <c r="N137" s="189"/>
      <c r="O137" s="189"/>
      <c r="P137" s="189"/>
      <c r="Q137" s="189"/>
      <c r="R137" s="189"/>
      <c r="S137" s="189"/>
      <c r="T137" s="189"/>
      <c r="U137" s="189"/>
      <c r="V137" s="189"/>
      <c r="W137" s="250"/>
      <c r="X137" s="209"/>
      <c r="Y137" s="209"/>
      <c r="Z137" s="209"/>
      <c r="AA137" s="209"/>
      <c r="AB137" s="209"/>
      <c r="AC137" s="209"/>
    </row>
    <row r="138" spans="1:29">
      <c r="A138" s="158"/>
      <c r="B138" s="159"/>
      <c r="C138" s="160"/>
      <c r="D138" s="161"/>
      <c r="E138" s="161"/>
      <c r="F138" s="160"/>
      <c r="G138" s="161"/>
      <c r="H138" s="162"/>
      <c r="I138" s="163"/>
      <c r="J138" s="164" t="str">
        <f ca="1">IF(Calculations!A$2:A$356=TODAY(),C138+D138,"")</f>
        <v/>
      </c>
      <c r="K138" s="165" t="str">
        <f ca="1">IF(Calculations!A$2:A$356=TODAY()-1,C138+D138,"")</f>
        <v/>
      </c>
      <c r="L138" s="189"/>
      <c r="M138" s="189"/>
      <c r="N138" s="189"/>
      <c r="O138" s="189"/>
      <c r="P138" s="189"/>
      <c r="Q138" s="189"/>
      <c r="R138" s="189"/>
      <c r="S138" s="189"/>
      <c r="T138" s="189"/>
      <c r="U138" s="189"/>
      <c r="V138" s="189"/>
      <c r="W138" s="250"/>
      <c r="X138" s="209"/>
      <c r="Y138" s="209"/>
      <c r="Z138" s="209"/>
      <c r="AA138" s="209"/>
      <c r="AB138" s="209"/>
      <c r="AC138" s="209"/>
    </row>
    <row r="139" spans="1:29">
      <c r="A139" s="158"/>
      <c r="B139" s="159"/>
      <c r="C139" s="160"/>
      <c r="D139" s="161"/>
      <c r="E139" s="161"/>
      <c r="F139" s="160"/>
      <c r="G139" s="161"/>
      <c r="H139" s="162"/>
      <c r="I139" s="163"/>
      <c r="J139" s="164" t="str">
        <f ca="1">IF(Calculations!A$2:A$356=TODAY(),C139+D139,"")</f>
        <v/>
      </c>
      <c r="K139" s="165" t="str">
        <f ca="1">IF(Calculations!A$2:A$356=TODAY()-1,C139+D139,"")</f>
        <v/>
      </c>
      <c r="L139" s="189"/>
      <c r="M139" s="189"/>
      <c r="N139" s="189"/>
      <c r="O139" s="189"/>
      <c r="P139" s="189"/>
      <c r="Q139" s="189"/>
      <c r="R139" s="189"/>
      <c r="S139" s="189"/>
      <c r="T139" s="189"/>
      <c r="U139" s="189"/>
      <c r="V139" s="189"/>
      <c r="W139" s="250"/>
      <c r="X139" s="209"/>
      <c r="Y139" s="209"/>
      <c r="Z139" s="209"/>
      <c r="AA139" s="209"/>
      <c r="AB139" s="209"/>
      <c r="AC139" s="209"/>
    </row>
    <row r="140" spans="1:29">
      <c r="A140" s="158"/>
      <c r="B140" s="159"/>
      <c r="C140" s="160"/>
      <c r="D140" s="161"/>
      <c r="E140" s="161"/>
      <c r="F140" s="160"/>
      <c r="G140" s="161"/>
      <c r="H140" s="162"/>
      <c r="I140" s="163"/>
      <c r="J140" s="164" t="str">
        <f ca="1">IF(Calculations!A$2:A$356=TODAY(),C140+D140,"")</f>
        <v/>
      </c>
      <c r="K140" s="165" t="str">
        <f ca="1">IF(Calculations!A$2:A$356=TODAY()-1,C140+D140,"")</f>
        <v/>
      </c>
      <c r="L140" s="189"/>
      <c r="M140" s="189"/>
      <c r="N140" s="189"/>
      <c r="O140" s="189"/>
      <c r="P140" s="189"/>
      <c r="Q140" s="189"/>
      <c r="R140" s="189"/>
      <c r="S140" s="189"/>
      <c r="T140" s="189"/>
      <c r="U140" s="189"/>
      <c r="V140" s="189"/>
      <c r="W140" s="250"/>
      <c r="X140" s="209"/>
      <c r="Y140" s="209"/>
      <c r="Z140" s="209"/>
      <c r="AA140" s="209"/>
      <c r="AB140" s="209"/>
      <c r="AC140" s="209"/>
    </row>
    <row r="141" spans="1:29">
      <c r="A141" s="158"/>
      <c r="B141" s="159"/>
      <c r="C141" s="160"/>
      <c r="D141" s="161"/>
      <c r="E141" s="161"/>
      <c r="F141" s="160"/>
      <c r="G141" s="161"/>
      <c r="H141" s="162"/>
      <c r="I141" s="163"/>
      <c r="J141" s="164" t="str">
        <f ca="1">IF(Calculations!A$2:A$356=TODAY(),C141+D141,"")</f>
        <v/>
      </c>
      <c r="K141" s="165" t="str">
        <f ca="1">IF(Calculations!A$2:A$356=TODAY()-1,C141+D141,"")</f>
        <v/>
      </c>
      <c r="L141" s="189"/>
      <c r="M141" s="189"/>
      <c r="N141" s="189"/>
      <c r="O141" s="189"/>
      <c r="P141" s="189"/>
      <c r="Q141" s="189"/>
      <c r="R141" s="189"/>
      <c r="S141" s="189"/>
      <c r="T141" s="189"/>
      <c r="U141" s="189"/>
      <c r="V141" s="189"/>
      <c r="W141" s="250"/>
      <c r="X141" s="209"/>
      <c r="Y141" s="209"/>
      <c r="Z141" s="209"/>
      <c r="AA141" s="209"/>
      <c r="AB141" s="209"/>
      <c r="AC141" s="209"/>
    </row>
    <row r="142" spans="1:29">
      <c r="A142" s="158"/>
      <c r="B142" s="159"/>
      <c r="C142" s="160"/>
      <c r="D142" s="161"/>
      <c r="E142" s="161"/>
      <c r="F142" s="160"/>
      <c r="G142" s="161"/>
      <c r="H142" s="162"/>
      <c r="I142" s="163"/>
      <c r="J142" s="164" t="str">
        <f ca="1">IF(Calculations!A$2:A$356=TODAY(),C142+D142,"")</f>
        <v/>
      </c>
      <c r="K142" s="165" t="str">
        <f ca="1">IF(Calculations!A$2:A$356=TODAY()-1,C142+D142,"")</f>
        <v/>
      </c>
      <c r="L142" s="189"/>
      <c r="M142" s="189"/>
      <c r="N142" s="189"/>
      <c r="O142" s="189"/>
      <c r="P142" s="189"/>
      <c r="Q142" s="189"/>
      <c r="R142" s="189"/>
      <c r="S142" s="189"/>
      <c r="T142" s="189"/>
      <c r="U142" s="189"/>
      <c r="V142" s="189"/>
      <c r="W142" s="250"/>
      <c r="X142" s="209"/>
      <c r="Y142" s="209"/>
      <c r="Z142" s="209"/>
      <c r="AA142" s="209"/>
      <c r="AB142" s="209"/>
      <c r="AC142" s="209"/>
    </row>
    <row r="143" spans="1:29">
      <c r="A143" s="158"/>
      <c r="B143" s="159"/>
      <c r="C143" s="160"/>
      <c r="D143" s="161"/>
      <c r="E143" s="161"/>
      <c r="F143" s="160"/>
      <c r="G143" s="161"/>
      <c r="H143" s="162"/>
      <c r="I143" s="163"/>
      <c r="J143" s="164" t="str">
        <f ca="1">IF(Calculations!A$2:A$356=TODAY(),C143+D143,"")</f>
        <v/>
      </c>
      <c r="K143" s="165" t="str">
        <f ca="1">IF(Calculations!A$2:A$356=TODAY()-1,C143+D143,"")</f>
        <v/>
      </c>
      <c r="L143" s="189"/>
      <c r="M143" s="189"/>
      <c r="N143" s="189"/>
      <c r="O143" s="189"/>
      <c r="P143" s="189"/>
      <c r="Q143" s="189"/>
      <c r="R143" s="189"/>
      <c r="S143" s="189"/>
      <c r="T143" s="189"/>
      <c r="U143" s="189"/>
      <c r="V143" s="189"/>
      <c r="W143" s="250"/>
      <c r="X143" s="209"/>
      <c r="Y143" s="209"/>
      <c r="Z143" s="209"/>
      <c r="AA143" s="209"/>
      <c r="AB143" s="209"/>
      <c r="AC143" s="209"/>
    </row>
    <row r="144" spans="1:29">
      <c r="A144" s="158"/>
      <c r="B144" s="159"/>
      <c r="C144" s="160"/>
      <c r="D144" s="161"/>
      <c r="E144" s="161"/>
      <c r="F144" s="160"/>
      <c r="G144" s="161"/>
      <c r="H144" s="162"/>
      <c r="I144" s="163"/>
      <c r="J144" s="164" t="str">
        <f ca="1">IF(Calculations!A$2:A$356=TODAY(),C144+D144,"")</f>
        <v/>
      </c>
      <c r="K144" s="165" t="str">
        <f ca="1">IF(Calculations!A$2:A$356=TODAY()-1,C144+D144,"")</f>
        <v/>
      </c>
      <c r="L144" s="189"/>
      <c r="M144" s="189"/>
      <c r="N144" s="189"/>
      <c r="O144" s="189"/>
      <c r="P144" s="189"/>
      <c r="Q144" s="189"/>
      <c r="R144" s="189"/>
      <c r="S144" s="189"/>
      <c r="T144" s="189"/>
      <c r="U144" s="189"/>
      <c r="V144" s="189"/>
      <c r="W144" s="250"/>
      <c r="X144" s="209"/>
      <c r="Y144" s="209"/>
      <c r="Z144" s="209"/>
      <c r="AA144" s="209"/>
      <c r="AB144" s="209"/>
      <c r="AC144" s="209"/>
    </row>
    <row r="145" spans="1:29">
      <c r="A145" s="158"/>
      <c r="B145" s="159"/>
      <c r="C145" s="160"/>
      <c r="D145" s="161"/>
      <c r="E145" s="161"/>
      <c r="F145" s="160"/>
      <c r="G145" s="161"/>
      <c r="H145" s="162"/>
      <c r="I145" s="163"/>
      <c r="J145" s="164" t="str">
        <f ca="1">IF(Calculations!A$2:A$356=TODAY(),C145+D145,"")</f>
        <v/>
      </c>
      <c r="K145" s="165" t="str">
        <f ca="1">IF(Calculations!A$2:A$356=TODAY()-1,C145+D145,"")</f>
        <v/>
      </c>
      <c r="L145" s="189"/>
      <c r="M145" s="189"/>
      <c r="N145" s="189"/>
      <c r="O145" s="189"/>
      <c r="P145" s="189"/>
      <c r="Q145" s="189"/>
      <c r="R145" s="189"/>
      <c r="S145" s="189"/>
      <c r="T145" s="189"/>
      <c r="U145" s="189"/>
      <c r="V145" s="189"/>
      <c r="W145" s="250"/>
      <c r="X145" s="209"/>
      <c r="Y145" s="209"/>
      <c r="Z145" s="209"/>
      <c r="AA145" s="209"/>
      <c r="AB145" s="209"/>
      <c r="AC145" s="209"/>
    </row>
    <row r="146" spans="1:29">
      <c r="A146" s="158"/>
      <c r="B146" s="159"/>
      <c r="C146" s="160"/>
      <c r="D146" s="161"/>
      <c r="E146" s="161"/>
      <c r="F146" s="160"/>
      <c r="G146" s="161"/>
      <c r="H146" s="162"/>
      <c r="I146" s="163"/>
      <c r="J146" s="164" t="str">
        <f ca="1">IF(Calculations!A$2:A$356=TODAY(),C146+D146,"")</f>
        <v/>
      </c>
      <c r="K146" s="165" t="str">
        <f ca="1">IF(Calculations!A$2:A$356=TODAY()-1,C146+D146,"")</f>
        <v/>
      </c>
      <c r="L146" s="189"/>
      <c r="M146" s="189"/>
      <c r="N146" s="189"/>
      <c r="O146" s="189"/>
      <c r="P146" s="189"/>
      <c r="Q146" s="189"/>
      <c r="R146" s="189"/>
      <c r="S146" s="189"/>
      <c r="T146" s="189"/>
      <c r="U146" s="189"/>
      <c r="V146" s="189"/>
      <c r="W146" s="250"/>
      <c r="X146" s="209"/>
      <c r="Y146" s="209"/>
      <c r="Z146" s="209"/>
      <c r="AA146" s="209"/>
      <c r="AB146" s="209"/>
      <c r="AC146" s="209"/>
    </row>
    <row r="147" spans="1:29">
      <c r="A147" s="158"/>
      <c r="B147" s="159"/>
      <c r="C147" s="160"/>
      <c r="D147" s="161"/>
      <c r="E147" s="161"/>
      <c r="F147" s="160"/>
      <c r="G147" s="161"/>
      <c r="H147" s="162"/>
      <c r="I147" s="163"/>
      <c r="J147" s="164" t="str">
        <f ca="1">IF(Calculations!A$2:A$356=TODAY(),C147+D147,"")</f>
        <v/>
      </c>
      <c r="K147" s="165" t="str">
        <f ca="1">IF(Calculations!A$2:A$356=TODAY()-1,C147+D147,"")</f>
        <v/>
      </c>
      <c r="L147" s="189"/>
      <c r="M147" s="189"/>
      <c r="N147" s="189"/>
      <c r="O147" s="189"/>
      <c r="P147" s="189"/>
      <c r="Q147" s="189"/>
      <c r="R147" s="189"/>
      <c r="S147" s="189"/>
      <c r="T147" s="189"/>
      <c r="U147" s="189"/>
      <c r="V147" s="189"/>
      <c r="W147" s="250"/>
      <c r="X147" s="209"/>
      <c r="Y147" s="209"/>
      <c r="Z147" s="209"/>
      <c r="AA147" s="209"/>
      <c r="AB147" s="209"/>
      <c r="AC147" s="209"/>
    </row>
    <row r="148" spans="1:29">
      <c r="A148" s="158"/>
      <c r="B148" s="159"/>
      <c r="C148" s="160"/>
      <c r="D148" s="161"/>
      <c r="E148" s="161"/>
      <c r="F148" s="160"/>
      <c r="G148" s="161"/>
      <c r="H148" s="162"/>
      <c r="I148" s="163"/>
      <c r="J148" s="164" t="str">
        <f ca="1">IF(Calculations!A$2:A$356=TODAY(),C148+D148,"")</f>
        <v/>
      </c>
      <c r="K148" s="165" t="str">
        <f ca="1">IF(Calculations!A$2:A$356=TODAY()-1,C148+D148,"")</f>
        <v/>
      </c>
      <c r="L148" s="189"/>
      <c r="M148" s="189"/>
      <c r="N148" s="189"/>
      <c r="O148" s="189"/>
      <c r="P148" s="189"/>
      <c r="Q148" s="189"/>
      <c r="R148" s="189"/>
      <c r="S148" s="189"/>
      <c r="T148" s="189"/>
      <c r="U148" s="189"/>
      <c r="V148" s="189"/>
      <c r="W148" s="250"/>
      <c r="X148" s="209"/>
      <c r="Y148" s="209"/>
      <c r="Z148" s="209"/>
      <c r="AA148" s="209"/>
      <c r="AB148" s="209"/>
      <c r="AC148" s="209"/>
    </row>
    <row r="149" spans="1:29">
      <c r="A149" s="158"/>
      <c r="B149" s="159"/>
      <c r="C149" s="160"/>
      <c r="D149" s="161"/>
      <c r="E149" s="161"/>
      <c r="F149" s="160"/>
      <c r="G149" s="161"/>
      <c r="H149" s="162"/>
      <c r="I149" s="163"/>
      <c r="J149" s="164" t="str">
        <f ca="1">IF(Calculations!A$2:A$356=TODAY(),C149+D149,"")</f>
        <v/>
      </c>
      <c r="K149" s="165" t="str">
        <f ca="1">IF(Calculations!A$2:A$356=TODAY()-1,C149+D149,"")</f>
        <v/>
      </c>
      <c r="L149" s="189"/>
      <c r="M149" s="189"/>
      <c r="N149" s="189"/>
      <c r="O149" s="189"/>
      <c r="P149" s="189"/>
      <c r="Q149" s="189"/>
      <c r="R149" s="189"/>
      <c r="S149" s="189"/>
      <c r="T149" s="189"/>
      <c r="U149" s="189"/>
      <c r="V149" s="189"/>
      <c r="W149" s="250"/>
      <c r="X149" s="209"/>
      <c r="Y149" s="209"/>
      <c r="Z149" s="209"/>
      <c r="AA149" s="209"/>
      <c r="AB149" s="209"/>
      <c r="AC149" s="209"/>
    </row>
    <row r="150" spans="1:29">
      <c r="A150" s="158"/>
      <c r="B150" s="159"/>
      <c r="C150" s="160"/>
      <c r="D150" s="161"/>
      <c r="E150" s="161"/>
      <c r="F150" s="160"/>
      <c r="G150" s="161"/>
      <c r="H150" s="162"/>
      <c r="I150" s="163"/>
      <c r="J150" s="164" t="str">
        <f ca="1">IF(Calculations!A$2:A$356=TODAY(),C150+D150,"")</f>
        <v/>
      </c>
      <c r="K150" s="165" t="str">
        <f ca="1">IF(Calculations!A$2:A$356=TODAY()-1,C150+D150,"")</f>
        <v/>
      </c>
      <c r="L150" s="189"/>
      <c r="M150" s="189"/>
      <c r="N150" s="189"/>
      <c r="O150" s="189"/>
      <c r="P150" s="189"/>
      <c r="Q150" s="189"/>
      <c r="R150" s="189"/>
      <c r="S150" s="189"/>
      <c r="T150" s="189"/>
      <c r="U150" s="189"/>
      <c r="V150" s="189"/>
      <c r="W150" s="250"/>
      <c r="X150" s="209"/>
      <c r="Y150" s="209"/>
      <c r="Z150" s="209"/>
      <c r="AA150" s="209"/>
      <c r="AB150" s="209"/>
      <c r="AC150" s="209"/>
    </row>
    <row r="151" spans="1:29">
      <c r="A151" s="158"/>
      <c r="B151" s="159"/>
      <c r="C151" s="160"/>
      <c r="D151" s="161"/>
      <c r="E151" s="161"/>
      <c r="F151" s="160"/>
      <c r="G151" s="161"/>
      <c r="H151" s="162"/>
      <c r="I151" s="163"/>
      <c r="J151" s="164" t="str">
        <f ca="1">IF(Calculations!A$2:A$356=TODAY(),C151+D151,"")</f>
        <v/>
      </c>
      <c r="K151" s="165" t="str">
        <f ca="1">IF(Calculations!A$2:A$356=TODAY()-1,C151+D151,"")</f>
        <v/>
      </c>
      <c r="L151" s="189"/>
      <c r="M151" s="189"/>
      <c r="N151" s="189"/>
      <c r="O151" s="189"/>
      <c r="P151" s="189"/>
      <c r="Q151" s="189"/>
      <c r="R151" s="189"/>
      <c r="S151" s="189"/>
      <c r="T151" s="189"/>
      <c r="U151" s="189"/>
      <c r="V151" s="189"/>
      <c r="W151" s="250"/>
      <c r="X151" s="209"/>
      <c r="Y151" s="209"/>
      <c r="Z151" s="209"/>
      <c r="AA151" s="209"/>
      <c r="AB151" s="209"/>
      <c r="AC151" s="209"/>
    </row>
    <row r="152" spans="1:29">
      <c r="A152" s="158"/>
      <c r="B152" s="159"/>
      <c r="C152" s="160"/>
      <c r="D152" s="161"/>
      <c r="E152" s="161"/>
      <c r="F152" s="160"/>
      <c r="G152" s="161"/>
      <c r="H152" s="162"/>
      <c r="I152" s="163"/>
      <c r="J152" s="164" t="str">
        <f ca="1">IF(Calculations!A$2:A$356=TODAY(),C152+D152,"")</f>
        <v/>
      </c>
      <c r="K152" s="165" t="str">
        <f ca="1">IF(Calculations!A$2:A$356=TODAY()-1,C152+D152,"")</f>
        <v/>
      </c>
      <c r="L152" s="189"/>
      <c r="M152" s="189"/>
      <c r="N152" s="189"/>
      <c r="O152" s="189"/>
      <c r="P152" s="189"/>
      <c r="Q152" s="189"/>
      <c r="R152" s="189"/>
      <c r="S152" s="189"/>
      <c r="T152" s="189"/>
      <c r="U152" s="189"/>
      <c r="V152" s="189"/>
      <c r="W152" s="250"/>
      <c r="X152" s="209"/>
      <c r="Y152" s="209"/>
      <c r="Z152" s="209"/>
      <c r="AA152" s="209"/>
      <c r="AB152" s="209"/>
      <c r="AC152" s="209"/>
    </row>
    <row r="153" spans="1:29">
      <c r="A153" s="158"/>
      <c r="B153" s="159"/>
      <c r="C153" s="160"/>
      <c r="D153" s="161"/>
      <c r="E153" s="161"/>
      <c r="F153" s="160"/>
      <c r="G153" s="161"/>
      <c r="H153" s="162"/>
      <c r="I153" s="163"/>
      <c r="J153" s="164" t="str">
        <f ca="1">IF(Calculations!A$2:A$356=TODAY(),C153+D153,"")</f>
        <v/>
      </c>
      <c r="K153" s="165" t="str">
        <f ca="1">IF(Calculations!A$2:A$356=TODAY()-1,C153+D153,"")</f>
        <v/>
      </c>
      <c r="L153" s="189"/>
      <c r="M153" s="189"/>
      <c r="N153" s="189"/>
      <c r="O153" s="189"/>
      <c r="P153" s="189"/>
      <c r="Q153" s="189"/>
      <c r="R153" s="189"/>
      <c r="S153" s="189"/>
      <c r="T153" s="189"/>
      <c r="U153" s="189"/>
      <c r="V153" s="189"/>
      <c r="W153" s="250"/>
      <c r="X153" s="209"/>
      <c r="Y153" s="209"/>
      <c r="Z153" s="209"/>
      <c r="AA153" s="209"/>
      <c r="AB153" s="209"/>
      <c r="AC153" s="209"/>
    </row>
    <row r="154" spans="1:29">
      <c r="A154" s="158"/>
      <c r="B154" s="159"/>
      <c r="C154" s="160"/>
      <c r="D154" s="161"/>
      <c r="E154" s="161"/>
      <c r="F154" s="160"/>
      <c r="G154" s="161"/>
      <c r="H154" s="162"/>
      <c r="I154" s="163"/>
      <c r="J154" s="164" t="str">
        <f ca="1">IF(Calculations!A$2:A$356=TODAY(),C154+D154,"")</f>
        <v/>
      </c>
      <c r="K154" s="165" t="str">
        <f ca="1">IF(Calculations!A$2:A$356=TODAY()-1,C154+D154,"")</f>
        <v/>
      </c>
      <c r="L154" s="189"/>
      <c r="M154" s="189"/>
      <c r="N154" s="189"/>
      <c r="O154" s="189"/>
      <c r="P154" s="189"/>
      <c r="Q154" s="189"/>
      <c r="R154" s="189"/>
      <c r="S154" s="189"/>
      <c r="T154" s="189"/>
      <c r="U154" s="189"/>
      <c r="V154" s="189"/>
      <c r="W154" s="250"/>
      <c r="X154" s="209"/>
      <c r="Y154" s="209"/>
      <c r="Z154" s="209"/>
      <c r="AA154" s="209"/>
      <c r="AB154" s="209"/>
      <c r="AC154" s="209"/>
    </row>
    <row r="155" spans="1:29">
      <c r="A155" s="275"/>
      <c r="B155" s="276"/>
      <c r="C155" s="277"/>
      <c r="D155" s="277"/>
      <c r="E155" s="277"/>
      <c r="F155" s="277"/>
      <c r="G155" s="277"/>
      <c r="H155" s="277"/>
      <c r="I155" s="277"/>
      <c r="J155" s="164" t="str">
        <f ca="1">IF(Calculations!A$2:A$356=TODAY(),C155+D155,"")</f>
        <v/>
      </c>
      <c r="K155" s="165" t="str">
        <f ca="1">IF(Calculations!A$2:A$356=TODAY()-1,C155+D155,"")</f>
        <v/>
      </c>
      <c r="L155" s="189"/>
      <c r="M155" s="189"/>
      <c r="N155" s="189"/>
      <c r="O155" s="189"/>
      <c r="P155" s="189"/>
      <c r="Q155" s="189"/>
      <c r="R155" s="189"/>
      <c r="S155" s="189"/>
      <c r="T155" s="189"/>
      <c r="U155" s="189"/>
      <c r="V155" s="189"/>
      <c r="W155" s="250"/>
      <c r="X155" s="209"/>
      <c r="Y155" s="209"/>
      <c r="Z155" s="209"/>
      <c r="AA155" s="209"/>
      <c r="AB155" s="209"/>
      <c r="AC155" s="209"/>
    </row>
    <row r="156" spans="1:29">
      <c r="A156" s="275"/>
      <c r="B156" s="276"/>
      <c r="C156" s="277"/>
      <c r="D156" s="277"/>
      <c r="E156" s="277"/>
      <c r="F156" s="277"/>
      <c r="G156" s="277"/>
      <c r="H156" s="277"/>
      <c r="I156" s="277"/>
      <c r="J156" s="164" t="str">
        <f ca="1">IF(Calculations!A$2:A$356=TODAY(),C156+D156,"")</f>
        <v/>
      </c>
      <c r="K156" s="165" t="str">
        <f ca="1">IF(Calculations!A$2:A$356=TODAY()-1,C156+D156,"")</f>
        <v/>
      </c>
      <c r="L156" s="189"/>
      <c r="M156" s="189"/>
      <c r="N156" s="189"/>
      <c r="O156" s="189"/>
      <c r="P156" s="189"/>
      <c r="Q156" s="189"/>
      <c r="R156" s="189"/>
      <c r="S156" s="189"/>
      <c r="T156" s="189"/>
      <c r="U156" s="189"/>
      <c r="V156" s="189"/>
      <c r="W156" s="250"/>
      <c r="X156" s="209"/>
      <c r="Y156" s="209"/>
      <c r="Z156" s="209"/>
      <c r="AA156" s="209"/>
      <c r="AB156" s="209"/>
      <c r="AC156" s="209"/>
    </row>
    <row r="157" spans="1:29">
      <c r="A157" s="275"/>
      <c r="B157" s="276"/>
      <c r="C157" s="277"/>
      <c r="D157" s="277"/>
      <c r="E157" s="277"/>
      <c r="F157" s="277"/>
      <c r="G157" s="277"/>
      <c r="H157" s="277"/>
      <c r="I157" s="277"/>
      <c r="J157" s="164" t="str">
        <f ca="1">IF(Calculations!A$2:A$356=TODAY(),C157+D157,"")</f>
        <v/>
      </c>
      <c r="K157" s="165" t="str">
        <f ca="1">IF(Calculations!A$2:A$356=TODAY()-1,C157+D157,"")</f>
        <v/>
      </c>
      <c r="L157" s="189"/>
      <c r="M157" s="189"/>
      <c r="N157" s="189"/>
      <c r="O157" s="189"/>
      <c r="P157" s="189"/>
      <c r="Q157" s="189"/>
      <c r="R157" s="189"/>
      <c r="S157" s="189"/>
      <c r="T157" s="189"/>
      <c r="U157" s="189"/>
      <c r="V157" s="189"/>
      <c r="W157" s="250"/>
      <c r="X157" s="209"/>
      <c r="Y157" s="209"/>
      <c r="Z157" s="209"/>
      <c r="AA157" s="209"/>
      <c r="AB157" s="209"/>
      <c r="AC157" s="209"/>
    </row>
    <row r="158" spans="1:29">
      <c r="A158" s="275"/>
      <c r="B158" s="276"/>
      <c r="C158" s="277"/>
      <c r="D158" s="277"/>
      <c r="E158" s="277"/>
      <c r="F158" s="277"/>
      <c r="G158" s="277"/>
      <c r="H158" s="277"/>
      <c r="I158" s="277"/>
      <c r="J158" s="164" t="str">
        <f ca="1">IF(Calculations!A$2:A$356=TODAY(),C158+D158,"")</f>
        <v/>
      </c>
      <c r="K158" s="165" t="str">
        <f ca="1">IF(Calculations!A$2:A$356=TODAY()-1,C158+D158,"")</f>
        <v/>
      </c>
      <c r="L158" s="189"/>
      <c r="M158" s="189"/>
      <c r="N158" s="189"/>
      <c r="O158" s="189"/>
      <c r="P158" s="189"/>
      <c r="Q158" s="189"/>
      <c r="R158" s="189"/>
      <c r="S158" s="189"/>
      <c r="T158" s="189"/>
      <c r="U158" s="189"/>
      <c r="V158" s="189"/>
      <c r="W158" s="250"/>
      <c r="X158" s="209"/>
      <c r="Y158" s="209"/>
      <c r="Z158" s="209"/>
      <c r="AA158" s="209"/>
      <c r="AB158" s="209"/>
      <c r="AC158" s="209"/>
    </row>
    <row r="159" spans="1:29">
      <c r="A159" s="275"/>
      <c r="B159" s="276"/>
      <c r="C159" s="277"/>
      <c r="D159" s="277"/>
      <c r="E159" s="277"/>
      <c r="F159" s="277"/>
      <c r="G159" s="277"/>
      <c r="H159" s="277"/>
      <c r="I159" s="277"/>
      <c r="J159" s="164" t="str">
        <f ca="1">IF(Calculations!A$2:A$356=TODAY(),C159+D159,"")</f>
        <v/>
      </c>
      <c r="K159" s="165" t="str">
        <f ca="1">IF(Calculations!A$2:A$356=TODAY()-1,C159+D159,"")</f>
        <v/>
      </c>
      <c r="L159" s="189"/>
      <c r="M159" s="189"/>
      <c r="N159" s="189"/>
      <c r="O159" s="189"/>
      <c r="P159" s="189"/>
      <c r="Q159" s="189"/>
      <c r="R159" s="189"/>
      <c r="S159" s="189"/>
      <c r="T159" s="189"/>
      <c r="U159" s="189"/>
      <c r="V159" s="189"/>
      <c r="W159" s="250"/>
      <c r="X159" s="209"/>
      <c r="Y159" s="209"/>
      <c r="Z159" s="209"/>
      <c r="AA159" s="209"/>
      <c r="AB159" s="209"/>
      <c r="AC159" s="209"/>
    </row>
    <row r="160" spans="1:29">
      <c r="A160" s="275"/>
      <c r="B160" s="276"/>
      <c r="C160" s="277"/>
      <c r="D160" s="277"/>
      <c r="E160" s="277"/>
      <c r="F160" s="277"/>
      <c r="G160" s="277"/>
      <c r="H160" s="277"/>
      <c r="I160" s="277"/>
      <c r="J160" s="164" t="str">
        <f ca="1">IF(Calculations!A$2:A$356=TODAY(),C160+D160,"")</f>
        <v/>
      </c>
      <c r="K160" s="165" t="str">
        <f ca="1">IF(Calculations!A$2:A$356=TODAY()-1,C160+D160,"")</f>
        <v/>
      </c>
      <c r="L160" s="189"/>
      <c r="M160" s="189"/>
      <c r="N160" s="189"/>
      <c r="O160" s="189"/>
      <c r="P160" s="189"/>
      <c r="Q160" s="189"/>
      <c r="R160" s="189"/>
      <c r="S160" s="189"/>
      <c r="T160" s="189"/>
      <c r="U160" s="189"/>
      <c r="V160" s="189"/>
      <c r="W160" s="250"/>
      <c r="X160" s="209"/>
      <c r="Y160" s="209"/>
      <c r="Z160" s="209"/>
      <c r="AA160" s="209"/>
      <c r="AB160" s="209"/>
      <c r="AC160" s="209"/>
    </row>
    <row r="161" spans="1:29">
      <c r="A161" s="275"/>
      <c r="B161" s="276"/>
      <c r="C161" s="277"/>
      <c r="D161" s="277"/>
      <c r="E161" s="277"/>
      <c r="F161" s="277"/>
      <c r="G161" s="277"/>
      <c r="H161" s="277"/>
      <c r="I161" s="277"/>
      <c r="J161" s="164" t="str">
        <f ca="1">IF(Calculations!A$2:A$356=TODAY(),C161+D161,"")</f>
        <v/>
      </c>
      <c r="K161" s="165" t="str">
        <f ca="1">IF(Calculations!A$2:A$356=TODAY()-1,C161+D161,"")</f>
        <v/>
      </c>
      <c r="L161" s="189"/>
      <c r="M161" s="189"/>
      <c r="N161" s="189"/>
      <c r="O161" s="189"/>
      <c r="P161" s="189"/>
      <c r="Q161" s="189"/>
      <c r="R161" s="189"/>
      <c r="S161" s="189"/>
      <c r="T161" s="189"/>
      <c r="U161" s="189"/>
      <c r="V161" s="189"/>
      <c r="W161" s="250"/>
      <c r="X161" s="209"/>
      <c r="Y161" s="209"/>
      <c r="Z161" s="209"/>
      <c r="AA161" s="209"/>
      <c r="AB161" s="209"/>
      <c r="AC161" s="209"/>
    </row>
    <row r="162" spans="1:29">
      <c r="A162" s="275"/>
      <c r="B162" s="276"/>
      <c r="C162" s="277"/>
      <c r="D162" s="277"/>
      <c r="E162" s="277"/>
      <c r="F162" s="277"/>
      <c r="G162" s="277"/>
      <c r="H162" s="277"/>
      <c r="I162" s="277"/>
      <c r="J162" s="164" t="str">
        <f ca="1">IF(Calculations!A$2:A$356=TODAY(),C162+D162,"")</f>
        <v/>
      </c>
      <c r="K162" s="165" t="str">
        <f ca="1">IF(Calculations!A$2:A$356=TODAY()-1,C162+D162,"")</f>
        <v/>
      </c>
      <c r="L162" s="189"/>
      <c r="M162" s="189"/>
      <c r="N162" s="189"/>
      <c r="O162" s="189"/>
      <c r="P162" s="189"/>
      <c r="Q162" s="189"/>
      <c r="R162" s="189"/>
      <c r="S162" s="189"/>
      <c r="T162" s="189"/>
      <c r="U162" s="189"/>
      <c r="V162" s="189"/>
      <c r="W162" s="250"/>
      <c r="X162" s="209"/>
      <c r="Y162" s="209"/>
      <c r="Z162" s="209"/>
      <c r="AA162" s="209"/>
      <c r="AB162" s="209"/>
      <c r="AC162" s="209"/>
    </row>
    <row r="163" spans="1:29">
      <c r="A163" s="275"/>
      <c r="B163" s="276"/>
      <c r="C163" s="277"/>
      <c r="D163" s="277"/>
      <c r="E163" s="277"/>
      <c r="F163" s="277"/>
      <c r="G163" s="277"/>
      <c r="H163" s="277"/>
      <c r="I163" s="277"/>
      <c r="J163" s="164" t="str">
        <f ca="1">IF(Calculations!A$2:A$356=TODAY(),C163+D163,"")</f>
        <v/>
      </c>
      <c r="K163" s="165" t="str">
        <f ca="1">IF(Calculations!A$2:A$356=TODAY()-1,C163+D163,"")</f>
        <v/>
      </c>
      <c r="L163" s="189"/>
      <c r="M163" s="189"/>
      <c r="N163" s="189"/>
      <c r="O163" s="189"/>
      <c r="P163" s="189"/>
      <c r="Q163" s="189"/>
      <c r="R163" s="189"/>
      <c r="S163" s="189"/>
      <c r="T163" s="189"/>
      <c r="U163" s="189"/>
      <c r="V163" s="189"/>
      <c r="W163" s="250"/>
      <c r="X163" s="209"/>
      <c r="Y163" s="209"/>
      <c r="Z163" s="209"/>
      <c r="AA163" s="209"/>
      <c r="AB163" s="209"/>
      <c r="AC163" s="209"/>
    </row>
    <row r="164" spans="1:29">
      <c r="A164" s="275"/>
      <c r="B164" s="276"/>
      <c r="C164" s="277"/>
      <c r="D164" s="277"/>
      <c r="E164" s="277"/>
      <c r="F164" s="277"/>
      <c r="G164" s="277"/>
      <c r="H164" s="277"/>
      <c r="I164" s="277"/>
      <c r="J164" s="164" t="str">
        <f ca="1">IF(Calculations!A$2:A$356=TODAY(),C164+D164,"")</f>
        <v/>
      </c>
      <c r="K164" s="165" t="str">
        <f ca="1">IF(Calculations!A$2:A$356=TODAY()-1,C164+D164,"")</f>
        <v/>
      </c>
      <c r="L164" s="189"/>
      <c r="M164" s="189"/>
      <c r="N164" s="189"/>
      <c r="O164" s="189"/>
      <c r="P164" s="189"/>
      <c r="Q164" s="189"/>
      <c r="R164" s="189"/>
      <c r="S164" s="189"/>
      <c r="T164" s="189"/>
      <c r="U164" s="189"/>
      <c r="V164" s="189"/>
      <c r="W164" s="250"/>
      <c r="X164" s="209"/>
      <c r="Y164" s="209"/>
      <c r="Z164" s="209"/>
      <c r="AA164" s="209"/>
      <c r="AB164" s="209"/>
      <c r="AC164" s="209"/>
    </row>
    <row r="165" spans="1:29">
      <c r="A165" s="275"/>
      <c r="B165" s="276"/>
      <c r="C165" s="277"/>
      <c r="D165" s="277"/>
      <c r="E165" s="277"/>
      <c r="F165" s="277"/>
      <c r="G165" s="277"/>
      <c r="H165" s="277"/>
      <c r="I165" s="277"/>
      <c r="J165" s="164" t="str">
        <f ca="1">IF(Calculations!A$2:A$356=TODAY(),C165+D165,"")</f>
        <v/>
      </c>
      <c r="K165" s="165" t="str">
        <f ca="1">IF(Calculations!A$2:A$356=TODAY()-1,C165+D165,"")</f>
        <v/>
      </c>
      <c r="L165" s="189"/>
      <c r="M165" s="189"/>
      <c r="N165" s="189"/>
      <c r="O165" s="189"/>
      <c r="P165" s="189"/>
      <c r="Q165" s="189"/>
      <c r="R165" s="189"/>
      <c r="S165" s="189"/>
      <c r="T165" s="189"/>
      <c r="U165" s="189"/>
      <c r="V165" s="189"/>
      <c r="W165" s="250"/>
      <c r="X165" s="209"/>
      <c r="Y165" s="209"/>
      <c r="Z165" s="209"/>
      <c r="AA165" s="209"/>
      <c r="AB165" s="209"/>
      <c r="AC165" s="209"/>
    </row>
    <row r="166" spans="1:29">
      <c r="A166" s="275"/>
      <c r="B166" s="276"/>
      <c r="C166" s="277"/>
      <c r="D166" s="277"/>
      <c r="E166" s="277"/>
      <c r="F166" s="277"/>
      <c r="G166" s="277"/>
      <c r="H166" s="277"/>
      <c r="I166" s="277"/>
      <c r="J166" s="164" t="str">
        <f ca="1">IF(Calculations!A$2:A$356=TODAY(),C166+D166,"")</f>
        <v/>
      </c>
      <c r="K166" s="165" t="str">
        <f ca="1">IF(Calculations!A$2:A$356=TODAY()-1,C166+D166,"")</f>
        <v/>
      </c>
      <c r="L166" s="189"/>
      <c r="M166" s="189"/>
      <c r="N166" s="189"/>
      <c r="O166" s="189"/>
      <c r="P166" s="189"/>
      <c r="Q166" s="189"/>
      <c r="R166" s="189"/>
      <c r="S166" s="189"/>
      <c r="T166" s="189"/>
      <c r="U166" s="189"/>
      <c r="V166" s="189"/>
      <c r="W166" s="250"/>
      <c r="X166" s="209"/>
      <c r="Y166" s="209"/>
      <c r="Z166" s="209"/>
      <c r="AA166" s="209"/>
      <c r="AB166" s="209"/>
      <c r="AC166" s="209"/>
    </row>
    <row r="167" spans="1:29">
      <c r="A167" s="275"/>
      <c r="B167" s="276"/>
      <c r="C167" s="277"/>
      <c r="D167" s="277"/>
      <c r="E167" s="277"/>
      <c r="F167" s="277"/>
      <c r="G167" s="277"/>
      <c r="H167" s="277"/>
      <c r="I167" s="277"/>
      <c r="J167" s="164" t="str">
        <f ca="1">IF(Calculations!A$2:A$356=TODAY(),C167+D167,"")</f>
        <v/>
      </c>
      <c r="K167" s="165" t="str">
        <f ca="1">IF(Calculations!A$2:A$356=TODAY()-1,C167+D167,"")</f>
        <v/>
      </c>
      <c r="L167" s="189"/>
      <c r="M167" s="189"/>
      <c r="N167" s="189"/>
      <c r="O167" s="189"/>
      <c r="P167" s="189"/>
      <c r="Q167" s="189"/>
      <c r="R167" s="189"/>
      <c r="S167" s="189"/>
      <c r="T167" s="189"/>
      <c r="U167" s="189"/>
      <c r="V167" s="189"/>
      <c r="W167" s="250"/>
      <c r="X167" s="209"/>
      <c r="Y167" s="209"/>
      <c r="Z167" s="209"/>
      <c r="AA167" s="209"/>
      <c r="AB167" s="209"/>
      <c r="AC167" s="209"/>
    </row>
    <row r="168" spans="1:29">
      <c r="A168" s="275"/>
      <c r="B168" s="276"/>
      <c r="C168" s="277"/>
      <c r="D168" s="277"/>
      <c r="E168" s="277"/>
      <c r="F168" s="277"/>
      <c r="G168" s="277"/>
      <c r="H168" s="277"/>
      <c r="I168" s="277"/>
      <c r="J168" s="164" t="str">
        <f ca="1">IF(Calculations!A$2:A$356=TODAY(),C168+D168,"")</f>
        <v/>
      </c>
      <c r="K168" s="165" t="str">
        <f ca="1">IF(Calculations!A$2:A$356=TODAY()-1,C168+D168,"")</f>
        <v/>
      </c>
      <c r="L168" s="189"/>
      <c r="M168" s="189"/>
      <c r="N168" s="189"/>
      <c r="O168" s="189"/>
      <c r="P168" s="189"/>
      <c r="Q168" s="189"/>
      <c r="R168" s="189"/>
      <c r="S168" s="189"/>
      <c r="T168" s="189"/>
      <c r="U168" s="189"/>
      <c r="V168" s="189"/>
      <c r="W168" s="250"/>
      <c r="X168" s="209"/>
      <c r="Y168" s="209"/>
      <c r="Z168" s="209"/>
      <c r="AA168" s="209"/>
      <c r="AB168" s="209"/>
      <c r="AC168" s="209"/>
    </row>
    <row r="169" spans="1:29">
      <c r="A169" s="275"/>
      <c r="B169" s="276"/>
      <c r="C169" s="277"/>
      <c r="D169" s="277"/>
      <c r="E169" s="277"/>
      <c r="F169" s="277"/>
      <c r="G169" s="277"/>
      <c r="H169" s="277"/>
      <c r="I169" s="277"/>
      <c r="J169" s="164" t="str">
        <f ca="1">IF(Calculations!A$2:A$356=TODAY(),C169+D169,"")</f>
        <v/>
      </c>
      <c r="K169" s="165" t="str">
        <f ca="1">IF(Calculations!A$2:A$356=TODAY()-1,C169+D169,"")</f>
        <v/>
      </c>
      <c r="L169" s="189"/>
      <c r="M169" s="189"/>
      <c r="N169" s="189"/>
      <c r="O169" s="189"/>
      <c r="P169" s="189"/>
      <c r="Q169" s="189"/>
      <c r="R169" s="189"/>
      <c r="S169" s="189"/>
      <c r="T169" s="189"/>
      <c r="U169" s="189"/>
      <c r="V169" s="189"/>
      <c r="W169" s="250"/>
      <c r="X169" s="209"/>
      <c r="Y169" s="209"/>
      <c r="Z169" s="209"/>
      <c r="AA169" s="209"/>
      <c r="AB169" s="209"/>
      <c r="AC169" s="209"/>
    </row>
    <row r="170" spans="1:29">
      <c r="A170" s="275"/>
      <c r="B170" s="276"/>
      <c r="C170" s="277"/>
      <c r="D170" s="277"/>
      <c r="E170" s="277"/>
      <c r="F170" s="277"/>
      <c r="G170" s="277"/>
      <c r="H170" s="277"/>
      <c r="I170" s="277"/>
      <c r="J170" s="164" t="str">
        <f ca="1">IF(Calculations!A$2:A$356=TODAY(),C170+D170,"")</f>
        <v/>
      </c>
      <c r="K170" s="165" t="str">
        <f ca="1">IF(Calculations!A$2:A$356=TODAY()-1,C170+D170,"")</f>
        <v/>
      </c>
      <c r="L170" s="189"/>
      <c r="M170" s="189"/>
      <c r="N170" s="189"/>
      <c r="O170" s="189"/>
      <c r="P170" s="189"/>
      <c r="Q170" s="189"/>
      <c r="R170" s="189"/>
      <c r="S170" s="189"/>
      <c r="T170" s="189"/>
      <c r="U170" s="189"/>
      <c r="V170" s="189"/>
      <c r="W170" s="250"/>
      <c r="X170" s="209"/>
      <c r="Y170" s="209"/>
      <c r="Z170" s="209"/>
      <c r="AA170" s="209"/>
      <c r="AB170" s="209"/>
      <c r="AC170" s="209"/>
    </row>
    <row r="171" spans="1:29">
      <c r="A171" s="275"/>
      <c r="B171" s="276"/>
      <c r="C171" s="277"/>
      <c r="D171" s="277"/>
      <c r="E171" s="277"/>
      <c r="F171" s="277"/>
      <c r="G171" s="277"/>
      <c r="H171" s="277"/>
      <c r="I171" s="277"/>
      <c r="J171" s="164" t="str">
        <f ca="1">IF(Calculations!A$2:A$356=TODAY(),C171+D171,"")</f>
        <v/>
      </c>
      <c r="K171" s="165" t="str">
        <f ca="1">IF(Calculations!A$2:A$356=TODAY()-1,C171+D171,"")</f>
        <v/>
      </c>
      <c r="L171" s="189"/>
      <c r="M171" s="189"/>
      <c r="N171" s="189"/>
      <c r="O171" s="189"/>
      <c r="P171" s="189"/>
      <c r="Q171" s="189"/>
      <c r="R171" s="189"/>
      <c r="S171" s="189"/>
      <c r="T171" s="189"/>
      <c r="U171" s="189"/>
      <c r="V171" s="189"/>
      <c r="W171" s="250"/>
      <c r="X171" s="209"/>
      <c r="Y171" s="209"/>
      <c r="Z171" s="209"/>
      <c r="AA171" s="209"/>
      <c r="AB171" s="209"/>
      <c r="AC171" s="209"/>
    </row>
    <row r="172" spans="1:29">
      <c r="A172" s="275"/>
      <c r="B172" s="276"/>
      <c r="C172" s="277"/>
      <c r="D172" s="277"/>
      <c r="E172" s="277"/>
      <c r="F172" s="277"/>
      <c r="G172" s="277"/>
      <c r="H172" s="277"/>
      <c r="I172" s="277"/>
      <c r="J172" s="164" t="str">
        <f ca="1">IF(Calculations!A$2:A$356=TODAY(),C172+D172,"")</f>
        <v/>
      </c>
      <c r="K172" s="165" t="str">
        <f ca="1">IF(Calculations!A$2:A$356=TODAY()-1,C172+D172,"")</f>
        <v/>
      </c>
      <c r="L172" s="189"/>
      <c r="M172" s="189"/>
      <c r="N172" s="189"/>
      <c r="O172" s="189"/>
      <c r="P172" s="189"/>
      <c r="Q172" s="189"/>
      <c r="R172" s="189"/>
      <c r="S172" s="189"/>
      <c r="T172" s="189"/>
      <c r="U172" s="189"/>
      <c r="V172" s="189"/>
      <c r="W172" s="250"/>
      <c r="X172" s="209"/>
      <c r="Y172" s="209"/>
      <c r="Z172" s="209"/>
      <c r="AA172" s="209"/>
      <c r="AB172" s="209"/>
      <c r="AC172" s="209"/>
    </row>
    <row r="173" spans="1:29">
      <c r="A173" s="275"/>
      <c r="B173" s="276"/>
      <c r="C173" s="277"/>
      <c r="D173" s="277"/>
      <c r="E173" s="277"/>
      <c r="F173" s="277"/>
      <c r="G173" s="277"/>
      <c r="H173" s="277"/>
      <c r="I173" s="277"/>
      <c r="J173" s="164" t="str">
        <f ca="1">IF(Calculations!A$2:A$356=TODAY(),C173+D173,"")</f>
        <v/>
      </c>
      <c r="K173" s="165" t="str">
        <f ca="1">IF(Calculations!A$2:A$356=TODAY()-1,C173+D173,"")</f>
        <v/>
      </c>
      <c r="L173" s="189"/>
      <c r="M173" s="189"/>
      <c r="N173" s="189"/>
      <c r="O173" s="189"/>
      <c r="P173" s="189"/>
      <c r="Q173" s="189"/>
      <c r="R173" s="189"/>
      <c r="S173" s="189"/>
      <c r="T173" s="189"/>
      <c r="U173" s="189"/>
      <c r="V173" s="189"/>
      <c r="W173" s="250"/>
      <c r="X173" s="209"/>
      <c r="Y173" s="209"/>
      <c r="Z173" s="209"/>
      <c r="AA173" s="209"/>
      <c r="AB173" s="209"/>
      <c r="AC173" s="209"/>
    </row>
    <row r="174" spans="1:29">
      <c r="A174" s="275"/>
      <c r="B174" s="276"/>
      <c r="C174" s="277"/>
      <c r="D174" s="277"/>
      <c r="E174" s="277"/>
      <c r="F174" s="277"/>
      <c r="G174" s="277"/>
      <c r="H174" s="277"/>
      <c r="I174" s="277"/>
      <c r="J174" s="164" t="str">
        <f ca="1">IF(Calculations!A$2:A$356=TODAY(),C174+D174,"")</f>
        <v/>
      </c>
      <c r="K174" s="165" t="str">
        <f ca="1">IF(Calculations!A$2:A$356=TODAY()-1,C174+D174,"")</f>
        <v/>
      </c>
      <c r="L174" s="189"/>
      <c r="M174" s="189"/>
      <c r="N174" s="189"/>
      <c r="O174" s="189"/>
      <c r="P174" s="189"/>
      <c r="Q174" s="189"/>
      <c r="R174" s="189"/>
      <c r="S174" s="189"/>
      <c r="T174" s="189"/>
      <c r="U174" s="189"/>
      <c r="V174" s="189"/>
      <c r="W174" s="250"/>
      <c r="X174" s="209"/>
      <c r="Y174" s="209"/>
      <c r="Z174" s="209"/>
      <c r="AA174" s="209"/>
      <c r="AB174" s="209"/>
      <c r="AC174" s="209"/>
    </row>
    <row r="175" spans="1:29">
      <c r="A175" s="275"/>
      <c r="B175" s="276"/>
      <c r="C175" s="277"/>
      <c r="D175" s="277"/>
      <c r="E175" s="277"/>
      <c r="F175" s="277"/>
      <c r="G175" s="277"/>
      <c r="H175" s="277"/>
      <c r="I175" s="277"/>
      <c r="J175" s="164" t="str">
        <f ca="1">IF(Calculations!A$2:A$356=TODAY(),C175+D175,"")</f>
        <v/>
      </c>
      <c r="K175" s="165" t="str">
        <f ca="1">IF(Calculations!A$2:A$356=TODAY()-1,C175+D175,"")</f>
        <v/>
      </c>
      <c r="L175" s="189"/>
      <c r="M175" s="189"/>
      <c r="N175" s="189"/>
      <c r="O175" s="189"/>
      <c r="P175" s="189"/>
      <c r="Q175" s="189"/>
      <c r="R175" s="189"/>
      <c r="S175" s="189"/>
      <c r="T175" s="189"/>
      <c r="U175" s="189"/>
      <c r="V175" s="189"/>
      <c r="W175" s="250"/>
      <c r="X175" s="209"/>
      <c r="Y175" s="209"/>
      <c r="Z175" s="209"/>
      <c r="AA175" s="209"/>
      <c r="AB175" s="209"/>
      <c r="AC175" s="209"/>
    </row>
    <row r="176" spans="1:29">
      <c r="A176" s="275"/>
      <c r="B176" s="276"/>
      <c r="C176" s="277"/>
      <c r="D176" s="277"/>
      <c r="E176" s="277"/>
      <c r="F176" s="277"/>
      <c r="G176" s="277"/>
      <c r="H176" s="277"/>
      <c r="I176" s="277"/>
      <c r="J176" s="164" t="str">
        <f ca="1">IF(Calculations!A$2:A$356=TODAY(),C176+D176,"")</f>
        <v/>
      </c>
      <c r="K176" s="165" t="str">
        <f ca="1">IF(Calculations!A$2:A$356=TODAY()-1,C176+D176,"")</f>
        <v/>
      </c>
      <c r="L176" s="189"/>
      <c r="M176" s="189"/>
      <c r="N176" s="189"/>
      <c r="O176" s="189"/>
      <c r="P176" s="189"/>
      <c r="Q176" s="189"/>
      <c r="R176" s="189"/>
      <c r="S176" s="189"/>
      <c r="T176" s="189"/>
      <c r="U176" s="189"/>
      <c r="V176" s="189"/>
      <c r="W176" s="250"/>
      <c r="X176" s="209"/>
      <c r="Y176" s="209"/>
      <c r="Z176" s="209"/>
      <c r="AA176" s="209"/>
      <c r="AB176" s="209"/>
      <c r="AC176" s="209"/>
    </row>
    <row r="177" spans="1:29">
      <c r="A177" s="275"/>
      <c r="B177" s="276"/>
      <c r="C177" s="277"/>
      <c r="D177" s="277"/>
      <c r="E177" s="277"/>
      <c r="F177" s="277"/>
      <c r="G177" s="277"/>
      <c r="H177" s="277"/>
      <c r="I177" s="277"/>
      <c r="J177" s="164" t="str">
        <f ca="1">IF(Calculations!A$2:A$356=TODAY(),C177+D177,"")</f>
        <v/>
      </c>
      <c r="K177" s="165" t="str">
        <f ca="1">IF(Calculations!A$2:A$356=TODAY()-1,C177+D177,"")</f>
        <v/>
      </c>
      <c r="L177" s="189"/>
      <c r="M177" s="189"/>
      <c r="N177" s="189"/>
      <c r="O177" s="189"/>
      <c r="P177" s="189"/>
      <c r="Q177" s="189"/>
      <c r="R177" s="189"/>
      <c r="S177" s="189"/>
      <c r="T177" s="189"/>
      <c r="U177" s="189"/>
      <c r="V177" s="189"/>
      <c r="W177" s="250"/>
      <c r="X177" s="209"/>
      <c r="Y177" s="209"/>
      <c r="Z177" s="209"/>
      <c r="AA177" s="209"/>
      <c r="AB177" s="209"/>
      <c r="AC177" s="209"/>
    </row>
    <row r="178" spans="1:29">
      <c r="A178" s="275"/>
      <c r="B178" s="276"/>
      <c r="C178" s="277"/>
      <c r="D178" s="277"/>
      <c r="E178" s="277"/>
      <c r="F178" s="277"/>
      <c r="G178" s="277"/>
      <c r="H178" s="277"/>
      <c r="I178" s="277"/>
      <c r="J178" s="164" t="str">
        <f ca="1">IF(Calculations!A$2:A$356=TODAY(),C178+D178,"")</f>
        <v/>
      </c>
      <c r="K178" s="165" t="str">
        <f ca="1">IF(Calculations!A$2:A$356=TODAY()-1,C178+D178,"")</f>
        <v/>
      </c>
      <c r="L178" s="189"/>
      <c r="M178" s="189"/>
      <c r="N178" s="189"/>
      <c r="O178" s="189"/>
      <c r="P178" s="189"/>
      <c r="Q178" s="189"/>
      <c r="R178" s="189"/>
      <c r="S178" s="189"/>
      <c r="T178" s="189"/>
      <c r="U178" s="189"/>
      <c r="V178" s="189"/>
      <c r="W178" s="250"/>
      <c r="X178" s="209"/>
      <c r="Y178" s="209"/>
      <c r="Z178" s="209"/>
      <c r="AA178" s="209"/>
      <c r="AB178" s="209"/>
      <c r="AC178" s="209"/>
    </row>
    <row r="179" spans="1:29">
      <c r="A179" s="275"/>
      <c r="B179" s="276"/>
      <c r="C179" s="277"/>
      <c r="D179" s="277"/>
      <c r="E179" s="277"/>
      <c r="F179" s="277"/>
      <c r="G179" s="277"/>
      <c r="H179" s="277"/>
      <c r="I179" s="277"/>
      <c r="J179" s="164" t="str">
        <f ca="1">IF(Calculations!A$2:A$356=TODAY(),C179+D179,"")</f>
        <v/>
      </c>
      <c r="K179" s="165" t="str">
        <f ca="1">IF(Calculations!A$2:A$356=TODAY()-1,C179+D179,"")</f>
        <v/>
      </c>
      <c r="L179" s="189"/>
      <c r="M179" s="189"/>
      <c r="N179" s="189"/>
      <c r="O179" s="189"/>
      <c r="P179" s="189"/>
      <c r="Q179" s="189"/>
      <c r="R179" s="189"/>
      <c r="S179" s="189"/>
      <c r="T179" s="189"/>
      <c r="U179" s="189"/>
      <c r="V179" s="189"/>
      <c r="W179" s="250"/>
      <c r="X179" s="209"/>
      <c r="Y179" s="209"/>
      <c r="Z179" s="209"/>
      <c r="AA179" s="209"/>
      <c r="AB179" s="209"/>
      <c r="AC179" s="209"/>
    </row>
    <row r="180" spans="1:29">
      <c r="A180" s="275"/>
      <c r="B180" s="276"/>
      <c r="C180" s="277"/>
      <c r="D180" s="277"/>
      <c r="E180" s="277"/>
      <c r="F180" s="277"/>
      <c r="G180" s="277"/>
      <c r="H180" s="277"/>
      <c r="I180" s="277"/>
      <c r="J180" s="164" t="str">
        <f ca="1">IF(Calculations!A$2:A$356=TODAY(),C180+D180,"")</f>
        <v/>
      </c>
      <c r="K180" s="165" t="str">
        <f ca="1">IF(Calculations!A$2:A$356=TODAY()-1,C180+D180,"")</f>
        <v/>
      </c>
      <c r="L180" s="189"/>
      <c r="M180" s="189"/>
      <c r="N180" s="189"/>
      <c r="O180" s="189"/>
      <c r="P180" s="189"/>
      <c r="Q180" s="189"/>
      <c r="R180" s="189"/>
      <c r="S180" s="189"/>
      <c r="T180" s="189"/>
      <c r="U180" s="189"/>
      <c r="V180" s="189"/>
      <c r="W180" s="250"/>
      <c r="X180" s="209"/>
      <c r="Y180" s="209"/>
      <c r="Z180" s="209"/>
      <c r="AA180" s="209"/>
      <c r="AB180" s="209"/>
      <c r="AC180" s="209"/>
    </row>
    <row r="181" spans="1:29">
      <c r="A181" s="275"/>
      <c r="B181" s="276"/>
      <c r="C181" s="277"/>
      <c r="D181" s="277"/>
      <c r="E181" s="277"/>
      <c r="F181" s="277"/>
      <c r="G181" s="277"/>
      <c r="H181" s="277"/>
      <c r="I181" s="277"/>
      <c r="J181" s="164" t="str">
        <f ca="1">IF(Calculations!A$2:A$356=TODAY(),C181+D181,"")</f>
        <v/>
      </c>
      <c r="K181" s="165" t="str">
        <f ca="1">IF(Calculations!A$2:A$356=TODAY()-1,C181+D181,"")</f>
        <v/>
      </c>
      <c r="L181" s="189"/>
      <c r="M181" s="189"/>
      <c r="N181" s="189"/>
      <c r="O181" s="189"/>
      <c r="P181" s="189"/>
      <c r="Q181" s="189"/>
      <c r="R181" s="189"/>
      <c r="S181" s="189"/>
      <c r="T181" s="189"/>
      <c r="U181" s="189"/>
      <c r="V181" s="189"/>
      <c r="W181" s="250"/>
      <c r="X181" s="209"/>
      <c r="Y181" s="209"/>
      <c r="Z181" s="209"/>
      <c r="AA181" s="209"/>
      <c r="AB181" s="209"/>
      <c r="AC181" s="209"/>
    </row>
    <row r="182" spans="1:29">
      <c r="A182" s="275"/>
      <c r="B182" s="276"/>
      <c r="C182" s="277"/>
      <c r="D182" s="277"/>
      <c r="E182" s="277"/>
      <c r="F182" s="277"/>
      <c r="G182" s="277"/>
      <c r="H182" s="277"/>
      <c r="I182" s="277"/>
      <c r="J182" s="164" t="str">
        <f ca="1">IF(Calculations!A$2:A$356=TODAY(),C182+D182,"")</f>
        <v/>
      </c>
      <c r="K182" s="165" t="str">
        <f ca="1">IF(Calculations!A$2:A$356=TODAY()-1,C182+D182,"")</f>
        <v/>
      </c>
      <c r="L182" s="189"/>
      <c r="M182" s="189"/>
      <c r="N182" s="189"/>
      <c r="O182" s="189"/>
      <c r="P182" s="189"/>
      <c r="Q182" s="189"/>
      <c r="R182" s="189"/>
      <c r="S182" s="189"/>
      <c r="T182" s="189"/>
      <c r="U182" s="189"/>
      <c r="V182" s="189"/>
      <c r="W182" s="250"/>
      <c r="X182" s="209"/>
      <c r="Y182" s="209"/>
      <c r="Z182" s="209"/>
      <c r="AA182" s="209"/>
      <c r="AB182" s="209"/>
      <c r="AC182" s="209"/>
    </row>
    <row r="183" spans="1:29">
      <c r="A183" s="275"/>
      <c r="B183" s="276"/>
      <c r="C183" s="277"/>
      <c r="D183" s="277"/>
      <c r="E183" s="277"/>
      <c r="F183" s="277"/>
      <c r="G183" s="277"/>
      <c r="H183" s="277"/>
      <c r="I183" s="277"/>
      <c r="J183" s="164" t="str">
        <f ca="1">IF(Calculations!A$2:A$356=TODAY(),C183+D183,"")</f>
        <v/>
      </c>
      <c r="K183" s="165" t="str">
        <f ca="1">IF(Calculations!A$2:A$356=TODAY()-1,C183+D183,"")</f>
        <v/>
      </c>
      <c r="L183" s="189"/>
      <c r="M183" s="189"/>
      <c r="N183" s="189"/>
      <c r="O183" s="189"/>
      <c r="P183" s="189"/>
      <c r="Q183" s="189"/>
      <c r="R183" s="189"/>
      <c r="S183" s="189"/>
      <c r="T183" s="189"/>
      <c r="U183" s="189"/>
      <c r="V183" s="189"/>
      <c r="W183" s="250"/>
      <c r="X183" s="209"/>
      <c r="Y183" s="209"/>
      <c r="Z183" s="209"/>
      <c r="AA183" s="209"/>
      <c r="AB183" s="209"/>
      <c r="AC183" s="209"/>
    </row>
    <row r="184" spans="1:29">
      <c r="A184" s="275"/>
      <c r="B184" s="276"/>
      <c r="C184" s="277"/>
      <c r="D184" s="277"/>
      <c r="E184" s="277"/>
      <c r="F184" s="277"/>
      <c r="G184" s="277"/>
      <c r="H184" s="277"/>
      <c r="I184" s="277"/>
      <c r="J184" s="164" t="str">
        <f ca="1">IF(Calculations!A$2:A$356=TODAY(),C184+D184,"")</f>
        <v/>
      </c>
      <c r="K184" s="165" t="str">
        <f ca="1">IF(Calculations!A$2:A$356=TODAY()-1,C184+D184,"")</f>
        <v/>
      </c>
      <c r="L184" s="189"/>
      <c r="M184" s="189"/>
      <c r="N184" s="189"/>
      <c r="O184" s="189"/>
      <c r="P184" s="189"/>
      <c r="Q184" s="189"/>
      <c r="R184" s="189"/>
      <c r="S184" s="189"/>
      <c r="T184" s="189"/>
      <c r="U184" s="189"/>
      <c r="V184" s="189"/>
      <c r="W184" s="250"/>
      <c r="X184" s="209"/>
      <c r="Y184" s="209"/>
      <c r="Z184" s="209"/>
      <c r="AA184" s="209"/>
      <c r="AB184" s="209"/>
      <c r="AC184" s="209"/>
    </row>
    <row r="185" spans="1:29">
      <c r="A185" s="275"/>
      <c r="B185" s="276"/>
      <c r="C185" s="277"/>
      <c r="D185" s="277"/>
      <c r="E185" s="277"/>
      <c r="F185" s="277"/>
      <c r="G185" s="277"/>
      <c r="H185" s="277"/>
      <c r="I185" s="277"/>
      <c r="J185" s="164" t="str">
        <f ca="1">IF(Calculations!A$2:A$356=TODAY(),C185+D185,"")</f>
        <v/>
      </c>
      <c r="K185" s="165" t="str">
        <f ca="1">IF(Calculations!A$2:A$356=TODAY()-1,C185+D185,"")</f>
        <v/>
      </c>
      <c r="L185" s="189"/>
      <c r="M185" s="189"/>
      <c r="N185" s="189"/>
      <c r="O185" s="189"/>
      <c r="P185" s="189"/>
      <c r="Q185" s="189"/>
      <c r="R185" s="189"/>
      <c r="S185" s="189"/>
      <c r="T185" s="189"/>
      <c r="U185" s="189"/>
      <c r="V185" s="189"/>
      <c r="W185" s="250"/>
      <c r="X185" s="209"/>
      <c r="Y185" s="209"/>
      <c r="Z185" s="209"/>
      <c r="AA185" s="209"/>
      <c r="AB185" s="209"/>
      <c r="AC185" s="209"/>
    </row>
    <row r="186" spans="1:29">
      <c r="A186" s="275"/>
      <c r="B186" s="276"/>
      <c r="C186" s="277"/>
      <c r="D186" s="277"/>
      <c r="E186" s="277"/>
      <c r="F186" s="277"/>
      <c r="G186" s="277"/>
      <c r="H186" s="277"/>
      <c r="I186" s="277"/>
      <c r="J186" s="164" t="str">
        <f ca="1">IF(Calculations!A$2:A$356=TODAY(),C186+D186,"")</f>
        <v/>
      </c>
      <c r="K186" s="165" t="str">
        <f ca="1">IF(Calculations!A$2:A$356=TODAY()-1,C186+D186,"")</f>
        <v/>
      </c>
      <c r="L186" s="189"/>
      <c r="M186" s="189"/>
      <c r="N186" s="189"/>
      <c r="O186" s="189"/>
      <c r="P186" s="189"/>
      <c r="Q186" s="189"/>
      <c r="R186" s="189"/>
      <c r="S186" s="189"/>
      <c r="T186" s="189"/>
      <c r="U186" s="189"/>
      <c r="V186" s="189"/>
      <c r="W186" s="250"/>
      <c r="X186" s="209"/>
      <c r="Y186" s="209"/>
      <c r="Z186" s="209"/>
      <c r="AA186" s="209"/>
      <c r="AB186" s="209"/>
      <c r="AC186" s="209"/>
    </row>
    <row r="187" spans="1:29">
      <c r="A187" s="275"/>
      <c r="B187" s="276"/>
      <c r="C187" s="277"/>
      <c r="D187" s="277"/>
      <c r="E187" s="277"/>
      <c r="F187" s="277"/>
      <c r="G187" s="277"/>
      <c r="H187" s="277"/>
      <c r="I187" s="277"/>
      <c r="J187" s="164" t="str">
        <f ca="1">IF(Calculations!A$2:A$356=TODAY(),C187+D187,"")</f>
        <v/>
      </c>
      <c r="K187" s="165" t="str">
        <f ca="1">IF(Calculations!A$2:A$356=TODAY()-1,C187+D187,"")</f>
        <v/>
      </c>
      <c r="L187" s="189"/>
      <c r="M187" s="189"/>
      <c r="N187" s="189"/>
      <c r="O187" s="189"/>
      <c r="P187" s="189"/>
      <c r="Q187" s="189"/>
      <c r="R187" s="189"/>
      <c r="S187" s="189"/>
      <c r="T187" s="189"/>
      <c r="U187" s="189"/>
      <c r="V187" s="189"/>
      <c r="W187" s="250"/>
      <c r="X187" s="209"/>
      <c r="Y187" s="209"/>
      <c r="Z187" s="209"/>
      <c r="AA187" s="209"/>
      <c r="AB187" s="209"/>
      <c r="AC187" s="209"/>
    </row>
    <row r="188" spans="1:29">
      <c r="A188" s="275"/>
      <c r="B188" s="276"/>
      <c r="C188" s="277"/>
      <c r="D188" s="277"/>
      <c r="E188" s="277"/>
      <c r="F188" s="277"/>
      <c r="G188" s="277"/>
      <c r="H188" s="277"/>
      <c r="I188" s="277"/>
      <c r="J188" s="164" t="str">
        <f ca="1">IF(Calculations!A$2:A$356=TODAY(),C188+D188,"")</f>
        <v/>
      </c>
      <c r="K188" s="165" t="str">
        <f ca="1">IF(Calculations!A$2:A$356=TODAY()-1,C188+D188,"")</f>
        <v/>
      </c>
      <c r="L188" s="189"/>
      <c r="M188" s="189"/>
      <c r="N188" s="189"/>
      <c r="O188" s="189"/>
      <c r="P188" s="189"/>
      <c r="Q188" s="189"/>
      <c r="R188" s="189"/>
      <c r="S188" s="189"/>
      <c r="T188" s="189"/>
      <c r="U188" s="189"/>
      <c r="V188" s="189"/>
      <c r="W188" s="250"/>
      <c r="X188" s="209"/>
      <c r="Y188" s="209"/>
      <c r="Z188" s="209"/>
      <c r="AA188" s="209"/>
      <c r="AB188" s="209"/>
      <c r="AC188" s="209"/>
    </row>
    <row r="189" spans="1:29">
      <c r="A189" s="275"/>
      <c r="B189" s="276"/>
      <c r="C189" s="277"/>
      <c r="D189" s="277"/>
      <c r="E189" s="277"/>
      <c r="F189" s="277"/>
      <c r="G189" s="277"/>
      <c r="H189" s="277"/>
      <c r="I189" s="277"/>
      <c r="J189" s="164" t="str">
        <f ca="1">IF(Calculations!A$2:A$356=TODAY(),C189+D189,"")</f>
        <v/>
      </c>
      <c r="K189" s="165" t="str">
        <f ca="1">IF(Calculations!A$2:A$356=TODAY()-1,C189+D189,"")</f>
        <v/>
      </c>
      <c r="L189" s="189"/>
      <c r="M189" s="189"/>
      <c r="N189" s="189"/>
      <c r="O189" s="189"/>
      <c r="P189" s="189"/>
      <c r="Q189" s="189"/>
      <c r="R189" s="189"/>
      <c r="S189" s="189"/>
      <c r="T189" s="189"/>
      <c r="U189" s="189"/>
      <c r="V189" s="189"/>
      <c r="W189" s="250"/>
      <c r="X189" s="209"/>
      <c r="Y189" s="209"/>
      <c r="Z189" s="209"/>
      <c r="AA189" s="209"/>
      <c r="AB189" s="209"/>
      <c r="AC189" s="209"/>
    </row>
    <row r="190" spans="1:29">
      <c r="A190" s="275"/>
      <c r="B190" s="276"/>
      <c r="C190" s="277"/>
      <c r="D190" s="277"/>
      <c r="E190" s="277"/>
      <c r="F190" s="277"/>
      <c r="G190" s="277"/>
      <c r="H190" s="277"/>
      <c r="I190" s="277"/>
      <c r="J190" s="164" t="str">
        <f ca="1">IF(Calculations!A$2:A$356=TODAY(),C190+D190,"")</f>
        <v/>
      </c>
      <c r="K190" s="165" t="str">
        <f ca="1">IF(Calculations!A$2:A$356=TODAY()-1,C190+D190,"")</f>
        <v/>
      </c>
      <c r="L190" s="189"/>
      <c r="M190" s="189"/>
      <c r="N190" s="189"/>
      <c r="O190" s="189"/>
      <c r="P190" s="189"/>
      <c r="Q190" s="189"/>
      <c r="R190" s="189"/>
      <c r="S190" s="189"/>
      <c r="T190" s="189"/>
      <c r="U190" s="189"/>
      <c r="V190" s="189"/>
      <c r="W190" s="250"/>
      <c r="X190" s="209"/>
      <c r="Y190" s="209"/>
      <c r="Z190" s="209"/>
      <c r="AA190" s="209"/>
      <c r="AB190" s="209"/>
      <c r="AC190" s="209"/>
    </row>
    <row r="191" spans="1:29">
      <c r="A191" s="275"/>
      <c r="B191" s="276"/>
      <c r="C191" s="277"/>
      <c r="D191" s="277"/>
      <c r="E191" s="277"/>
      <c r="F191" s="277"/>
      <c r="G191" s="277"/>
      <c r="H191" s="277"/>
      <c r="I191" s="277"/>
      <c r="J191" s="164" t="str">
        <f ca="1">IF(Calculations!A$2:A$356=TODAY(),C191+D191,"")</f>
        <v/>
      </c>
      <c r="K191" s="165" t="str">
        <f ca="1">IF(Calculations!A$2:A$356=TODAY()-1,C191+D191,"")</f>
        <v/>
      </c>
      <c r="L191" s="189"/>
      <c r="M191" s="189"/>
      <c r="N191" s="189"/>
      <c r="O191" s="189"/>
      <c r="P191" s="189"/>
      <c r="Q191" s="189"/>
      <c r="R191" s="189"/>
      <c r="S191" s="189"/>
      <c r="T191" s="189"/>
      <c r="U191" s="189"/>
      <c r="V191" s="189"/>
      <c r="W191" s="250"/>
      <c r="X191" s="209"/>
      <c r="Y191" s="209"/>
      <c r="Z191" s="209"/>
      <c r="AA191" s="209"/>
      <c r="AB191" s="209"/>
      <c r="AC191" s="209"/>
    </row>
    <row r="192" spans="1:29">
      <c r="A192" s="275"/>
      <c r="B192" s="276"/>
      <c r="C192" s="277"/>
      <c r="D192" s="277"/>
      <c r="E192" s="277"/>
      <c r="F192" s="277"/>
      <c r="G192" s="277"/>
      <c r="H192" s="277"/>
      <c r="I192" s="277"/>
      <c r="J192" s="164" t="str">
        <f ca="1">IF(Calculations!A$2:A$356=TODAY(),C192+D192,"")</f>
        <v/>
      </c>
      <c r="K192" s="165" t="str">
        <f ca="1">IF(Calculations!A$2:A$356=TODAY()-1,C192+D192,"")</f>
        <v/>
      </c>
      <c r="L192" s="189"/>
      <c r="M192" s="189"/>
      <c r="N192" s="189"/>
      <c r="O192" s="189"/>
      <c r="P192" s="189"/>
      <c r="Q192" s="189"/>
      <c r="R192" s="189"/>
      <c r="S192" s="189"/>
      <c r="T192" s="189"/>
      <c r="U192" s="189"/>
      <c r="V192" s="189"/>
      <c r="W192" s="250"/>
      <c r="X192" s="209"/>
      <c r="Y192" s="209"/>
      <c r="Z192" s="209"/>
      <c r="AA192" s="209"/>
      <c r="AB192" s="209"/>
      <c r="AC192" s="209"/>
    </row>
    <row r="193" spans="1:29">
      <c r="A193" s="275"/>
      <c r="B193" s="276"/>
      <c r="C193" s="277"/>
      <c r="D193" s="277"/>
      <c r="E193" s="277"/>
      <c r="F193" s="277"/>
      <c r="G193" s="277"/>
      <c r="H193" s="277"/>
      <c r="I193" s="277"/>
      <c r="J193" s="164" t="str">
        <f ca="1">IF(Calculations!A$2:A$356=TODAY(),C193+D193,"")</f>
        <v/>
      </c>
      <c r="K193" s="165" t="str">
        <f ca="1">IF(Calculations!A$2:A$356=TODAY()-1,C193+D193,"")</f>
        <v/>
      </c>
      <c r="L193" s="189"/>
      <c r="M193" s="189"/>
      <c r="N193" s="189"/>
      <c r="O193" s="189"/>
      <c r="P193" s="189"/>
      <c r="Q193" s="189"/>
      <c r="R193" s="189"/>
      <c r="S193" s="189"/>
      <c r="T193" s="189"/>
      <c r="U193" s="189"/>
      <c r="V193" s="189"/>
      <c r="W193" s="250"/>
      <c r="X193" s="209"/>
      <c r="Y193" s="209"/>
      <c r="Z193" s="209"/>
      <c r="AA193" s="209"/>
      <c r="AB193" s="209"/>
      <c r="AC193" s="209"/>
    </row>
    <row r="194" spans="1:29">
      <c r="A194" s="275"/>
      <c r="B194" s="276"/>
      <c r="C194" s="277"/>
      <c r="D194" s="277"/>
      <c r="E194" s="277"/>
      <c r="F194" s="277"/>
      <c r="G194" s="277"/>
      <c r="H194" s="277"/>
      <c r="I194" s="277"/>
      <c r="J194" s="164" t="str">
        <f ca="1">IF(Calculations!A$2:A$356=TODAY(),C194+D194,"")</f>
        <v/>
      </c>
      <c r="K194" s="165" t="str">
        <f ca="1">IF(Calculations!A$2:A$356=TODAY()-1,C194+D194,"")</f>
        <v/>
      </c>
      <c r="L194" s="189"/>
      <c r="M194" s="189"/>
      <c r="N194" s="189"/>
      <c r="O194" s="189"/>
      <c r="P194" s="189"/>
      <c r="Q194" s="189"/>
      <c r="R194" s="189"/>
      <c r="S194" s="189"/>
      <c r="T194" s="189"/>
      <c r="U194" s="189"/>
      <c r="V194" s="189"/>
      <c r="W194" s="250"/>
      <c r="X194" s="209"/>
      <c r="Y194" s="209"/>
      <c r="Z194" s="209"/>
      <c r="AA194" s="209"/>
      <c r="AB194" s="209"/>
      <c r="AC194" s="209"/>
    </row>
    <row r="195" spans="1:29">
      <c r="A195" s="275"/>
      <c r="B195" s="276"/>
      <c r="C195" s="277"/>
      <c r="D195" s="277"/>
      <c r="E195" s="277"/>
      <c r="F195" s="277"/>
      <c r="G195" s="277"/>
      <c r="H195" s="277"/>
      <c r="I195" s="277"/>
      <c r="J195" s="164" t="str">
        <f ca="1">IF(Calculations!A$2:A$356=TODAY(),C195+D195,"")</f>
        <v/>
      </c>
      <c r="K195" s="165" t="str">
        <f ca="1">IF(Calculations!A$2:A$356=TODAY()-1,C195+D195,"")</f>
        <v/>
      </c>
      <c r="L195" s="189"/>
      <c r="M195" s="189"/>
      <c r="N195" s="189"/>
      <c r="O195" s="189"/>
      <c r="P195" s="189"/>
      <c r="Q195" s="189"/>
      <c r="R195" s="189"/>
      <c r="S195" s="189"/>
      <c r="T195" s="189"/>
      <c r="U195" s="189"/>
      <c r="V195" s="189"/>
      <c r="W195" s="250"/>
      <c r="X195" s="209"/>
      <c r="Y195" s="209"/>
      <c r="Z195" s="209"/>
      <c r="AA195" s="209"/>
      <c r="AB195" s="209"/>
      <c r="AC195" s="209"/>
    </row>
    <row r="196" spans="1:29">
      <c r="A196" s="275"/>
      <c r="B196" s="276"/>
      <c r="C196" s="277"/>
      <c r="D196" s="277"/>
      <c r="E196" s="277"/>
      <c r="F196" s="277"/>
      <c r="G196" s="277"/>
      <c r="H196" s="277"/>
      <c r="I196" s="277"/>
      <c r="J196" s="164" t="str">
        <f ca="1">IF(Calculations!A$2:A$356=TODAY(),C196+D196,"")</f>
        <v/>
      </c>
      <c r="K196" s="165" t="str">
        <f ca="1">IF(Calculations!A$2:A$356=TODAY()-1,C196+D196,"")</f>
        <v/>
      </c>
      <c r="L196" s="189"/>
      <c r="M196" s="189"/>
      <c r="N196" s="189"/>
      <c r="O196" s="189"/>
      <c r="P196" s="189"/>
      <c r="Q196" s="189"/>
      <c r="R196" s="189"/>
      <c r="S196" s="189"/>
      <c r="T196" s="189"/>
      <c r="U196" s="189"/>
      <c r="V196" s="189"/>
      <c r="W196" s="250"/>
      <c r="X196" s="209"/>
      <c r="Y196" s="209"/>
      <c r="Z196" s="209"/>
      <c r="AA196" s="209"/>
      <c r="AB196" s="209"/>
      <c r="AC196" s="209"/>
    </row>
    <row r="197" spans="1:29">
      <c r="A197" s="275"/>
      <c r="B197" s="276"/>
      <c r="C197" s="277"/>
      <c r="D197" s="277"/>
      <c r="E197" s="277"/>
      <c r="F197" s="277"/>
      <c r="G197" s="277"/>
      <c r="H197" s="277"/>
      <c r="I197" s="277"/>
      <c r="J197" s="164" t="str">
        <f ca="1">IF(Calculations!A$2:A$356=TODAY(),C197+D197,"")</f>
        <v/>
      </c>
      <c r="K197" s="165" t="str">
        <f ca="1">IF(Calculations!A$2:A$356=TODAY()-1,C197+D197,"")</f>
        <v/>
      </c>
      <c r="L197" s="189"/>
      <c r="M197" s="189"/>
      <c r="N197" s="189"/>
      <c r="O197" s="189"/>
      <c r="P197" s="189"/>
      <c r="Q197" s="189"/>
      <c r="R197" s="189"/>
      <c r="S197" s="189"/>
      <c r="T197" s="189"/>
      <c r="U197" s="189"/>
      <c r="V197" s="189"/>
      <c r="W197" s="250"/>
      <c r="X197" s="209"/>
      <c r="Y197" s="209"/>
      <c r="Z197" s="209"/>
      <c r="AA197" s="209"/>
      <c r="AB197" s="209"/>
      <c r="AC197" s="209"/>
    </row>
    <row r="198" spans="1:29">
      <c r="A198" s="275"/>
      <c r="B198" s="276"/>
      <c r="C198" s="277"/>
      <c r="D198" s="277"/>
      <c r="E198" s="277"/>
      <c r="F198" s="277"/>
      <c r="G198" s="277"/>
      <c r="H198" s="277"/>
      <c r="I198" s="277"/>
      <c r="J198" s="164" t="str">
        <f ca="1">IF(Calculations!A$2:A$356=TODAY(),C198+D198,"")</f>
        <v/>
      </c>
      <c r="K198" s="165" t="str">
        <f ca="1">IF(Calculations!A$2:A$356=TODAY()-1,C198+D198,"")</f>
        <v/>
      </c>
      <c r="L198" s="189"/>
      <c r="M198" s="189"/>
      <c r="N198" s="189"/>
      <c r="O198" s="189"/>
      <c r="P198" s="189"/>
      <c r="Q198" s="189"/>
      <c r="R198" s="189"/>
      <c r="S198" s="189"/>
      <c r="T198" s="189"/>
      <c r="U198" s="189"/>
      <c r="V198" s="189"/>
      <c r="W198" s="250"/>
      <c r="X198" s="209"/>
      <c r="Y198" s="209"/>
      <c r="Z198" s="209"/>
      <c r="AA198" s="209"/>
      <c r="AB198" s="209"/>
      <c r="AC198" s="209"/>
    </row>
    <row r="199" spans="1:29">
      <c r="A199" s="275"/>
      <c r="B199" s="276"/>
      <c r="C199" s="277"/>
      <c r="D199" s="277"/>
      <c r="E199" s="277"/>
      <c r="F199" s="277"/>
      <c r="G199" s="277"/>
      <c r="H199" s="277"/>
      <c r="I199" s="277"/>
      <c r="J199" s="164" t="str">
        <f ca="1">IF(Calculations!A$2:A$356=TODAY(),C199+D199,"")</f>
        <v/>
      </c>
      <c r="K199" s="165" t="str">
        <f ca="1">IF(Calculations!A$2:A$356=TODAY()-1,C199+D199,"")</f>
        <v/>
      </c>
      <c r="L199" s="189"/>
      <c r="M199" s="189"/>
      <c r="N199" s="189"/>
      <c r="O199" s="189"/>
      <c r="P199" s="189"/>
      <c r="Q199" s="189"/>
      <c r="R199" s="189"/>
      <c r="S199" s="189"/>
      <c r="T199" s="189"/>
      <c r="U199" s="189"/>
      <c r="V199" s="189"/>
      <c r="W199" s="250"/>
      <c r="X199" s="209"/>
      <c r="Y199" s="209"/>
      <c r="Z199" s="209"/>
      <c r="AA199" s="209"/>
      <c r="AB199" s="209"/>
      <c r="AC199" s="209"/>
    </row>
    <row r="200" spans="1:29">
      <c r="A200" s="275"/>
      <c r="B200" s="276"/>
      <c r="C200" s="277"/>
      <c r="D200" s="277"/>
      <c r="E200" s="277"/>
      <c r="F200" s="277"/>
      <c r="G200" s="277"/>
      <c r="H200" s="277"/>
      <c r="I200" s="277"/>
      <c r="J200" s="164" t="str">
        <f ca="1">IF(Calculations!A$2:A$356=TODAY(),C200+D200,"")</f>
        <v/>
      </c>
      <c r="K200" s="165" t="str">
        <f ca="1">IF(Calculations!A$2:A$356=TODAY()-1,C200+D200,"")</f>
        <v/>
      </c>
      <c r="L200" s="189"/>
      <c r="M200" s="189"/>
      <c r="N200" s="189"/>
      <c r="O200" s="189"/>
      <c r="P200" s="189"/>
      <c r="Q200" s="189"/>
      <c r="R200" s="189"/>
      <c r="S200" s="189"/>
      <c r="T200" s="189"/>
      <c r="U200" s="189"/>
      <c r="V200" s="189"/>
      <c r="W200" s="250"/>
      <c r="X200" s="209"/>
      <c r="Y200" s="209"/>
      <c r="Z200" s="209"/>
      <c r="AA200" s="209"/>
      <c r="AB200" s="209"/>
      <c r="AC200" s="209"/>
    </row>
    <row r="201" spans="1:29">
      <c r="A201" s="275"/>
      <c r="B201" s="276"/>
      <c r="C201" s="277"/>
      <c r="D201" s="277"/>
      <c r="E201" s="277"/>
      <c r="F201" s="277"/>
      <c r="G201" s="277"/>
      <c r="H201" s="277"/>
      <c r="I201" s="277"/>
      <c r="J201" s="164" t="str">
        <f ca="1">IF(Calculations!A$2:A$356=TODAY(),C201+D201,"")</f>
        <v/>
      </c>
      <c r="K201" s="165" t="str">
        <f ca="1">IF(Calculations!A$2:A$356=TODAY()-1,C201+D201,"")</f>
        <v/>
      </c>
      <c r="L201" s="189"/>
      <c r="M201" s="189"/>
      <c r="N201" s="189"/>
      <c r="O201" s="189"/>
      <c r="P201" s="189"/>
      <c r="Q201" s="189"/>
      <c r="R201" s="189"/>
      <c r="S201" s="189"/>
      <c r="T201" s="189"/>
      <c r="U201" s="189"/>
      <c r="V201" s="189"/>
      <c r="W201" s="250"/>
      <c r="X201" s="209"/>
      <c r="Y201" s="209"/>
      <c r="Z201" s="209"/>
      <c r="AA201" s="209"/>
      <c r="AB201" s="209"/>
      <c r="AC201" s="209"/>
    </row>
    <row r="202" spans="1:29">
      <c r="A202" s="275"/>
      <c r="B202" s="276"/>
      <c r="C202" s="277"/>
      <c r="D202" s="277"/>
      <c r="E202" s="277"/>
      <c r="F202" s="277"/>
      <c r="G202" s="277"/>
      <c r="H202" s="277"/>
      <c r="I202" s="277"/>
      <c r="J202" s="164" t="str">
        <f ca="1">IF(Calculations!A$2:A$356=TODAY(),C202+D202,"")</f>
        <v/>
      </c>
      <c r="K202" s="165" t="str">
        <f ca="1">IF(Calculations!A$2:A$356=TODAY()-1,C202+D202,"")</f>
        <v/>
      </c>
      <c r="L202" s="189"/>
      <c r="M202" s="189"/>
      <c r="N202" s="189"/>
      <c r="O202" s="189"/>
      <c r="P202" s="189"/>
      <c r="Q202" s="189"/>
      <c r="R202" s="189"/>
      <c r="S202" s="189"/>
      <c r="T202" s="189"/>
      <c r="U202" s="189"/>
      <c r="V202" s="189"/>
      <c r="W202" s="250"/>
      <c r="X202" s="209"/>
      <c r="Y202" s="209"/>
      <c r="Z202" s="209"/>
      <c r="AA202" s="209"/>
      <c r="AB202" s="209"/>
      <c r="AC202" s="209"/>
    </row>
    <row r="203" spans="1:29">
      <c r="A203" s="275"/>
      <c r="B203" s="276"/>
      <c r="C203" s="277"/>
      <c r="D203" s="277"/>
      <c r="E203" s="277"/>
      <c r="F203" s="277"/>
      <c r="G203" s="277"/>
      <c r="H203" s="277"/>
      <c r="I203" s="277"/>
      <c r="J203" s="164" t="str">
        <f ca="1">IF(Calculations!A$2:A$356=TODAY(),C203+D203,"")</f>
        <v/>
      </c>
      <c r="K203" s="165" t="str">
        <f ca="1">IF(Calculations!A$2:A$356=TODAY()-1,C203+D203,"")</f>
        <v/>
      </c>
      <c r="L203" s="189"/>
      <c r="M203" s="189"/>
      <c r="N203" s="189"/>
      <c r="O203" s="189"/>
      <c r="P203" s="189"/>
      <c r="Q203" s="189"/>
      <c r="R203" s="189"/>
      <c r="S203" s="189"/>
      <c r="T203" s="189"/>
      <c r="U203" s="189"/>
      <c r="V203" s="189"/>
      <c r="W203" s="250"/>
      <c r="X203" s="209"/>
      <c r="Y203" s="209"/>
      <c r="Z203" s="209"/>
      <c r="AA203" s="209"/>
      <c r="AB203" s="209"/>
      <c r="AC203" s="209"/>
    </row>
    <row r="204" spans="1:29">
      <c r="A204" s="275"/>
      <c r="B204" s="276"/>
      <c r="C204" s="277"/>
      <c r="D204" s="277"/>
      <c r="E204" s="277"/>
      <c r="F204" s="277"/>
      <c r="G204" s="277"/>
      <c r="H204" s="277"/>
      <c r="I204" s="277"/>
      <c r="J204" s="164" t="str">
        <f ca="1">IF(Calculations!A$2:A$356=TODAY(),C204+D204,"")</f>
        <v/>
      </c>
      <c r="K204" s="165" t="str">
        <f ca="1">IF(Calculations!A$2:A$356=TODAY()-1,C204+D204,"")</f>
        <v/>
      </c>
      <c r="L204" s="189"/>
      <c r="M204" s="189"/>
      <c r="N204" s="189"/>
      <c r="O204" s="189"/>
      <c r="P204" s="189"/>
      <c r="Q204" s="189"/>
      <c r="R204" s="189"/>
      <c r="S204" s="189"/>
      <c r="T204" s="189"/>
      <c r="U204" s="189"/>
      <c r="V204" s="189"/>
      <c r="W204" s="250"/>
      <c r="X204" s="209"/>
      <c r="Y204" s="209"/>
      <c r="Z204" s="209"/>
      <c r="AA204" s="209"/>
      <c r="AB204" s="209"/>
      <c r="AC204" s="209"/>
    </row>
    <row r="205" spans="1:29">
      <c r="A205" s="275"/>
      <c r="B205" s="276"/>
      <c r="C205" s="277"/>
      <c r="D205" s="277"/>
      <c r="E205" s="277"/>
      <c r="F205" s="277"/>
      <c r="G205" s="277"/>
      <c r="H205" s="277"/>
      <c r="I205" s="277"/>
      <c r="J205" s="164" t="str">
        <f ca="1">IF(Calculations!A$2:A$356=TODAY(),C205+D205,"")</f>
        <v/>
      </c>
      <c r="K205" s="165" t="str">
        <f ca="1">IF(Calculations!A$2:A$356=TODAY()-1,C205+D205,"")</f>
        <v/>
      </c>
      <c r="L205" s="189"/>
      <c r="M205" s="189"/>
      <c r="N205" s="189"/>
      <c r="O205" s="189"/>
      <c r="P205" s="189"/>
      <c r="Q205" s="189"/>
      <c r="R205" s="189"/>
      <c r="S205" s="189"/>
      <c r="T205" s="189"/>
      <c r="U205" s="189"/>
      <c r="V205" s="189"/>
      <c r="W205" s="250"/>
      <c r="X205" s="209"/>
      <c r="Y205" s="209"/>
      <c r="Z205" s="209"/>
      <c r="AA205" s="209"/>
      <c r="AB205" s="209"/>
      <c r="AC205" s="209"/>
    </row>
    <row r="206" spans="1:29">
      <c r="A206" s="275"/>
      <c r="B206" s="276"/>
      <c r="C206" s="277"/>
      <c r="D206" s="277"/>
      <c r="E206" s="277"/>
      <c r="F206" s="277"/>
      <c r="G206" s="277"/>
      <c r="H206" s="277"/>
      <c r="I206" s="277"/>
      <c r="J206" s="164" t="str">
        <f ca="1">IF(Calculations!A$2:A$356=TODAY(),C206+D206,"")</f>
        <v/>
      </c>
      <c r="K206" s="165" t="str">
        <f ca="1">IF(Calculations!A$2:A$356=TODAY()-1,C206+D206,"")</f>
        <v/>
      </c>
      <c r="L206" s="189"/>
      <c r="M206" s="189"/>
      <c r="N206" s="189"/>
      <c r="O206" s="189"/>
      <c r="P206" s="189"/>
      <c r="Q206" s="189"/>
      <c r="R206" s="189"/>
      <c r="S206" s="189"/>
      <c r="T206" s="189"/>
      <c r="U206" s="189"/>
      <c r="V206" s="189"/>
      <c r="W206" s="250"/>
      <c r="X206" s="209"/>
      <c r="Y206" s="209"/>
      <c r="Z206" s="209"/>
      <c r="AA206" s="209"/>
      <c r="AB206" s="209"/>
      <c r="AC206" s="209"/>
    </row>
    <row r="207" spans="1:29">
      <c r="A207" s="275"/>
      <c r="B207" s="276"/>
      <c r="C207" s="277"/>
      <c r="D207" s="277"/>
      <c r="E207" s="277"/>
      <c r="F207" s="277"/>
      <c r="G207" s="277"/>
      <c r="H207" s="277"/>
      <c r="I207" s="277"/>
      <c r="J207" s="164" t="str">
        <f ca="1">IF(Calculations!A$2:A$356=TODAY(),C207+D207,"")</f>
        <v/>
      </c>
      <c r="K207" s="165" t="str">
        <f ca="1">IF(Calculations!A$2:A$356=TODAY()-1,C207+D207,"")</f>
        <v/>
      </c>
      <c r="L207" s="189"/>
      <c r="M207" s="189"/>
      <c r="N207" s="189"/>
      <c r="O207" s="189"/>
      <c r="P207" s="189"/>
      <c r="Q207" s="189"/>
      <c r="R207" s="189"/>
      <c r="S207" s="189"/>
      <c r="T207" s="189"/>
      <c r="U207" s="189"/>
      <c r="V207" s="189"/>
      <c r="W207" s="250"/>
      <c r="X207" s="209"/>
      <c r="Y207" s="209"/>
      <c r="Z207" s="209"/>
      <c r="AA207" s="209"/>
      <c r="AB207" s="209"/>
      <c r="AC207" s="209"/>
    </row>
    <row r="208" spans="1:29">
      <c r="A208" s="275"/>
      <c r="B208" s="276"/>
      <c r="C208" s="277"/>
      <c r="D208" s="277"/>
      <c r="E208" s="277"/>
      <c r="F208" s="277"/>
      <c r="G208" s="277"/>
      <c r="H208" s="277"/>
      <c r="I208" s="277"/>
      <c r="J208" s="164" t="str">
        <f ca="1">IF(Calculations!A$2:A$356=TODAY(),C208+D208,"")</f>
        <v/>
      </c>
      <c r="K208" s="165" t="str">
        <f ca="1">IF(Calculations!A$2:A$356=TODAY()-1,C208+D208,"")</f>
        <v/>
      </c>
      <c r="L208" s="189"/>
      <c r="M208" s="189"/>
      <c r="N208" s="189"/>
      <c r="O208" s="189"/>
      <c r="P208" s="189"/>
      <c r="Q208" s="189"/>
      <c r="R208" s="189"/>
      <c r="S208" s="189"/>
      <c r="T208" s="189"/>
      <c r="U208" s="189"/>
      <c r="V208" s="189"/>
      <c r="W208" s="250"/>
      <c r="X208" s="209"/>
      <c r="Y208" s="209"/>
      <c r="Z208" s="209"/>
      <c r="AA208" s="209"/>
      <c r="AB208" s="209"/>
      <c r="AC208" s="209"/>
    </row>
    <row r="209" spans="1:29">
      <c r="A209" s="275"/>
      <c r="B209" s="276"/>
      <c r="C209" s="277"/>
      <c r="D209" s="277"/>
      <c r="E209" s="277"/>
      <c r="F209" s="277"/>
      <c r="G209" s="277"/>
      <c r="H209" s="277"/>
      <c r="I209" s="277"/>
      <c r="J209" s="164" t="str">
        <f ca="1">IF(Calculations!A$2:A$356=TODAY(),C209+D209,"")</f>
        <v/>
      </c>
      <c r="K209" s="165" t="str">
        <f ca="1">IF(Calculations!A$2:A$356=TODAY()-1,C209+D209,"")</f>
        <v/>
      </c>
      <c r="L209" s="189"/>
      <c r="M209" s="189"/>
      <c r="N209" s="189"/>
      <c r="O209" s="189"/>
      <c r="P209" s="189"/>
      <c r="Q209" s="189"/>
      <c r="R209" s="189"/>
      <c r="S209" s="189"/>
      <c r="T209" s="189"/>
      <c r="U209" s="189"/>
      <c r="V209" s="189"/>
      <c r="W209" s="250"/>
      <c r="X209" s="209"/>
      <c r="Y209" s="209"/>
      <c r="Z209" s="209"/>
      <c r="AA209" s="209"/>
      <c r="AB209" s="209"/>
      <c r="AC209" s="209"/>
    </row>
    <row r="210" spans="1:29">
      <c r="A210" s="275"/>
      <c r="B210" s="276"/>
      <c r="C210" s="277"/>
      <c r="D210" s="277"/>
      <c r="E210" s="277"/>
      <c r="F210" s="277"/>
      <c r="G210" s="277"/>
      <c r="H210" s="277"/>
      <c r="I210" s="277"/>
      <c r="J210" s="164" t="str">
        <f ca="1">IF(Calculations!A$2:A$356=TODAY(),C210+D210,"")</f>
        <v/>
      </c>
      <c r="K210" s="165" t="str">
        <f ca="1">IF(Calculations!A$2:A$356=TODAY()-1,C210+D210,"")</f>
        <v/>
      </c>
      <c r="L210" s="189"/>
      <c r="M210" s="189"/>
      <c r="N210" s="189"/>
      <c r="O210" s="189"/>
      <c r="P210" s="189"/>
      <c r="Q210" s="189"/>
      <c r="R210" s="189"/>
      <c r="S210" s="189"/>
      <c r="T210" s="189"/>
      <c r="U210" s="189"/>
      <c r="V210" s="189"/>
      <c r="W210" s="250"/>
      <c r="X210" s="209"/>
      <c r="Y210" s="209"/>
      <c r="Z210" s="209"/>
      <c r="AA210" s="209"/>
      <c r="AB210" s="209"/>
      <c r="AC210" s="209"/>
    </row>
    <row r="211" spans="1:29">
      <c r="A211" s="275"/>
      <c r="B211" s="276"/>
      <c r="C211" s="277"/>
      <c r="D211" s="277"/>
      <c r="E211" s="277"/>
      <c r="F211" s="277"/>
      <c r="G211" s="277"/>
      <c r="H211" s="277"/>
      <c r="I211" s="277"/>
      <c r="J211" s="164" t="str">
        <f ca="1">IF(Calculations!A$2:A$356=TODAY(),C211+D211,"")</f>
        <v/>
      </c>
      <c r="K211" s="165" t="str">
        <f ca="1">IF(Calculations!A$2:A$356=TODAY()-1,C211+D211,"")</f>
        <v/>
      </c>
      <c r="L211" s="189"/>
      <c r="M211" s="189"/>
      <c r="N211" s="189"/>
      <c r="O211" s="189"/>
      <c r="P211" s="189"/>
      <c r="Q211" s="189"/>
      <c r="R211" s="189"/>
      <c r="S211" s="189"/>
      <c r="T211" s="189"/>
      <c r="U211" s="189"/>
      <c r="V211" s="189"/>
      <c r="W211" s="250"/>
      <c r="X211" s="209"/>
      <c r="Y211" s="209"/>
      <c r="Z211" s="209"/>
      <c r="AA211" s="209"/>
      <c r="AB211" s="209"/>
      <c r="AC211" s="209"/>
    </row>
    <row r="212" spans="1:29">
      <c r="A212" s="275"/>
      <c r="B212" s="276"/>
      <c r="C212" s="277"/>
      <c r="D212" s="277"/>
      <c r="E212" s="277"/>
      <c r="F212" s="277"/>
      <c r="G212" s="277"/>
      <c r="H212" s="277"/>
      <c r="I212" s="277"/>
      <c r="J212" s="164" t="str">
        <f ca="1">IF(Calculations!A$2:A$356=TODAY(),C212+D212,"")</f>
        <v/>
      </c>
      <c r="K212" s="165" t="str">
        <f ca="1">IF(Calculations!A$2:A$356=TODAY()-1,C212+D212,"")</f>
        <v/>
      </c>
      <c r="L212" s="189"/>
      <c r="M212" s="189"/>
      <c r="N212" s="189"/>
      <c r="O212" s="189"/>
      <c r="P212" s="189"/>
      <c r="Q212" s="189"/>
      <c r="R212" s="189"/>
      <c r="S212" s="189"/>
      <c r="T212" s="189"/>
      <c r="U212" s="189"/>
      <c r="V212" s="189"/>
      <c r="W212" s="250"/>
      <c r="X212" s="209"/>
      <c r="Y212" s="209"/>
      <c r="Z212" s="209"/>
      <c r="AA212" s="209"/>
      <c r="AB212" s="209"/>
      <c r="AC212" s="209"/>
    </row>
    <row r="213" spans="1:29">
      <c r="A213" s="275"/>
      <c r="B213" s="276"/>
      <c r="C213" s="277"/>
      <c r="D213" s="277"/>
      <c r="E213" s="277"/>
      <c r="F213" s="277"/>
      <c r="G213" s="277"/>
      <c r="H213" s="277"/>
      <c r="I213" s="277"/>
      <c r="J213" s="164" t="str">
        <f ca="1">IF(Calculations!A$2:A$356=TODAY(),C213+D213,"")</f>
        <v/>
      </c>
      <c r="K213" s="165" t="str">
        <f ca="1">IF(Calculations!A$2:A$356=TODAY()-1,C213+D213,"")</f>
        <v/>
      </c>
      <c r="L213" s="189"/>
      <c r="M213" s="189"/>
      <c r="N213" s="189"/>
      <c r="O213" s="189"/>
      <c r="P213" s="189"/>
      <c r="Q213" s="189"/>
      <c r="R213" s="189"/>
      <c r="S213" s="189"/>
      <c r="T213" s="189"/>
      <c r="U213" s="189"/>
      <c r="V213" s="189"/>
      <c r="W213" s="250"/>
      <c r="X213" s="209"/>
      <c r="Y213" s="209"/>
      <c r="Z213" s="209"/>
      <c r="AA213" s="209"/>
      <c r="AB213" s="209"/>
      <c r="AC213" s="209"/>
    </row>
    <row r="214" spans="1:29">
      <c r="A214" s="275"/>
      <c r="B214" s="276"/>
      <c r="C214" s="277"/>
      <c r="D214" s="277"/>
      <c r="E214" s="277"/>
      <c r="F214" s="277"/>
      <c r="G214" s="277"/>
      <c r="H214" s="277"/>
      <c r="I214" s="277"/>
      <c r="J214" s="164" t="str">
        <f ca="1">IF(Calculations!A$2:A$356=TODAY(),C214+D214,"")</f>
        <v/>
      </c>
      <c r="K214" s="165" t="str">
        <f ca="1">IF(Calculations!A$2:A$356=TODAY()-1,C214+D214,"")</f>
        <v/>
      </c>
      <c r="L214" s="189"/>
      <c r="M214" s="189"/>
      <c r="N214" s="189"/>
      <c r="O214" s="189"/>
      <c r="P214" s="189"/>
      <c r="Q214" s="189"/>
      <c r="R214" s="189"/>
      <c r="S214" s="189"/>
      <c r="T214" s="189"/>
      <c r="U214" s="189"/>
      <c r="V214" s="189"/>
      <c r="W214" s="250"/>
      <c r="X214" s="209"/>
      <c r="Y214" s="209"/>
      <c r="Z214" s="209"/>
      <c r="AA214" s="209"/>
      <c r="AB214" s="209"/>
      <c r="AC214" s="209"/>
    </row>
    <row r="215" spans="1:29">
      <c r="A215" s="275"/>
      <c r="B215" s="276"/>
      <c r="C215" s="277"/>
      <c r="D215" s="277"/>
      <c r="E215" s="277"/>
      <c r="F215" s="277"/>
      <c r="G215" s="277"/>
      <c r="H215" s="277"/>
      <c r="I215" s="277"/>
      <c r="J215" s="164" t="str">
        <f ca="1">IF(Calculations!A$2:A$356=TODAY(),C215+D215,"")</f>
        <v/>
      </c>
      <c r="K215" s="165" t="str">
        <f ca="1">IF(Calculations!A$2:A$356=TODAY()-1,C215+D215,"")</f>
        <v/>
      </c>
      <c r="L215" s="189"/>
      <c r="M215" s="189"/>
      <c r="N215" s="189"/>
      <c r="O215" s="189"/>
      <c r="P215" s="189"/>
      <c r="Q215" s="189"/>
      <c r="R215" s="189"/>
      <c r="S215" s="189"/>
      <c r="T215" s="189"/>
      <c r="U215" s="189"/>
      <c r="V215" s="189"/>
      <c r="W215" s="250"/>
      <c r="X215" s="209"/>
      <c r="Y215" s="209"/>
      <c r="Z215" s="209"/>
      <c r="AA215" s="209"/>
      <c r="AB215" s="209"/>
      <c r="AC215" s="209"/>
    </row>
    <row r="216" spans="1:29">
      <c r="A216" s="275"/>
      <c r="B216" s="276"/>
      <c r="C216" s="277"/>
      <c r="D216" s="277"/>
      <c r="E216" s="277"/>
      <c r="F216" s="277"/>
      <c r="G216" s="277"/>
      <c r="H216" s="277"/>
      <c r="I216" s="277"/>
      <c r="J216" s="164" t="str">
        <f ca="1">IF(Calculations!A$2:A$356=TODAY(),C216+D216,"")</f>
        <v/>
      </c>
      <c r="K216" s="165" t="str">
        <f ca="1">IF(Calculations!A$2:A$356=TODAY()-1,C216+D216,"")</f>
        <v/>
      </c>
      <c r="L216" s="189"/>
      <c r="M216" s="189"/>
      <c r="N216" s="189"/>
      <c r="O216" s="189"/>
      <c r="P216" s="189"/>
      <c r="Q216" s="189"/>
      <c r="R216" s="189"/>
      <c r="S216" s="189"/>
      <c r="T216" s="189"/>
      <c r="U216" s="189"/>
      <c r="V216" s="189"/>
      <c r="W216" s="250"/>
      <c r="X216" s="209"/>
      <c r="Y216" s="209"/>
      <c r="Z216" s="209"/>
      <c r="AA216" s="209"/>
      <c r="AB216" s="209"/>
      <c r="AC216" s="209"/>
    </row>
    <row r="217" spans="1:29">
      <c r="A217" s="275"/>
      <c r="B217" s="276"/>
      <c r="C217" s="277"/>
      <c r="D217" s="277"/>
      <c r="E217" s="277"/>
      <c r="F217" s="277"/>
      <c r="G217" s="277"/>
      <c r="H217" s="277"/>
      <c r="I217" s="277"/>
      <c r="J217" s="164" t="str">
        <f ca="1">IF(Calculations!A$2:A$356=TODAY(),C217+D217,"")</f>
        <v/>
      </c>
      <c r="K217" s="165" t="str">
        <f ca="1">IF(Calculations!A$2:A$356=TODAY()-1,C217+D217,"")</f>
        <v/>
      </c>
      <c r="L217" s="189"/>
      <c r="M217" s="189"/>
      <c r="N217" s="189"/>
      <c r="O217" s="189"/>
      <c r="P217" s="189"/>
      <c r="Q217" s="189"/>
      <c r="R217" s="189"/>
      <c r="S217" s="189"/>
      <c r="T217" s="189"/>
      <c r="U217" s="189"/>
      <c r="V217" s="189"/>
      <c r="W217" s="250"/>
      <c r="X217" s="209"/>
      <c r="Y217" s="209"/>
      <c r="Z217" s="209"/>
      <c r="AA217" s="209"/>
      <c r="AB217" s="209"/>
      <c r="AC217" s="209"/>
    </row>
    <row r="218" spans="1:29">
      <c r="A218" s="275"/>
      <c r="B218" s="276"/>
      <c r="C218" s="277"/>
      <c r="D218" s="277"/>
      <c r="E218" s="277"/>
      <c r="F218" s="277"/>
      <c r="G218" s="277"/>
      <c r="H218" s="277"/>
      <c r="I218" s="277"/>
      <c r="J218" s="164" t="str">
        <f ca="1">IF(Calculations!A$2:A$356=TODAY(),C218+D218,"")</f>
        <v/>
      </c>
      <c r="K218" s="165" t="str">
        <f ca="1">IF(Calculations!A$2:A$356=TODAY()-1,C218+D218,"")</f>
        <v/>
      </c>
      <c r="L218" s="189"/>
      <c r="M218" s="189"/>
      <c r="N218" s="189"/>
      <c r="O218" s="189"/>
      <c r="P218" s="189"/>
      <c r="Q218" s="189"/>
      <c r="R218" s="189"/>
      <c r="S218" s="189"/>
      <c r="T218" s="189"/>
      <c r="U218" s="189"/>
      <c r="V218" s="189"/>
      <c r="W218" s="250"/>
      <c r="X218" s="209"/>
      <c r="Y218" s="209"/>
      <c r="Z218" s="209"/>
      <c r="AA218" s="209"/>
      <c r="AB218" s="209"/>
      <c r="AC218" s="209"/>
    </row>
    <row r="219" spans="1:29">
      <c r="A219" s="275"/>
      <c r="B219" s="276"/>
      <c r="C219" s="277"/>
      <c r="D219" s="277"/>
      <c r="E219" s="277"/>
      <c r="F219" s="277"/>
      <c r="G219" s="277"/>
      <c r="H219" s="277"/>
      <c r="I219" s="277"/>
      <c r="J219" s="164" t="str">
        <f ca="1">IF(Calculations!A$2:A$356=TODAY(),C219+D219,"")</f>
        <v/>
      </c>
      <c r="K219" s="165" t="str">
        <f ca="1">IF(Calculations!A$2:A$356=TODAY()-1,C219+D219,"")</f>
        <v/>
      </c>
      <c r="L219" s="189"/>
      <c r="M219" s="189"/>
      <c r="N219" s="189"/>
      <c r="O219" s="189"/>
      <c r="P219" s="189"/>
      <c r="Q219" s="189"/>
      <c r="R219" s="189"/>
      <c r="S219" s="189"/>
      <c r="T219" s="189"/>
      <c r="U219" s="189"/>
      <c r="V219" s="189"/>
      <c r="W219" s="250"/>
      <c r="X219" s="209"/>
      <c r="Y219" s="209"/>
      <c r="Z219" s="209"/>
      <c r="AA219" s="209"/>
      <c r="AB219" s="209"/>
      <c r="AC219" s="209"/>
    </row>
    <row r="220" spans="1:29">
      <c r="A220" s="275"/>
      <c r="B220" s="276"/>
      <c r="C220" s="277"/>
      <c r="D220" s="277"/>
      <c r="E220" s="277"/>
      <c r="F220" s="277"/>
      <c r="G220" s="277"/>
      <c r="H220" s="277"/>
      <c r="I220" s="277"/>
      <c r="J220" s="164" t="str">
        <f ca="1">IF(Calculations!A$2:A$356=TODAY(),C220+D220,"")</f>
        <v/>
      </c>
      <c r="K220" s="165" t="str">
        <f ca="1">IF(Calculations!A$2:A$356=TODAY()-1,C220+D220,"")</f>
        <v/>
      </c>
      <c r="L220" s="189"/>
      <c r="M220" s="189"/>
      <c r="N220" s="189"/>
      <c r="O220" s="189"/>
      <c r="P220" s="189"/>
      <c r="Q220" s="189"/>
      <c r="R220" s="189"/>
      <c r="S220" s="189"/>
      <c r="T220" s="189"/>
      <c r="U220" s="189"/>
      <c r="V220" s="189"/>
      <c r="W220" s="250"/>
      <c r="X220" s="209"/>
      <c r="Y220" s="209"/>
      <c r="Z220" s="209"/>
      <c r="AA220" s="209"/>
      <c r="AB220" s="209"/>
      <c r="AC220" s="209"/>
    </row>
    <row r="221" spans="1:29">
      <c r="A221" s="275"/>
      <c r="B221" s="276"/>
      <c r="C221" s="277"/>
      <c r="D221" s="277"/>
      <c r="E221" s="277"/>
      <c r="F221" s="277"/>
      <c r="G221" s="277"/>
      <c r="H221" s="277"/>
      <c r="I221" s="277"/>
      <c r="J221" s="164" t="str">
        <f ca="1">IF(Calculations!A$2:A$356=TODAY(),C221+D221,"")</f>
        <v/>
      </c>
      <c r="K221" s="165" t="str">
        <f ca="1">IF(Calculations!A$2:A$356=TODAY()-1,C221+D221,"")</f>
        <v/>
      </c>
      <c r="L221" s="189"/>
      <c r="M221" s="189"/>
      <c r="N221" s="189"/>
      <c r="O221" s="189"/>
      <c r="P221" s="189"/>
      <c r="Q221" s="189"/>
      <c r="R221" s="189"/>
      <c r="S221" s="189"/>
      <c r="T221" s="189"/>
      <c r="U221" s="189"/>
      <c r="V221" s="189"/>
      <c r="W221" s="250"/>
      <c r="X221" s="209"/>
      <c r="Y221" s="209"/>
      <c r="Z221" s="209"/>
      <c r="AA221" s="209"/>
      <c r="AB221" s="209"/>
      <c r="AC221" s="209"/>
    </row>
    <row r="222" spans="1:29">
      <c r="A222" s="275"/>
      <c r="B222" s="276"/>
      <c r="C222" s="277"/>
      <c r="D222" s="277"/>
      <c r="E222" s="277"/>
      <c r="F222" s="277"/>
      <c r="G222" s="277"/>
      <c r="H222" s="277"/>
      <c r="I222" s="277"/>
      <c r="J222" s="164" t="str">
        <f ca="1">IF(Calculations!A$2:A$356=TODAY(),C222+D222,"")</f>
        <v/>
      </c>
      <c r="K222" s="165" t="str">
        <f ca="1">IF(Calculations!A$2:A$356=TODAY()-1,C222+D222,"")</f>
        <v/>
      </c>
      <c r="L222" s="189"/>
      <c r="M222" s="189"/>
      <c r="N222" s="189"/>
      <c r="O222" s="189"/>
      <c r="P222" s="189"/>
      <c r="Q222" s="189"/>
      <c r="R222" s="189"/>
      <c r="S222" s="189"/>
      <c r="T222" s="189"/>
      <c r="U222" s="189"/>
      <c r="V222" s="189"/>
      <c r="W222" s="250"/>
      <c r="X222" s="209"/>
      <c r="Y222" s="209"/>
      <c r="Z222" s="209"/>
      <c r="AA222" s="209"/>
      <c r="AB222" s="209"/>
      <c r="AC222" s="209"/>
    </row>
    <row r="223" spans="1:29">
      <c r="A223" s="275"/>
      <c r="B223" s="276"/>
      <c r="C223" s="277"/>
      <c r="D223" s="277"/>
      <c r="E223" s="277"/>
      <c r="F223" s="277"/>
      <c r="G223" s="277"/>
      <c r="H223" s="277"/>
      <c r="I223" s="277"/>
      <c r="J223" s="164" t="str">
        <f ca="1">IF(Calculations!A$2:A$356=TODAY(),C223+D223,"")</f>
        <v/>
      </c>
      <c r="K223" s="165" t="str">
        <f ca="1">IF(Calculations!A$2:A$356=TODAY()-1,C223+D223,"")</f>
        <v/>
      </c>
      <c r="L223" s="189"/>
      <c r="M223" s="189"/>
      <c r="N223" s="189"/>
      <c r="O223" s="189"/>
      <c r="P223" s="189"/>
      <c r="Q223" s="189"/>
      <c r="R223" s="189"/>
      <c r="S223" s="189"/>
      <c r="T223" s="189"/>
      <c r="U223" s="189"/>
      <c r="V223" s="189"/>
      <c r="W223" s="250"/>
      <c r="X223" s="209"/>
      <c r="Y223" s="209"/>
      <c r="Z223" s="209"/>
      <c r="AA223" s="209"/>
      <c r="AB223" s="209"/>
      <c r="AC223" s="209"/>
    </row>
    <row r="224" spans="1:29">
      <c r="A224" s="275"/>
      <c r="B224" s="276"/>
      <c r="C224" s="277"/>
      <c r="D224" s="277"/>
      <c r="E224" s="277"/>
      <c r="F224" s="277"/>
      <c r="G224" s="277"/>
      <c r="H224" s="277"/>
      <c r="I224" s="277"/>
      <c r="J224" s="164" t="str">
        <f ca="1">IF(Calculations!A$2:A$356=TODAY(),C224+D224,"")</f>
        <v/>
      </c>
      <c r="K224" s="165" t="str">
        <f ca="1">IF(Calculations!A$2:A$356=TODAY()-1,C224+D224,"")</f>
        <v/>
      </c>
      <c r="L224" s="189"/>
      <c r="M224" s="189"/>
      <c r="N224" s="189"/>
      <c r="O224" s="189"/>
      <c r="P224" s="189"/>
      <c r="Q224" s="189"/>
      <c r="R224" s="189"/>
      <c r="S224" s="189"/>
      <c r="T224" s="189"/>
      <c r="U224" s="189"/>
      <c r="V224" s="189"/>
      <c r="W224" s="250"/>
      <c r="X224" s="209"/>
      <c r="Y224" s="209"/>
      <c r="Z224" s="209"/>
      <c r="AA224" s="209"/>
      <c r="AB224" s="209"/>
      <c r="AC224" s="209"/>
    </row>
    <row r="225" spans="1:29">
      <c r="A225" s="275"/>
      <c r="B225" s="276"/>
      <c r="C225" s="277"/>
      <c r="D225" s="277"/>
      <c r="E225" s="277"/>
      <c r="F225" s="277"/>
      <c r="G225" s="277"/>
      <c r="H225" s="277"/>
      <c r="I225" s="277"/>
      <c r="J225" s="164" t="str">
        <f ca="1">IF(Calculations!A$2:A$356=TODAY(),C225+D225,"")</f>
        <v/>
      </c>
      <c r="K225" s="165" t="str">
        <f ca="1">IF(Calculations!A$2:A$356=TODAY()-1,C225+D225,"")</f>
        <v/>
      </c>
      <c r="L225" s="189"/>
      <c r="M225" s="189"/>
      <c r="N225" s="189"/>
      <c r="O225" s="189"/>
      <c r="P225" s="189"/>
      <c r="Q225" s="189"/>
      <c r="R225" s="189"/>
      <c r="S225" s="189"/>
      <c r="T225" s="189"/>
      <c r="U225" s="189"/>
      <c r="V225" s="189"/>
      <c r="W225" s="250"/>
      <c r="X225" s="209"/>
      <c r="Y225" s="209"/>
      <c r="Z225" s="209"/>
      <c r="AA225" s="209"/>
      <c r="AB225" s="209"/>
      <c r="AC225" s="209"/>
    </row>
    <row r="226" spans="1:29">
      <c r="A226" s="275"/>
      <c r="B226" s="276"/>
      <c r="C226" s="277"/>
      <c r="D226" s="277"/>
      <c r="E226" s="277"/>
      <c r="F226" s="277"/>
      <c r="G226" s="277"/>
      <c r="H226" s="277"/>
      <c r="I226" s="277"/>
      <c r="J226" s="164" t="str">
        <f ca="1">IF(Calculations!A$2:A$356=TODAY(),C226+D226,"")</f>
        <v/>
      </c>
      <c r="K226" s="165" t="str">
        <f ca="1">IF(Calculations!A$2:A$356=TODAY()-1,C226+D226,"")</f>
        <v/>
      </c>
      <c r="L226" s="189"/>
      <c r="M226" s="189"/>
      <c r="N226" s="189"/>
      <c r="O226" s="189"/>
      <c r="P226" s="189"/>
      <c r="Q226" s="189"/>
      <c r="R226" s="189"/>
      <c r="S226" s="189"/>
      <c r="T226" s="189"/>
      <c r="U226" s="189"/>
      <c r="V226" s="189"/>
      <c r="W226" s="250"/>
      <c r="X226" s="209"/>
      <c r="Y226" s="209"/>
      <c r="Z226" s="209"/>
      <c r="AA226" s="209"/>
      <c r="AB226" s="209"/>
      <c r="AC226" s="209"/>
    </row>
    <row r="227" spans="1:29">
      <c r="A227" s="275"/>
      <c r="B227" s="276"/>
      <c r="C227" s="277"/>
      <c r="D227" s="277"/>
      <c r="E227" s="277"/>
      <c r="F227" s="277"/>
      <c r="G227" s="277"/>
      <c r="H227" s="277"/>
      <c r="I227" s="277"/>
      <c r="J227" s="164" t="str">
        <f ca="1">IF(Calculations!A$2:A$356=TODAY(),C227+D227,"")</f>
        <v/>
      </c>
      <c r="K227" s="165" t="str">
        <f ca="1">IF(Calculations!A$2:A$356=TODAY()-1,C227+D227,"")</f>
        <v/>
      </c>
      <c r="L227" s="189"/>
      <c r="M227" s="189"/>
      <c r="N227" s="189"/>
      <c r="O227" s="189"/>
      <c r="P227" s="189"/>
      <c r="Q227" s="189"/>
      <c r="R227" s="189"/>
      <c r="S227" s="189"/>
      <c r="T227" s="189"/>
      <c r="U227" s="189"/>
      <c r="V227" s="189"/>
      <c r="W227" s="250"/>
      <c r="X227" s="209"/>
      <c r="Y227" s="209"/>
      <c r="Z227" s="209"/>
      <c r="AA227" s="209"/>
      <c r="AB227" s="209"/>
      <c r="AC227" s="209"/>
    </row>
    <row r="228" spans="1:29">
      <c r="A228" s="275"/>
      <c r="B228" s="276"/>
      <c r="C228" s="277"/>
      <c r="D228" s="277"/>
      <c r="E228" s="277"/>
      <c r="F228" s="277"/>
      <c r="G228" s="277"/>
      <c r="H228" s="277"/>
      <c r="I228" s="277"/>
      <c r="J228" s="164" t="str">
        <f ca="1">IF(Calculations!A$2:A$356=TODAY(),C228+D228,"")</f>
        <v/>
      </c>
      <c r="K228" s="165" t="str">
        <f ca="1">IF(Calculations!A$2:A$356=TODAY()-1,C228+D228,"")</f>
        <v/>
      </c>
      <c r="L228" s="189"/>
      <c r="M228" s="189"/>
      <c r="N228" s="189"/>
      <c r="O228" s="189"/>
      <c r="P228" s="189"/>
      <c r="Q228" s="189"/>
      <c r="R228" s="189"/>
      <c r="S228" s="189"/>
      <c r="T228" s="189"/>
      <c r="U228" s="189"/>
      <c r="V228" s="189"/>
      <c r="W228" s="250"/>
      <c r="X228" s="209"/>
      <c r="Y228" s="209"/>
      <c r="Z228" s="209"/>
      <c r="AA228" s="209"/>
      <c r="AB228" s="209"/>
      <c r="AC228" s="209"/>
    </row>
    <row r="229" spans="1:29">
      <c r="A229" s="275"/>
      <c r="B229" s="276"/>
      <c r="C229" s="277"/>
      <c r="D229" s="277"/>
      <c r="E229" s="277"/>
      <c r="F229" s="277"/>
      <c r="G229" s="277"/>
      <c r="H229" s="277"/>
      <c r="I229" s="277"/>
      <c r="J229" s="164" t="str">
        <f ca="1">IF(Calculations!A$2:A$356=TODAY(),C229+D229,"")</f>
        <v/>
      </c>
      <c r="K229" s="165" t="str">
        <f ca="1">IF(Calculations!A$2:A$356=TODAY()-1,C229+D229,"")</f>
        <v/>
      </c>
      <c r="L229" s="189"/>
      <c r="M229" s="189"/>
      <c r="N229" s="189"/>
      <c r="O229" s="189"/>
      <c r="P229" s="189"/>
      <c r="Q229" s="189"/>
      <c r="R229" s="189"/>
      <c r="S229" s="189"/>
      <c r="T229" s="189"/>
      <c r="U229" s="189"/>
      <c r="V229" s="189"/>
      <c r="W229" s="250"/>
      <c r="X229" s="209"/>
      <c r="Y229" s="209"/>
      <c r="Z229" s="209"/>
      <c r="AA229" s="209"/>
      <c r="AB229" s="209"/>
      <c r="AC229" s="209"/>
    </row>
    <row r="230" spans="1:29">
      <c r="A230" s="275"/>
      <c r="B230" s="276"/>
      <c r="C230" s="277"/>
      <c r="D230" s="277"/>
      <c r="E230" s="277"/>
      <c r="F230" s="277"/>
      <c r="G230" s="277"/>
      <c r="H230" s="277"/>
      <c r="I230" s="277"/>
      <c r="J230" s="164" t="str">
        <f ca="1">IF(Calculations!A$2:A$356=TODAY(),C230+D230,"")</f>
        <v/>
      </c>
      <c r="K230" s="165" t="str">
        <f ca="1">IF(Calculations!A$2:A$356=TODAY()-1,C230+D230,"")</f>
        <v/>
      </c>
      <c r="L230" s="189"/>
      <c r="M230" s="189"/>
      <c r="N230" s="189"/>
      <c r="O230" s="189"/>
      <c r="P230" s="189"/>
      <c r="Q230" s="189"/>
      <c r="R230" s="189"/>
      <c r="S230" s="189"/>
      <c r="T230" s="189"/>
      <c r="U230" s="189"/>
      <c r="V230" s="189"/>
      <c r="W230" s="250"/>
      <c r="X230" s="209"/>
      <c r="Y230" s="209"/>
      <c r="Z230" s="209"/>
      <c r="AA230" s="209"/>
      <c r="AB230" s="209"/>
      <c r="AC230" s="209"/>
    </row>
    <row r="231" spans="1:29">
      <c r="A231" s="275"/>
      <c r="B231" s="276"/>
      <c r="C231" s="277"/>
      <c r="D231" s="277"/>
      <c r="E231" s="277"/>
      <c r="F231" s="277"/>
      <c r="G231" s="277"/>
      <c r="H231" s="277"/>
      <c r="I231" s="277"/>
      <c r="J231" s="164" t="str">
        <f ca="1">IF(Calculations!A$2:A$356=TODAY(),C231+D231,"")</f>
        <v/>
      </c>
      <c r="K231" s="165" t="str">
        <f ca="1">IF(Calculations!A$2:A$356=TODAY()-1,C231+D231,"")</f>
        <v/>
      </c>
      <c r="L231" s="189"/>
      <c r="M231" s="189"/>
      <c r="N231" s="189"/>
      <c r="O231" s="189"/>
      <c r="P231" s="189"/>
      <c r="Q231" s="189"/>
      <c r="R231" s="189"/>
      <c r="S231" s="189"/>
      <c r="T231" s="189"/>
      <c r="U231" s="189"/>
      <c r="V231" s="189"/>
      <c r="W231" s="250"/>
      <c r="X231" s="209"/>
      <c r="Y231" s="209"/>
      <c r="Z231" s="209"/>
      <c r="AA231" s="209"/>
      <c r="AB231" s="209"/>
      <c r="AC231" s="209"/>
    </row>
    <row r="232" spans="1:29">
      <c r="A232" s="275"/>
      <c r="B232" s="276"/>
      <c r="C232" s="277"/>
      <c r="D232" s="277"/>
      <c r="E232" s="277"/>
      <c r="F232" s="277"/>
      <c r="G232" s="277"/>
      <c r="H232" s="277"/>
      <c r="I232" s="277"/>
      <c r="J232" s="164" t="str">
        <f ca="1">IF(Calculations!A$2:A$356=TODAY(),C232+D232,"")</f>
        <v/>
      </c>
      <c r="K232" s="165" t="str">
        <f ca="1">IF(Calculations!A$2:A$356=TODAY()-1,C232+D232,"")</f>
        <v/>
      </c>
      <c r="L232" s="189"/>
      <c r="M232" s="189"/>
      <c r="N232" s="189"/>
      <c r="O232" s="189"/>
      <c r="P232" s="189"/>
      <c r="Q232" s="189"/>
      <c r="R232" s="189"/>
      <c r="S232" s="189"/>
      <c r="T232" s="189"/>
      <c r="U232" s="189"/>
      <c r="V232" s="189"/>
      <c r="W232" s="250"/>
      <c r="X232" s="209"/>
      <c r="Y232" s="209"/>
      <c r="Z232" s="209"/>
      <c r="AA232" s="209"/>
      <c r="AB232" s="209"/>
      <c r="AC232" s="209"/>
    </row>
    <row r="233" spans="1:29">
      <c r="A233" s="275"/>
      <c r="B233" s="276"/>
      <c r="C233" s="277"/>
      <c r="D233" s="277"/>
      <c r="E233" s="277"/>
      <c r="F233" s="277"/>
      <c r="G233" s="277"/>
      <c r="H233" s="277"/>
      <c r="I233" s="277"/>
      <c r="J233" s="164" t="str">
        <f ca="1">IF(Calculations!A$2:A$356=TODAY(),C233+D233,"")</f>
        <v/>
      </c>
      <c r="K233" s="165" t="str">
        <f ca="1">IF(Calculations!A$2:A$356=TODAY()-1,C233+D233,"")</f>
        <v/>
      </c>
      <c r="L233" s="189"/>
      <c r="M233" s="189"/>
      <c r="N233" s="189"/>
      <c r="O233" s="189"/>
      <c r="P233" s="189"/>
      <c r="Q233" s="189"/>
      <c r="R233" s="189"/>
      <c r="S233" s="189"/>
      <c r="T233" s="189"/>
      <c r="U233" s="189"/>
      <c r="V233" s="189"/>
      <c r="W233" s="250"/>
      <c r="X233" s="209"/>
      <c r="Y233" s="209"/>
      <c r="Z233" s="209"/>
      <c r="AA233" s="209"/>
      <c r="AB233" s="209"/>
      <c r="AC233" s="209"/>
    </row>
    <row r="234" spans="1:29">
      <c r="A234" s="275"/>
      <c r="B234" s="276"/>
      <c r="C234" s="277"/>
      <c r="D234" s="277"/>
      <c r="E234" s="277"/>
      <c r="F234" s="277"/>
      <c r="G234" s="277"/>
      <c r="H234" s="277"/>
      <c r="I234" s="277"/>
      <c r="J234" s="164" t="str">
        <f ca="1">IF(Calculations!A$2:A$356=TODAY(),C234+D234,"")</f>
        <v/>
      </c>
      <c r="K234" s="165" t="str">
        <f ca="1">IF(Calculations!A$2:A$356=TODAY()-1,C234+D234,"")</f>
        <v/>
      </c>
      <c r="L234" s="189"/>
      <c r="M234" s="189"/>
      <c r="N234" s="189"/>
      <c r="O234" s="189"/>
      <c r="P234" s="189"/>
      <c r="Q234" s="189"/>
      <c r="R234" s="189"/>
      <c r="S234" s="189"/>
      <c r="T234" s="189"/>
      <c r="U234" s="189"/>
      <c r="V234" s="189"/>
      <c r="W234" s="250"/>
      <c r="X234" s="209"/>
      <c r="Y234" s="209"/>
      <c r="Z234" s="209"/>
      <c r="AA234" s="209"/>
      <c r="AB234" s="209"/>
      <c r="AC234" s="209"/>
    </row>
    <row r="235" spans="1:29">
      <c r="A235" s="4"/>
      <c r="B235" s="23"/>
      <c r="C235" s="28"/>
      <c r="D235" s="28"/>
      <c r="E235" s="28"/>
      <c r="F235" s="28"/>
      <c r="G235" s="28"/>
      <c r="H235" s="28"/>
      <c r="I235" s="28"/>
      <c r="J235" s="28"/>
    </row>
    <row r="236" spans="1:29">
      <c r="A236" s="4"/>
      <c r="B236" s="23"/>
      <c r="C236" s="28"/>
      <c r="D236" s="28"/>
      <c r="E236" s="28"/>
      <c r="F236" s="28"/>
      <c r="G236" s="28"/>
      <c r="H236" s="28"/>
      <c r="I236" s="28"/>
      <c r="J236" s="28"/>
    </row>
    <row r="237" spans="1:29">
      <c r="A237" s="4"/>
      <c r="B237" s="23"/>
      <c r="C237" s="28"/>
      <c r="D237" s="28"/>
      <c r="E237" s="28"/>
      <c r="F237" s="28"/>
      <c r="G237" s="28"/>
      <c r="H237" s="28"/>
      <c r="I237" s="28"/>
      <c r="J237" s="28"/>
    </row>
    <row r="238" spans="1:29">
      <c r="A238" s="4"/>
      <c r="B238" s="23"/>
      <c r="C238" s="28"/>
      <c r="D238" s="28"/>
      <c r="E238" s="28"/>
      <c r="F238" s="28"/>
      <c r="G238" s="28"/>
      <c r="H238" s="28"/>
      <c r="I238" s="28"/>
      <c r="J238" s="28"/>
    </row>
    <row r="239" spans="1:29">
      <c r="A239" s="4"/>
      <c r="B239" s="23"/>
      <c r="C239" s="28"/>
      <c r="D239" s="28"/>
      <c r="E239" s="28"/>
      <c r="F239" s="28"/>
      <c r="G239" s="28"/>
      <c r="H239" s="28"/>
      <c r="I239" s="28"/>
      <c r="J239" s="28"/>
    </row>
    <row r="240" spans="1:29">
      <c r="A240" s="4"/>
      <c r="B240" s="23"/>
      <c r="C240" s="28"/>
      <c r="D240" s="28"/>
      <c r="E240" s="28"/>
      <c r="F240" s="28"/>
      <c r="G240" s="28"/>
      <c r="H240" s="28"/>
      <c r="I240" s="28"/>
      <c r="J240" s="28"/>
    </row>
    <row r="241" spans="1:10">
      <c r="A241" s="4"/>
      <c r="B241" s="23"/>
      <c r="C241" s="28"/>
      <c r="D241" s="28"/>
      <c r="E241" s="28"/>
      <c r="F241" s="28"/>
      <c r="G241" s="28"/>
      <c r="H241" s="28"/>
      <c r="I241" s="28"/>
      <c r="J241" s="28"/>
    </row>
    <row r="242" spans="1:10">
      <c r="A242" s="4"/>
      <c r="B242" s="23"/>
      <c r="C242" s="28"/>
      <c r="D242" s="28"/>
      <c r="E242" s="28"/>
      <c r="F242" s="28"/>
      <c r="G242" s="28"/>
      <c r="H242" s="28"/>
      <c r="I242" s="28"/>
      <c r="J242" s="28"/>
    </row>
    <row r="243" spans="1:10">
      <c r="A243" s="4"/>
      <c r="B243" s="23"/>
      <c r="C243" s="28"/>
      <c r="D243" s="28"/>
      <c r="E243" s="28"/>
      <c r="F243" s="28"/>
      <c r="G243" s="28"/>
      <c r="H243" s="28"/>
      <c r="I243" s="28"/>
      <c r="J243" s="28"/>
    </row>
    <row r="244" spans="1:10">
      <c r="A244" s="4"/>
      <c r="B244" s="23"/>
      <c r="C244" s="28"/>
      <c r="D244" s="28"/>
      <c r="E244" s="28"/>
      <c r="F244" s="28"/>
      <c r="G244" s="28"/>
      <c r="H244" s="28"/>
      <c r="I244" s="28"/>
      <c r="J244" s="28"/>
    </row>
    <row r="245" spans="1:10">
      <c r="A245" s="4"/>
      <c r="B245" s="23"/>
      <c r="C245" s="28"/>
      <c r="D245" s="28"/>
      <c r="E245" s="28"/>
      <c r="F245" s="28"/>
      <c r="G245" s="28"/>
      <c r="H245" s="28"/>
      <c r="I245" s="28"/>
      <c r="J245" s="28"/>
    </row>
    <row r="246" spans="1:10">
      <c r="A246" s="4"/>
      <c r="B246" s="23"/>
      <c r="C246" s="28"/>
      <c r="D246" s="28"/>
      <c r="E246" s="28"/>
      <c r="F246" s="28"/>
      <c r="G246" s="28"/>
      <c r="H246" s="28"/>
      <c r="I246" s="28"/>
      <c r="J246" s="28"/>
    </row>
    <row r="247" spans="1:10">
      <c r="A247" s="4"/>
      <c r="B247" s="23"/>
      <c r="C247" s="28"/>
      <c r="D247" s="28"/>
      <c r="E247" s="28"/>
      <c r="F247" s="28"/>
      <c r="G247" s="28"/>
      <c r="H247" s="28"/>
      <c r="I247" s="28"/>
      <c r="J247" s="28"/>
    </row>
    <row r="248" spans="1:10">
      <c r="A248" s="4"/>
      <c r="B248" s="23"/>
      <c r="C248" s="28"/>
      <c r="D248" s="28"/>
      <c r="E248" s="28"/>
      <c r="F248" s="28"/>
      <c r="G248" s="28"/>
      <c r="H248" s="28"/>
      <c r="I248" s="28"/>
      <c r="J248" s="28"/>
    </row>
    <row r="249" spans="1:10">
      <c r="A249" s="4"/>
      <c r="B249" s="23"/>
      <c r="C249" s="28"/>
      <c r="D249" s="28"/>
      <c r="E249" s="28"/>
      <c r="F249" s="28"/>
      <c r="G249" s="28"/>
      <c r="H249" s="28"/>
      <c r="I249" s="28"/>
      <c r="J249" s="28"/>
    </row>
    <row r="250" spans="1:10">
      <c r="A250" s="4"/>
      <c r="B250" s="23"/>
      <c r="C250" s="28"/>
      <c r="D250" s="28"/>
      <c r="E250" s="28"/>
      <c r="F250" s="28"/>
      <c r="G250" s="28"/>
      <c r="H250" s="28"/>
      <c r="I250" s="28"/>
      <c r="J250" s="28"/>
    </row>
    <row r="251" spans="1:10">
      <c r="A251" s="4"/>
      <c r="B251" s="23"/>
      <c r="C251" s="28"/>
      <c r="D251" s="28"/>
      <c r="E251" s="28"/>
      <c r="F251" s="28"/>
      <c r="G251" s="28"/>
      <c r="H251" s="28"/>
      <c r="I251" s="28"/>
      <c r="J251" s="28"/>
    </row>
    <row r="252" spans="1:10">
      <c r="A252" s="4"/>
      <c r="B252" s="23"/>
      <c r="C252" s="28"/>
      <c r="D252" s="28"/>
      <c r="E252" s="28"/>
      <c r="F252" s="28"/>
      <c r="G252" s="28"/>
      <c r="H252" s="28"/>
      <c r="I252" s="28"/>
      <c r="J252" s="28"/>
    </row>
    <row r="253" spans="1:10">
      <c r="A253" s="4"/>
      <c r="B253" s="23"/>
      <c r="C253" s="28"/>
      <c r="D253" s="28"/>
      <c r="E253" s="28"/>
      <c r="F253" s="28"/>
      <c r="G253" s="28"/>
      <c r="H253" s="28"/>
      <c r="I253" s="28"/>
      <c r="J253" s="28"/>
    </row>
    <row r="254" spans="1:10">
      <c r="A254" s="4"/>
      <c r="B254" s="23"/>
      <c r="C254" s="28"/>
      <c r="D254" s="28"/>
      <c r="E254" s="28"/>
      <c r="F254" s="28"/>
      <c r="G254" s="28"/>
      <c r="H254" s="28"/>
      <c r="I254" s="28"/>
      <c r="J254" s="28"/>
    </row>
    <row r="255" spans="1:10">
      <c r="A255" s="4"/>
      <c r="B255" s="23"/>
      <c r="C255" s="28"/>
      <c r="D255" s="28"/>
      <c r="E255" s="28"/>
      <c r="F255" s="28"/>
      <c r="G255" s="28"/>
      <c r="H255" s="28"/>
      <c r="I255" s="28"/>
      <c r="J255" s="28"/>
    </row>
    <row r="256" spans="1:10">
      <c r="A256" s="4"/>
      <c r="B256" s="23"/>
      <c r="C256" s="28"/>
      <c r="D256" s="28"/>
      <c r="E256" s="28"/>
      <c r="F256" s="28"/>
      <c r="G256" s="28"/>
      <c r="H256" s="28"/>
      <c r="I256" s="28"/>
      <c r="J256" s="28"/>
    </row>
    <row r="257" spans="1:10">
      <c r="A257" s="4"/>
      <c r="B257" s="23"/>
      <c r="C257" s="28"/>
      <c r="D257" s="28"/>
      <c r="E257" s="28"/>
      <c r="F257" s="28"/>
      <c r="G257" s="28"/>
      <c r="H257" s="28"/>
      <c r="I257" s="28"/>
      <c r="J257" s="28"/>
    </row>
    <row r="258" spans="1:10">
      <c r="A258" s="4"/>
      <c r="B258" s="23"/>
      <c r="C258" s="28"/>
      <c r="D258" s="28"/>
      <c r="E258" s="28"/>
      <c r="F258" s="28"/>
      <c r="G258" s="28"/>
      <c r="H258" s="28"/>
      <c r="I258" s="28"/>
      <c r="J258" s="28"/>
    </row>
    <row r="259" spans="1:10">
      <c r="A259" s="4"/>
      <c r="B259" s="23"/>
      <c r="C259" s="28"/>
      <c r="D259" s="28"/>
      <c r="E259" s="28"/>
      <c r="F259" s="28"/>
      <c r="G259" s="28"/>
      <c r="H259" s="28"/>
      <c r="I259" s="28"/>
      <c r="J259" s="28"/>
    </row>
    <row r="260" spans="1:10">
      <c r="A260" s="4"/>
      <c r="B260" s="23"/>
      <c r="C260" s="28"/>
      <c r="D260" s="28"/>
      <c r="E260" s="28"/>
      <c r="F260" s="28"/>
      <c r="G260" s="28"/>
      <c r="H260" s="28"/>
      <c r="I260" s="28"/>
      <c r="J260" s="28"/>
    </row>
    <row r="261" spans="1:10">
      <c r="A261" s="4"/>
      <c r="B261" s="23"/>
      <c r="C261" s="28"/>
      <c r="D261" s="28"/>
      <c r="E261" s="28"/>
      <c r="F261" s="28"/>
      <c r="G261" s="28"/>
      <c r="H261" s="28"/>
      <c r="I261" s="28"/>
      <c r="J261" s="28"/>
    </row>
    <row r="262" spans="1:10">
      <c r="A262" s="4"/>
      <c r="B262" s="23"/>
      <c r="C262" s="28"/>
      <c r="D262" s="28"/>
      <c r="E262" s="28"/>
      <c r="F262" s="28"/>
      <c r="G262" s="28"/>
      <c r="H262" s="28"/>
      <c r="I262" s="28"/>
      <c r="J262" s="28"/>
    </row>
    <row r="263" spans="1:10">
      <c r="A263" s="4"/>
      <c r="B263" s="23"/>
      <c r="C263" s="28"/>
      <c r="D263" s="28"/>
      <c r="E263" s="28"/>
      <c r="F263" s="28"/>
      <c r="G263" s="28"/>
      <c r="H263" s="28"/>
      <c r="I263" s="28"/>
      <c r="J263" s="28"/>
    </row>
    <row r="264" spans="1:10">
      <c r="A264" s="4"/>
      <c r="B264" s="23"/>
      <c r="C264" s="28"/>
      <c r="D264" s="28"/>
      <c r="E264" s="28"/>
      <c r="F264" s="28"/>
      <c r="G264" s="28"/>
      <c r="H264" s="28"/>
      <c r="I264" s="28"/>
      <c r="J264" s="28"/>
    </row>
    <row r="265" spans="1:10">
      <c r="A265" s="4"/>
      <c r="B265" s="23"/>
      <c r="C265" s="28"/>
      <c r="D265" s="28"/>
      <c r="E265" s="28"/>
      <c r="F265" s="28"/>
      <c r="G265" s="28"/>
      <c r="H265" s="28"/>
      <c r="I265" s="28"/>
      <c r="J265" s="28"/>
    </row>
    <row r="266" spans="1:10">
      <c r="A266" s="4"/>
      <c r="B266" s="23"/>
      <c r="C266" s="28"/>
      <c r="D266" s="28"/>
      <c r="E266" s="28"/>
      <c r="F266" s="28"/>
      <c r="G266" s="28"/>
      <c r="H266" s="28"/>
      <c r="I266" s="28"/>
      <c r="J266" s="28"/>
    </row>
    <row r="267" spans="1:10">
      <c r="A267" s="4"/>
      <c r="B267" s="23"/>
      <c r="C267" s="28"/>
      <c r="D267" s="28"/>
      <c r="E267" s="28"/>
      <c r="F267" s="28"/>
      <c r="G267" s="28"/>
      <c r="H267" s="28"/>
      <c r="I267" s="28"/>
      <c r="J267" s="28"/>
    </row>
    <row r="268" spans="1:10">
      <c r="A268" s="4"/>
      <c r="B268" s="23"/>
      <c r="C268" s="28"/>
      <c r="D268" s="28"/>
      <c r="E268" s="28"/>
      <c r="F268" s="28"/>
      <c r="G268" s="28"/>
      <c r="H268" s="28"/>
      <c r="I268" s="28"/>
      <c r="J268" s="28"/>
    </row>
    <row r="269" spans="1:10">
      <c r="A269" s="4"/>
      <c r="B269" s="23"/>
      <c r="C269" s="28"/>
      <c r="D269" s="28"/>
      <c r="E269" s="28"/>
      <c r="F269" s="28"/>
      <c r="G269" s="28"/>
      <c r="H269" s="28"/>
      <c r="I269" s="28"/>
      <c r="J269" s="28"/>
    </row>
    <row r="270" spans="1:10">
      <c r="A270" s="4"/>
      <c r="B270" s="23"/>
      <c r="C270" s="28"/>
      <c r="D270" s="28"/>
      <c r="E270" s="28"/>
      <c r="F270" s="28"/>
      <c r="G270" s="28"/>
      <c r="H270" s="28"/>
      <c r="I270" s="28"/>
      <c r="J270" s="28"/>
    </row>
    <row r="271" spans="1:10">
      <c r="A271" s="4"/>
      <c r="B271" s="23"/>
      <c r="C271" s="28"/>
      <c r="D271" s="28"/>
      <c r="E271" s="28"/>
      <c r="F271" s="28"/>
      <c r="G271" s="28"/>
      <c r="H271" s="28"/>
      <c r="I271" s="28"/>
      <c r="J271" s="28"/>
    </row>
    <row r="272" spans="1:10">
      <c r="A272" s="4"/>
      <c r="B272" s="23"/>
      <c r="C272" s="28"/>
      <c r="D272" s="28"/>
      <c r="E272" s="28"/>
      <c r="F272" s="28"/>
      <c r="G272" s="28"/>
      <c r="H272" s="28"/>
      <c r="I272" s="28"/>
      <c r="J272" s="28"/>
    </row>
    <row r="273" spans="1:10">
      <c r="A273" s="4"/>
      <c r="B273" s="23"/>
      <c r="C273" s="28"/>
      <c r="D273" s="28"/>
      <c r="E273" s="28"/>
      <c r="F273" s="28"/>
      <c r="G273" s="28"/>
      <c r="H273" s="28"/>
      <c r="I273" s="28"/>
      <c r="J273" s="28"/>
    </row>
    <row r="274" spans="1:10">
      <c r="A274" s="4"/>
      <c r="B274" s="23"/>
      <c r="C274" s="28"/>
      <c r="D274" s="28"/>
      <c r="E274" s="28"/>
      <c r="F274" s="28"/>
      <c r="G274" s="28"/>
      <c r="H274" s="28"/>
      <c r="I274" s="28"/>
      <c r="J274" s="28"/>
    </row>
    <row r="275" spans="1:10">
      <c r="A275" s="4"/>
      <c r="B275" s="23"/>
      <c r="C275" s="28"/>
      <c r="D275" s="28"/>
      <c r="E275" s="28"/>
      <c r="F275" s="28"/>
      <c r="G275" s="28"/>
      <c r="H275" s="28"/>
      <c r="I275" s="28"/>
      <c r="J275" s="28"/>
    </row>
    <row r="276" spans="1:10">
      <c r="A276" s="4"/>
      <c r="B276" s="23"/>
      <c r="C276" s="28"/>
      <c r="D276" s="28"/>
      <c r="E276" s="28"/>
      <c r="F276" s="28"/>
      <c r="G276" s="28"/>
      <c r="H276" s="28"/>
      <c r="I276" s="28"/>
      <c r="J276" s="28"/>
    </row>
    <row r="277" spans="1:10">
      <c r="A277" s="4"/>
      <c r="B277" s="23"/>
      <c r="C277" s="28"/>
      <c r="D277" s="28"/>
      <c r="E277" s="28"/>
      <c r="F277" s="28"/>
      <c r="G277" s="28"/>
      <c r="H277" s="28"/>
      <c r="I277" s="28"/>
      <c r="J277" s="28"/>
    </row>
    <row r="278" spans="1:10">
      <c r="A278" s="4"/>
      <c r="B278" s="23"/>
      <c r="C278" s="28"/>
      <c r="D278" s="28"/>
      <c r="E278" s="28"/>
      <c r="F278" s="28"/>
      <c r="G278" s="28"/>
      <c r="H278" s="28"/>
      <c r="I278" s="28"/>
      <c r="J278" s="28"/>
    </row>
    <row r="279" spans="1:10">
      <c r="A279" s="4"/>
      <c r="B279" s="23"/>
      <c r="C279" s="28"/>
      <c r="D279" s="28"/>
      <c r="E279" s="28"/>
      <c r="F279" s="28"/>
      <c r="G279" s="28"/>
      <c r="H279" s="28"/>
      <c r="I279" s="28"/>
      <c r="J279" s="28"/>
    </row>
    <row r="280" spans="1:10">
      <c r="A280" s="4"/>
      <c r="B280" s="23"/>
      <c r="C280" s="28"/>
      <c r="D280" s="28"/>
      <c r="E280" s="28"/>
      <c r="F280" s="28"/>
      <c r="G280" s="28"/>
      <c r="H280" s="28"/>
      <c r="I280" s="28"/>
      <c r="J280" s="28"/>
    </row>
    <row r="281" spans="1:10">
      <c r="A281" s="4"/>
      <c r="B281" s="23"/>
      <c r="C281" s="28"/>
      <c r="D281" s="28"/>
      <c r="E281" s="28"/>
      <c r="F281" s="28"/>
      <c r="G281" s="28"/>
      <c r="H281" s="28"/>
      <c r="I281" s="28"/>
      <c r="J281" s="28"/>
    </row>
    <row r="282" spans="1:10">
      <c r="A282" s="4"/>
      <c r="B282" s="23"/>
      <c r="C282" s="28"/>
      <c r="D282" s="28"/>
      <c r="E282" s="28"/>
      <c r="F282" s="28"/>
      <c r="G282" s="28"/>
      <c r="H282" s="28"/>
      <c r="I282" s="28"/>
      <c r="J282" s="28"/>
    </row>
    <row r="283" spans="1:10">
      <c r="A283" s="4"/>
      <c r="B283" s="23"/>
      <c r="C283" s="28"/>
      <c r="D283" s="28"/>
      <c r="E283" s="28"/>
      <c r="F283" s="28"/>
      <c r="G283" s="28"/>
      <c r="H283" s="28"/>
      <c r="I283" s="28"/>
      <c r="J283" s="28"/>
    </row>
    <row r="284" spans="1:10">
      <c r="A284" s="4"/>
      <c r="B284" s="23"/>
      <c r="C284" s="28"/>
      <c r="D284" s="28"/>
      <c r="E284" s="28"/>
      <c r="F284" s="28"/>
      <c r="G284" s="28"/>
      <c r="H284" s="28"/>
      <c r="I284" s="28"/>
      <c r="J284" s="28"/>
    </row>
    <row r="285" spans="1:10">
      <c r="A285" s="4"/>
      <c r="B285" s="23"/>
      <c r="C285" s="28"/>
      <c r="D285" s="28"/>
      <c r="E285" s="28"/>
      <c r="F285" s="28"/>
      <c r="G285" s="28"/>
      <c r="H285" s="28"/>
      <c r="I285" s="28"/>
      <c r="J285" s="28"/>
    </row>
    <row r="286" spans="1:10">
      <c r="A286" s="4"/>
      <c r="B286" s="23"/>
      <c r="C286" s="28"/>
      <c r="D286" s="28"/>
      <c r="E286" s="28"/>
      <c r="F286" s="28"/>
      <c r="G286" s="28"/>
      <c r="H286" s="28"/>
      <c r="I286" s="28"/>
      <c r="J286" s="28"/>
    </row>
    <row r="287" spans="1:10">
      <c r="A287" s="4"/>
      <c r="B287" s="23"/>
      <c r="C287" s="28"/>
      <c r="D287" s="28"/>
      <c r="E287" s="28"/>
      <c r="F287" s="28"/>
      <c r="G287" s="28"/>
      <c r="H287" s="28"/>
      <c r="I287" s="28"/>
      <c r="J287" s="28"/>
    </row>
    <row r="288" spans="1:10">
      <c r="A288" s="4"/>
      <c r="B288" s="23"/>
      <c r="C288" s="28"/>
      <c r="D288" s="28"/>
      <c r="E288" s="28"/>
      <c r="F288" s="28"/>
      <c r="G288" s="28"/>
      <c r="H288" s="28"/>
      <c r="I288" s="28"/>
      <c r="J288" s="28"/>
    </row>
    <row r="289" spans="1:10">
      <c r="A289" s="4"/>
      <c r="B289" s="23"/>
      <c r="C289" s="28"/>
      <c r="D289" s="28"/>
      <c r="E289" s="28"/>
      <c r="F289" s="28"/>
      <c r="G289" s="28"/>
      <c r="H289" s="28"/>
      <c r="I289" s="28"/>
      <c r="J289" s="28"/>
    </row>
    <row r="290" spans="1:10">
      <c r="A290" s="4"/>
      <c r="B290" s="23"/>
      <c r="C290" s="28"/>
      <c r="D290" s="28"/>
      <c r="E290" s="28"/>
      <c r="F290" s="28"/>
      <c r="G290" s="28"/>
      <c r="H290" s="28"/>
      <c r="I290" s="28"/>
      <c r="J290" s="28"/>
    </row>
    <row r="291" spans="1:10">
      <c r="A291" s="4"/>
      <c r="B291" s="23"/>
      <c r="C291" s="28"/>
      <c r="D291" s="28"/>
      <c r="E291" s="28"/>
      <c r="F291" s="28"/>
      <c r="G291" s="28"/>
      <c r="H291" s="28"/>
      <c r="I291" s="28"/>
      <c r="J291" s="28"/>
    </row>
    <row r="292" spans="1:10">
      <c r="A292" s="4"/>
      <c r="B292" s="23"/>
      <c r="C292" s="28"/>
      <c r="D292" s="28"/>
      <c r="E292" s="28"/>
      <c r="F292" s="28"/>
      <c r="G292" s="28"/>
      <c r="H292" s="28"/>
      <c r="I292" s="28"/>
      <c r="J292" s="28"/>
    </row>
    <row r="293" spans="1:10">
      <c r="A293" s="4"/>
      <c r="B293" s="23"/>
      <c r="C293" s="28"/>
      <c r="D293" s="28"/>
      <c r="E293" s="28"/>
      <c r="F293" s="28"/>
      <c r="G293" s="28"/>
      <c r="H293" s="28"/>
      <c r="I293" s="28"/>
      <c r="J293" s="28"/>
    </row>
    <row r="294" spans="1:10">
      <c r="A294" s="4"/>
      <c r="B294" s="23"/>
      <c r="C294" s="28"/>
      <c r="D294" s="28"/>
      <c r="E294" s="28"/>
      <c r="F294" s="28"/>
      <c r="G294" s="28"/>
      <c r="H294" s="28"/>
      <c r="I294" s="28"/>
      <c r="J294" s="28"/>
    </row>
    <row r="295" spans="1:10">
      <c r="A295" s="4"/>
      <c r="B295" s="23"/>
      <c r="C295" s="28"/>
      <c r="D295" s="28"/>
      <c r="E295" s="28"/>
      <c r="F295" s="28"/>
      <c r="G295" s="28"/>
      <c r="H295" s="28"/>
      <c r="I295" s="28"/>
      <c r="J295" s="28"/>
    </row>
    <row r="296" spans="1:10">
      <c r="A296" s="4"/>
      <c r="B296" s="23"/>
      <c r="C296" s="28"/>
      <c r="D296" s="28"/>
      <c r="E296" s="28"/>
      <c r="F296" s="28"/>
      <c r="G296" s="28"/>
      <c r="H296" s="28"/>
      <c r="I296" s="28"/>
      <c r="J296" s="28"/>
    </row>
    <row r="297" spans="1:10">
      <c r="A297" s="4"/>
      <c r="B297" s="23"/>
      <c r="C297" s="28"/>
      <c r="D297" s="28"/>
      <c r="E297" s="28"/>
      <c r="F297" s="28"/>
      <c r="G297" s="28"/>
      <c r="H297" s="28"/>
      <c r="I297" s="28"/>
      <c r="J297" s="28"/>
    </row>
    <row r="298" spans="1:10">
      <c r="A298" s="4"/>
      <c r="B298" s="23"/>
      <c r="C298" s="28"/>
      <c r="D298" s="28"/>
      <c r="E298" s="28"/>
      <c r="F298" s="28"/>
      <c r="G298" s="28"/>
      <c r="H298" s="28"/>
      <c r="I298" s="28"/>
      <c r="J298" s="28"/>
    </row>
    <row r="299" spans="1:10">
      <c r="A299" s="4"/>
      <c r="B299" s="23"/>
      <c r="C299" s="28"/>
      <c r="D299" s="28"/>
      <c r="E299" s="28"/>
      <c r="F299" s="28"/>
      <c r="G299" s="28"/>
      <c r="H299" s="28"/>
      <c r="I299" s="28"/>
      <c r="J299" s="28"/>
    </row>
    <row r="300" spans="1:10">
      <c r="A300" s="4"/>
      <c r="B300" s="23"/>
      <c r="C300" s="28"/>
      <c r="D300" s="28"/>
      <c r="E300" s="28"/>
      <c r="F300" s="28"/>
      <c r="G300" s="28"/>
      <c r="H300" s="28"/>
      <c r="I300" s="28"/>
      <c r="J300" s="28"/>
    </row>
    <row r="301" spans="1:10">
      <c r="A301" s="4"/>
      <c r="B301" s="23"/>
      <c r="C301" s="28"/>
      <c r="D301" s="28"/>
      <c r="E301" s="28"/>
      <c r="F301" s="28"/>
      <c r="G301" s="28"/>
      <c r="H301" s="28"/>
      <c r="I301" s="28"/>
      <c r="J301" s="28"/>
    </row>
    <row r="302" spans="1:10">
      <c r="A302" s="4"/>
      <c r="B302" s="23"/>
      <c r="C302" s="28"/>
      <c r="D302" s="28"/>
      <c r="E302" s="28"/>
      <c r="F302" s="28"/>
      <c r="G302" s="28"/>
      <c r="H302" s="28"/>
      <c r="I302" s="28"/>
      <c r="J302" s="28"/>
    </row>
    <row r="303" spans="1:10">
      <c r="A303" s="4"/>
      <c r="B303" s="23"/>
      <c r="C303" s="28"/>
      <c r="D303" s="28"/>
      <c r="E303" s="28"/>
      <c r="F303" s="28"/>
      <c r="G303" s="28"/>
      <c r="H303" s="28"/>
      <c r="I303" s="28"/>
      <c r="J303" s="28"/>
    </row>
    <row r="304" spans="1:10">
      <c r="A304" s="4"/>
      <c r="B304" s="23"/>
      <c r="C304" s="28"/>
      <c r="D304" s="28"/>
      <c r="E304" s="28"/>
      <c r="F304" s="28"/>
      <c r="G304" s="28"/>
      <c r="H304" s="28"/>
      <c r="I304" s="28"/>
      <c r="J304" s="28"/>
    </row>
    <row r="305" spans="1:10">
      <c r="A305" s="4"/>
      <c r="B305" s="23"/>
      <c r="C305" s="28"/>
      <c r="D305" s="28"/>
      <c r="E305" s="28"/>
      <c r="F305" s="28"/>
      <c r="G305" s="28"/>
      <c r="H305" s="28"/>
      <c r="I305" s="28"/>
      <c r="J305" s="28"/>
    </row>
    <row r="306" spans="1:10">
      <c r="A306" s="4"/>
      <c r="B306" s="23"/>
      <c r="C306" s="28"/>
      <c r="D306" s="28"/>
      <c r="E306" s="28"/>
      <c r="F306" s="28"/>
      <c r="G306" s="28"/>
      <c r="H306" s="28"/>
      <c r="I306" s="28"/>
      <c r="J306" s="28"/>
    </row>
    <row r="307" spans="1:10">
      <c r="A307" s="4"/>
      <c r="B307" s="23"/>
      <c r="C307" s="28"/>
      <c r="D307" s="28"/>
      <c r="E307" s="28"/>
      <c r="F307" s="28"/>
      <c r="G307" s="28"/>
      <c r="H307" s="28"/>
      <c r="I307" s="28"/>
      <c r="J307" s="28"/>
    </row>
    <row r="308" spans="1:10">
      <c r="A308" s="4"/>
      <c r="B308" s="23"/>
      <c r="C308" s="28"/>
      <c r="D308" s="28"/>
      <c r="E308" s="28"/>
      <c r="F308" s="28"/>
      <c r="G308" s="28"/>
      <c r="H308" s="28"/>
      <c r="I308" s="28"/>
      <c r="J308" s="28"/>
    </row>
    <row r="309" spans="1:10">
      <c r="A309" s="4"/>
      <c r="B309" s="23"/>
      <c r="C309" s="28"/>
      <c r="D309" s="28"/>
      <c r="E309" s="28"/>
      <c r="F309" s="28"/>
      <c r="G309" s="28"/>
      <c r="H309" s="28"/>
      <c r="I309" s="28"/>
      <c r="J309" s="28"/>
    </row>
    <row r="310" spans="1:10">
      <c r="A310" s="4"/>
      <c r="B310" s="23"/>
      <c r="C310" s="28"/>
      <c r="D310" s="28"/>
      <c r="E310" s="28"/>
      <c r="F310" s="28"/>
      <c r="G310" s="28"/>
      <c r="H310" s="28"/>
      <c r="I310" s="28"/>
      <c r="J310" s="28"/>
    </row>
    <row r="311" spans="1:10">
      <c r="A311" s="4"/>
      <c r="B311" s="23"/>
      <c r="C311" s="28"/>
      <c r="D311" s="28"/>
      <c r="E311" s="28"/>
      <c r="F311" s="28"/>
      <c r="G311" s="28"/>
      <c r="H311" s="28"/>
      <c r="I311" s="28"/>
      <c r="J311" s="28"/>
    </row>
    <row r="312" spans="1:10">
      <c r="A312" s="4"/>
      <c r="B312" s="23"/>
      <c r="C312" s="28"/>
      <c r="D312" s="28"/>
      <c r="E312" s="28"/>
      <c r="F312" s="28"/>
      <c r="G312" s="28"/>
      <c r="H312" s="28"/>
      <c r="I312" s="28"/>
      <c r="J312" s="28"/>
    </row>
    <row r="313" spans="1:10">
      <c r="A313" s="4"/>
      <c r="B313" s="23"/>
      <c r="C313" s="28"/>
      <c r="D313" s="28"/>
      <c r="E313" s="28"/>
      <c r="F313" s="28"/>
      <c r="G313" s="28"/>
      <c r="H313" s="28"/>
      <c r="I313" s="28"/>
      <c r="J313" s="28"/>
    </row>
    <row r="314" spans="1:10">
      <c r="A314" s="4"/>
      <c r="B314" s="23"/>
      <c r="C314" s="28"/>
      <c r="D314" s="28"/>
      <c r="E314" s="28"/>
      <c r="F314" s="28"/>
      <c r="G314" s="28"/>
      <c r="H314" s="28"/>
      <c r="I314" s="28"/>
      <c r="J314" s="28"/>
    </row>
    <row r="315" spans="1:10">
      <c r="A315" s="4"/>
      <c r="B315" s="23"/>
      <c r="C315" s="28"/>
      <c r="D315" s="28"/>
      <c r="E315" s="28"/>
      <c r="F315" s="28"/>
      <c r="G315" s="28"/>
      <c r="H315" s="28"/>
      <c r="I315" s="28"/>
      <c r="J315" s="28"/>
    </row>
    <row r="316" spans="1:10">
      <c r="A316" s="4"/>
      <c r="B316" s="23"/>
      <c r="C316" s="28"/>
      <c r="D316" s="28"/>
      <c r="E316" s="28"/>
      <c r="F316" s="28"/>
      <c r="G316" s="28"/>
      <c r="H316" s="28"/>
      <c r="I316" s="28"/>
      <c r="J316" s="28"/>
    </row>
    <row r="317" spans="1:10">
      <c r="A317" s="4"/>
      <c r="B317" s="23"/>
      <c r="C317" s="28"/>
      <c r="D317" s="28"/>
      <c r="E317" s="28"/>
      <c r="F317" s="28"/>
      <c r="G317" s="28"/>
      <c r="H317" s="28"/>
      <c r="I317" s="28"/>
      <c r="J317" s="28"/>
    </row>
    <row r="318" spans="1:10">
      <c r="A318" s="4"/>
      <c r="B318" s="23"/>
      <c r="C318" s="28"/>
      <c r="D318" s="28"/>
      <c r="E318" s="28"/>
      <c r="F318" s="28"/>
      <c r="G318" s="28"/>
      <c r="H318" s="28"/>
      <c r="I318" s="28"/>
      <c r="J318" s="28"/>
    </row>
    <row r="319" spans="1:10">
      <c r="A319" s="4"/>
      <c r="B319" s="23"/>
      <c r="C319" s="28"/>
      <c r="D319" s="28"/>
      <c r="E319" s="28"/>
      <c r="F319" s="28"/>
      <c r="G319" s="28"/>
      <c r="H319" s="28"/>
      <c r="I319" s="28"/>
      <c r="J319" s="28"/>
    </row>
    <row r="320" spans="1:10">
      <c r="A320" s="4"/>
      <c r="B320" s="23"/>
      <c r="C320" s="28"/>
      <c r="D320" s="28"/>
      <c r="E320" s="28"/>
      <c r="F320" s="28"/>
      <c r="G320" s="28"/>
      <c r="H320" s="28"/>
      <c r="I320" s="28"/>
      <c r="J320" s="28"/>
    </row>
    <row r="321" spans="1:10">
      <c r="A321" s="4"/>
      <c r="B321" s="23"/>
      <c r="C321" s="28"/>
      <c r="D321" s="28"/>
      <c r="E321" s="28"/>
      <c r="F321" s="28"/>
      <c r="G321" s="28"/>
      <c r="H321" s="28"/>
      <c r="I321" s="28"/>
      <c r="J321" s="28"/>
    </row>
    <row r="322" spans="1:10">
      <c r="A322" s="4"/>
      <c r="B322" s="23"/>
      <c r="C322" s="28"/>
      <c r="D322" s="28"/>
      <c r="E322" s="28"/>
      <c r="F322" s="28"/>
      <c r="G322" s="28"/>
      <c r="H322" s="28"/>
      <c r="I322" s="28"/>
      <c r="J322" s="28"/>
    </row>
    <row r="323" spans="1:10">
      <c r="A323" s="4"/>
      <c r="B323" s="23"/>
      <c r="C323" s="28"/>
      <c r="D323" s="28"/>
      <c r="E323" s="28"/>
      <c r="F323" s="28"/>
      <c r="G323" s="28"/>
      <c r="H323" s="28"/>
      <c r="I323" s="28"/>
      <c r="J323" s="28"/>
    </row>
    <row r="324" spans="1:10">
      <c r="A324" s="4"/>
      <c r="B324" s="23"/>
      <c r="C324" s="28"/>
      <c r="D324" s="28"/>
      <c r="E324" s="28"/>
      <c r="F324" s="28"/>
      <c r="G324" s="28"/>
      <c r="H324" s="28"/>
      <c r="I324" s="28"/>
      <c r="J324" s="28"/>
    </row>
    <row r="325" spans="1:10">
      <c r="A325" s="4"/>
      <c r="B325" s="23"/>
      <c r="C325" s="28"/>
      <c r="D325" s="28"/>
      <c r="E325" s="28"/>
      <c r="F325" s="28"/>
      <c r="G325" s="28"/>
      <c r="H325" s="28"/>
      <c r="I325" s="28"/>
      <c r="J325" s="28"/>
    </row>
    <row r="326" spans="1:10">
      <c r="A326" s="4"/>
      <c r="B326" s="23"/>
      <c r="C326" s="28"/>
      <c r="D326" s="28"/>
      <c r="E326" s="28"/>
      <c r="F326" s="28"/>
      <c r="G326" s="28"/>
      <c r="H326" s="28"/>
      <c r="I326" s="28"/>
      <c r="J326" s="28"/>
    </row>
    <row r="327" spans="1:10">
      <c r="A327" s="4"/>
      <c r="B327" s="23"/>
      <c r="C327" s="28"/>
      <c r="D327" s="28"/>
      <c r="E327" s="28"/>
      <c r="F327" s="28"/>
      <c r="G327" s="28"/>
      <c r="H327" s="28"/>
      <c r="I327" s="28"/>
      <c r="J327" s="28"/>
    </row>
    <row r="328" spans="1:10">
      <c r="A328" s="4"/>
      <c r="B328" s="23"/>
      <c r="C328" s="28"/>
      <c r="D328" s="28"/>
      <c r="E328" s="28"/>
      <c r="F328" s="28"/>
      <c r="G328" s="28"/>
      <c r="H328" s="28"/>
      <c r="I328" s="28"/>
      <c r="J328" s="28"/>
    </row>
    <row r="329" spans="1:10">
      <c r="A329" s="4"/>
      <c r="B329" s="23"/>
      <c r="C329" s="28"/>
      <c r="D329" s="28"/>
      <c r="E329" s="28"/>
      <c r="F329" s="28"/>
      <c r="G329" s="28"/>
      <c r="H329" s="28"/>
      <c r="I329" s="28"/>
      <c r="J329" s="28"/>
    </row>
    <row r="330" spans="1:10">
      <c r="A330" s="4"/>
      <c r="B330" s="23"/>
      <c r="C330" s="28"/>
      <c r="D330" s="28"/>
      <c r="E330" s="28"/>
      <c r="F330" s="28"/>
      <c r="G330" s="28"/>
      <c r="H330" s="28"/>
      <c r="I330" s="28"/>
      <c r="J330" s="28"/>
    </row>
    <row r="331" spans="1:10">
      <c r="A331" s="4"/>
      <c r="B331" s="23"/>
      <c r="C331" s="28"/>
      <c r="D331" s="28"/>
      <c r="E331" s="28"/>
      <c r="F331" s="28"/>
      <c r="G331" s="28"/>
      <c r="H331" s="28"/>
      <c r="I331" s="28"/>
      <c r="J331" s="28"/>
    </row>
    <row r="332" spans="1:10">
      <c r="A332" s="4"/>
      <c r="B332" s="23"/>
      <c r="C332" s="28"/>
      <c r="D332" s="28"/>
      <c r="E332" s="28"/>
      <c r="F332" s="28"/>
      <c r="G332" s="28"/>
      <c r="H332" s="28"/>
      <c r="I332" s="28"/>
      <c r="J332" s="28"/>
    </row>
    <row r="333" spans="1:10">
      <c r="A333" s="4"/>
      <c r="B333" s="23"/>
      <c r="C333" s="28"/>
      <c r="D333" s="28"/>
      <c r="E333" s="28"/>
      <c r="F333" s="28"/>
      <c r="G333" s="28"/>
      <c r="H333" s="28"/>
      <c r="I333" s="28"/>
      <c r="J333" s="28"/>
    </row>
    <row r="334" spans="1:10">
      <c r="A334" s="4"/>
      <c r="B334" s="23"/>
      <c r="C334" s="28"/>
      <c r="D334" s="28"/>
      <c r="E334" s="28"/>
      <c r="F334" s="28"/>
      <c r="G334" s="28"/>
      <c r="H334" s="28"/>
      <c r="I334" s="28"/>
      <c r="J334" s="28"/>
    </row>
    <row r="335" spans="1:10">
      <c r="A335" s="4"/>
      <c r="B335" s="23"/>
      <c r="C335" s="28"/>
      <c r="D335" s="28"/>
      <c r="E335" s="28"/>
      <c r="F335" s="28"/>
      <c r="G335" s="28"/>
      <c r="H335" s="28"/>
      <c r="I335" s="28"/>
      <c r="J335" s="28"/>
    </row>
    <row r="336" spans="1:10">
      <c r="A336" s="4"/>
      <c r="B336" s="23"/>
      <c r="C336" s="28"/>
      <c r="D336" s="28"/>
      <c r="E336" s="28"/>
      <c r="F336" s="28"/>
      <c r="G336" s="28"/>
      <c r="H336" s="28"/>
      <c r="I336" s="28"/>
      <c r="J336" s="28"/>
    </row>
    <row r="337" spans="1:10">
      <c r="A337" s="4"/>
      <c r="B337" s="23"/>
      <c r="C337" s="28"/>
      <c r="D337" s="28"/>
      <c r="E337" s="28"/>
      <c r="F337" s="28"/>
      <c r="G337" s="28"/>
      <c r="H337" s="28"/>
      <c r="I337" s="28"/>
      <c r="J337" s="28"/>
    </row>
    <row r="338" spans="1:10">
      <c r="A338" s="4"/>
      <c r="B338" s="23"/>
      <c r="C338" s="28"/>
      <c r="D338" s="28"/>
      <c r="E338" s="28"/>
      <c r="F338" s="28"/>
      <c r="G338" s="28"/>
      <c r="H338" s="28"/>
      <c r="I338" s="28"/>
      <c r="J338" s="28"/>
    </row>
    <row r="339" spans="1:10">
      <c r="A339" s="4"/>
      <c r="B339" s="23"/>
      <c r="C339" s="28"/>
      <c r="D339" s="28"/>
      <c r="E339" s="28"/>
      <c r="F339" s="28"/>
      <c r="G339" s="28"/>
      <c r="H339" s="28"/>
      <c r="I339" s="28"/>
      <c r="J339" s="28"/>
    </row>
    <row r="340" spans="1:10">
      <c r="A340" s="4"/>
      <c r="B340" s="23"/>
      <c r="C340" s="28"/>
      <c r="D340" s="28"/>
      <c r="E340" s="28"/>
      <c r="F340" s="28"/>
      <c r="G340" s="28"/>
      <c r="H340" s="28"/>
      <c r="I340" s="28"/>
      <c r="J340" s="28"/>
    </row>
    <row r="341" spans="1:10">
      <c r="A341" s="4"/>
      <c r="B341" s="23"/>
      <c r="C341" s="28"/>
      <c r="D341" s="28"/>
      <c r="E341" s="28"/>
      <c r="F341" s="28"/>
      <c r="G341" s="28"/>
      <c r="H341" s="28"/>
      <c r="I341" s="28"/>
      <c r="J341" s="28"/>
    </row>
    <row r="342" spans="1:10">
      <c r="A342" s="4"/>
      <c r="B342" s="23"/>
      <c r="C342" s="28"/>
      <c r="D342" s="28"/>
      <c r="E342" s="28"/>
      <c r="F342" s="28"/>
      <c r="G342" s="28"/>
      <c r="H342" s="28"/>
      <c r="I342" s="28"/>
      <c r="J342" s="28"/>
    </row>
    <row r="343" spans="1:10">
      <c r="A343" s="4"/>
      <c r="B343" s="23"/>
      <c r="C343" s="28"/>
      <c r="D343" s="28"/>
      <c r="E343" s="28"/>
      <c r="F343" s="28"/>
      <c r="G343" s="28"/>
      <c r="H343" s="28"/>
      <c r="I343" s="28"/>
      <c r="J343" s="28"/>
    </row>
    <row r="344" spans="1:10">
      <c r="A344" s="4"/>
      <c r="B344" s="23"/>
      <c r="C344" s="28"/>
      <c r="D344" s="28"/>
      <c r="E344" s="28"/>
      <c r="F344" s="28"/>
      <c r="G344" s="28"/>
      <c r="H344" s="28"/>
      <c r="I344" s="28"/>
      <c r="J344" s="28"/>
    </row>
    <row r="345" spans="1:10">
      <c r="A345" s="4"/>
      <c r="B345" s="23"/>
      <c r="C345" s="28"/>
      <c r="D345" s="28"/>
      <c r="E345" s="28"/>
      <c r="F345" s="28"/>
      <c r="G345" s="28"/>
      <c r="H345" s="28"/>
      <c r="I345" s="28"/>
      <c r="J345" s="28"/>
    </row>
    <row r="346" spans="1:10">
      <c r="A346" s="4"/>
      <c r="B346" s="23"/>
      <c r="C346" s="28"/>
      <c r="D346" s="28"/>
      <c r="E346" s="28"/>
      <c r="F346" s="28"/>
      <c r="G346" s="28"/>
      <c r="H346" s="28"/>
      <c r="I346" s="28"/>
      <c r="J346" s="28"/>
    </row>
    <row r="347" spans="1:10">
      <c r="A347" s="4"/>
      <c r="B347" s="23"/>
      <c r="C347" s="28"/>
      <c r="D347" s="28"/>
      <c r="E347" s="28"/>
      <c r="F347" s="28"/>
      <c r="G347" s="28"/>
      <c r="H347" s="28"/>
      <c r="I347" s="28"/>
      <c r="J347" s="28"/>
    </row>
    <row r="348" spans="1:10">
      <c r="A348" s="4"/>
      <c r="B348" s="23"/>
      <c r="C348" s="28"/>
      <c r="D348" s="28"/>
      <c r="E348" s="28"/>
      <c r="F348" s="28"/>
      <c r="G348" s="28"/>
      <c r="H348" s="28"/>
      <c r="I348" s="28"/>
      <c r="J348" s="28"/>
    </row>
    <row r="349" spans="1:10">
      <c r="A349" s="4"/>
      <c r="B349" s="23"/>
      <c r="C349" s="28"/>
      <c r="D349" s="28"/>
      <c r="E349" s="28"/>
      <c r="F349" s="28"/>
      <c r="G349" s="28"/>
      <c r="H349" s="28"/>
      <c r="I349" s="28"/>
      <c r="J349" s="28"/>
    </row>
    <row r="350" spans="1:10">
      <c r="A350" s="4"/>
      <c r="B350" s="23"/>
      <c r="C350" s="28"/>
      <c r="D350" s="28"/>
      <c r="E350" s="28"/>
      <c r="F350" s="28"/>
      <c r="G350" s="28"/>
      <c r="H350" s="28"/>
      <c r="I350" s="28"/>
      <c r="J350" s="28"/>
    </row>
    <row r="351" spans="1:10">
      <c r="A351" s="4"/>
      <c r="B351" s="23"/>
      <c r="C351" s="28"/>
      <c r="D351" s="28"/>
      <c r="E351" s="28"/>
      <c r="F351" s="28"/>
      <c r="G351" s="28"/>
      <c r="H351" s="28"/>
      <c r="I351" s="28"/>
      <c r="J351" s="28"/>
    </row>
    <row r="352" spans="1:10">
      <c r="A352" s="4"/>
      <c r="B352" s="23"/>
      <c r="C352" s="28"/>
      <c r="D352" s="28"/>
      <c r="E352" s="28"/>
      <c r="F352" s="28"/>
      <c r="G352" s="28"/>
      <c r="H352" s="28"/>
      <c r="I352" s="28"/>
      <c r="J352" s="28"/>
    </row>
    <row r="353" spans="1:10">
      <c r="A353" s="4"/>
      <c r="B353" s="23"/>
      <c r="C353" s="28"/>
      <c r="D353" s="28"/>
      <c r="E353" s="28"/>
      <c r="F353" s="28"/>
      <c r="G353" s="28"/>
      <c r="H353" s="28"/>
      <c r="I353" s="28"/>
      <c r="J353" s="28"/>
    </row>
    <row r="354" spans="1:10">
      <c r="A354" s="4"/>
      <c r="B354" s="23"/>
      <c r="C354" s="28"/>
      <c r="D354" s="28"/>
      <c r="E354" s="28"/>
      <c r="F354" s="28"/>
      <c r="G354" s="28"/>
      <c r="H354" s="28"/>
      <c r="I354" s="28"/>
      <c r="J354" s="28"/>
    </row>
    <row r="355" spans="1:10">
      <c r="A355" s="4"/>
      <c r="B355" s="23"/>
      <c r="C355" s="28"/>
      <c r="D355" s="28"/>
      <c r="E355" s="28"/>
      <c r="F355" s="28"/>
      <c r="G355" s="28"/>
      <c r="H355" s="28"/>
      <c r="I355" s="28"/>
      <c r="J355" s="28"/>
    </row>
    <row r="356" spans="1:10">
      <c r="A356" s="4"/>
      <c r="B356" s="23"/>
      <c r="C356" s="28"/>
      <c r="D356" s="28"/>
      <c r="E356" s="28"/>
      <c r="F356" s="28"/>
      <c r="G356" s="28"/>
      <c r="H356" s="28"/>
      <c r="I356" s="28"/>
      <c r="J356" s="28"/>
    </row>
    <row r="357" spans="1:10">
      <c r="A357" s="4"/>
      <c r="B357" s="23"/>
      <c r="C357" s="28"/>
      <c r="D357" s="28"/>
      <c r="E357" s="28"/>
      <c r="F357" s="28"/>
      <c r="G357" s="28"/>
      <c r="H357" s="28"/>
      <c r="I357" s="28"/>
      <c r="J357" s="28"/>
    </row>
    <row r="358" spans="1:10">
      <c r="A358" s="4"/>
      <c r="B358" s="23"/>
      <c r="C358" s="28"/>
      <c r="D358" s="28"/>
      <c r="E358" s="28"/>
      <c r="F358" s="28"/>
      <c r="G358" s="28"/>
      <c r="H358" s="28"/>
      <c r="I358" s="28"/>
      <c r="J358" s="28"/>
    </row>
    <row r="359" spans="1:10">
      <c r="A359" s="4"/>
      <c r="B359" s="23"/>
      <c r="C359" s="28"/>
      <c r="D359" s="28"/>
      <c r="E359" s="28"/>
      <c r="F359" s="28"/>
      <c r="G359" s="28"/>
      <c r="H359" s="28"/>
      <c r="I359" s="28"/>
      <c r="J359" s="28"/>
    </row>
    <row r="360" spans="1:10">
      <c r="A360" s="4"/>
      <c r="B360" s="23"/>
      <c r="C360" s="28"/>
      <c r="D360" s="28"/>
      <c r="E360" s="28"/>
      <c r="F360" s="28"/>
      <c r="G360" s="28"/>
      <c r="H360" s="28"/>
      <c r="I360" s="28"/>
      <c r="J360" s="28"/>
    </row>
    <row r="361" spans="1:10">
      <c r="A361" s="4"/>
      <c r="B361" s="23"/>
      <c r="C361" s="28"/>
      <c r="D361" s="28"/>
      <c r="E361" s="28"/>
      <c r="F361" s="28"/>
      <c r="G361" s="28"/>
      <c r="H361" s="28"/>
      <c r="I361" s="28"/>
      <c r="J361" s="28"/>
    </row>
    <row r="362" spans="1:10">
      <c r="A362" s="4"/>
      <c r="B362" s="23"/>
      <c r="C362" s="28"/>
      <c r="D362" s="28"/>
      <c r="E362" s="28"/>
      <c r="F362" s="28"/>
      <c r="G362" s="28"/>
      <c r="H362" s="28"/>
      <c r="I362" s="28"/>
      <c r="J362" s="28"/>
    </row>
    <row r="363" spans="1:10">
      <c r="A363" s="4"/>
      <c r="B363" s="23"/>
      <c r="C363" s="28"/>
      <c r="D363" s="28"/>
      <c r="E363" s="28"/>
      <c r="F363" s="28"/>
      <c r="G363" s="28"/>
      <c r="H363" s="28"/>
      <c r="I363" s="28"/>
      <c r="J363" s="28"/>
    </row>
    <row r="364" spans="1:10">
      <c r="A364" s="4"/>
      <c r="B364" s="23"/>
      <c r="C364" s="28"/>
      <c r="D364" s="28"/>
      <c r="E364" s="28"/>
      <c r="F364" s="28"/>
      <c r="G364" s="28"/>
      <c r="H364" s="28"/>
      <c r="I364" s="28"/>
      <c r="J364" s="28"/>
    </row>
    <row r="365" spans="1:10">
      <c r="A365" s="4"/>
      <c r="B365" s="23"/>
      <c r="C365" s="28"/>
      <c r="D365" s="28"/>
      <c r="E365" s="28"/>
      <c r="F365" s="28"/>
      <c r="G365" s="28"/>
      <c r="H365" s="28"/>
      <c r="I365" s="28"/>
      <c r="J365" s="28"/>
    </row>
    <row r="366" spans="1:10">
      <c r="A366" s="4"/>
      <c r="B366" s="23"/>
      <c r="C366" s="28"/>
      <c r="D366" s="28"/>
      <c r="E366" s="28"/>
      <c r="F366" s="28"/>
      <c r="G366" s="28"/>
      <c r="H366" s="28"/>
      <c r="I366" s="28"/>
      <c r="J366" s="28"/>
    </row>
    <row r="367" spans="1:10">
      <c r="A367" s="4"/>
      <c r="B367" s="23"/>
      <c r="C367" s="28"/>
      <c r="D367" s="28"/>
      <c r="E367" s="28"/>
      <c r="F367" s="28"/>
      <c r="G367" s="28"/>
      <c r="H367" s="28"/>
      <c r="I367" s="28"/>
      <c r="J367" s="28"/>
    </row>
    <row r="368" spans="1:10">
      <c r="A368" s="4"/>
      <c r="B368" s="23"/>
      <c r="C368" s="28"/>
      <c r="D368" s="28"/>
      <c r="E368" s="28"/>
      <c r="F368" s="28"/>
      <c r="G368" s="28"/>
      <c r="H368" s="28"/>
      <c r="I368" s="28"/>
      <c r="J368" s="28"/>
    </row>
    <row r="369" spans="1:10">
      <c r="A369" s="4"/>
      <c r="B369" s="23"/>
      <c r="C369" s="28"/>
      <c r="D369" s="28"/>
      <c r="E369" s="28"/>
      <c r="F369" s="28"/>
      <c r="G369" s="28"/>
      <c r="H369" s="28"/>
      <c r="I369" s="28"/>
      <c r="J369" s="28"/>
    </row>
    <row r="370" spans="1:10">
      <c r="A370" s="4"/>
      <c r="B370" s="23"/>
      <c r="C370" s="28"/>
      <c r="D370" s="28"/>
      <c r="E370" s="28"/>
      <c r="F370" s="28"/>
      <c r="G370" s="28"/>
      <c r="H370" s="28"/>
      <c r="I370" s="28"/>
      <c r="J370" s="28"/>
    </row>
    <row r="371" spans="1:10">
      <c r="A371" s="4"/>
      <c r="B371" s="23"/>
      <c r="C371" s="28"/>
      <c r="D371" s="28"/>
      <c r="E371" s="28"/>
      <c r="F371" s="28"/>
      <c r="G371" s="28"/>
      <c r="H371" s="28"/>
      <c r="I371" s="28"/>
      <c r="J371" s="28"/>
    </row>
    <row r="372" spans="1:10">
      <c r="A372" s="4"/>
      <c r="B372" s="23"/>
      <c r="C372" s="28"/>
      <c r="D372" s="28"/>
      <c r="E372" s="28"/>
      <c r="F372" s="28"/>
      <c r="G372" s="28"/>
      <c r="H372" s="28"/>
      <c r="I372" s="28"/>
      <c r="J372" s="28"/>
    </row>
    <row r="373" spans="1:10">
      <c r="A373" s="4"/>
      <c r="B373" s="23"/>
      <c r="C373" s="28"/>
      <c r="D373" s="28"/>
      <c r="E373" s="28"/>
      <c r="F373" s="28"/>
      <c r="G373" s="28"/>
      <c r="H373" s="28"/>
      <c r="I373" s="28"/>
      <c r="J373" s="28"/>
    </row>
    <row r="374" spans="1:10">
      <c r="A374" s="4"/>
      <c r="B374" s="23"/>
      <c r="C374" s="28"/>
      <c r="D374" s="28"/>
      <c r="E374" s="28"/>
      <c r="F374" s="28"/>
      <c r="G374" s="28"/>
      <c r="H374" s="28"/>
      <c r="I374" s="28"/>
      <c r="J374" s="28"/>
    </row>
    <row r="375" spans="1:10">
      <c r="A375" s="4"/>
      <c r="B375" s="23"/>
      <c r="C375" s="28"/>
      <c r="D375" s="28"/>
      <c r="E375" s="28"/>
      <c r="F375" s="28"/>
      <c r="G375" s="28"/>
      <c r="H375" s="28"/>
      <c r="I375" s="28"/>
      <c r="J375" s="28"/>
    </row>
    <row r="376" spans="1:10">
      <c r="A376" s="4"/>
      <c r="B376" s="23"/>
      <c r="C376" s="28"/>
      <c r="D376" s="28"/>
      <c r="E376" s="28"/>
      <c r="F376" s="28"/>
      <c r="G376" s="28"/>
      <c r="H376" s="28"/>
      <c r="I376" s="28"/>
      <c r="J376" s="28"/>
    </row>
  </sheetData>
  <customSheetViews>
    <customSheetView guid="{D2A2FE10-E5D0-4A4C-953C-A7AA87BC6F22}">
      <selection activeCell="W11" sqref="W11"/>
      <pageMargins left="0.75" right="0.75" top="1" bottom="1" header="0.5" footer="0.5"/>
      <pageSetup paperSize="9" orientation="portrait" verticalDpi="0" r:id="rId1"/>
      <headerFooter alignWithMargins="0"/>
    </customSheetView>
  </customSheetViews>
  <mergeCells count="8">
    <mergeCell ref="V56:V62"/>
    <mergeCell ref="AB46:AB49"/>
    <mergeCell ref="L14:M14"/>
    <mergeCell ref="V46:V51"/>
    <mergeCell ref="AA13:AA19"/>
    <mergeCell ref="V41:V45"/>
    <mergeCell ref="V13:V19"/>
    <mergeCell ref="U23:U37"/>
  </mergeCells>
  <phoneticPr fontId="25" type="noConversion"/>
  <conditionalFormatting sqref="M20">
    <cfRule type="cellIs" dxfId="2" priority="3" operator="equal">
      <formula>"NOT OK"</formula>
    </cfRule>
    <cfRule type="cellIs" dxfId="1" priority="4" operator="equal">
      <formula>"OK"</formula>
    </cfRule>
  </conditionalFormatting>
  <conditionalFormatting sqref="P15:P18 S15:S18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2"/>
  <headerFooter alignWithMargins="0"/>
  <drawing r:id="rId3"/>
  <legacy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theme="6" tint="-0.249977111117893"/>
  </sheetPr>
  <dimension ref="A1:AC66"/>
  <sheetViews>
    <sheetView tabSelected="1" workbookViewId="0">
      <selection activeCell="P8" sqref="P8"/>
    </sheetView>
  </sheetViews>
  <sheetFormatPr defaultRowHeight="12.75"/>
  <cols>
    <col min="2" max="2" width="10" bestFit="1" customWidth="1"/>
    <col min="3" max="3" width="9.28515625" style="35" bestFit="1" customWidth="1"/>
    <col min="4" max="4" width="6.140625" style="35" customWidth="1"/>
    <col min="5" max="5" width="9.5703125" style="36" customWidth="1"/>
    <col min="6" max="6" width="12.85546875" bestFit="1" customWidth="1"/>
    <col min="7" max="7" width="9.140625" customWidth="1"/>
    <col min="8" max="8" width="13.140625" style="36" customWidth="1"/>
  </cols>
  <sheetData>
    <row r="1" spans="1:29">
      <c r="A1" s="42"/>
      <c r="B1" s="43"/>
      <c r="C1" s="44"/>
      <c r="D1" s="49"/>
      <c r="E1" s="45"/>
      <c r="F1" s="43"/>
      <c r="G1" s="43"/>
      <c r="H1" s="54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</row>
    <row r="2" spans="1:29">
      <c r="A2" s="46"/>
      <c r="B2" s="57" t="s">
        <v>46</v>
      </c>
      <c r="C2" s="34">
        <v>41796</v>
      </c>
      <c r="D2" s="49"/>
      <c r="E2" s="58" t="s">
        <v>51</v>
      </c>
      <c r="F2" s="31" t="s">
        <v>407</v>
      </c>
      <c r="G2" s="47"/>
      <c r="H2" s="55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</row>
    <row r="3" spans="1:29">
      <c r="A3" s="46"/>
      <c r="B3" s="57" t="s">
        <v>47</v>
      </c>
      <c r="C3" s="34">
        <v>41876</v>
      </c>
      <c r="D3" s="49"/>
      <c r="E3" s="58">
        <v>2</v>
      </c>
      <c r="F3" s="31" t="s">
        <v>408</v>
      </c>
      <c r="G3" s="47"/>
      <c r="H3" s="55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</row>
    <row r="4" spans="1:29">
      <c r="A4" s="46"/>
      <c r="B4" s="47"/>
      <c r="C4" s="49"/>
      <c r="D4" s="49"/>
      <c r="E4" s="58">
        <v>3</v>
      </c>
      <c r="F4" s="31"/>
      <c r="G4" s="47"/>
      <c r="H4" s="55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</row>
    <row r="5" spans="1:29">
      <c r="A5" s="46"/>
      <c r="B5" s="47"/>
      <c r="C5" s="49"/>
      <c r="D5" s="49"/>
      <c r="E5" s="58">
        <v>4</v>
      </c>
      <c r="F5" s="31"/>
      <c r="G5" s="47"/>
      <c r="H5" s="55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</row>
    <row r="6" spans="1:29">
      <c r="A6" s="46"/>
      <c r="B6" s="47"/>
      <c r="C6" s="49"/>
      <c r="D6" s="49"/>
      <c r="E6" s="58">
        <v>5</v>
      </c>
      <c r="F6" s="31"/>
      <c r="G6" s="47"/>
      <c r="H6" s="55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</row>
    <row r="7" spans="1:29">
      <c r="A7" s="46"/>
      <c r="B7" s="416" t="s">
        <v>403</v>
      </c>
      <c r="C7" s="416"/>
      <c r="D7" s="49"/>
      <c r="E7" s="58">
        <v>6</v>
      </c>
      <c r="F7" s="31"/>
      <c r="G7" s="47"/>
      <c r="H7" s="55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</row>
    <row r="8" spans="1:29">
      <c r="A8" s="350"/>
      <c r="B8" s="351" t="s">
        <v>406</v>
      </c>
      <c r="C8" s="352">
        <v>10</v>
      </c>
      <c r="D8" s="49"/>
      <c r="E8" s="58">
        <v>7</v>
      </c>
      <c r="F8" s="31"/>
      <c r="G8" s="47"/>
      <c r="H8" s="55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</row>
    <row r="9" spans="1:29">
      <c r="A9" s="350"/>
      <c r="B9" s="351" t="s">
        <v>404</v>
      </c>
      <c r="C9" s="352">
        <v>10</v>
      </c>
      <c r="D9" s="49"/>
      <c r="E9" s="58">
        <v>8</v>
      </c>
      <c r="F9" s="31"/>
      <c r="G9" s="47"/>
      <c r="H9" s="55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</row>
    <row r="10" spans="1:29">
      <c r="A10" s="350"/>
      <c r="B10" s="351" t="s">
        <v>405</v>
      </c>
      <c r="C10" s="352">
        <v>10</v>
      </c>
      <c r="D10" s="49"/>
      <c r="E10" s="58">
        <v>9</v>
      </c>
      <c r="F10" s="31"/>
      <c r="G10" s="47"/>
      <c r="H10" s="55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</row>
    <row r="11" spans="1:29">
      <c r="A11" s="46"/>
      <c r="B11" s="47"/>
      <c r="C11" s="49"/>
      <c r="D11" s="49"/>
      <c r="E11" s="58">
        <v>10</v>
      </c>
      <c r="F11" s="31"/>
      <c r="G11" s="47"/>
      <c r="H11" s="55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</row>
    <row r="12" spans="1:29">
      <c r="A12" s="46"/>
      <c r="B12" s="47"/>
      <c r="C12" s="49"/>
      <c r="D12" s="49"/>
      <c r="E12" s="58">
        <v>11</v>
      </c>
      <c r="F12" s="31"/>
      <c r="G12" s="47"/>
      <c r="H12" s="55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</row>
    <row r="13" spans="1:29">
      <c r="A13" s="46"/>
      <c r="B13" s="47"/>
      <c r="C13" s="49"/>
      <c r="D13" s="49"/>
      <c r="E13" s="58">
        <v>12</v>
      </c>
      <c r="F13" s="31"/>
      <c r="G13" s="47"/>
      <c r="H13" s="55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</row>
    <row r="14" spans="1:29">
      <c r="A14" s="46"/>
      <c r="B14" s="47"/>
      <c r="C14" s="49"/>
      <c r="D14" s="49"/>
      <c r="E14" s="58">
        <v>13</v>
      </c>
      <c r="F14" s="31"/>
      <c r="G14" s="47"/>
      <c r="H14" s="55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</row>
    <row r="15" spans="1:29">
      <c r="A15" s="46"/>
      <c r="B15" s="47"/>
      <c r="C15" s="49"/>
      <c r="D15" s="49"/>
      <c r="E15" s="58">
        <v>14</v>
      </c>
      <c r="F15" s="41"/>
      <c r="G15" s="47"/>
      <c r="H15" s="55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</row>
    <row r="16" spans="1:29">
      <c r="A16" s="46"/>
      <c r="B16" s="47"/>
      <c r="C16" s="49"/>
      <c r="D16" s="49"/>
      <c r="E16" s="58">
        <v>15</v>
      </c>
      <c r="F16" s="41"/>
      <c r="G16" s="47"/>
      <c r="H16" s="55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</row>
    <row r="17" spans="1:29">
      <c r="A17" s="46"/>
      <c r="B17" s="47"/>
      <c r="C17" s="49"/>
      <c r="D17" s="49"/>
      <c r="E17" s="48"/>
      <c r="F17" s="47"/>
      <c r="G17" s="47"/>
      <c r="H17" s="55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</row>
    <row r="18" spans="1:29">
      <c r="A18" s="50"/>
      <c r="B18" s="51"/>
      <c r="C18" s="52"/>
      <c r="D18" s="52"/>
      <c r="E18" s="53"/>
      <c r="F18" s="51"/>
      <c r="G18" s="51"/>
      <c r="H18" s="56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</row>
    <row r="19" spans="1:29">
      <c r="A19" s="37"/>
      <c r="B19" s="37"/>
      <c r="C19" s="38"/>
      <c r="D19" s="38"/>
      <c r="E19" s="39"/>
      <c r="F19" s="37"/>
      <c r="G19" s="37"/>
      <c r="H19" s="39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</row>
    <row r="20" spans="1:29">
      <c r="A20" s="37"/>
      <c r="B20" s="37"/>
      <c r="C20" s="38"/>
      <c r="D20" s="38"/>
      <c r="E20" s="39"/>
      <c r="F20" s="37"/>
      <c r="G20" s="37"/>
      <c r="H20" s="39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</row>
    <row r="21" spans="1:29">
      <c r="A21" s="37"/>
      <c r="B21" s="37"/>
      <c r="C21" s="38"/>
      <c r="D21" s="38"/>
      <c r="E21" s="39"/>
      <c r="F21" s="37"/>
      <c r="G21" s="37"/>
      <c r="H21" s="39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</row>
    <row r="22" spans="1:29">
      <c r="A22" s="37"/>
      <c r="B22" s="37"/>
      <c r="C22" s="38"/>
      <c r="D22" s="38"/>
      <c r="E22" s="39"/>
      <c r="F22" s="37"/>
      <c r="G22" s="37"/>
      <c r="H22" s="39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</row>
    <row r="23" spans="1:29">
      <c r="A23" s="37"/>
      <c r="B23" s="37"/>
      <c r="C23" s="38"/>
      <c r="D23" s="38"/>
      <c r="E23" s="39"/>
      <c r="F23" s="37"/>
      <c r="G23" s="37"/>
      <c r="H23" s="39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</row>
    <row r="24" spans="1:29">
      <c r="A24" s="37"/>
      <c r="B24" s="37"/>
      <c r="C24" s="38"/>
      <c r="D24" s="38"/>
      <c r="E24" s="39"/>
      <c r="F24" s="37"/>
      <c r="G24" s="37"/>
      <c r="H24" s="39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</row>
    <row r="25" spans="1:29">
      <c r="A25" s="37"/>
      <c r="B25" s="37"/>
      <c r="C25" s="38"/>
      <c r="D25" s="38"/>
      <c r="E25" s="39"/>
      <c r="F25" s="37"/>
      <c r="G25" s="37"/>
      <c r="H25" s="39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</row>
    <row r="26" spans="1:29">
      <c r="A26" s="37"/>
      <c r="B26" s="37"/>
      <c r="C26" s="38"/>
      <c r="D26" s="38"/>
      <c r="E26" s="39"/>
      <c r="F26" s="37"/>
      <c r="G26" s="37"/>
      <c r="H26" s="39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</row>
    <row r="27" spans="1:29">
      <c r="A27" s="37"/>
      <c r="B27" s="37"/>
      <c r="C27" s="38"/>
      <c r="D27" s="38"/>
      <c r="E27" s="39"/>
      <c r="F27" s="37"/>
      <c r="G27" s="37"/>
      <c r="H27" s="39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</row>
    <row r="28" spans="1:29">
      <c r="A28" s="37"/>
      <c r="B28" s="37"/>
      <c r="C28" s="38"/>
      <c r="D28" s="38"/>
      <c r="E28" s="39"/>
      <c r="F28" s="37"/>
      <c r="G28" s="37"/>
      <c r="H28" s="39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</row>
    <row r="29" spans="1:29">
      <c r="A29" s="37"/>
      <c r="B29" s="37"/>
      <c r="C29" s="38"/>
      <c r="D29" s="38"/>
      <c r="E29" s="39"/>
      <c r="F29" s="37"/>
      <c r="G29" s="37"/>
      <c r="H29" s="39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</row>
    <row r="30" spans="1:29">
      <c r="A30" s="37"/>
      <c r="B30" s="37"/>
      <c r="C30" s="38"/>
      <c r="D30" s="38"/>
      <c r="E30" s="39"/>
      <c r="F30" s="37"/>
      <c r="G30" s="37"/>
      <c r="H30" s="39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</row>
    <row r="31" spans="1:29">
      <c r="A31" s="37"/>
      <c r="B31" s="37"/>
      <c r="C31" s="38"/>
      <c r="D31" s="38"/>
      <c r="E31" s="39"/>
      <c r="F31" s="37"/>
      <c r="G31" s="37"/>
      <c r="H31" s="39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</row>
    <row r="32" spans="1:29">
      <c r="A32" s="37"/>
      <c r="B32" s="37"/>
      <c r="C32" s="38"/>
      <c r="D32" s="38"/>
      <c r="E32" s="39"/>
      <c r="F32" s="37"/>
      <c r="G32" s="37"/>
      <c r="H32" s="39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</row>
    <row r="33" spans="1:29">
      <c r="A33" s="37"/>
      <c r="B33" s="37"/>
      <c r="C33" s="38"/>
      <c r="D33" s="38"/>
      <c r="E33" s="39"/>
      <c r="F33" s="37"/>
      <c r="G33" s="37"/>
      <c r="H33" s="39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</row>
    <row r="34" spans="1:29">
      <c r="A34" s="37"/>
      <c r="B34" s="37"/>
      <c r="C34" s="38"/>
      <c r="D34" s="38"/>
      <c r="E34" s="39"/>
      <c r="F34" s="37"/>
      <c r="G34" s="37"/>
      <c r="H34" s="39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</row>
    <row r="35" spans="1:29">
      <c r="A35" s="37"/>
      <c r="B35" s="37"/>
      <c r="C35" s="38"/>
      <c r="D35" s="38"/>
      <c r="E35" s="39"/>
      <c r="F35" s="37"/>
      <c r="G35" s="37"/>
      <c r="H35" s="39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</row>
    <row r="36" spans="1:29">
      <c r="A36" s="37"/>
      <c r="B36" s="37"/>
      <c r="C36" s="38"/>
      <c r="D36" s="38"/>
      <c r="E36" s="39"/>
      <c r="F36" s="37"/>
      <c r="G36" s="37"/>
      <c r="H36" s="39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</row>
    <row r="37" spans="1:29">
      <c r="A37" s="37"/>
      <c r="B37" s="37"/>
      <c r="C37" s="38"/>
      <c r="D37" s="38"/>
      <c r="E37" s="39"/>
      <c r="F37" s="37"/>
      <c r="G37" s="37"/>
      <c r="H37" s="39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</row>
    <row r="38" spans="1:29">
      <c r="A38" s="37"/>
      <c r="B38" s="37"/>
      <c r="C38" s="38"/>
      <c r="D38" s="38"/>
      <c r="E38" s="39"/>
      <c r="F38" s="37"/>
      <c r="G38" s="37"/>
      <c r="H38" s="39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</row>
    <row r="39" spans="1:29">
      <c r="A39" s="37"/>
      <c r="B39" s="37"/>
      <c r="C39" s="38"/>
      <c r="D39" s="38"/>
      <c r="E39" s="39"/>
      <c r="F39" s="37"/>
      <c r="G39" s="37"/>
      <c r="H39" s="39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</row>
    <row r="40" spans="1:29">
      <c r="A40" s="37"/>
      <c r="B40" s="37"/>
      <c r="C40" s="38"/>
      <c r="D40" s="38"/>
      <c r="E40" s="39"/>
      <c r="F40" s="37"/>
      <c r="G40" s="37"/>
      <c r="H40" s="39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</row>
    <row r="41" spans="1:29">
      <c r="A41" s="37"/>
      <c r="B41" s="37"/>
      <c r="C41" s="38"/>
      <c r="D41" s="38"/>
      <c r="E41" s="39"/>
      <c r="F41" s="37"/>
      <c r="G41" s="37"/>
      <c r="H41" s="39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</row>
    <row r="42" spans="1:29">
      <c r="A42" s="37"/>
      <c r="B42" s="37"/>
      <c r="C42" s="38"/>
      <c r="D42" s="38"/>
      <c r="E42" s="39"/>
      <c r="F42" s="37"/>
      <c r="G42" s="37"/>
      <c r="H42" s="39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</row>
    <row r="43" spans="1:29">
      <c r="A43" s="37"/>
      <c r="B43" s="37"/>
      <c r="C43" s="38"/>
      <c r="D43" s="38"/>
      <c r="E43" s="39"/>
      <c r="F43" s="37"/>
      <c r="G43" s="37"/>
      <c r="H43" s="39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</row>
    <row r="44" spans="1:29">
      <c r="A44" s="37"/>
      <c r="B44" s="37"/>
      <c r="C44" s="38"/>
      <c r="D44" s="38"/>
      <c r="E44" s="39"/>
      <c r="F44" s="37"/>
      <c r="G44" s="37"/>
      <c r="H44" s="39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</row>
    <row r="45" spans="1:29">
      <c r="A45" s="37"/>
      <c r="B45" s="37"/>
      <c r="C45" s="38"/>
      <c r="D45" s="38"/>
      <c r="E45" s="39"/>
      <c r="F45" s="37"/>
      <c r="G45" s="37"/>
      <c r="H45" s="39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</row>
    <row r="46" spans="1:29">
      <c r="A46" s="37"/>
      <c r="B46" s="37"/>
      <c r="C46" s="38"/>
      <c r="D46" s="38"/>
      <c r="E46" s="39"/>
      <c r="F46" s="37"/>
      <c r="G46" s="37"/>
      <c r="H46" s="39"/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</row>
    <row r="47" spans="1:29">
      <c r="A47" s="37"/>
      <c r="B47" s="37"/>
      <c r="C47" s="38"/>
      <c r="D47" s="38"/>
      <c r="E47" s="39"/>
      <c r="F47" s="37"/>
      <c r="G47" s="37"/>
      <c r="H47" s="39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</row>
    <row r="48" spans="1:29">
      <c r="A48" s="37"/>
      <c r="B48" s="37"/>
      <c r="C48" s="38"/>
      <c r="D48" s="38"/>
      <c r="E48" s="39"/>
      <c r="F48" s="37"/>
      <c r="G48" s="37"/>
      <c r="H48" s="39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</row>
    <row r="49" spans="1:29">
      <c r="A49" s="37"/>
      <c r="B49" s="37"/>
      <c r="C49" s="38"/>
      <c r="D49" s="38"/>
      <c r="E49" s="39"/>
      <c r="F49" s="37"/>
      <c r="G49" s="37"/>
      <c r="H49" s="39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</row>
    <row r="50" spans="1:29">
      <c r="A50" s="37"/>
      <c r="B50" s="37"/>
      <c r="C50" s="38"/>
      <c r="D50" s="38"/>
      <c r="E50" s="39"/>
      <c r="F50" s="37"/>
      <c r="G50" s="37"/>
      <c r="H50" s="39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</row>
    <row r="51" spans="1:29">
      <c r="A51" s="37"/>
      <c r="B51" s="37"/>
      <c r="C51" s="38"/>
      <c r="D51" s="38"/>
      <c r="E51" s="39"/>
      <c r="F51" s="37"/>
      <c r="G51" s="37"/>
      <c r="H51" s="39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</row>
    <row r="52" spans="1:29">
      <c r="A52" s="37"/>
      <c r="B52" s="37"/>
      <c r="C52" s="38"/>
      <c r="D52" s="38"/>
      <c r="E52" s="39"/>
      <c r="F52" s="37"/>
      <c r="G52" s="37"/>
      <c r="H52" s="39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</row>
    <row r="53" spans="1:29">
      <c r="A53" s="37"/>
      <c r="B53" s="37"/>
      <c r="C53" s="38"/>
      <c r="D53" s="38"/>
      <c r="E53" s="39"/>
      <c r="F53" s="37"/>
      <c r="G53" s="37"/>
      <c r="H53" s="39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</row>
    <row r="54" spans="1:29">
      <c r="A54" s="37"/>
      <c r="B54" s="37"/>
      <c r="C54" s="38"/>
      <c r="D54" s="38"/>
      <c r="E54" s="39"/>
      <c r="F54" s="37"/>
      <c r="G54" s="37"/>
      <c r="H54" s="39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</row>
    <row r="55" spans="1:29">
      <c r="A55" s="37"/>
      <c r="B55" s="37"/>
      <c r="C55" s="38"/>
      <c r="D55" s="38"/>
      <c r="E55" s="39"/>
      <c r="F55" s="37"/>
      <c r="G55" s="37"/>
      <c r="H55" s="39"/>
      <c r="I55" s="37"/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</row>
    <row r="56" spans="1:29">
      <c r="A56" s="37"/>
      <c r="B56" s="37"/>
      <c r="C56" s="38"/>
      <c r="D56" s="38"/>
      <c r="E56" s="39"/>
      <c r="F56" s="37"/>
      <c r="G56" s="37"/>
      <c r="H56" s="39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</row>
    <row r="57" spans="1:29">
      <c r="A57" s="37"/>
      <c r="B57" s="37"/>
      <c r="C57" s="38"/>
      <c r="D57" s="38"/>
      <c r="E57" s="39"/>
      <c r="F57" s="37"/>
      <c r="G57" s="37"/>
      <c r="H57" s="39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</row>
    <row r="58" spans="1:29">
      <c r="A58" s="37"/>
      <c r="B58" s="37"/>
      <c r="C58" s="38"/>
      <c r="D58" s="38"/>
      <c r="E58" s="39"/>
      <c r="F58" s="37"/>
      <c r="G58" s="37"/>
      <c r="H58" s="39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</row>
    <row r="59" spans="1:29">
      <c r="A59" s="37"/>
      <c r="B59" s="37"/>
      <c r="C59" s="38"/>
      <c r="D59" s="38"/>
      <c r="E59" s="39"/>
      <c r="F59" s="37"/>
      <c r="G59" s="37"/>
      <c r="H59" s="39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</row>
    <row r="60" spans="1:29">
      <c r="A60" s="37"/>
      <c r="B60" s="37"/>
      <c r="C60" s="38"/>
      <c r="D60" s="38"/>
      <c r="E60" s="39"/>
      <c r="F60" s="37"/>
      <c r="G60" s="37"/>
      <c r="H60" s="39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</row>
    <row r="61" spans="1:29">
      <c r="A61" s="37"/>
      <c r="B61" s="37"/>
      <c r="C61" s="38"/>
      <c r="D61" s="38"/>
      <c r="E61" s="39"/>
      <c r="F61" s="37"/>
      <c r="G61" s="37"/>
      <c r="H61" s="39"/>
      <c r="I61" s="37"/>
      <c r="J61" s="37"/>
      <c r="K61" s="37"/>
      <c r="L61" s="37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</row>
    <row r="62" spans="1:29">
      <c r="A62" s="37"/>
      <c r="B62" s="37"/>
      <c r="C62" s="38"/>
      <c r="D62" s="38"/>
      <c r="E62" s="39"/>
      <c r="F62" s="37"/>
      <c r="G62" s="37"/>
      <c r="H62" s="39"/>
      <c r="I62" s="37"/>
      <c r="J62" s="37"/>
      <c r="K62" s="37"/>
      <c r="L62" s="37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</row>
    <row r="63" spans="1:29">
      <c r="A63" s="37"/>
      <c r="B63" s="37"/>
      <c r="C63" s="38"/>
      <c r="D63" s="38"/>
      <c r="E63" s="39"/>
      <c r="F63" s="37"/>
      <c r="G63" s="37"/>
      <c r="H63" s="39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</row>
    <row r="64" spans="1:29">
      <c r="A64" s="37"/>
      <c r="B64" s="37"/>
      <c r="C64" s="38"/>
      <c r="D64" s="38"/>
      <c r="E64" s="39"/>
      <c r="F64" s="37"/>
      <c r="G64" s="37"/>
      <c r="H64" s="39"/>
      <c r="I64" s="37"/>
      <c r="J64" s="37"/>
      <c r="K64" s="37"/>
      <c r="L64" s="37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</row>
    <row r="65" spans="1:29">
      <c r="A65" s="37"/>
      <c r="B65" s="37"/>
      <c r="C65" s="38"/>
      <c r="D65" s="38"/>
      <c r="E65" s="39"/>
      <c r="F65" s="37"/>
      <c r="G65" s="37"/>
      <c r="H65" s="39"/>
      <c r="I65" s="37"/>
      <c r="J65" s="37"/>
      <c r="K65" s="37"/>
      <c r="L65" s="37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</row>
    <row r="66" spans="1:29">
      <c r="A66" s="37"/>
      <c r="B66" s="37"/>
      <c r="C66" s="38"/>
      <c r="D66" s="38"/>
      <c r="E66" s="39"/>
      <c r="F66" s="37"/>
      <c r="G66" s="37"/>
      <c r="H66" s="39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</row>
  </sheetData>
  <mergeCells count="1">
    <mergeCell ref="B7:C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4" name="Button 8">
              <controlPr defaultSize="0" print="0" autoFill="0" autoPict="0" macro="[0]!SetupMacro.SetupMacro">
                <anchor moveWithCells="1" sizeWithCells="1">
                  <from>
                    <xdr:col>6</xdr:col>
                    <xdr:colOff>485775</xdr:colOff>
                    <xdr:row>1</xdr:row>
                    <xdr:rowOff>19050</xdr:rowOff>
                  </from>
                  <to>
                    <xdr:col>7</xdr:col>
                    <xdr:colOff>542925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7</vt:i4>
      </vt:variant>
    </vt:vector>
  </HeadingPairs>
  <TitlesOfParts>
    <vt:vector size="17" baseType="lpstr">
      <vt:lpstr>Statistics - Overview-Defects</vt:lpstr>
      <vt:lpstr>Statistics - Scenario Exec</vt:lpstr>
      <vt:lpstr>Heat Map</vt:lpstr>
      <vt:lpstr>Heat-Map-Data</vt:lpstr>
      <vt:lpstr>Defect Dump</vt:lpstr>
      <vt:lpstr>Defect-Category-Data</vt:lpstr>
      <vt:lpstr>Defect-Quality-Trend-Data</vt:lpstr>
      <vt:lpstr>Execution</vt:lpstr>
      <vt:lpstr>Calculations</vt:lpstr>
      <vt:lpstr>Setup</vt:lpstr>
      <vt:lpstr>ACT.ExecDate</vt:lpstr>
      <vt:lpstr>'Heat-Map-Data'!AmberFactor</vt:lpstr>
      <vt:lpstr>Date</vt:lpstr>
      <vt:lpstr>'Heat-Map-Data'!GreenFactor</vt:lpstr>
      <vt:lpstr>'Heat-Map-Data'!RedFactor</vt:lpstr>
      <vt:lpstr>Status</vt:lpstr>
      <vt:lpstr>Tester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QA Defect Dashboard</dc:title>
  <dc:creator>QA Rampage; Data Science</dc:creator>
  <cp:lastPrinted>2012-09-17T20:25:11Z</cp:lastPrinted>
  <dcterms:created xsi:type="dcterms:W3CDTF">2010-11-17T13:54:36Z</dcterms:created>
  <dcterms:modified xsi:type="dcterms:W3CDTF">2020-10-01T05:52:52Z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4bf71af0-1b12-4386-b6f4-d5c64b743200</vt:lpwstr>
  </property>
</Properties>
</file>